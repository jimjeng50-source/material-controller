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https://pow06.ctci.com.tw/PRJ/24A5660A/FileStorage/04 Procurement/01 Report/02 Expediting Status Report/"/>
    </mc:Choice>
  </mc:AlternateContent>
  <xr:revisionPtr revIDLastSave="0" documentId="13_ncr:1_{E539A943-43CF-4BBE-949D-F13F32273F7C}" xr6:coauthVersionLast="36" xr6:coauthVersionMax="47" xr10:uidLastSave="{00000000-0000-0000-0000-000000000000}"/>
  <bookViews>
    <workbookView xWindow="28680" yWindow="-120" windowWidth="29040" windowHeight="15720" tabRatio="539" activeTab="1" xr2:uid="{00000000-000D-0000-FFFF-FFFF00000000}"/>
  </bookViews>
  <sheets>
    <sheet name="Stationary" sheetId="3" r:id="rId1"/>
    <sheet name="Rotating" sheetId="4" r:id="rId2"/>
    <sheet name="Piping" sheetId="5" r:id="rId3"/>
    <sheet name="Pipeline" sheetId="8" r:id="rId4"/>
    <sheet name="Electrical" sheetId="7" r:id="rId5"/>
    <sheet name="Instrument" sheetId="6" r:id="rId6"/>
    <sheet name="BOM schedule" sheetId="9" r:id="rId7"/>
    <sheet name="E&amp;I Bulk status" sheetId="11"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___________________KEY2" localSheetId="4" hidden="1">#REF!</definedName>
    <definedName name="_____________________KEY2" localSheetId="5" hidden="1">#REF!</definedName>
    <definedName name="_____________________KEY2" hidden="1">#REF!</definedName>
    <definedName name="____________________KEY2" hidden="1">#REF!</definedName>
    <definedName name="___________________KEY2" hidden="1">#REF!</definedName>
    <definedName name="__________________KEY2" hidden="1">#REF!</definedName>
    <definedName name="_________________KEY2" hidden="1">#REF!</definedName>
    <definedName name="________________KEY2" hidden="1">#REF!</definedName>
    <definedName name="_______________KEY2" hidden="1">#REF!</definedName>
    <definedName name="______________KEY2" hidden="1">#REF!</definedName>
    <definedName name="_____________KEY2" hidden="1">#REF!</definedName>
    <definedName name="____________KEY2" hidden="1">#REF!</definedName>
    <definedName name="___________KEY2" hidden="1">#REF!</definedName>
    <definedName name="__________KEY2" hidden="1">#REF!</definedName>
    <definedName name="_________KEY2" hidden="1">#REF!</definedName>
    <definedName name="________KEY2" hidden="1">#REF!</definedName>
    <definedName name="_______KEY2" hidden="1">#REF!</definedName>
    <definedName name="______KEY2" hidden="1">#REF!</definedName>
    <definedName name="_____KEY2" hidden="1">#REF!</definedName>
    <definedName name="____KEY2" hidden="1">#REF!</definedName>
    <definedName name="___KEY2" hidden="1">#REF!</definedName>
    <definedName name="__123Graph_A" hidden="1">[1]TTL!$G$31:$AU$31</definedName>
    <definedName name="__123Graph_B" hidden="1">[1]TTL!$G$32:$AU$32</definedName>
    <definedName name="__123Graph_BPERFORMANCE" localSheetId="4" hidden="1">[2]BQMPALOC!#REF!</definedName>
    <definedName name="__123Graph_BPERFORMANCE" localSheetId="5" hidden="1">[2]BQMPALOC!#REF!</definedName>
    <definedName name="__123Graph_BPERFORMANCE" hidden="1">[2]BQMPALOC!#REF!</definedName>
    <definedName name="__123Graph_C" hidden="1">[1]TTL!$G$37:$AU$37</definedName>
    <definedName name="__123Graph_D" hidden="1">[1]TTL!$G$38:$AU$38</definedName>
    <definedName name="__123Graph_E" localSheetId="4" hidden="1">#REF!</definedName>
    <definedName name="__123Graph_E" localSheetId="5" hidden="1">#REF!</definedName>
    <definedName name="__123Graph_E" hidden="1">#REF!</definedName>
    <definedName name="__123Graph_X" hidden="1">[1]TTL!$G$6:$AU$6</definedName>
    <definedName name="__IntlFixup" hidden="1">TRUE</definedName>
    <definedName name="__KEY2" localSheetId="4" hidden="1">#REF!</definedName>
    <definedName name="__KEY2" localSheetId="5" hidden="1">#REF!</definedName>
    <definedName name="__KEY2" hidden="1">#REF!</definedName>
    <definedName name="_001"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__123Graph_ACHART_1" hidden="1">[3]Cash2!$G$16:$G$31</definedName>
    <definedName name="_1123Graph_Achart2" hidden="1">[4]Z!$T$179:$AH$179</definedName>
    <definedName name="_145" hidden="1">[4]Cash2!$G$16:$G$31</definedName>
    <definedName name="_2__123Graph_ACHART_2" hidden="1">[3]Z!$T$179:$AH$179</definedName>
    <definedName name="_3__123Graph_BCHART_2" hidden="1">[3]Z!$T$180:$AH$180</definedName>
    <definedName name="_4__123Graph_CCHART_1" hidden="1">[3]Cash2!$J$16:$J$36</definedName>
    <definedName name="_5__123Graph_DCHART_1" hidden="1">[3]Cash2!$K$16:$K$36</definedName>
    <definedName name="_9_0_0_F" localSheetId="4" hidden="1">'[5]집계표(OPTION)'!#REF!</definedName>
    <definedName name="_9_0_0_F" localSheetId="5" hidden="1">'[5]집계표(OPTION)'!#REF!</definedName>
    <definedName name="_9_0_0_F" hidden="1">'[5]집계표(OPTION)'!#REF!</definedName>
    <definedName name="_Fill" hidden="1">#REF!</definedName>
    <definedName name="_xlnm._FilterDatabase" localSheetId="4" hidden="1">#REF!</definedName>
    <definedName name="_xlnm._FilterDatabase" localSheetId="5" hidden="1">#REF!</definedName>
    <definedName name="_xlnm._FilterDatabase" hidden="1">#REF!</definedName>
    <definedName name="_Key1" hidden="1">#REF!</definedName>
    <definedName name="_Key2" hidden="1">#REF!</definedName>
    <definedName name="_kfkf" localSheetId="4" hidden="1">#REF!</definedName>
    <definedName name="_kfkf" localSheetId="5" hidden="1">#REF!</definedName>
    <definedName name="_kfkf" hidden="1">#REF!</definedName>
    <definedName name="_Order1" hidden="1">255</definedName>
    <definedName name="_Order2" hidden="1">255</definedName>
    <definedName name="_Parse_In" localSheetId="4" hidden="1">#REF!</definedName>
    <definedName name="_Parse_In" localSheetId="5" hidden="1">#REF!</definedName>
    <definedName name="_Parse_In" hidden="1">#REF!</definedName>
    <definedName name="_Parse_Out" localSheetId="4" hidden="1">#REF!</definedName>
    <definedName name="_Parse_Out" localSheetId="5" hidden="1">#REF!</definedName>
    <definedName name="_Parse_Out" hidden="1">[6]갑지!#REF!</definedName>
    <definedName name="_Regression_Int" hidden="1">1</definedName>
    <definedName name="_Regression_Out" localSheetId="4" hidden="1">#REF!</definedName>
    <definedName name="_Regression_Out" localSheetId="5" hidden="1">#REF!</definedName>
    <definedName name="_Regression_Out" hidden="1">#REF!</definedName>
    <definedName name="_Regression_X" localSheetId="4" hidden="1">#REF!</definedName>
    <definedName name="_Regression_X" localSheetId="5" hidden="1">#REF!</definedName>
    <definedName name="_Regression_X" hidden="1">#REF!</definedName>
    <definedName name="_Regression_Y" localSheetId="5" hidden="1">#REF!</definedName>
    <definedName name="_Regression_Y" hidden="1">#REF!</definedName>
    <definedName name="_Sort" hidden="1">#REF!</definedName>
    <definedName name="_Table1_In1" localSheetId="5" hidden="1">[7]inter!#REF!</definedName>
    <definedName name="_Table1_In1" hidden="1">[7]inter!#REF!</definedName>
    <definedName name="_Table1_Out" localSheetId="5" hidden="1">[7]inter!#REF!</definedName>
    <definedName name="_Table1_Out" hidden="1">[7]inter!#REF!</definedName>
    <definedName name="_woogi" localSheetId="4" hidden="1">#REF!</definedName>
    <definedName name="_woogi" localSheetId="5" hidden="1">#REF!</definedName>
    <definedName name="_woogi" hidden="1">#REF!</definedName>
    <definedName name="_woogi2" localSheetId="4" hidden="1">#REF!</definedName>
    <definedName name="_woogi2" localSheetId="5" hidden="1">#REF!</definedName>
    <definedName name="_woogi2" hidden="1">#REF!</definedName>
    <definedName name="_woogi24" localSheetId="5" hidden="1">#REF!</definedName>
    <definedName name="_woogi24" hidden="1">#REF!</definedName>
    <definedName name="_woogi3" hidden="1">#REF!</definedName>
    <definedName name="_재ㅐ햐" hidden="1">#REF!</definedName>
    <definedName name="´cAE°eE¹" localSheetId="4" hidden="1">#REF!</definedName>
    <definedName name="´cAE°eE¹" localSheetId="5" hidden="1">#REF!</definedName>
    <definedName name="´cAE°eE¹" hidden="1">#REF!</definedName>
    <definedName name="￠￥cAE¡ÆeEⓒo" localSheetId="4" hidden="1">#REF!</definedName>
    <definedName name="￠￥cAE¡ÆeEⓒo" localSheetId="5" hidden="1">#REF!</definedName>
    <definedName name="￠￥cAE¡ÆeEⓒo" hidden="1">#REF!</definedName>
    <definedName name="aaaaa" localSheetId="4" hidden="1">{#N/A,#N/A,TRUE,"Basic";#N/A,#N/A,TRUE,"EXT-TABLE";#N/A,#N/A,TRUE,"STEEL";#N/A,#N/A,TRUE,"INT-Table";#N/A,#N/A,TRUE,"STEEL";#N/A,#N/A,TRUE,"Door"}</definedName>
    <definedName name="aaaaa" localSheetId="5" hidden="1">{#N/A,#N/A,TRUE,"Basic";#N/A,#N/A,TRUE,"EXT-TABLE";#N/A,#N/A,TRUE,"STEEL";#N/A,#N/A,TRUE,"INT-Table";#N/A,#N/A,TRUE,"STEEL";#N/A,#N/A,TRUE,"Door"}</definedName>
    <definedName name="aaaaa" hidden="1">{#N/A,#N/A,TRUE,"Basic";#N/A,#N/A,TRUE,"EXT-TABLE";#N/A,#N/A,TRUE,"STEEL";#N/A,#N/A,TRUE,"INT-Table";#N/A,#N/A,TRUE,"STEEL";#N/A,#N/A,TRUE,"Door"}</definedName>
    <definedName name="aaafff" localSheetId="4" hidden="1">{"'장비'!$A$3:$M$12"}</definedName>
    <definedName name="aaafff" localSheetId="5" hidden="1">{"'장비'!$A$3:$M$12"}</definedName>
    <definedName name="aaafff" hidden="1">{"'장비'!$A$3:$M$12"}</definedName>
    <definedName name="ab" localSheetId="4" hidden="1">{#N/A,#N/A,TRUE,"Basic";#N/A,#N/A,TRUE,"EXT-TABLE";#N/A,#N/A,TRUE,"STEEL";#N/A,#N/A,TRUE,"INT-Table";#N/A,#N/A,TRUE,"STEEL";#N/A,#N/A,TRUE,"Door"}</definedName>
    <definedName name="ab" localSheetId="5" hidden="1">{#N/A,#N/A,TRUE,"Basic";#N/A,#N/A,TRUE,"EXT-TABLE";#N/A,#N/A,TRUE,"STEEL";#N/A,#N/A,TRUE,"INT-Table";#N/A,#N/A,TRUE,"STEEL";#N/A,#N/A,TRUE,"Door"}</definedName>
    <definedName name="ab" hidden="1">{#N/A,#N/A,TRUE,"Basic";#N/A,#N/A,TRUE,"EXT-TABLE";#N/A,#N/A,TRUE,"STEEL";#N/A,#N/A,TRUE,"INT-Table";#N/A,#N/A,TRUE,"STEEL";#N/A,#N/A,TRUE,"Door"}</definedName>
    <definedName name="abc" localSheetId="4" hidden="1">{#N/A,#N/A,TRUE,"Basic";#N/A,#N/A,TRUE,"EXT-TABLE";#N/A,#N/A,TRUE,"STEEL";#N/A,#N/A,TRUE,"INT-Table";#N/A,#N/A,TRUE,"STEEL";#N/A,#N/A,TRUE,"Door"}</definedName>
    <definedName name="abc" localSheetId="5" hidden="1">{#N/A,#N/A,TRUE,"Basic";#N/A,#N/A,TRUE,"EXT-TABLE";#N/A,#N/A,TRUE,"STEEL";#N/A,#N/A,TRUE,"INT-Table";#N/A,#N/A,TRUE,"STEEL";#N/A,#N/A,TRUE,"Door"}</definedName>
    <definedName name="abc" hidden="1">{#N/A,#N/A,TRUE,"Basic";#N/A,#N/A,TRUE,"EXT-TABLE";#N/A,#N/A,TRUE,"STEEL";#N/A,#N/A,TRUE,"INT-Table";#N/A,#N/A,TRUE,"STEEL";#N/A,#N/A,TRUE,"Door"}</definedName>
    <definedName name="Access_Button" hidden="1">"PJTFINAL_F02F11_List"</definedName>
    <definedName name="AccessDatabase" hidden="1">"C:\WIN95\Desktop\Ramesh\AIC\Aic.mdb"</definedName>
    <definedName name="afdasgh" localSheetId="4" hidden="1">{#N/A,#N/A,FALSE,"CCTV"}</definedName>
    <definedName name="afdasgh" localSheetId="5" hidden="1">{#N/A,#N/A,FALSE,"CCTV"}</definedName>
    <definedName name="afdasgh" hidden="1">{#N/A,#N/A,FALSE,"CCTV"}</definedName>
    <definedName name="afdsfdg" localSheetId="4" hidden="1">{#N/A,#N/A,FALSE,"CCTV"}</definedName>
    <definedName name="afdsfdg" localSheetId="5" hidden="1">{#N/A,#N/A,FALSE,"CCTV"}</definedName>
    <definedName name="afdsfdg" hidden="1">{#N/A,#N/A,FALSE,"CCTV"}</definedName>
    <definedName name="afffgff" localSheetId="4" hidden="1">{#N/A,#N/A,FALSE,"CCTV"}</definedName>
    <definedName name="afffgff" localSheetId="5" hidden="1">{#N/A,#N/A,FALSE,"CCTV"}</definedName>
    <definedName name="afffgff" hidden="1">{#N/A,#N/A,FALSE,"CCTV"}</definedName>
    <definedName name="agfg" localSheetId="4" hidden="1">{"'장비'!$A$3:$M$12"}</definedName>
    <definedName name="agfg" localSheetId="5" hidden="1">{"'장비'!$A$3:$M$12"}</definedName>
    <definedName name="agfg" hidden="1">{"'장비'!$A$3:$M$12"}</definedName>
    <definedName name="AH" localSheetId="4" hidden="1">{#N/A,#N/A,FALSE,"CCTV"}</definedName>
    <definedName name="AH" localSheetId="5" hidden="1">{#N/A,#N/A,FALSE,"CCTV"}</definedName>
    <definedName name="AH" hidden="1">{#N/A,#N/A,FALSE,"CCTV"}</definedName>
    <definedName name="anscount" hidden="1">1</definedName>
    <definedName name="AQWS"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 hidden="1">{"'장비'!$A$3:$M$12"}</definedName>
    <definedName name="BELL" localSheetId="4" hidden="1">{#N/A,#N/A,TRUE,"Basic";#N/A,#N/A,TRUE,"EXT-TABLE";#N/A,#N/A,TRUE,"STEEL";#N/A,#N/A,TRUE,"INT-Table";#N/A,#N/A,TRUE,"STEEL";#N/A,#N/A,TRUE,"Door"}</definedName>
    <definedName name="BELL" localSheetId="5" hidden="1">{#N/A,#N/A,TRUE,"Basic";#N/A,#N/A,TRUE,"EXT-TABLE";#N/A,#N/A,TRUE,"STEEL";#N/A,#N/A,TRUE,"INT-Table";#N/A,#N/A,TRUE,"STEEL";#N/A,#N/A,TRUE,"Door"}</definedName>
    <definedName name="BELL" hidden="1">{#N/A,#N/A,TRUE,"Basic";#N/A,#N/A,TRUE,"EXT-TABLE";#N/A,#N/A,TRUE,"STEEL";#N/A,#N/A,TRUE,"INT-Table";#N/A,#N/A,TRUE,"STEEL";#N/A,#N/A,TRUE,"Door"}</definedName>
    <definedName name="bfbfdhfdhdfgh" localSheetId="4" hidden="1">{#N/A,#N/A,FALSE,"CCTV"}</definedName>
    <definedName name="bfbfdhfdhdfgh" localSheetId="5" hidden="1">{#N/A,#N/A,FALSE,"CCTV"}</definedName>
    <definedName name="bfbfdhfdhdfgh" hidden="1">{#N/A,#N/A,FALSE,"CCTV"}</definedName>
    <definedName name="CCC"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c" hidden="1">{#N/A,#N/A,FALSE,"전력간선"}</definedName>
    <definedName name="chemical" localSheetId="4" hidden="1">{#N/A,#N/A,FALSE,"CCTV"}</definedName>
    <definedName name="chemical" localSheetId="5" hidden="1">{#N/A,#N/A,FALSE,"CCTV"}</definedName>
    <definedName name="chemical" hidden="1">{#N/A,#N/A,FALSE,"CCTV"}</definedName>
    <definedName name="CODE" localSheetId="4">#REF!</definedName>
    <definedName name="CODE" localSheetId="5">#REF!</definedName>
    <definedName name="CODE">#REF!</definedName>
    <definedName name="cost" localSheetId="4" hidden="1">{#N/A,#N/A,TRUE,"Basic";#N/A,#N/A,TRUE,"EXT-TABLE";#N/A,#N/A,TRUE,"STEEL";#N/A,#N/A,TRUE,"INT-Table";#N/A,#N/A,TRUE,"STEEL";#N/A,#N/A,TRUE,"Door"}</definedName>
    <definedName name="cost" localSheetId="5" hidden="1">{#N/A,#N/A,TRUE,"Basic";#N/A,#N/A,TRUE,"EXT-TABLE";#N/A,#N/A,TRUE,"STEEL";#N/A,#N/A,TRUE,"INT-Table";#N/A,#N/A,TRUE,"STEEL";#N/A,#N/A,TRUE,"Door"}</definedName>
    <definedName name="cost" hidden="1">{#N/A,#N/A,TRUE,"Basic";#N/A,#N/A,TRUE,"EXT-TABLE";#N/A,#N/A,TRUE,"STEEL";#N/A,#N/A,TRUE,"INT-Table";#N/A,#N/A,TRUE,"STEEL";#N/A,#N/A,TRUE,"Door"}</definedName>
    <definedName name="COST2" localSheetId="4" hidden="1">{#N/A,#N/A,TRUE,"Basic";#N/A,#N/A,TRUE,"EXT-TABLE";#N/A,#N/A,TRUE,"STEEL";#N/A,#N/A,TRUE,"INT-Table";#N/A,#N/A,TRUE,"STEEL";#N/A,#N/A,TRUE,"Door"}</definedName>
    <definedName name="COST2" localSheetId="5" hidden="1">{#N/A,#N/A,TRUE,"Basic";#N/A,#N/A,TRUE,"EXT-TABLE";#N/A,#N/A,TRUE,"STEEL";#N/A,#N/A,TRUE,"INT-Table";#N/A,#N/A,TRUE,"STEEL";#N/A,#N/A,TRUE,"Door"}</definedName>
    <definedName name="COST2" hidden="1">{#N/A,#N/A,TRUE,"Basic";#N/A,#N/A,TRUE,"EXT-TABLE";#N/A,#N/A,TRUE,"STEEL";#N/A,#N/A,TRUE,"INT-Table";#N/A,#N/A,TRUE,"STEEL";#N/A,#N/A,TRUE,"Door"}</definedName>
    <definedName name="dataww" localSheetId="4" hidden="1">#REF!</definedName>
    <definedName name="dataww" localSheetId="5" hidden="1">#REF!</definedName>
    <definedName name="dataww" hidden="1">#REF!</definedName>
    <definedName name="ddddd" localSheetId="4" hidden="1">{#N/A,#N/A,TRUE,"Basic";#N/A,#N/A,TRUE,"EXT-TABLE";#N/A,#N/A,TRUE,"STEEL";#N/A,#N/A,TRUE,"INT-Table";#N/A,#N/A,TRUE,"STEEL";#N/A,#N/A,TRUE,"Door"}</definedName>
    <definedName name="ddddd" localSheetId="5" hidden="1">{#N/A,#N/A,TRUE,"Basic";#N/A,#N/A,TRUE,"EXT-TABLE";#N/A,#N/A,TRUE,"STEEL";#N/A,#N/A,TRUE,"INT-Table";#N/A,#N/A,TRUE,"STEEL";#N/A,#N/A,TRUE,"Door"}</definedName>
    <definedName name="ddddd" hidden="1">{#N/A,#N/A,TRUE,"Basic";#N/A,#N/A,TRUE,"EXT-TABLE";#N/A,#N/A,TRUE,"STEEL";#N/A,#N/A,TRUE,"INT-Table";#N/A,#N/A,TRUE,"STEEL";#N/A,#N/A,TRUE,"Door"}</definedName>
    <definedName name="dddddddddddddd" localSheetId="4" hidden="1">{#N/A,#N/A,TRUE,"Basic";#N/A,#N/A,TRUE,"EXT-TABLE";#N/A,#N/A,TRUE,"STEEL";#N/A,#N/A,TRUE,"INT-Table";#N/A,#N/A,TRUE,"STEEL";#N/A,#N/A,TRUE,"Door"}</definedName>
    <definedName name="dddddddddddddd" localSheetId="5" hidden="1">{#N/A,#N/A,TRUE,"Basic";#N/A,#N/A,TRUE,"EXT-TABLE";#N/A,#N/A,TRUE,"STEEL";#N/A,#N/A,TRUE,"INT-Table";#N/A,#N/A,TRUE,"STEEL";#N/A,#N/A,TRUE,"Door"}</definedName>
    <definedName name="dddddddddddddd" hidden="1">{#N/A,#N/A,TRUE,"Basic";#N/A,#N/A,TRUE,"EXT-TABLE";#N/A,#N/A,TRUE,"STEEL";#N/A,#N/A,TRUE,"INT-Table";#N/A,#N/A,TRUE,"STEEL";#N/A,#N/A,TRUE,"Door"}</definedName>
    <definedName name="dddf" localSheetId="4" hidden="1">{"'장비'!$A$3:$M$12"}</definedName>
    <definedName name="dddf" localSheetId="5" hidden="1">{"'장비'!$A$3:$M$12"}</definedName>
    <definedName name="dddf" hidden="1">{"'장비'!$A$3:$M$12"}</definedName>
    <definedName name="DDFD" localSheetId="4" hidden="1">{#N/A,#N/A,FALSE,"CCTV"}</definedName>
    <definedName name="DDFD" localSheetId="5" hidden="1">{#N/A,#N/A,FALSE,"CCTV"}</definedName>
    <definedName name="DDFD" hidden="1">{#N/A,#N/A,FALSE,"CCTV"}</definedName>
    <definedName name="dfdf" localSheetId="4" hidden="1">{"'장비'!$A$3:$M$12"}</definedName>
    <definedName name="dfdf" localSheetId="5" hidden="1">{"'장비'!$A$3:$M$12"}</definedName>
    <definedName name="dfdf" hidden="1">{"'장비'!$A$3:$M$12"}</definedName>
    <definedName name="DFDFD" hidden="1">{#N/A,#N/A,FALSE,"전력간선"}</definedName>
    <definedName name="DGD"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4" hidden="1">{#N/A,#N/A,FALSE,"CCTV"}</definedName>
    <definedName name="dgfgjgj" localSheetId="5" hidden="1">{#N/A,#N/A,FALSE,"CCTV"}</definedName>
    <definedName name="dgfgjgj" hidden="1">{#N/A,#N/A,FALSE,"CCTV"}</definedName>
    <definedName name="EC" localSheetId="4" hidden="1">{#N/A,#N/A,FALSE,"CCTV"}</definedName>
    <definedName name="EC" localSheetId="5" hidden="1">{#N/A,#N/A,FALSE,"CCTV"}</definedName>
    <definedName name="EC" hidden="1">{#N/A,#N/A,FALSE,"CCTV"}</definedName>
    <definedName name="ED" localSheetId="4" hidden="1">{#N/A,#N/A,FALSE,"CCTV"}</definedName>
    <definedName name="ED" localSheetId="5" hidden="1">{#N/A,#N/A,FALSE,"CCTV"}</definedName>
    <definedName name="ED" hidden="1">{#N/A,#N/A,FALSE,"CCTV"}</definedName>
    <definedName name="ee" hidden="1">{#N/A,#N/A,FALSE,"단가표지"}</definedName>
    <definedName name="ER" localSheetId="4" hidden="1">{#N/A,#N/A,FALSE,"CCTV"}</definedName>
    <definedName name="ER" localSheetId="5" hidden="1">{#N/A,#N/A,FALSE,"CCTV"}</definedName>
    <definedName name="ER" hidden="1">{#N/A,#N/A,FALSE,"CCTV"}</definedName>
    <definedName name="ert" localSheetId="4" hidden="1">{"'장비'!$A$3:$M$12"}</definedName>
    <definedName name="ert" localSheetId="5" hidden="1">{"'장비'!$A$3:$M$12"}</definedName>
    <definedName name="ert" hidden="1">{"'장비'!$A$3:$M$12"}</definedName>
    <definedName name="erty" localSheetId="4" hidden="1">{"'장비'!$A$3:$M$12"}</definedName>
    <definedName name="erty" localSheetId="5" hidden="1">{"'장비'!$A$3:$M$12"}</definedName>
    <definedName name="erty" hidden="1">{"'장비'!$A$3:$M$12"}</definedName>
    <definedName name="ET" localSheetId="4" hidden="1">{#N/A,#N/A,FALSE,"CCTV"}</definedName>
    <definedName name="ET" localSheetId="5" hidden="1">{#N/A,#N/A,FALSE,"CCTV"}</definedName>
    <definedName name="ET" hidden="1">{#N/A,#N/A,FALSE,"CCTV"}</definedName>
    <definedName name="EX" localSheetId="4" hidden="1">{#N/A,#N/A,FALSE,"CCTV"}</definedName>
    <definedName name="EX" localSheetId="5" hidden="1">{#N/A,#N/A,FALSE,"CCTV"}</definedName>
    <definedName name="EX" hidden="1">{#N/A,#N/A,FALSE,"CCTV"}</definedName>
    <definedName name="eyteyt" localSheetId="4" hidden="1">{#N/A,#N/A,FALSE,"CCTV"}</definedName>
    <definedName name="eyteyt" localSheetId="5" hidden="1">{#N/A,#N/A,FALSE,"CCTV"}</definedName>
    <definedName name="eyteyt" hidden="1">{#N/A,#N/A,FALSE,"CCTV"}</definedName>
    <definedName name="fasfsdfsdfasdfsdfsd" localSheetId="4" hidden="1">{#N/A,#N/A,TRUE,"Basic";#N/A,#N/A,TRUE,"EXT-TABLE";#N/A,#N/A,TRUE,"STEEL";#N/A,#N/A,TRUE,"INT-Table";#N/A,#N/A,TRUE,"STEEL";#N/A,#N/A,TRUE,"Door"}</definedName>
    <definedName name="fasfsdfsdfasdfsdfsd" localSheetId="5" hidden="1">{#N/A,#N/A,TRUE,"Basic";#N/A,#N/A,TRUE,"EXT-TABLE";#N/A,#N/A,TRUE,"STEEL";#N/A,#N/A,TRUE,"INT-Table";#N/A,#N/A,TRUE,"STEEL";#N/A,#N/A,TRUE,"Door"}</definedName>
    <definedName name="fasfsdfsdfasdfsdfsd" hidden="1">{#N/A,#N/A,TRUE,"Basic";#N/A,#N/A,TRUE,"EXT-TABLE";#N/A,#N/A,TRUE,"STEEL";#N/A,#N/A,TRUE,"INT-Table";#N/A,#N/A,TRUE,"STEEL";#N/A,#N/A,TRUE,"Door"}</definedName>
    <definedName name="fddfhdfhdgh" localSheetId="4" hidden="1">{#N/A,#N/A,FALSE,"CCTV"}</definedName>
    <definedName name="fddfhdfhdgh" localSheetId="5" hidden="1">{#N/A,#N/A,FALSE,"CCTV"}</definedName>
    <definedName name="fddfhdfhdgh" hidden="1">{#N/A,#N/A,FALSE,"CCTV"}</definedName>
    <definedName name="fdf" localSheetId="4" hidden="1">{#N/A,#N/A,FALSE,"CCTV"}</definedName>
    <definedName name="fdf" localSheetId="5" hidden="1">{#N/A,#N/A,FALSE,"CCTV"}</definedName>
    <definedName name="fdf" hidden="1">{#N/A,#N/A,FALSE,"CCTV"}</definedName>
    <definedName name="FDFDF" localSheetId="4" hidden="1">{#N/A,#N/A,FALSE,"CCTV"}</definedName>
    <definedName name="FDFDF" localSheetId="5" hidden="1">{#N/A,#N/A,FALSE,"CCTV"}</definedName>
    <definedName name="FDFDF" hidden="1">{#N/A,#N/A,FALSE,"CCTV"}</definedName>
    <definedName name="FDSA" localSheetId="4" hidden="1">{#N/A,#N/A,FALSE,"CCTV"}</definedName>
    <definedName name="FDSA" localSheetId="5" hidden="1">{#N/A,#N/A,FALSE,"CCTV"}</definedName>
    <definedName name="FDSA" hidden="1">{#N/A,#N/A,FALSE,"CCTV"}</definedName>
    <definedName name="FEE" localSheetId="4" hidden="1">#REF!</definedName>
    <definedName name="FEE" localSheetId="5" hidden="1">#REF!</definedName>
    <definedName name="FEE" hidden="1">#REF!</definedName>
    <definedName name="FF" localSheetId="4" hidden="1">#REF!</definedName>
    <definedName name="FF" localSheetId="5" hidden="1">#REF!</definedName>
    <definedName name="FF" hidden="1">#REF!</definedName>
    <definedName name="ffff" localSheetId="4" hidden="1">{"'장비'!$A$3:$M$12"}</definedName>
    <definedName name="ffff" localSheetId="5" hidden="1">{"'장비'!$A$3:$M$12"}</definedName>
    <definedName name="ffff" hidden="1">{"'장비'!$A$3:$M$12"}</definedName>
    <definedName name="fffff" localSheetId="4" hidden="1">{#N/A,#N/A,TRUE,"Basic";#N/A,#N/A,TRUE,"EXT-TABLE";#N/A,#N/A,TRUE,"STEEL";#N/A,#N/A,TRUE,"INT-Table";#N/A,#N/A,TRUE,"STEEL";#N/A,#N/A,TRUE,"Door"}</definedName>
    <definedName name="fffff" localSheetId="5" hidden="1">{#N/A,#N/A,TRUE,"Basic";#N/A,#N/A,TRUE,"EXT-TABLE";#N/A,#N/A,TRUE,"STEEL";#N/A,#N/A,TRUE,"INT-Table";#N/A,#N/A,TRUE,"STEEL";#N/A,#N/A,TRUE,"Door"}</definedName>
    <definedName name="fffff" hidden="1">{#N/A,#N/A,TRUE,"Basic";#N/A,#N/A,TRUE,"EXT-TABLE";#N/A,#N/A,TRUE,"STEEL";#N/A,#N/A,TRUE,"INT-Table";#N/A,#N/A,TRUE,"STEEL";#N/A,#N/A,TRUE,"Door"}</definedName>
    <definedName name="ffffff" localSheetId="4" hidden="1">{#N/A,#N/A,FALSE,"CCTV"}</definedName>
    <definedName name="ffffff" localSheetId="5" hidden="1">{#N/A,#N/A,FALSE,"CCTV"}</definedName>
    <definedName name="ffffff" hidden="1">{#N/A,#N/A,FALSE,"CCTV"}</definedName>
    <definedName name="fffffffg" localSheetId="4" hidden="1">{"'장비'!$A$3:$M$12"}</definedName>
    <definedName name="fffffffg" localSheetId="5" hidden="1">{"'장비'!$A$3:$M$12"}</definedName>
    <definedName name="fffffffg" hidden="1">{"'장비'!$A$3:$M$12"}</definedName>
    <definedName name="ffgfg" localSheetId="4" hidden="1">{"'장비'!$A$3:$M$12"}</definedName>
    <definedName name="ffgfg" localSheetId="5" hidden="1">{"'장비'!$A$3:$M$12"}</definedName>
    <definedName name="ffgfg" hidden="1">{"'장비'!$A$3:$M$12"}</definedName>
    <definedName name="FGF" localSheetId="4" hidden="1">{#N/A,#N/A,FALSE,"CCTV"}</definedName>
    <definedName name="FGF" localSheetId="5" hidden="1">{#N/A,#N/A,FALSE,"CCTV"}</definedName>
    <definedName name="FGF" hidden="1">{#N/A,#N/A,FALSE,"CCTV"}</definedName>
    <definedName name="fhgjfghfghgf" localSheetId="4" hidden="1">{#N/A,#N/A,FALSE,"CCTV"}</definedName>
    <definedName name="fhgjfghfghgf" localSheetId="5" hidden="1">{#N/A,#N/A,FALSE,"CCTV"}</definedName>
    <definedName name="fhgjfghfghgf" hidden="1">{#N/A,#N/A,FALSE,"CCTV"}</definedName>
    <definedName name="fsda" localSheetId="4" hidden="1">{#N/A,#N/A,TRUE,"Basic";#N/A,#N/A,TRUE,"EXT-TABLE";#N/A,#N/A,TRUE,"STEEL";#N/A,#N/A,TRUE,"INT-Table";#N/A,#N/A,TRUE,"STEEL";#N/A,#N/A,TRUE,"Door"}</definedName>
    <definedName name="fsda" localSheetId="5" hidden="1">{#N/A,#N/A,TRUE,"Basic";#N/A,#N/A,TRUE,"EXT-TABLE";#N/A,#N/A,TRUE,"STEEL";#N/A,#N/A,TRUE,"INT-Table";#N/A,#N/A,TRUE,"STEEL";#N/A,#N/A,TRUE,"Door"}</definedName>
    <definedName name="fsda" hidden="1">{#N/A,#N/A,TRUE,"Basic";#N/A,#N/A,TRUE,"EXT-TABLE";#N/A,#N/A,TRUE,"STEEL";#N/A,#N/A,TRUE,"INT-Table";#N/A,#N/A,TRUE,"STEEL";#N/A,#N/A,TRUE,"Door"}</definedName>
    <definedName name="Furnace1"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urnace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S" localSheetId="4" hidden="1">{#N/A,#N/A,FALSE,"CCTV"}</definedName>
    <definedName name="GFDS" localSheetId="5" hidden="1">{#N/A,#N/A,FALSE,"CCTV"}</definedName>
    <definedName name="GFDS" hidden="1">{#N/A,#N/A,FALSE,"CCTV"}</definedName>
    <definedName name="GFG"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[8]차액보증!#REF!</definedName>
    <definedName name="gfjgfh" localSheetId="4" hidden="1">{#N/A,#N/A,FALSE,"CCTV"}</definedName>
    <definedName name="gfjgfh" localSheetId="5" hidden="1">{#N/A,#N/A,FALSE,"CCTV"}</definedName>
    <definedName name="gfjgfh" hidden="1">{#N/A,#N/A,FALSE,"CCTV"}</definedName>
    <definedName name="gfjgfhfg" localSheetId="4" hidden="1">{#N/A,#N/A,FALSE,"CCTV"}</definedName>
    <definedName name="gfjgfhfg" localSheetId="5" hidden="1">{#N/A,#N/A,FALSE,"CCTV"}</definedName>
    <definedName name="gfjgfhfg" hidden="1">{#N/A,#N/A,FALSE,"CCTV"}</definedName>
    <definedName name="ggggg" localSheetId="4" hidden="1">{"'장비'!$A$3:$M$12"}</definedName>
    <definedName name="ggggg" localSheetId="5" hidden="1">{"'장비'!$A$3:$M$12"}</definedName>
    <definedName name="ggggg" hidden="1">{"'장비'!$A$3:$M$12"}</definedName>
    <definedName name="gsdg">[9]DATABASE!$A$3:$A$1044</definedName>
    <definedName name="GV" localSheetId="4" hidden="1">{#N/A,#N/A,FALSE,"CCTV"}</definedName>
    <definedName name="GV" localSheetId="5" hidden="1">{#N/A,#N/A,FALSE,"CCTV"}</definedName>
    <definedName name="GV" hidden="1">{#N/A,#N/A,FALSE,"CCTV"}</definedName>
    <definedName name="hfdgfdg" localSheetId="4" hidden="1">{#N/A,#N/A,FALSE,"CCTV"}</definedName>
    <definedName name="hfdgfdg" localSheetId="5" hidden="1">{#N/A,#N/A,FALSE,"CCTV"}</definedName>
    <definedName name="hfdgfdg" hidden="1">{#N/A,#N/A,FALSE,"CCTV"}</definedName>
    <definedName name="hfjhhjj" localSheetId="4" hidden="1">{#N/A,#N/A,FALSE,"CCTV"}</definedName>
    <definedName name="hfjhhjj" localSheetId="5" hidden="1">{#N/A,#N/A,FALSE,"CCTV"}</definedName>
    <definedName name="hfjhhjj" hidden="1">{#N/A,#N/A,FALSE,"CCTV"}</definedName>
    <definedName name="hgjfgh" localSheetId="4" hidden="1">{#N/A,#N/A,FALSE,"CCTV"}</definedName>
    <definedName name="hgjfgh" localSheetId="5" hidden="1">{#N/A,#N/A,FALSE,"CCTV"}</definedName>
    <definedName name="hgjfgh" hidden="1">{#N/A,#N/A,FALSE,"CCTV"}</definedName>
    <definedName name="hgjgfhgh" localSheetId="4" hidden="1">{#N/A,#N/A,FALSE,"CCTV"}</definedName>
    <definedName name="hgjgfhgh" localSheetId="5" hidden="1">{#N/A,#N/A,FALSE,"CCTV"}</definedName>
    <definedName name="hgjgfhgh" hidden="1">{#N/A,#N/A,FALSE,"CCTV"}</definedName>
    <definedName name="HHH" localSheetId="4" hidden="1">{#N/A,#N/A,FALSE,"CCTV"}</definedName>
    <definedName name="HHH" localSheetId="5" hidden="1">{#N/A,#N/A,FALSE,"CCTV"}</definedName>
    <definedName name="hhh" hidden="1">{"'장비'!$A$3:$M$12"}</definedName>
    <definedName name="HTML" hidden="1">{"'장비'!$A$3:$M$12"}</definedName>
    <definedName name="HTML_CodePage" hidden="1">949</definedName>
    <definedName name="HTML_Control" localSheetId="4" hidden="1">{"'장비'!$A$3:$M$12"}</definedName>
    <definedName name="HTML_Control" localSheetId="5"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iiouolkll" localSheetId="4" hidden="1">{#N/A,#N/A,FALSE,"CCTV"}</definedName>
    <definedName name="iiouolkll" localSheetId="5" hidden="1">{#N/A,#N/A,FALSE,"CCTV"}</definedName>
    <definedName name="iiouolkll" hidden="1">{#N/A,#N/A,FALSE,"CCTV"}</definedName>
    <definedName name="jhhhh" localSheetId="4" hidden="1">{#N/A,#N/A,FALSE,"CCTV"}</definedName>
    <definedName name="jhhhh" localSheetId="5" hidden="1">{#N/A,#N/A,FALSE,"CCTV"}</definedName>
    <definedName name="jhhhh" hidden="1">{#N/A,#N/A,FALSE,"CCTV"}</definedName>
    <definedName name="KEY" localSheetId="4" hidden="1">#REF!</definedName>
    <definedName name="KEY" localSheetId="5" hidden="1">#REF!</definedName>
    <definedName name="KEY" hidden="1">#REF!</definedName>
    <definedName name="kghlgh" localSheetId="4" hidden="1">{#N/A,#N/A,FALSE,"CCTV"}</definedName>
    <definedName name="kghlgh" localSheetId="5" hidden="1">{#N/A,#N/A,FALSE,"CCTV"}</definedName>
    <definedName name="kghlgh" hidden="1">{#N/A,#N/A,FALSE,"CCTV"}</definedName>
    <definedName name="kiulil" localSheetId="4" hidden="1">{#N/A,#N/A,FALSE,"CCTV"}</definedName>
    <definedName name="kiulil" localSheetId="5" hidden="1">{#N/A,#N/A,FALSE,"CCTV"}</definedName>
    <definedName name="kiulil" hidden="1">{#N/A,#N/A,FALSE,"CCTV"}</definedName>
    <definedName name="kj" hidden="1">#REF!</definedName>
    <definedName name="kjhlh" localSheetId="4" hidden="1">{#N/A,#N/A,FALSE,"CCTV"}</definedName>
    <definedName name="kjhlh" localSheetId="5" hidden="1">{#N/A,#N/A,FALSE,"CCTV"}</definedName>
    <definedName name="kjhlh" hidden="1">{#N/A,#N/A,FALSE,"CCTV"}</definedName>
    <definedName name="kjhljhk" localSheetId="4" hidden="1">{#N/A,#N/A,FALSE,"CCTV"}</definedName>
    <definedName name="kjhljhk" localSheetId="5" hidden="1">{#N/A,#N/A,FALSE,"CCTV"}</definedName>
    <definedName name="kjhljhk" hidden="1">{#N/A,#N/A,FALSE,"CCTV"}</definedName>
    <definedName name="kjkgh" localSheetId="4" hidden="1">{"'장비'!$A$3:$M$12"}</definedName>
    <definedName name="kjkgh" localSheetId="5" hidden="1">{"'장비'!$A$3:$M$12"}</definedName>
    <definedName name="kjkgh" hidden="1">{"'장비'!$A$3:$M$12"}</definedName>
    <definedName name="KKK" localSheetId="4" hidden="1">{#N/A,#N/A,FALSE,"CCTV"}</definedName>
    <definedName name="KKK" localSheetId="5" hidden="1">{#N/A,#N/A,FALSE,"CCTV"}</definedName>
    <definedName name="KKK" hidden="1">{#N/A,#N/A,FALSE,"CCTV"}</definedName>
    <definedName name="ktf" localSheetId="4" hidden="1">#REF!</definedName>
    <definedName name="ktf" localSheetId="5" hidden="1">#REF!</definedName>
    <definedName name="ktf" hidden="1">#REF!</definedName>
    <definedName name="kty" localSheetId="4" hidden="1">#REF!</definedName>
    <definedName name="kty" localSheetId="5" hidden="1">#REF!</definedName>
    <definedName name="kty" hidden="1">#REF!</definedName>
    <definedName name="level1" localSheetId="4" hidden="1">{"'장비'!$A$3:$M$12"}</definedName>
    <definedName name="level1" localSheetId="5" hidden="1">{"'장비'!$A$3:$M$12"}</definedName>
    <definedName name="level1" hidden="1">{"'장비'!$A$3:$M$12"}</definedName>
    <definedName name="list" localSheetId="4" hidden="1">{#N/A,#N/A,TRUE,"Basic";#N/A,#N/A,TRUE,"EXT-TABLE";#N/A,#N/A,TRUE,"STEEL";#N/A,#N/A,TRUE,"INT-Table";#N/A,#N/A,TRUE,"STEEL";#N/A,#N/A,TRUE,"Door"}</definedName>
    <definedName name="list" localSheetId="5" hidden="1">{#N/A,#N/A,TRUE,"Basic";#N/A,#N/A,TRUE,"EXT-TABLE";#N/A,#N/A,TRUE,"STEEL";#N/A,#N/A,TRUE,"INT-Table";#N/A,#N/A,TRUE,"STEEL";#N/A,#N/A,TRUE,"Door"}</definedName>
    <definedName name="list" hidden="1">{#N/A,#N/A,TRUE,"Basic";#N/A,#N/A,TRUE,"EXT-TABLE";#N/A,#N/A,TRUE,"STEEL";#N/A,#N/A,TRUE,"INT-Table";#N/A,#N/A,TRUE,"STEEL";#N/A,#N/A,TRUE,"Door"}</definedName>
    <definedName name="list01" localSheetId="4" hidden="1">{#N/A,#N/A,TRUE,"Basic";#N/A,#N/A,TRUE,"EXT-TABLE";#N/A,#N/A,TRUE,"STEEL";#N/A,#N/A,TRUE,"INT-Table";#N/A,#N/A,TRUE,"STEEL";#N/A,#N/A,TRUE,"Door"}</definedName>
    <definedName name="list01" localSheetId="5" hidden="1">{#N/A,#N/A,TRUE,"Basic";#N/A,#N/A,TRUE,"EXT-TABLE";#N/A,#N/A,TRUE,"STEEL";#N/A,#N/A,TRUE,"INT-Table";#N/A,#N/A,TRUE,"STEEL";#N/A,#N/A,TRUE,"Door"}</definedName>
    <definedName name="list01" hidden="1">{#N/A,#N/A,TRUE,"Basic";#N/A,#N/A,TRUE,"EXT-TABLE";#N/A,#N/A,TRUE,"STEEL";#N/A,#N/A,TRUE,"INT-Table";#N/A,#N/A,TRUE,"STEEL";#N/A,#N/A,TRUE,"Door"}</definedName>
    <definedName name="list02" localSheetId="4" hidden="1">{#N/A,#N/A,TRUE,"Basic";#N/A,#N/A,TRUE,"EXT-TABLE";#N/A,#N/A,TRUE,"STEEL";#N/A,#N/A,TRUE,"INT-Table";#N/A,#N/A,TRUE,"STEEL";#N/A,#N/A,TRUE,"Door"}</definedName>
    <definedName name="list02" localSheetId="5" hidden="1">{#N/A,#N/A,TRUE,"Basic";#N/A,#N/A,TRUE,"EXT-TABLE";#N/A,#N/A,TRUE,"STEEL";#N/A,#N/A,TRUE,"INT-Table";#N/A,#N/A,TRUE,"STEEL";#N/A,#N/A,TRUE,"Door"}</definedName>
    <definedName name="list02" hidden="1">{#N/A,#N/A,TRUE,"Basic";#N/A,#N/A,TRUE,"EXT-TABLE";#N/A,#N/A,TRUE,"STEEL";#N/A,#N/A,TRUE,"INT-Table";#N/A,#N/A,TRUE,"STEEL";#N/A,#N/A,TRUE,"Door"}</definedName>
    <definedName name="LK" localSheetId="4" hidden="1">{#N/A,#N/A,FALSE,"CCTV"}</definedName>
    <definedName name="LK" localSheetId="5" hidden="1">{#N/A,#N/A,FALSE,"CCTV"}</definedName>
    <definedName name="LK" hidden="1">{#N/A,#N/A,FALSE,"CCTV"}</definedName>
    <definedName name="lklhlkjl" localSheetId="4" hidden="1">{#N/A,#N/A,FALSE,"CCTV"}</definedName>
    <definedName name="lklhlkjl" localSheetId="5" hidden="1">{#N/A,#N/A,FALSE,"CCTV"}</definedName>
    <definedName name="lklhlkjl" hidden="1">{#N/A,#N/A,FALSE,"CCTV"}</definedName>
    <definedName name="LLLL" localSheetId="4" hidden="1">{#N/A,#N/A,FALSE,"CCTV"}</definedName>
    <definedName name="LLLL" localSheetId="5" hidden="1">{#N/A,#N/A,FALSE,"CCTV"}</definedName>
    <definedName name="LLLL" hidden="1">{#N/A,#N/A,FALSE,"CCTV"}</definedName>
    <definedName name="mm" localSheetId="4" hidden="1">{"'장비'!$A$3:$M$12"}</definedName>
    <definedName name="mm" localSheetId="5" hidden="1">{"'장비'!$A$3:$M$12"}</definedName>
    <definedName name="mm" hidden="1">{"'장비'!$A$3:$M$12"}</definedName>
    <definedName name="mmm" localSheetId="4" hidden="1">{"'장비'!$A$3:$M$12"}</definedName>
    <definedName name="mmm" localSheetId="5" hidden="1">{"'장비'!$A$3:$M$12"}</definedName>
    <definedName name="mmm" hidden="1">{"'장비'!$A$3:$M$12"}</definedName>
    <definedName name="mmmm" localSheetId="4" hidden="1">{"'장비'!$A$3:$M$12"}</definedName>
    <definedName name="mmmm" localSheetId="5" hidden="1">{"'장비'!$A$3:$M$12"}</definedName>
    <definedName name="mmmm" hidden="1">{"'장비'!$A$3:$M$12"}</definedName>
    <definedName name="mmmmm" localSheetId="4" hidden="1">{#N/A,#N/A,FALSE,"CCTV"}</definedName>
    <definedName name="mmmmm" localSheetId="5" hidden="1">{#N/A,#N/A,FALSE,"CCTV"}</definedName>
    <definedName name="mmmmm" hidden="1">{#N/A,#N/A,FALSE,"CCTV"}</definedName>
    <definedName name="MN" localSheetId="4" hidden="1">{#N/A,#N/A,FALSE,"CCTV"}</definedName>
    <definedName name="MN" localSheetId="5" hidden="1">{#N/A,#N/A,FALSE,"CCTV"}</definedName>
    <definedName name="MN" hidden="1">{#N/A,#N/A,FALSE,"CCTV"}</definedName>
    <definedName name="MP" localSheetId="4" hidden="1">{#N/A,#N/A,FALSE,"CCTV"}</definedName>
    <definedName name="MP" localSheetId="5" hidden="1">{#N/A,#N/A,FALSE,"CCTV"}</definedName>
    <definedName name="MP" hidden="1">{#N/A,#N/A,FALSE,"CCTV"}</definedName>
    <definedName name="NEWNAME" localSheetId="4" hidden="1">{#N/A,#N/A,FALSE,"CCTV"}</definedName>
    <definedName name="NEWNAME" localSheetId="5" hidden="1">{#N/A,#N/A,FALSE,"CCTV"}</definedName>
    <definedName name="NEWNAME" hidden="1">{#N/A,#N/A,FALSE,"CCTV"}</definedName>
    <definedName name="nkknk" localSheetId="4" hidden="1">{#N/A,#N/A,FALSE,"CCTV"}</definedName>
    <definedName name="nkknk" localSheetId="5" hidden="1">{#N/A,#N/A,FALSE,"CCTV"}</definedName>
    <definedName name="nkknk" hidden="1">{#N/A,#N/A,FALSE,"CCTV"}</definedName>
    <definedName name="O"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DH" localSheetId="4" hidden="1">#REF!</definedName>
    <definedName name="ODH" localSheetId="5" hidden="1">#REF!</definedName>
    <definedName name="ODH" hidden="1">#REF!</definedName>
    <definedName name="oililui" localSheetId="4" hidden="1">{#N/A,#N/A,FALSE,"CCTV"}</definedName>
    <definedName name="oililui" localSheetId="5" hidden="1">{#N/A,#N/A,FALSE,"CCTV"}</definedName>
    <definedName name="oililui" hidden="1">{#N/A,#N/A,FALSE,"CCTV"}</definedName>
    <definedName name="OSBL" localSheetId="4" hidden="1">{#N/A,#N/A,FALSE,"CCTV"}</definedName>
    <definedName name="OSBL" localSheetId="5" hidden="1">{#N/A,#N/A,FALSE,"CCTV"}</definedName>
    <definedName name="OSBL" hidden="1">{#N/A,#N/A,FALSE,"CCTV"}</definedName>
    <definedName name="P" localSheetId="4" hidden="1">#REF!</definedName>
    <definedName name="P" localSheetId="5" hidden="1">#REF!</definedName>
    <definedName name="P" hidden="1">#REF!</definedName>
    <definedName name="part">[10]DATABASE!$A$3:$A$1044</definedName>
    <definedName name="peroxide" localSheetId="4" hidden="1">{#N/A,#N/A,FALSE,"CCTV"}</definedName>
    <definedName name="peroxide" localSheetId="5" hidden="1">{#N/A,#N/A,FALSE,"CCTV"}</definedName>
    <definedName name="peroxide" hidden="1">{#N/A,#N/A,FALSE,"CCTV"}</definedName>
    <definedName name="po" localSheetId="4" hidden="1">{#N/A,#N/A,FALSE,"CCTV"}</definedName>
    <definedName name="po" localSheetId="5" hidden="1">{#N/A,#N/A,FALSE,"CCTV"}</definedName>
    <definedName name="po" hidden="1">{#N/A,#N/A,FALSE,"CCTV"}</definedName>
    <definedName name="PPP" localSheetId="4" hidden="1">{#N/A,#N/A,FALSE,"CCTV"}</definedName>
    <definedName name="PPP" localSheetId="5" hidden="1">{#N/A,#N/A,FALSE,"CCTV"}</definedName>
    <definedName name="PPP" hidden="1">{#N/A,#N/A,FALSE,"CCTV"}</definedName>
    <definedName name="PRAYER" localSheetId="4" hidden="1">{#N/A,#N/A,FALSE,"CCTV"}</definedName>
    <definedName name="PRAYER" localSheetId="5" hidden="1">{#N/A,#N/A,FALSE,"CCTV"}</definedName>
    <definedName name="PRAYER" hidden="1">{#N/A,#N/A,FALSE,"CCTV"}</definedName>
    <definedName name="qq" hidden="1">{#N/A,#N/A,FALSE,"단가표지"}</definedName>
    <definedName name="qqqqq" localSheetId="4" hidden="1">{#N/A,#N/A,TRUE,"Basic";#N/A,#N/A,TRUE,"EXT-TABLE";#N/A,#N/A,TRUE,"STEEL";#N/A,#N/A,TRUE,"INT-Table";#N/A,#N/A,TRUE,"STEEL";#N/A,#N/A,TRUE,"Door"}</definedName>
    <definedName name="qqqqq" localSheetId="5" hidden="1">{#N/A,#N/A,TRUE,"Basic";#N/A,#N/A,TRUE,"EXT-TABLE";#N/A,#N/A,TRUE,"STEEL";#N/A,#N/A,TRUE,"INT-Table";#N/A,#N/A,TRUE,"STEEL";#N/A,#N/A,TRUE,"Door"}</definedName>
    <definedName name="qqqqq" hidden="1">{#N/A,#N/A,TRUE,"Basic";#N/A,#N/A,TRUE,"EXT-TABLE";#N/A,#N/A,TRUE,"STEEL";#N/A,#N/A,TRUE,"INT-Table";#N/A,#N/A,TRUE,"STEEL";#N/A,#N/A,TRUE,"Door"}</definedName>
    <definedName name="qw" hidden="1">{#N/A,#N/A,FALSE,"단가표지"}</definedName>
    <definedName name="R_UA">[11]SBNM!$A$1:$B$204</definedName>
    <definedName name="rarewt" localSheetId="4" hidden="1">{#N/A,#N/A,FALSE,"CCTV"}</definedName>
    <definedName name="rarewt" localSheetId="5" hidden="1">{#N/A,#N/A,FALSE,"CCTV"}</definedName>
    <definedName name="rarewt" hidden="1">{#N/A,#N/A,FALSE,"CCTV"}</definedName>
    <definedName name="RF" localSheetId="4" hidden="1">{#N/A,#N/A,FALSE,"CCTV"}</definedName>
    <definedName name="RF" localSheetId="5" hidden="1">{#N/A,#N/A,FALSE,"CCTV"}</definedName>
    <definedName name="RF" hidden="1">{#N/A,#N/A,FALSE,"CCTV"}</definedName>
    <definedName name="RFV" localSheetId="4" hidden="1">{#N/A,#N/A,FALSE,"CCTV"}</definedName>
    <definedName name="RFV" localSheetId="5" hidden="1">{#N/A,#N/A,FALSE,"CCTV"}</definedName>
    <definedName name="RFV" hidden="1">{#N/A,#N/A,FALSE,"CCTV"}</definedName>
    <definedName name="RNAO" hidden="1">{"'장비'!$A$3:$M$12"}</definedName>
    <definedName name="RRERW" localSheetId="4" hidden="1">{#N/A,#N/A,FALSE,"CCTV"}</definedName>
    <definedName name="RRERW" localSheetId="5" hidden="1">{#N/A,#N/A,FALSE,"CCTV"}</definedName>
    <definedName name="RRERW" hidden="1">{#N/A,#N/A,FALSE,"CCTV"}</definedName>
    <definedName name="rrr" localSheetId="4" hidden="1">{"'장비'!$A$3:$M$12"}</definedName>
    <definedName name="rrr" localSheetId="5" hidden="1">{"'장비'!$A$3:$M$12"}</definedName>
    <definedName name="rrr" hidden="1">{"'장비'!$A$3:$M$12"}</definedName>
    <definedName name="rtytry" localSheetId="4" hidden="1">{"'장비'!$A$3:$M$12"}</definedName>
    <definedName name="rtytry" localSheetId="5" hidden="1">{"'장비'!$A$3:$M$12"}</definedName>
    <definedName name="rtytry" hidden="1">{"'장비'!$A$3:$M$12"}</definedName>
    <definedName name="SAM" localSheetId="4" hidden="1">{#N/A,#N/A,TRUE,"Basic";#N/A,#N/A,TRUE,"EXT-TABLE";#N/A,#N/A,TRUE,"STEEL";#N/A,#N/A,TRUE,"INT-Table";#N/A,#N/A,TRUE,"STEEL";#N/A,#N/A,TRUE,"Door"}</definedName>
    <definedName name="SAM" localSheetId="5" hidden="1">{#N/A,#N/A,TRUE,"Basic";#N/A,#N/A,TRUE,"EXT-TABLE";#N/A,#N/A,TRUE,"STEEL";#N/A,#N/A,TRUE,"INT-Table";#N/A,#N/A,TRUE,"STEEL";#N/A,#N/A,TRUE,"Door"}</definedName>
    <definedName name="SAM" hidden="1">{#N/A,#N/A,TRUE,"Basic";#N/A,#N/A,TRUE,"EXT-TABLE";#N/A,#N/A,TRUE,"STEEL";#N/A,#N/A,TRUE,"INT-Table";#N/A,#N/A,TRUE,"STEEL";#N/A,#N/A,TRUE,"Door"}</definedName>
    <definedName name="sasa" localSheetId="4" hidden="1">{#N/A,#N/A,FALSE,"CCTV"}</definedName>
    <definedName name="sasa" localSheetId="5" hidden="1">{#N/A,#N/A,FALSE,"CCTV"}</definedName>
    <definedName name="sasa" hidden="1">{#N/A,#N/A,FALSE,"CCTV"}</definedName>
    <definedName name="sdfdf" localSheetId="4" hidden="1">{"'장비'!$A$3:$M$12"}</definedName>
    <definedName name="sdfdf" localSheetId="5" hidden="1">{"'장비'!$A$3:$M$12"}</definedName>
    <definedName name="sdfdf" hidden="1">{"'장비'!$A$3:$M$12"}</definedName>
    <definedName name="SHELTER" localSheetId="4" hidden="1">{#N/A,#N/A,TRUE,"Basic";#N/A,#N/A,TRUE,"EXT-TABLE";#N/A,#N/A,TRUE,"STEEL";#N/A,#N/A,TRUE,"INT-Table";#N/A,#N/A,TRUE,"STEEL";#N/A,#N/A,TRUE,"Door"}</definedName>
    <definedName name="SHELTER" localSheetId="5" hidden="1">{#N/A,#N/A,TRUE,"Basic";#N/A,#N/A,TRUE,"EXT-TABLE";#N/A,#N/A,TRUE,"STEEL";#N/A,#N/A,TRUE,"INT-Table";#N/A,#N/A,TRUE,"STEEL";#N/A,#N/A,TRUE,"Door"}</definedName>
    <definedName name="SHELTER" hidden="1">{#N/A,#N/A,TRUE,"Basic";#N/A,#N/A,TRUE,"EXT-TABLE";#N/A,#N/A,TRUE,"STEEL";#N/A,#N/A,TRUE,"INT-Table";#N/A,#N/A,TRUE,"STEEL";#N/A,#N/A,TRUE,"Door"}</definedName>
    <definedName name="SR" localSheetId="4" hidden="1">#REF!</definedName>
    <definedName name="SR" localSheetId="5" hidden="1">#REF!</definedName>
    <definedName name="SR" hidden="1">#REF!</definedName>
    <definedName name="SS" localSheetId="4" hidden="1">#REF!</definedName>
    <definedName name="SS" localSheetId="5" hidden="1">#REF!</definedName>
    <definedName name="SS" hidden="1">#REF!</definedName>
    <definedName name="sss" localSheetId="4" hidden="1">{#N/A,#N/A,TRUE,"Basic";#N/A,#N/A,TRUE,"EXT-TABLE";#N/A,#N/A,TRUE,"STEEL";#N/A,#N/A,TRUE,"INT-Table";#N/A,#N/A,TRUE,"STEEL";#N/A,#N/A,TRUE,"Door"}</definedName>
    <definedName name="sss" localSheetId="5" hidden="1">{#N/A,#N/A,TRUE,"Basic";#N/A,#N/A,TRUE,"EXT-TABLE";#N/A,#N/A,TRUE,"STEEL";#N/A,#N/A,TRUE,"INT-Table";#N/A,#N/A,TRUE,"STEEL";#N/A,#N/A,TRUE,"Door"}</definedName>
    <definedName name="sss" hidden="1">{#N/A,#N/A,TRUE,"Basic";#N/A,#N/A,TRUE,"EXT-TABLE";#N/A,#N/A,TRUE,"STEEL";#N/A,#N/A,TRUE,"INT-Table";#N/A,#N/A,TRUE,"STEEL";#N/A,#N/A,TRUE,"Door"}</definedName>
    <definedName name="sssaq" hidden="1">{#N/A,#N/A,FALSE,"전력간선"}</definedName>
    <definedName name="ssss" localSheetId="4" hidden="1">{#N/A,#N/A,TRUE,"Basic";#N/A,#N/A,TRUE,"EXT-TABLE";#N/A,#N/A,TRUE,"STEEL";#N/A,#N/A,TRUE,"INT-Table";#N/A,#N/A,TRUE,"STEEL";#N/A,#N/A,TRUE,"Door"}</definedName>
    <definedName name="ssss" localSheetId="5" hidden="1">{#N/A,#N/A,TRUE,"Basic";#N/A,#N/A,TRUE,"EXT-TABLE";#N/A,#N/A,TRUE,"STEEL";#N/A,#N/A,TRUE,"INT-Table";#N/A,#N/A,TRUE,"STEEL";#N/A,#N/A,TRUE,"Door"}</definedName>
    <definedName name="ssss" hidden="1">{#N/A,#N/A,TRUE,"Basic";#N/A,#N/A,TRUE,"EXT-TABLE";#N/A,#N/A,TRUE,"STEEL";#N/A,#N/A,TRUE,"INT-Table";#N/A,#N/A,TRUE,"STEEL";#N/A,#N/A,TRUE,"Door"}</definedName>
    <definedName name="STATUS">OFFSET([12]ComboList!$A$1,1,0,COUNTA([12]ComboList!$A:$A)-1,1)</definedName>
    <definedName name="sum" localSheetId="4" hidden="1">{#N/A,#N/A,TRUE,"Basic";#N/A,#N/A,TRUE,"EXT-TABLE";#N/A,#N/A,TRUE,"STEEL";#N/A,#N/A,TRUE,"INT-Table";#N/A,#N/A,TRUE,"STEEL";#N/A,#N/A,TRUE,"Door"}</definedName>
    <definedName name="sum" localSheetId="5" hidden="1">{#N/A,#N/A,TRUE,"Basic";#N/A,#N/A,TRUE,"EXT-TABLE";#N/A,#N/A,TRUE,"STEEL";#N/A,#N/A,TRUE,"INT-Table";#N/A,#N/A,TRUE,"STEEL";#N/A,#N/A,TRUE,"Door"}</definedName>
    <definedName name="sum" hidden="1">{#N/A,#N/A,TRUE,"Basic";#N/A,#N/A,TRUE,"EXT-TABLE";#N/A,#N/A,TRUE,"STEEL";#N/A,#N/A,TRUE,"INT-Table";#N/A,#N/A,TRUE,"STEEL";#N/A,#N/A,TRUE,"Door"}</definedName>
    <definedName name="SX" localSheetId="4" hidden="1">{#N/A,#N/A,FALSE,"CCTV"}</definedName>
    <definedName name="SX" localSheetId="5" hidden="1">{#N/A,#N/A,FALSE,"CCTV"}</definedName>
    <definedName name="SX" hidden="1">{#N/A,#N/A,FALSE,"CCTV"}</definedName>
    <definedName name="TA" localSheetId="4" hidden="1">{#N/A,#N/A,FALSE,"CCTV"}</definedName>
    <definedName name="TA" localSheetId="5" hidden="1">{#N/A,#N/A,FALSE,"CCTV"}</definedName>
    <definedName name="TA" hidden="1">{#N/A,#N/A,FALSE,"CCTV"}</definedName>
    <definedName name="TEMP" hidden="1">'[13]EQT-ESTN'!#REF!</definedName>
    <definedName name="TG" localSheetId="4" hidden="1">{#N/A,#N/A,FALSE,"CCTV"}</definedName>
    <definedName name="TG" localSheetId="5" hidden="1">{#N/A,#N/A,FALSE,"CCTV"}</definedName>
    <definedName name="TG" hidden="1">{#N/A,#N/A,FALSE,"CCTV"}</definedName>
    <definedName name="TSUPPOT" localSheetId="4" hidden="1">{#N/A,#N/A,FALSE,"CCTV"}</definedName>
    <definedName name="TSUPPOT" localSheetId="5" hidden="1">{#N/A,#N/A,FALSE,"CCTV"}</definedName>
    <definedName name="TSUPPOT" hidden="1">{#N/A,#N/A,FALSE,"CCTV"}</definedName>
    <definedName name="TUBE" localSheetId="4" hidden="1">{#N/A,#N/A,FALSE,"CCTV"}</definedName>
    <definedName name="TUBE" localSheetId="5" hidden="1">{#N/A,#N/A,FALSE,"CCTV"}</definedName>
    <definedName name="TUBE" hidden="1">{#N/A,#N/A,FALSE,"CCTV"}</definedName>
    <definedName name="TV" localSheetId="4" hidden="1">{#N/A,#N/A,FALSE,"CCTV"}</definedName>
    <definedName name="TV" localSheetId="5" hidden="1">{#N/A,#N/A,FALSE,"CCTV"}</definedName>
    <definedName name="TV" hidden="1">{#N/A,#N/A,FALSE,"CCTV"}</definedName>
    <definedName name="TY" localSheetId="4" hidden="1">#REF!</definedName>
    <definedName name="TY" localSheetId="5" hidden="1">#REF!</definedName>
    <definedName name="TY" hidden="1">#REF!</definedName>
    <definedName name="tyt" localSheetId="4" hidden="1">{"'장비'!$A$3:$M$12"}</definedName>
    <definedName name="tyt" localSheetId="5" hidden="1">{"'장비'!$A$3:$M$12"}</definedName>
    <definedName name="tyt" hidden="1">{"'장비'!$A$3:$M$12"}</definedName>
    <definedName name="tyyuy" localSheetId="4" hidden="1">{"'장비'!$A$3:$M$12"}</definedName>
    <definedName name="tyyuy" localSheetId="5" hidden="1">{"'장비'!$A$3:$M$12"}</definedName>
    <definedName name="tyyuy" hidden="1">{"'장비'!$A$3:$M$12"}</definedName>
    <definedName name="UB" localSheetId="4" hidden="1">{#N/A,#N/A,FALSE,"CCTV"}</definedName>
    <definedName name="UB" localSheetId="5" hidden="1">{#N/A,#N/A,FALSE,"CCTV"}</definedName>
    <definedName name="UB" hidden="1">{#N/A,#N/A,FALSE,"CCTV"}</definedName>
    <definedName name="UI" localSheetId="4" hidden="1">#REF!</definedName>
    <definedName name="UI" localSheetId="5" hidden="1">#REF!</definedName>
    <definedName name="UI" hidden="1">#REF!</definedName>
    <definedName name="UIU"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UU" localSheetId="4" hidden="1">{#N/A,#N/A,FALSE,"CCTV"}</definedName>
    <definedName name="UUU" localSheetId="5" hidden="1">{#N/A,#N/A,FALSE,"CCTV"}</definedName>
    <definedName name="UUU" hidden="1">{#N/A,#N/A,FALSE,"CCTV"}</definedName>
    <definedName name="uuuuuu" localSheetId="4" hidden="1">{"'장비'!$A$3:$M$12"}</definedName>
    <definedName name="uuuuuu" localSheetId="5" hidden="1">{"'장비'!$A$3:$M$12"}</definedName>
    <definedName name="uuuuuu" hidden="1">{"'장비'!$A$3:$M$12"}</definedName>
    <definedName name="uy" localSheetId="4" hidden="1">{"'장비'!$A$3:$M$12"}</definedName>
    <definedName name="uy" localSheetId="5" hidden="1">{"'장비'!$A$3:$M$12"}</definedName>
    <definedName name="uy" hidden="1">{"'장비'!$A$3:$M$12"}</definedName>
    <definedName name="vffsfs" localSheetId="4" hidden="1">{#N/A,#N/A,TRUE,"Basic";#N/A,#N/A,TRUE,"EXT-TABLE";#N/A,#N/A,TRUE,"STEEL";#N/A,#N/A,TRUE,"INT-Table";#N/A,#N/A,TRUE,"STEEL";#N/A,#N/A,TRUE,"Door"}</definedName>
    <definedName name="vffsfs" localSheetId="5" hidden="1">{#N/A,#N/A,TRUE,"Basic";#N/A,#N/A,TRUE,"EXT-TABLE";#N/A,#N/A,TRUE,"STEEL";#N/A,#N/A,TRUE,"INT-Table";#N/A,#N/A,TRUE,"STEEL";#N/A,#N/A,TRUE,"Door"}</definedName>
    <definedName name="vffsfs" hidden="1">{#N/A,#N/A,TRUE,"Basic";#N/A,#N/A,TRUE,"EXT-TABLE";#N/A,#N/A,TRUE,"STEEL";#N/A,#N/A,TRUE,"INT-Table";#N/A,#N/A,TRUE,"STEEL";#N/A,#N/A,TRUE,"Door"}</definedName>
    <definedName name="weight" localSheetId="4" hidden="1">{#N/A,#N/A,FALSE,"CCTV"}</definedName>
    <definedName name="weight" localSheetId="5" hidden="1">{#N/A,#N/A,FALSE,"CCTV"}</definedName>
    <definedName name="weight" hidden="1">{#N/A,#N/A,FALSE,"CCTV"}</definedName>
    <definedName name="wjs" hidden="1">{"'장비'!$A$3:$M$12"}</definedName>
    <definedName name="WORKSHOP" localSheetId="4" hidden="1">{#N/A,#N/A,TRUE,"Basic";#N/A,#N/A,TRUE,"EXT-TABLE";#N/A,#N/A,TRUE,"STEEL";#N/A,#N/A,TRUE,"INT-Table";#N/A,#N/A,TRUE,"STEEL";#N/A,#N/A,TRUE,"Door"}</definedName>
    <definedName name="WORKSHOP" localSheetId="5" hidden="1">{#N/A,#N/A,TRUE,"Basic";#N/A,#N/A,TRUE,"EXT-TABLE";#N/A,#N/A,TRUE,"STEEL";#N/A,#N/A,TRUE,"INT-Table";#N/A,#N/A,TRUE,"STEEL";#N/A,#N/A,TRUE,"Door"}</definedName>
    <definedName name="WORKSHOP" hidden="1">{#N/A,#N/A,TRUE,"Basic";#N/A,#N/A,TRUE,"EXT-TABLE";#N/A,#N/A,TRUE,"STEEL";#N/A,#N/A,TRUE,"INT-Table";#N/A,#N/A,TRUE,"STEEL";#N/A,#N/A,TRUE,"Door"}</definedName>
    <definedName name="WR" localSheetId="4" hidden="1">{#N/A,#N/A,FALSE,"CCTV"}</definedName>
    <definedName name="WR" localSheetId="5" hidden="1">{#N/A,#N/A,FALSE,"CCTV"}</definedName>
    <definedName name="WR" hidden="1">{#N/A,#N/A,FALSE,"CCTV"}</definedName>
    <definedName name="WRITE" localSheetId="4" hidden="1">{#N/A,#N/A,FALSE,"CCTV"}</definedName>
    <definedName name="WRITE" localSheetId="5" hidden="1">{#N/A,#N/A,FALSE,"CCTV"}</definedName>
    <definedName name="WRITE" hidden="1">{#N/A,#N/A,FALSE,"CCTV"}</definedName>
    <definedName name="wrn.2번." hidden="1">{#N/A,#N/A,FALSE,"2~8번"}</definedName>
    <definedName name="wrn.BM." localSheetId="4" hidden="1">{#N/A,#N/A,TRUE,"Basic";#N/A,#N/A,TRUE,"EXT-TABLE";#N/A,#N/A,TRUE,"STEEL";#N/A,#N/A,TRUE,"INT-Table";#N/A,#N/A,TRUE,"STEEL";#N/A,#N/A,TRUE,"Door"}</definedName>
    <definedName name="wrn.BM." localSheetId="5" hidden="1">{#N/A,#N/A,TRUE,"Basic";#N/A,#N/A,TRUE,"EXT-TABLE";#N/A,#N/A,TRUE,"STEEL";#N/A,#N/A,TRUE,"INT-Table";#N/A,#N/A,TRUE,"STEEL";#N/A,#N/A,TRUE,"Door"}</definedName>
    <definedName name="wrn.BM." hidden="1">{#N/A,#N/A,TRUE,"Basic";#N/A,#N/A,TRUE,"EXT-TABLE";#N/A,#N/A,TRUE,"STEEL";#N/A,#N/A,TRUE,"INT-Table";#N/A,#N/A,TRUE,"STEEL";#N/A,#N/A,TRUE,"Door"}</definedName>
    <definedName name="wrn.CBA."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골재소요량." hidden="1">{#N/A,#N/A,FALSE,"골재소요량";#N/A,#N/A,FALSE,"골재소요량"}</definedName>
    <definedName name="wrn.교육청." hidden="1">{#N/A,#N/A,FALSE,"전력간선"}</definedName>
    <definedName name="wrn.단가표지." hidden="1">{#N/A,#N/A,FALSE,"단가표지"}</definedName>
    <definedName name="wrn.운반시간." hidden="1">{#N/A,#N/A,FALSE,"운반시간"}</definedName>
    <definedName name="wrn.조골재." hidden="1">{#N/A,#N/A,FALSE,"조골재"}</definedName>
    <definedName name="wrn.표지목차." hidden="1">{#N/A,#N/A,FALSE,"표지목차"}</definedName>
    <definedName name="wrn.혼합골재." hidden="1">{#N/A,#N/A,FALSE,"혼합골재"}</definedName>
    <definedName name="WWW" localSheetId="4" hidden="1">{#N/A,#N/A,FALSE,"CCTV"}</definedName>
    <definedName name="WWW" localSheetId="5" hidden="1">{#N/A,#N/A,FALSE,"CCTV"}</definedName>
    <definedName name="WWW" hidden="1">{#N/A,#N/A,FALSE,"CCTV"}</definedName>
    <definedName name="WZ" localSheetId="4" hidden="1">{#N/A,#N/A,FALSE,"CCTV"}</definedName>
    <definedName name="WZ" localSheetId="5" hidden="1">{#N/A,#N/A,FALSE,"CCTV"}</definedName>
    <definedName name="WZ" hidden="1">{#N/A,#N/A,FALSE,"CCTV"}</definedName>
    <definedName name="XC" localSheetId="4" hidden="1">{#N/A,#N/A,FALSE,"CCTV"}</definedName>
    <definedName name="XC" localSheetId="5" hidden="1">{#N/A,#N/A,FALSE,"CCTV"}</definedName>
    <definedName name="XC" hidden="1">{#N/A,#N/A,FALSE,"CCTV"}</definedName>
    <definedName name="Y"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nkim" localSheetId="4" hidden="1">{#N/A,#N/A,TRUE,"Basic";#N/A,#N/A,TRUE,"EXT-TABLE";#N/A,#N/A,TRUE,"STEEL";#N/A,#N/A,TRUE,"INT-Table";#N/A,#N/A,TRUE,"STEEL";#N/A,#N/A,TRUE,"Door"}</definedName>
    <definedName name="ynkim" localSheetId="5" hidden="1">{#N/A,#N/A,TRUE,"Basic";#N/A,#N/A,TRUE,"EXT-TABLE";#N/A,#N/A,TRUE,"STEEL";#N/A,#N/A,TRUE,"INT-Table";#N/A,#N/A,TRUE,"STEEL";#N/A,#N/A,TRUE,"Door"}</definedName>
    <definedName name="ynkim" hidden="1">{#N/A,#N/A,TRUE,"Basic";#N/A,#N/A,TRUE,"EXT-TABLE";#N/A,#N/A,TRUE,"STEEL";#N/A,#N/A,TRUE,"INT-Table";#N/A,#N/A,TRUE,"STEEL";#N/A,#N/A,TRUE,"Door"}</definedName>
    <definedName name="yrdtytyt" localSheetId="4" hidden="1">{#N/A,#N/A,FALSE,"CCTV"}</definedName>
    <definedName name="yrdtytyt" localSheetId="5" hidden="1">{#N/A,#N/A,FALSE,"CCTV"}</definedName>
    <definedName name="yrdtytyt" hidden="1">{#N/A,#N/A,FALSE,"CCTV"}</definedName>
    <definedName name="YU"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yu" localSheetId="4" hidden="1">{"'장비'!$A$3:$M$12"}</definedName>
    <definedName name="yuyu" localSheetId="5" hidden="1">{"'장비'!$A$3:$M$12"}</definedName>
    <definedName name="yuyu" hidden="1">{"'장비'!$A$3:$M$12"}</definedName>
    <definedName name="yuyuyu" localSheetId="4" hidden="1">{"'장비'!$A$3:$M$12"}</definedName>
    <definedName name="yuyuyu" localSheetId="5" hidden="1">{"'장비'!$A$3:$M$12"}</definedName>
    <definedName name="yuyuyu" hidden="1">{"'장비'!$A$3:$M$12"}</definedName>
    <definedName name="yyy" localSheetId="4" hidden="1">{"'장비'!$A$3:$M$12"}</definedName>
    <definedName name="yyy" localSheetId="5" hidden="1">{"'장비'!$A$3:$M$12"}</definedName>
    <definedName name="yyy" hidden="1">{"'장비'!$A$3:$M$12"}</definedName>
    <definedName name="yyyyy" localSheetId="4" hidden="1">{"'장비'!$A$3:$M$12"}</definedName>
    <definedName name="yyyyy" localSheetId="5" hidden="1">{"'장비'!$A$3:$M$12"}</definedName>
    <definedName name="yyyyy" hidden="1">{"'장비'!$A$3:$M$12"}</definedName>
    <definedName name="zx" localSheetId="4" hidden="1">{"'장비'!$A$3:$M$12"}</definedName>
    <definedName name="zx" localSheetId="5" hidden="1">{"'장비'!$A$3:$M$12"}</definedName>
    <definedName name="zx" hidden="1">{"'장비'!$A$3:$M$12"}</definedName>
    <definedName name="ㄱ미" localSheetId="4" hidden="1">{#N/A,#N/A,TRUE,"Basic";#N/A,#N/A,TRUE,"EXT-TABLE";#N/A,#N/A,TRUE,"STEEL";#N/A,#N/A,TRUE,"INT-Table";#N/A,#N/A,TRUE,"STEEL";#N/A,#N/A,TRUE,"Door"}</definedName>
    <definedName name="ㄱ미" localSheetId="5" hidden="1">{#N/A,#N/A,TRUE,"Basic";#N/A,#N/A,TRUE,"EXT-TABLE";#N/A,#N/A,TRUE,"STEEL";#N/A,#N/A,TRUE,"INT-Table";#N/A,#N/A,TRUE,"STEEL";#N/A,#N/A,TRUE,"Door"}</definedName>
    <definedName name="ㄱ미" hidden="1">{#N/A,#N/A,TRUE,"Basic";#N/A,#N/A,TRUE,"EXT-TABLE";#N/A,#N/A,TRUE,"STEEL";#N/A,#N/A,TRUE,"INT-Table";#N/A,#N/A,TRUE,"STEEL";#N/A,#N/A,TRUE,"Door"}</definedName>
    <definedName name="겉표지" localSheetId="4" hidden="1">{#N/A,#N/A,TRUE,"Basic";#N/A,#N/A,TRUE,"EXT-TABLE";#N/A,#N/A,TRUE,"STEEL";#N/A,#N/A,TRUE,"INT-Table";#N/A,#N/A,TRUE,"STEEL";#N/A,#N/A,TRUE,"Door"}</definedName>
    <definedName name="겉표지" localSheetId="5" hidden="1">{#N/A,#N/A,TRUE,"Basic";#N/A,#N/A,TRUE,"EXT-TABLE";#N/A,#N/A,TRUE,"STEEL";#N/A,#N/A,TRUE,"INT-Table";#N/A,#N/A,TRUE,"STEEL";#N/A,#N/A,TRUE,"Door"}</definedName>
    <definedName name="겉표지" hidden="1">{#N/A,#N/A,TRUE,"Basic";#N/A,#N/A,TRUE,"EXT-TABLE";#N/A,#N/A,TRUE,"STEEL";#N/A,#N/A,TRUE,"INT-Table";#N/A,#N/A,TRUE,"STEEL";#N/A,#N/A,TRUE,"Door"}</definedName>
    <definedName name="겡오" localSheetId="4" hidden="1">{#N/A,#N/A,FALSE,"CCTV"}</definedName>
    <definedName name="겡오" localSheetId="5" hidden="1">{#N/A,#N/A,FALSE,"CCTV"}</definedName>
    <definedName name="겡오" hidden="1">{#N/A,#N/A,FALSE,"CCTV"}</definedName>
    <definedName name="견적품의서" localSheetId="4" hidden="1">{"'장비'!$A$3:$M$12"}</definedName>
    <definedName name="견적품의서" localSheetId="5" hidden="1">{"'장비'!$A$3:$M$12"}</definedName>
    <definedName name="견적품의서" hidden="1">{"'장비'!$A$3:$M$12"}</definedName>
    <definedName name="계장공사" localSheetId="4" hidden="1">{#N/A,#N/A,FALSE,"CCTV"}</definedName>
    <definedName name="계장공사" localSheetId="5" hidden="1">{#N/A,#N/A,FALSE,"CCTV"}</definedName>
    <definedName name="계장공사" hidden="1">{#N/A,#N/A,FALSE,"CCTV"}</definedName>
    <definedName name="구산갑지" hidden="1">#REF!</definedName>
    <definedName name="김" localSheetId="4" hidden="1">{#N/A,#N/A,TRUE,"Basic";#N/A,#N/A,TRUE,"EXT-TABLE";#N/A,#N/A,TRUE,"STEEL";#N/A,#N/A,TRUE,"INT-Table";#N/A,#N/A,TRUE,"STEEL";#N/A,#N/A,TRUE,"Door"}</definedName>
    <definedName name="김" localSheetId="5" hidden="1">{#N/A,#N/A,TRUE,"Basic";#N/A,#N/A,TRUE,"EXT-TABLE";#N/A,#N/A,TRUE,"STEEL";#N/A,#N/A,TRUE,"INT-Table";#N/A,#N/A,TRUE,"STEEL";#N/A,#N/A,TRUE,"Door"}</definedName>
    <definedName name="김" hidden="1">{#N/A,#N/A,TRUE,"Basic";#N/A,#N/A,TRUE,"EXT-TABLE";#N/A,#N/A,TRUE,"STEEL";#N/A,#N/A,TRUE,"INT-Table";#N/A,#N/A,TRUE,"STEEL";#N/A,#N/A,TRUE,"Door"}</definedName>
    <definedName name="김1" localSheetId="4" hidden="1">{#N/A,#N/A,TRUE,"Basic";#N/A,#N/A,TRUE,"EXT-TABLE";#N/A,#N/A,TRUE,"STEEL";#N/A,#N/A,TRUE,"INT-Table";#N/A,#N/A,TRUE,"STEEL";#N/A,#N/A,TRUE,"Door"}</definedName>
    <definedName name="김1" localSheetId="5" hidden="1">{#N/A,#N/A,TRUE,"Basic";#N/A,#N/A,TRUE,"EXT-TABLE";#N/A,#N/A,TRUE,"STEEL";#N/A,#N/A,TRUE,"INT-Table";#N/A,#N/A,TRUE,"STEEL";#N/A,#N/A,TRUE,"Door"}</definedName>
    <definedName name="김1" hidden="1">{#N/A,#N/A,TRUE,"Basic";#N/A,#N/A,TRUE,"EXT-TABLE";#N/A,#N/A,TRUE,"STEEL";#N/A,#N/A,TRUE,"INT-Table";#N/A,#N/A,TRUE,"STEEL";#N/A,#N/A,TRUE,"Door"}</definedName>
    <definedName name="김3" localSheetId="4" hidden="1">{#N/A,#N/A,TRUE,"Basic";#N/A,#N/A,TRUE,"EXT-TABLE";#N/A,#N/A,TRUE,"STEEL";#N/A,#N/A,TRUE,"INT-Table";#N/A,#N/A,TRUE,"STEEL";#N/A,#N/A,TRUE,"Door"}</definedName>
    <definedName name="김3" localSheetId="5" hidden="1">{#N/A,#N/A,TRUE,"Basic";#N/A,#N/A,TRUE,"EXT-TABLE";#N/A,#N/A,TRUE,"STEEL";#N/A,#N/A,TRUE,"INT-Table";#N/A,#N/A,TRUE,"STEEL";#N/A,#N/A,TRUE,"Door"}</definedName>
    <definedName name="김3" hidden="1">{#N/A,#N/A,TRUE,"Basic";#N/A,#N/A,TRUE,"EXT-TABLE";#N/A,#N/A,TRUE,"STEEL";#N/A,#N/A,TRUE,"INT-Table";#N/A,#N/A,TRUE,"STEEL";#N/A,#N/A,TRUE,"Door"}</definedName>
    <definedName name="ㄴㅁㄹㅈㄹ" localSheetId="4" hidden="1">#REF!</definedName>
    <definedName name="ㄴㅁㄹㅈㄹ" localSheetId="5" hidden="1">#REF!</definedName>
    <definedName name="ㄴㅁㄹㅈㄹ" hidden="1">#REF!</definedName>
    <definedName name="ㄷㅎㄹㅇ" localSheetId="4" hidden="1">#REF!</definedName>
    <definedName name="ㄷㅎㄹㅇ" localSheetId="5" hidden="1">#REF!</definedName>
    <definedName name="ㄷㅎㄹㅇ" hidden="1">#REF!</definedName>
    <definedName name="당초계획" localSheetId="5" hidden="1">#REF!</definedName>
    <definedName name="당초계획" hidden="1">#REF!</definedName>
    <definedName name="도면외주" hidden="1">#REF!</definedName>
    <definedName name="도면용역비" hidden="1">#REF!</definedName>
    <definedName name="도착지">#REF!</definedName>
    <definedName name="동구연숩" hidden="1">{#N/A,#N/A,FALSE,"전력간선"}</definedName>
    <definedName name="목차" hidden="1">{#N/A,#N/A,FALSE,"골재소요량";#N/A,#N/A,FALSE,"골재소요량"}</definedName>
    <definedName name="뭉" hidden="1">{"'장비'!$A$3:$M$12"}</definedName>
    <definedName name="보충" hidden="1">#REF!</definedName>
    <definedName name="부대공사" hidden="1">#REF!</definedName>
    <definedName name="빌딩" localSheetId="4" hidden="1">{#N/A,#N/A,FALSE,"CCTV"}</definedName>
    <definedName name="빌딩" localSheetId="5" hidden="1">{#N/A,#N/A,FALSE,"CCTV"}</definedName>
    <definedName name="빌딩" hidden="1">{#N/A,#N/A,FALSE,"CCTV"}</definedName>
    <definedName name="사업부양식2" hidden="1">#REF!</definedName>
    <definedName name="손익계산서" hidden="1">#REF!</definedName>
    <definedName name="수" localSheetId="4" hidden="1">{#N/A,#N/A,TRUE,"Basic";#N/A,#N/A,TRUE,"EXT-TABLE";#N/A,#N/A,TRUE,"STEEL";#N/A,#N/A,TRUE,"INT-Table";#N/A,#N/A,TRUE,"STEEL";#N/A,#N/A,TRUE,"Door"}</definedName>
    <definedName name="수" localSheetId="5" hidden="1">{#N/A,#N/A,TRUE,"Basic";#N/A,#N/A,TRUE,"EXT-TABLE";#N/A,#N/A,TRUE,"STEEL";#N/A,#N/A,TRUE,"INT-Table";#N/A,#N/A,TRUE,"STEEL";#N/A,#N/A,TRUE,"Door"}</definedName>
    <definedName name="수" hidden="1">{#N/A,#N/A,TRUE,"Basic";#N/A,#N/A,TRUE,"EXT-TABLE";#N/A,#N/A,TRUE,"STEEL";#N/A,#N/A,TRUE,"INT-Table";#N/A,#N/A,TRUE,"STEEL";#N/A,#N/A,TRUE,"Door"}</definedName>
    <definedName name="순공사비산출서1" hidden="1">{#N/A,#N/A,FALSE,"혼합골재"}</definedName>
    <definedName name="ㅈㅈ" localSheetId="4" hidden="1">{"'장비'!$A$3:$M$12"}</definedName>
    <definedName name="ㅈㅈ" localSheetId="5" hidden="1">{"'장비'!$A$3:$M$12"}</definedName>
    <definedName name="ㅈㅈ" hidden="1">{"'장비'!$A$3:$M$12"}</definedName>
    <definedName name="ㅈㅈㅈ" localSheetId="4" hidden="1">{"'장비'!$A$3:$M$12"}</definedName>
    <definedName name="ㅈㅈㅈ" localSheetId="5" hidden="1">{"'장비'!$A$3:$M$12"}</definedName>
    <definedName name="ㅈㅈㅈ" hidden="1">{"'장비'!$A$3:$M$12"}</definedName>
    <definedName name="ㅈㅈㅈㅈㅈ" localSheetId="4" hidden="1">{"'장비'!$A$3:$M$12"}</definedName>
    <definedName name="ㅈㅈㅈㅈㅈ" localSheetId="5" hidden="1">{"'장비'!$A$3:$M$12"}</definedName>
    <definedName name="ㅈㅈㅈㅈㅈ" hidden="1">{"'장비'!$A$3:$M$12"}</definedName>
    <definedName name="전계장금액" localSheetId="4" hidden="1">#REF!</definedName>
    <definedName name="전계장금액" localSheetId="5" hidden="1">#REF!</definedName>
    <definedName name="전계장금액" hidden="1">#REF!</definedName>
    <definedName name="전기" localSheetId="4" hidden="1">{#N/A,#N/A,FALSE,"CCTV"}</definedName>
    <definedName name="전기" localSheetId="5" hidden="1">{#N/A,#N/A,FALSE,"CCTV"}</definedName>
    <definedName name="전기" hidden="1">{"'장비'!$A$3:$M$12"}</definedName>
    <definedName name="전기구" localSheetId="4" hidden="1">{"'장비'!$A$3:$M$12"}</definedName>
    <definedName name="전기구" localSheetId="5" hidden="1">{"'장비'!$A$3:$M$12"}</definedName>
    <definedName name="전기구" hidden="1">{"'장비'!$A$3:$M$12"}</definedName>
    <definedName name="찰샇기" hidden="1">#REF!</definedName>
    <definedName name="총괄" hidden="1">#REF!</definedName>
    <definedName name="테스트" hidden="1">#REF!</definedName>
    <definedName name="토건" localSheetId="4" hidden="1">{"'장비'!$A$3:$M$12"}</definedName>
    <definedName name="토건" localSheetId="5" hidden="1">{"'장비'!$A$3:$M$12"}</definedName>
    <definedName name="토건" hidden="1">{"'장비'!$A$3:$M$12"}</definedName>
    <definedName name="토건공사비대비r" hidden="1">{"'장비'!$A$3:$M$12"}</definedName>
    <definedName name="토건업체" localSheetId="4" hidden="1">{"'장비'!$A$3:$M$12"}</definedName>
    <definedName name="토건업체" localSheetId="5" hidden="1">{"'장비'!$A$3:$M$12"}</definedName>
    <definedName name="토건업체" hidden="1">{"'장비'!$A$3:$M$12"}</definedName>
    <definedName name="토건집계표r" hidden="1">{"'장비'!$A$3:$M$12"}</definedName>
    <definedName name="토목설계" hidden="1">{#N/A,#N/A,FALSE,"골재소요량";#N/A,#N/A,FALSE,"골재소요량"}</definedName>
    <definedName name="투찰예정가50" localSheetId="4" hidden="1">{"'장비'!$A$3:$M$12"}</definedName>
    <definedName name="투찰예정가50" localSheetId="5" hidden="1">{"'장비'!$A$3:$M$12"}</definedName>
    <definedName name="투찰예정가50" hidden="1">{"'장비'!$A$3:$M$12"}</definedName>
    <definedName name="투찰예정본부장" localSheetId="4" hidden="1">{"'장비'!$A$3:$M$12"}</definedName>
    <definedName name="투찰예정본부장" localSheetId="5" hidden="1">{"'장비'!$A$3:$M$12"}</definedName>
    <definedName name="투찰예정본부장" hidden="1">{"'장비'!$A$3:$M$12"}</definedName>
    <definedName name="표지" localSheetId="4" hidden="1">{#N/A,#N/A,TRUE,"Basic";#N/A,#N/A,TRUE,"EXT-TABLE";#N/A,#N/A,TRUE,"STEEL";#N/A,#N/A,TRUE,"INT-Table";#N/A,#N/A,TRUE,"STEEL";#N/A,#N/A,TRUE,"Door"}</definedName>
    <definedName name="표지" localSheetId="5" hidden="1">{#N/A,#N/A,TRUE,"Basic";#N/A,#N/A,TRUE,"EXT-TABLE";#N/A,#N/A,TRUE,"STEEL";#N/A,#N/A,TRUE,"INT-Table";#N/A,#N/A,TRUE,"STEEL";#N/A,#N/A,TRUE,"Door"}</definedName>
    <definedName name="표지" hidden="1">#REF!</definedName>
    <definedName name="표지2" hidden="1">#REF!</definedName>
    <definedName name="피브이씨" hidden="1">{#N/A,#N/A,FALSE,"전력간선"}</definedName>
    <definedName name="ㅠ뮤ㅐ" localSheetId="4" hidden="1">#REF!</definedName>
    <definedName name="ㅠ뮤ㅐ" localSheetId="5" hidden="1">#REF!</definedName>
    <definedName name="ㅠ뮤ㅐ" hidden="1">#REF!</definedName>
  </definedNames>
  <calcPr calcId="191028"/>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J34" i="4" l="1"/>
  <c r="AJ35" i="4"/>
  <c r="AJ36" i="4"/>
  <c r="AJ33" i="4"/>
  <c r="AE20" i="8"/>
  <c r="U11" i="8"/>
  <c r="P11" i="8"/>
  <c r="J11" i="8"/>
  <c r="V9" i="8"/>
  <c r="K9" i="8"/>
  <c r="M9" i="8"/>
  <c r="AB43" i="3"/>
  <c r="AE5" i="5"/>
  <c r="AE9" i="5"/>
  <c r="AE11" i="5"/>
  <c r="AD15" i="5"/>
  <c r="AE14" i="5"/>
  <c r="V14" i="5"/>
  <c r="AE13" i="5"/>
  <c r="V13" i="5"/>
  <c r="W13" i="5"/>
  <c r="M13" i="5"/>
  <c r="L13" i="5"/>
  <c r="AD23" i="5"/>
  <c r="U23" i="5"/>
  <c r="P23" i="5"/>
  <c r="AD24" i="5"/>
  <c r="L23" i="5"/>
  <c r="J23" i="5"/>
  <c r="M23" i="5"/>
  <c r="AE22" i="5"/>
  <c r="V22" i="5"/>
  <c r="W21" i="5"/>
  <c r="AE21" i="5"/>
  <c r="M21" i="5"/>
  <c r="AL42" i="3"/>
  <c r="G40" i="4"/>
  <c r="AE48" i="5"/>
  <c r="K47" i="5"/>
  <c r="O45" i="5"/>
  <c r="AC46" i="5"/>
  <c r="AE46" i="5"/>
  <c r="T46" i="5"/>
  <c r="AE32" i="5"/>
  <c r="V32" i="5"/>
  <c r="AE31" i="5"/>
  <c r="M31" i="5"/>
  <c r="F40" i="4"/>
  <c r="AL44" i="3"/>
  <c r="AL43" i="3"/>
  <c r="T65" i="6"/>
  <c r="L35" i="5"/>
  <c r="AE28" i="5"/>
  <c r="M27" i="5"/>
  <c r="AE29" i="5"/>
  <c r="AE30" i="5"/>
  <c r="M29" i="5"/>
  <c r="J35" i="5"/>
  <c r="AE34" i="5"/>
  <c r="V34" i="5"/>
  <c r="AE33" i="5"/>
  <c r="M33" i="5"/>
  <c r="AJ106" i="4"/>
  <c r="U15" i="5"/>
  <c r="U16" i="5"/>
  <c r="V5" i="5"/>
  <c r="V15" i="5"/>
  <c r="V7" i="5"/>
  <c r="V6" i="5"/>
  <c r="W5" i="5"/>
  <c r="W7" i="5"/>
  <c r="V8" i="5"/>
  <c r="V9" i="5"/>
  <c r="W9" i="5"/>
  <c r="V10" i="5"/>
  <c r="V11" i="5"/>
  <c r="V12" i="5"/>
  <c r="W11" i="5"/>
  <c r="P15" i="5"/>
  <c r="AD16" i="5"/>
  <c r="AE6" i="5"/>
  <c r="AE15" i="5"/>
  <c r="AE7" i="5"/>
  <c r="AE8" i="5"/>
  <c r="AE10" i="5"/>
  <c r="M9" i="5"/>
  <c r="AE12" i="5"/>
  <c r="J15" i="5"/>
  <c r="V34" i="8"/>
  <c r="V35" i="8"/>
  <c r="V41" i="8"/>
  <c r="W40" i="8"/>
  <c r="V37" i="8"/>
  <c r="W36" i="8"/>
  <c r="V39" i="8"/>
  <c r="W38" i="8"/>
  <c r="W25" i="5"/>
  <c r="W35" i="5"/>
  <c r="AE16" i="8"/>
  <c r="V16" i="8"/>
  <c r="V15" i="8"/>
  <c r="AE15" i="8"/>
  <c r="U55" i="5"/>
  <c r="P55" i="5"/>
  <c r="AD56" i="5"/>
  <c r="AE56" i="5"/>
  <c r="U56" i="5"/>
  <c r="AD55" i="5"/>
  <c r="L55" i="5"/>
  <c r="J55" i="5"/>
  <c r="AE54" i="5"/>
  <c r="V54" i="5"/>
  <c r="AE53" i="5"/>
  <c r="K53" i="5"/>
  <c r="M53" i="5"/>
  <c r="V53" i="5"/>
  <c r="W53" i="5"/>
  <c r="V51" i="5"/>
  <c r="W51" i="5"/>
  <c r="W55" i="5"/>
  <c r="V52" i="5"/>
  <c r="V55" i="5"/>
  <c r="AC35" i="5"/>
  <c r="AC36" i="5"/>
  <c r="AE36" i="5"/>
  <c r="AD35" i="5"/>
  <c r="AD36" i="5"/>
  <c r="V30" i="5"/>
  <c r="AD59" i="5"/>
  <c r="AD60" i="5"/>
  <c r="AC59" i="5"/>
  <c r="O59" i="5"/>
  <c r="T60" i="5"/>
  <c r="T59" i="5"/>
  <c r="U59" i="5"/>
  <c r="U60" i="5"/>
  <c r="J59" i="5"/>
  <c r="AE57" i="5"/>
  <c r="AE59" i="5"/>
  <c r="AE58" i="5"/>
  <c r="V58" i="5"/>
  <c r="V57" i="5"/>
  <c r="V59" i="5"/>
  <c r="W57" i="5"/>
  <c r="W59" i="5"/>
  <c r="J42" i="8"/>
  <c r="AE39" i="8"/>
  <c r="AE38" i="8"/>
  <c r="P28" i="8"/>
  <c r="U29" i="8"/>
  <c r="AD29" i="8"/>
  <c r="J28" i="8"/>
  <c r="AE27" i="8"/>
  <c r="K26" i="8"/>
  <c r="L26" i="8"/>
  <c r="M26" i="8"/>
  <c r="V27" i="8"/>
  <c r="V26" i="8"/>
  <c r="W26" i="8"/>
  <c r="P45" i="5"/>
  <c r="U46" i="5"/>
  <c r="AC45" i="5"/>
  <c r="AD45" i="5"/>
  <c r="AD46" i="5"/>
  <c r="J45" i="5"/>
  <c r="K45" i="5"/>
  <c r="M45" i="5"/>
  <c r="AE44" i="5"/>
  <c r="AE43" i="5"/>
  <c r="M43" i="5"/>
  <c r="V44" i="5"/>
  <c r="W43" i="5"/>
  <c r="AD49" i="5"/>
  <c r="P49" i="5"/>
  <c r="U49" i="5"/>
  <c r="U50" i="5"/>
  <c r="AD50" i="5"/>
  <c r="AC49" i="5"/>
  <c r="AC50" i="5"/>
  <c r="AE50" i="5"/>
  <c r="O49" i="5"/>
  <c r="T50" i="5"/>
  <c r="T49" i="5"/>
  <c r="J49" i="5"/>
  <c r="V48" i="5"/>
  <c r="V47" i="5"/>
  <c r="W47" i="5"/>
  <c r="W49" i="5"/>
  <c r="V49" i="5"/>
  <c r="V7" i="8"/>
  <c r="O55" i="5"/>
  <c r="T55" i="5"/>
  <c r="T56" i="5"/>
  <c r="AC55" i="5"/>
  <c r="AC56" i="5"/>
  <c r="AE51" i="5"/>
  <c r="K51" i="5"/>
  <c r="AE52" i="5"/>
  <c r="V35" i="5"/>
  <c r="O23" i="5"/>
  <c r="AC24" i="5"/>
  <c r="AE24" i="5"/>
  <c r="AC23" i="5"/>
  <c r="AE20" i="5"/>
  <c r="V20" i="5"/>
  <c r="W19" i="5"/>
  <c r="AE19" i="5"/>
  <c r="M19" i="5"/>
  <c r="U39" i="5"/>
  <c r="P39" i="5"/>
  <c r="AD40" i="5"/>
  <c r="AD39" i="5"/>
  <c r="T4" i="7"/>
  <c r="T13" i="6"/>
  <c r="AE41" i="5"/>
  <c r="AE42" i="5"/>
  <c r="AE45" i="5"/>
  <c r="V42" i="5"/>
  <c r="W41" i="5"/>
  <c r="W45" i="5"/>
  <c r="V45" i="5"/>
  <c r="K15" i="9"/>
  <c r="L15" i="9"/>
  <c r="M15" i="9"/>
  <c r="K10" i="9"/>
  <c r="L10" i="9"/>
  <c r="M10" i="9"/>
  <c r="K17" i="9"/>
  <c r="L17" i="9"/>
  <c r="M17" i="9"/>
  <c r="K19" i="9"/>
  <c r="L19" i="9"/>
  <c r="M19" i="9"/>
  <c r="K21" i="9"/>
  <c r="L21" i="9"/>
  <c r="M21" i="9"/>
  <c r="K9" i="9"/>
  <c r="L9" i="9"/>
  <c r="M9" i="9"/>
  <c r="K5" i="9"/>
  <c r="L5" i="9"/>
  <c r="M5" i="9"/>
  <c r="L33" i="9"/>
  <c r="M33" i="9"/>
  <c r="K38" i="9"/>
  <c r="L38" i="9"/>
  <c r="M38" i="9"/>
  <c r="K37" i="9"/>
  <c r="L37" i="9"/>
  <c r="M37" i="9"/>
  <c r="K35" i="9"/>
  <c r="L35" i="9"/>
  <c r="M35" i="9"/>
  <c r="K34" i="9"/>
  <c r="L34" i="9"/>
  <c r="M34" i="9"/>
  <c r="K32" i="9"/>
  <c r="L32" i="9"/>
  <c r="M32" i="9"/>
  <c r="K31" i="9"/>
  <c r="L31" i="9"/>
  <c r="M31" i="9"/>
  <c r="K29" i="9"/>
  <c r="L29" i="9"/>
  <c r="M29" i="9"/>
  <c r="L28" i="9"/>
  <c r="M28" i="9"/>
  <c r="K26" i="9"/>
  <c r="L26" i="9"/>
  <c r="K20" i="9"/>
  <c r="L20" i="9"/>
  <c r="K18" i="9"/>
  <c r="L18" i="9"/>
  <c r="L14" i="9"/>
  <c r="M14" i="9"/>
  <c r="K12" i="9"/>
  <c r="L12" i="9"/>
  <c r="M12" i="9"/>
  <c r="G10" i="9"/>
  <c r="G9" i="9"/>
  <c r="L8" i="9"/>
  <c r="M8" i="9"/>
  <c r="V28" i="5"/>
  <c r="K7" i="8"/>
  <c r="M7" i="8"/>
  <c r="P42" i="8"/>
  <c r="AD43" i="8"/>
  <c r="AE35" i="8"/>
  <c r="K34" i="8"/>
  <c r="AE36" i="8"/>
  <c r="K36" i="8"/>
  <c r="AE37" i="8"/>
  <c r="AE40" i="8"/>
  <c r="AE41" i="8"/>
  <c r="O39" i="5"/>
  <c r="AC39" i="5"/>
  <c r="AC40" i="5"/>
  <c r="T39" i="5"/>
  <c r="T40" i="5"/>
  <c r="AE38" i="5"/>
  <c r="AE39" i="5"/>
  <c r="M37" i="5"/>
  <c r="V37" i="5"/>
  <c r="W37" i="5"/>
  <c r="W39" i="5"/>
  <c r="V38" i="5"/>
  <c r="J39" i="5"/>
  <c r="O42" i="8"/>
  <c r="T42" i="8"/>
  <c r="T43" i="8"/>
  <c r="AC42" i="8"/>
  <c r="O32" i="8"/>
  <c r="T32" i="8"/>
  <c r="AC32" i="8"/>
  <c r="P32" i="8"/>
  <c r="AD32" i="8"/>
  <c r="AE30" i="8"/>
  <c r="AE31" i="8"/>
  <c r="V30" i="8"/>
  <c r="V31" i="8"/>
  <c r="W30" i="8"/>
  <c r="W32" i="8"/>
  <c r="J32" i="8"/>
  <c r="AE26" i="5"/>
  <c r="AE35" i="5"/>
  <c r="V26" i="5"/>
  <c r="T23" i="5"/>
  <c r="AE18" i="5"/>
  <c r="AE23" i="5"/>
  <c r="K17" i="5"/>
  <c r="M17" i="5"/>
  <c r="V18" i="5"/>
  <c r="V17" i="5"/>
  <c r="W17" i="5"/>
  <c r="W23" i="5"/>
  <c r="AC28" i="8"/>
  <c r="T28" i="8"/>
  <c r="O28" i="8"/>
  <c r="T29" i="8"/>
  <c r="AE25" i="8"/>
  <c r="K24" i="8"/>
  <c r="V25" i="8"/>
  <c r="V24" i="8"/>
  <c r="W24" i="8"/>
  <c r="AD22" i="8"/>
  <c r="P22" i="8"/>
  <c r="AC22" i="8"/>
  <c r="T22" i="8"/>
  <c r="O22" i="8"/>
  <c r="T23" i="8"/>
  <c r="J22" i="8"/>
  <c r="V22" i="8"/>
  <c r="W19" i="8"/>
  <c r="W22" i="8"/>
  <c r="AD17" i="8"/>
  <c r="P17" i="8"/>
  <c r="U18" i="8"/>
  <c r="O17" i="8"/>
  <c r="AC17" i="8"/>
  <c r="T17" i="8"/>
  <c r="J17" i="8"/>
  <c r="AE14" i="8"/>
  <c r="AE13" i="8"/>
  <c r="AE17" i="8"/>
  <c r="V14" i="8"/>
  <c r="V13" i="8"/>
  <c r="V17" i="8"/>
  <c r="AD11" i="8"/>
  <c r="AC11" i="8"/>
  <c r="O11" i="8"/>
  <c r="AC12" i="8"/>
  <c r="T11" i="8"/>
  <c r="AE6" i="8"/>
  <c r="AE5" i="8"/>
  <c r="V6" i="8"/>
  <c r="V5" i="8"/>
  <c r="W5" i="8"/>
  <c r="W11" i="8"/>
  <c r="AC15" i="5"/>
  <c r="O15" i="5"/>
  <c r="AC16" i="5"/>
  <c r="AE16" i="5"/>
  <c r="T15" i="5"/>
  <c r="T24" i="5"/>
  <c r="L37" i="5"/>
  <c r="L39" i="5"/>
  <c r="K39" i="5"/>
  <c r="M39" i="5"/>
  <c r="L47" i="5"/>
  <c r="L49" i="5"/>
  <c r="L41" i="5"/>
  <c r="L45" i="5"/>
  <c r="M41" i="5"/>
  <c r="AE49" i="5"/>
  <c r="AE22" i="8"/>
  <c r="K19" i="8"/>
  <c r="M19" i="8"/>
  <c r="M5" i="5"/>
  <c r="L5" i="5"/>
  <c r="L15" i="5"/>
  <c r="K15" i="5"/>
  <c r="M15" i="5"/>
  <c r="AE55" i="5"/>
  <c r="M47" i="5"/>
  <c r="K49" i="5"/>
  <c r="M49" i="5"/>
  <c r="L9" i="5"/>
  <c r="M7" i="5"/>
  <c r="L7" i="5"/>
  <c r="M11" i="5"/>
  <c r="L11" i="5"/>
  <c r="K42" i="8"/>
  <c r="M36" i="8"/>
  <c r="AC43" i="8"/>
  <c r="W34" i="8"/>
  <c r="K5" i="8"/>
  <c r="L5" i="8"/>
  <c r="L11" i="8"/>
  <c r="V11" i="8"/>
  <c r="T33" i="8"/>
  <c r="W28" i="8"/>
  <c r="AC18" i="8"/>
  <c r="M34" i="8"/>
  <c r="L34" i="8"/>
  <c r="L42" i="8"/>
  <c r="W15" i="8"/>
  <c r="M42" i="8"/>
  <c r="K30" i="8"/>
  <c r="K32" i="8"/>
  <c r="M32" i="8"/>
  <c r="AD23" i="8"/>
  <c r="U23" i="8"/>
  <c r="V32" i="8"/>
  <c r="K22" i="8"/>
  <c r="M22" i="8"/>
  <c r="V28" i="8"/>
  <c r="L19" i="8"/>
  <c r="L22" i="8"/>
  <c r="AC33" i="8"/>
  <c r="AE32" i="8"/>
  <c r="AE43" i="8"/>
  <c r="AD33" i="8"/>
  <c r="AE11" i="8"/>
  <c r="AD12" i="8"/>
  <c r="AE12" i="8"/>
  <c r="K38" i="8"/>
  <c r="M38" i="8"/>
  <c r="K15" i="8"/>
  <c r="M15" i="8"/>
  <c r="AC23" i="8"/>
  <c r="W42" i="8"/>
  <c r="T12" i="8"/>
  <c r="AD18" i="8"/>
  <c r="K40" i="8"/>
  <c r="M40" i="8"/>
  <c r="K55" i="5"/>
  <c r="M55" i="5"/>
  <c r="M51" i="5"/>
  <c r="W15" i="5"/>
  <c r="K28" i="8"/>
  <c r="M28" i="8"/>
  <c r="M24" i="8"/>
  <c r="L24" i="8"/>
  <c r="L28" i="8"/>
  <c r="AE40" i="5"/>
  <c r="K25" i="5"/>
  <c r="V23" i="5"/>
  <c r="T16" i="5"/>
  <c r="K13" i="8"/>
  <c r="T18" i="8"/>
  <c r="AC29" i="8"/>
  <c r="AE29" i="8"/>
  <c r="V42" i="8"/>
  <c r="U40" i="5"/>
  <c r="U43" i="8"/>
  <c r="W13" i="8"/>
  <c r="W17" i="8"/>
  <c r="U33" i="8"/>
  <c r="K57" i="5"/>
  <c r="U24" i="5"/>
  <c r="V39" i="5"/>
  <c r="U12" i="8"/>
  <c r="AC60" i="5"/>
  <c r="AE60" i="5"/>
  <c r="AE18" i="8"/>
  <c r="AE23" i="8"/>
  <c r="K11" i="8"/>
  <c r="M11" i="8"/>
  <c r="M5" i="8"/>
  <c r="AE33" i="8"/>
  <c r="L30" i="8"/>
  <c r="L32" i="8"/>
  <c r="M30" i="8"/>
  <c r="L15" i="8"/>
  <c r="M25" i="5"/>
  <c r="K35" i="5"/>
  <c r="M35" i="5"/>
  <c r="M13" i="8"/>
  <c r="K17" i="8"/>
  <c r="M17" i="8"/>
  <c r="L13" i="8"/>
  <c r="L17" i="8"/>
  <c r="K59" i="5"/>
  <c r="M59" i="5"/>
  <c r="L57" i="5"/>
  <c r="L59" i="5"/>
  <c r="M5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Zheng/Andreas Setiawan 鄭友安/CTCI-PROP</author>
  </authors>
  <commentList>
    <comment ref="G61" authorId="0" shapeId="0" xr:uid="{748064F6-CE7A-4B80-B4EE-C2832EC982F6}">
      <text>
        <r>
          <rPr>
            <b/>
            <sz val="9"/>
            <color indexed="81"/>
            <rFont val="Tahoma"/>
            <family val="2"/>
          </rPr>
          <t>Andrew Zheng/Andreas Setiawan 鄭友安/CTCI-PROP:</t>
        </r>
        <r>
          <rPr>
            <sz val="9"/>
            <color indexed="81"/>
            <rFont val="Tahoma"/>
            <family val="2"/>
          </rPr>
          <t xml:space="preserve">
Forecast Submission Date:
ITP for Air Dryer 2025/04/24
GA Drawing  for Air Dryer 
2025/04/29
Data sheet
2025/05/10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Josiane Chen/陳思穎/CTCI-PPM</author>
  </authors>
  <commentList>
    <comment ref="W25" authorId="0" shapeId="0" xr:uid="{EC11C71E-7785-4249-82AB-70B43D407C6F}">
      <text>
        <r>
          <rPr>
            <sz val="11"/>
            <color theme="1"/>
            <rFont val="新細明體"/>
            <family val="3"/>
            <charset val="129"/>
            <scheme val="minor"/>
          </rPr>
          <t xml:space="preserve">inspection: 63 done; 6 waiting for NOI
</t>
        </r>
      </text>
    </comment>
    <comment ref="W27" authorId="0" shapeId="0" xr:uid="{4CD39F33-A349-4685-9EF0-4D9541A01DAA}">
      <text>
        <r>
          <rPr>
            <sz val="11"/>
            <color theme="1"/>
            <rFont val="新細明體"/>
            <family val="3"/>
            <charset val="129"/>
            <scheme val="minor"/>
          </rPr>
          <t xml:space="preserve">inspection: 63 done; 6 waiting for NOI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Josiane Chen/陳思穎/CTCI-PPM</author>
  </authors>
  <commentList>
    <comment ref="V7" authorId="0" shapeId="0" xr:uid="{998BF2F2-8BA1-4AFC-8552-F9F37923A5C7}">
      <text>
        <r>
          <rPr>
            <sz val="11"/>
            <color theme="1"/>
            <rFont val="新細明體"/>
            <family val="3"/>
            <charset val="129"/>
            <scheme val="minor"/>
          </rPr>
          <t>dispatched together with 1st batch</t>
        </r>
      </text>
    </comment>
    <comment ref="W7" authorId="0" shapeId="0" xr:uid="{62D15D6E-368F-487C-8E6E-5256F72142AF}">
      <text>
        <r>
          <rPr>
            <sz val="11"/>
            <color theme="1"/>
            <rFont val="新細明體"/>
            <family val="3"/>
            <charset val="129"/>
            <scheme val="minor"/>
          </rPr>
          <t>remaining Q'ty to be confirmed by Eng. team</t>
        </r>
      </text>
    </comment>
    <comment ref="V9" authorId="0" shapeId="0" xr:uid="{317D70B6-A36A-4EAD-9FAF-683100534C6F}">
      <text>
        <r>
          <rPr>
            <sz val="11"/>
            <color theme="1"/>
            <rFont val="新細明體"/>
            <family val="3"/>
            <charset val="129"/>
            <scheme val="minor"/>
          </rPr>
          <t>dispatched together with 1st batch</t>
        </r>
      </text>
    </comment>
    <comment ref="W9" authorId="0" shapeId="0" xr:uid="{3E2F0B94-8C2D-497E-B540-3A2559D52704}">
      <text>
        <r>
          <rPr>
            <sz val="11"/>
            <color theme="1"/>
            <rFont val="新細明體"/>
            <family val="3"/>
            <charset val="129"/>
            <scheme val="minor"/>
          </rPr>
          <t>remaining Q'ty to be confirmed by Eng. team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Emma Zhan/詹艷梅/CTCI-PROP</author>
  </authors>
  <commentList>
    <comment ref="AL12" authorId="0" shapeId="0" xr:uid="{C6250A30-278A-4890-91D6-B8D90C5199F5}">
      <text>
        <r>
          <rPr>
            <sz val="11"/>
            <color theme="1"/>
            <rFont val="新細明體"/>
            <family val="1"/>
            <charset val="136"/>
            <scheme val="minor"/>
          </rPr>
          <t>1. SS Splice plate (18H) 180 EA
2. Clamp 180 EA for 20mmH SS Raceway installation.</t>
        </r>
      </text>
    </comment>
    <comment ref="AL31" authorId="0" shapeId="0" xr:uid="{E8AECDBB-191D-4B30-8FDB-C5D3F970223F}">
      <text>
        <r>
          <rPr>
            <sz val="11"/>
            <color theme="1"/>
            <rFont val="新細明體"/>
            <family val="1"/>
            <charset val="136"/>
            <scheme val="minor"/>
          </rPr>
          <t>1. SS Splice plate (18H) 180 EA
2. Clamp 180 EA for 20mmH SS Raceway installation.</t>
        </r>
      </text>
    </comment>
    <comment ref="AL40" authorId="0" shapeId="0" xr:uid="{D8598038-3030-4BB8-AB4E-8EB31672A9D9}">
      <text>
        <r>
          <rPr>
            <sz val="11"/>
            <color theme="1"/>
            <rFont val="新細明體"/>
            <family val="1"/>
            <charset val="136"/>
            <scheme val="minor"/>
          </rPr>
          <t>1. SS Splice plate (18H) 180 EA
2. Clamp 180 EA for 20mmH SS Raceway installation.</t>
        </r>
      </text>
    </comment>
    <comment ref="AL41" authorId="0" shapeId="0" xr:uid="{70D31B7E-6C85-4E42-B125-E52907D6EE23}">
      <text>
        <r>
          <rPr>
            <sz val="11"/>
            <color theme="1"/>
            <rFont val="新細明體"/>
            <family val="1"/>
            <charset val="136"/>
            <scheme val="minor"/>
          </rPr>
          <t>1. SS Splice plate (18H) 180 EA
2. Clamp 180 EA for 20mmH SS Raceway installation.</t>
        </r>
      </text>
    </comment>
    <comment ref="AL52" authorId="0" shapeId="0" xr:uid="{148BA1C9-C92C-4577-8359-516151E95487}">
      <text>
        <r>
          <rPr>
            <sz val="11"/>
            <color theme="1"/>
            <rFont val="新細明體"/>
            <family val="1"/>
            <charset val="136"/>
            <scheme val="minor"/>
          </rPr>
          <t>1. SS Splice plate (18H) 180 EA
2. Clamp 180 EA for 20mmH SS Raceway installation.</t>
        </r>
      </text>
    </comment>
    <comment ref="AL64" authorId="0" shapeId="0" xr:uid="{27409782-0EC8-458F-97BC-B82FE7F523C9}">
      <text>
        <r>
          <rPr>
            <sz val="11"/>
            <color theme="1"/>
            <rFont val="新細明體"/>
            <family val="1"/>
            <charset val="136"/>
            <scheme val="minor"/>
          </rPr>
          <t>1. SS Splice plate (18H) 180 EA
2. Clamp 180 EA for 20mmH SS Raceway installation.</t>
        </r>
      </text>
    </comment>
    <comment ref="AL76" authorId="0" shapeId="0" xr:uid="{2E527B3E-9D70-4979-A84A-1BAA7D8550B1}">
      <text>
        <r>
          <rPr>
            <sz val="11"/>
            <color theme="1"/>
            <rFont val="新細明體"/>
            <family val="1"/>
            <charset val="136"/>
            <scheme val="minor"/>
          </rPr>
          <t>1. SS Splice plate (18H) 180 EA
2. Clamp 180 EA for 20mmH SS Raceway installation.</t>
        </r>
      </text>
    </comment>
    <comment ref="AL88" authorId="0" shapeId="0" xr:uid="{3CD4E8E6-671A-4890-8461-41BB1E35DD1D}">
      <text>
        <r>
          <rPr>
            <sz val="11"/>
            <color theme="1"/>
            <rFont val="新細明體"/>
            <family val="1"/>
            <charset val="136"/>
            <scheme val="minor"/>
          </rPr>
          <t>1. SS Splice plate (18H) 180 EA
2. Clamp 180 EA for 20mmH SS Raceway installation.</t>
        </r>
      </text>
    </comment>
    <comment ref="AL99" authorId="0" shapeId="0" xr:uid="{CE279413-77F2-4650-9C8F-D9804318232D}">
      <text>
        <r>
          <rPr>
            <sz val="11"/>
            <color theme="1"/>
            <rFont val="新細明體"/>
            <family val="1"/>
            <charset val="136"/>
            <scheme val="minor"/>
          </rPr>
          <t>1. SS Splice plate (18H) 180 EA
2. Clamp 180 EA for 20mmH SS Raceway installation.</t>
        </r>
      </text>
    </comment>
    <comment ref="AL134" authorId="0" shapeId="0" xr:uid="{070592D1-8005-4B3F-859A-F2E490AF9DE4}">
      <text>
        <r>
          <rPr>
            <sz val="11"/>
            <color theme="1"/>
            <rFont val="新細明體"/>
            <family val="1"/>
            <charset val="136"/>
            <scheme val="minor"/>
          </rPr>
          <t>1. SS Splice plate (18H) 180 EA
2. Clamp 180 EA for 20mmH SS Raceway installation.</t>
        </r>
      </text>
    </comment>
    <comment ref="AL144" authorId="0" shapeId="0" xr:uid="{4D0877E9-1AF8-4C21-94C9-E34B41F53A0B}">
      <text>
        <r>
          <rPr>
            <sz val="11"/>
            <color theme="1"/>
            <rFont val="新細明體"/>
            <family val="1"/>
            <charset val="136"/>
            <scheme val="minor"/>
          </rPr>
          <t>1. SS Splice plate (18H) 180 EA
2. Clamp 180 EA for 20mmH SS Raceway installation.</t>
        </r>
      </text>
    </comment>
    <comment ref="AL153" authorId="0" shapeId="0" xr:uid="{BF794D73-4110-40F1-8B6A-6CDF861E1623}">
      <text>
        <r>
          <rPr>
            <sz val="11"/>
            <color theme="1"/>
            <rFont val="新細明體"/>
            <family val="1"/>
            <charset val="136"/>
            <scheme val="minor"/>
          </rPr>
          <t>1. SS Splice plate (18H) 180 EA
2. Clamp 180 EA for 20mmH SS Raceway installation.</t>
        </r>
      </text>
    </comment>
    <comment ref="AL165" authorId="0" shapeId="0" xr:uid="{32A29340-16A5-4F39-AF55-AFEB3A4F4D90}">
      <text>
        <r>
          <rPr>
            <sz val="11"/>
            <color theme="1"/>
            <rFont val="新細明體"/>
            <family val="1"/>
            <charset val="136"/>
            <scheme val="minor"/>
          </rPr>
          <t>1. SS Splice plate (18H) 180 EA
2. Clamp 180 EA for 20mmH SS Raceway installation.</t>
        </r>
      </text>
    </comment>
    <comment ref="AL174" authorId="0" shapeId="0" xr:uid="{74807A36-615E-427B-B531-25CCA6F66405}">
      <text>
        <r>
          <rPr>
            <sz val="11"/>
            <color theme="1"/>
            <rFont val="新細明體"/>
            <family val="1"/>
            <charset val="136"/>
            <scheme val="minor"/>
          </rPr>
          <t>1. SS Splice plate (18H) 180 EA
2. Clamp 180 EA for 20mmH SS Raceway installation.</t>
        </r>
      </text>
    </comment>
    <comment ref="AL183" authorId="0" shapeId="0" xr:uid="{5FB0D8E3-7F85-4385-A960-BCBF6DED9309}">
      <text>
        <r>
          <rPr>
            <sz val="11"/>
            <color theme="1"/>
            <rFont val="新細明體"/>
            <family val="1"/>
            <charset val="136"/>
            <scheme val="minor"/>
          </rPr>
          <t>1. SS Splice plate (18H) 180 EA
2. Clamp 180 EA for 20mmH SS Raceway installation.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9" authorId="0" shapeId="0" xr:uid="{E4C87FBD-FFBF-4DE0-A1A5-4FBE0062CAA3}">
      <text>
        <r>
          <rPr>
            <b/>
            <sz val="12"/>
            <color indexed="81"/>
            <rFont val="Tahoma"/>
            <family val="2"/>
          </rPr>
          <t xml:space="preserve">2026-01-29 </t>
        </r>
        <r>
          <rPr>
            <b/>
            <sz val="12"/>
            <color indexed="81"/>
            <rFont val="돋움"/>
            <family val="3"/>
            <charset val="129"/>
          </rPr>
          <t>→</t>
        </r>
        <r>
          <rPr>
            <b/>
            <sz val="12"/>
            <color indexed="81"/>
            <rFont val="Tahoma"/>
            <family val="2"/>
          </rPr>
          <t xml:space="preserve"> 2025-11-15</t>
        </r>
        <r>
          <rPr>
            <b/>
            <sz val="9"/>
            <color indexed="81"/>
            <rFont val="Tahoma"/>
            <family val="2"/>
          </rPr>
          <t xml:space="preserve">
</t>
        </r>
      </text>
    </comment>
    <comment ref="H10" authorId="0" shapeId="0" xr:uid="{79BD5CA9-4C4F-4DFB-8CF2-B0724FBA91C6}">
      <text>
        <r>
          <rPr>
            <b/>
            <sz val="12"/>
            <color indexed="81"/>
            <rFont val="Tahoma"/>
            <family val="2"/>
          </rPr>
          <t xml:space="preserve">2026-01-29 </t>
        </r>
        <r>
          <rPr>
            <b/>
            <sz val="12"/>
            <color indexed="81"/>
            <rFont val="돋움"/>
            <family val="3"/>
            <charset val="129"/>
          </rPr>
          <t>→</t>
        </r>
        <r>
          <rPr>
            <b/>
            <sz val="12"/>
            <color indexed="81"/>
            <rFont val="Tahoma"/>
            <family val="2"/>
          </rPr>
          <t xml:space="preserve"> 2026-03-24</t>
        </r>
      </text>
    </comment>
    <comment ref="H11" authorId="0" shapeId="0" xr:uid="{887BF077-0383-4934-999C-B5F3D7B5D7A4}">
      <text>
        <r>
          <rPr>
            <b/>
            <sz val="12"/>
            <color indexed="81"/>
            <rFont val="Tahoma"/>
            <family val="2"/>
          </rPr>
          <t xml:space="preserve">2026-01-21 </t>
        </r>
        <r>
          <rPr>
            <b/>
            <sz val="12"/>
            <color indexed="81"/>
            <rFont val="돋움"/>
            <family val="3"/>
            <charset val="129"/>
          </rPr>
          <t>→</t>
        </r>
        <r>
          <rPr>
            <b/>
            <sz val="12"/>
            <color indexed="81"/>
            <rFont val="Tahoma"/>
            <family val="2"/>
          </rPr>
          <t xml:space="preserve"> 2026-01-08</t>
        </r>
      </text>
    </comment>
    <comment ref="H13" authorId="0" shapeId="0" xr:uid="{8408619B-0F1E-4AD5-A643-CCD4A5DA2B3C}">
      <text>
        <r>
          <rPr>
            <b/>
            <sz val="12"/>
            <color indexed="81"/>
            <rFont val="Tahoma"/>
            <family val="2"/>
          </rPr>
          <t xml:space="preserve">2026-01-21 </t>
        </r>
        <r>
          <rPr>
            <b/>
            <sz val="12"/>
            <color indexed="81"/>
            <rFont val="돋움"/>
            <family val="3"/>
            <charset val="129"/>
          </rPr>
          <t>→</t>
        </r>
        <r>
          <rPr>
            <b/>
            <sz val="12"/>
            <color indexed="81"/>
            <rFont val="Tahoma"/>
            <family val="2"/>
          </rPr>
          <t xml:space="preserve"> 2026-02-15</t>
        </r>
      </text>
    </comment>
    <comment ref="H16" authorId="0" shapeId="0" xr:uid="{1F67AF9D-7652-47E7-A7C5-FAC628E26E61}">
      <text>
        <r>
          <rPr>
            <b/>
            <sz val="12"/>
            <color indexed="81"/>
            <rFont val="Tahoma"/>
            <family val="2"/>
          </rPr>
          <t xml:space="preserve">2026-01-21 </t>
        </r>
        <r>
          <rPr>
            <b/>
            <sz val="12"/>
            <color indexed="81"/>
            <rFont val="돋움"/>
            <family val="3"/>
            <charset val="129"/>
          </rPr>
          <t>→</t>
        </r>
        <r>
          <rPr>
            <b/>
            <sz val="12"/>
            <color indexed="81"/>
            <rFont val="Tahoma"/>
            <family val="2"/>
          </rPr>
          <t xml:space="preserve"> 2026-02-27</t>
        </r>
      </text>
    </comment>
    <comment ref="H18" authorId="0" shapeId="0" xr:uid="{3841A875-0447-4B83-90EC-95E86FB2FAA0}">
      <text>
        <r>
          <rPr>
            <b/>
            <sz val="12"/>
            <color indexed="81"/>
            <rFont val="Tahoma"/>
            <family val="2"/>
          </rPr>
          <t xml:space="preserve">2026-01-21 </t>
        </r>
        <r>
          <rPr>
            <b/>
            <sz val="12"/>
            <color indexed="81"/>
            <rFont val="돋움"/>
            <family val="3"/>
            <charset val="129"/>
          </rPr>
          <t>→</t>
        </r>
        <r>
          <rPr>
            <b/>
            <sz val="12"/>
            <color indexed="81"/>
            <rFont val="Tahoma"/>
            <family val="2"/>
          </rPr>
          <t xml:space="preserve"> 2026-02-27</t>
        </r>
      </text>
    </comment>
    <comment ref="H20" authorId="0" shapeId="0" xr:uid="{D9DC4E95-960D-4475-92AA-38BBAFAC28B6}">
      <text>
        <r>
          <rPr>
            <b/>
            <sz val="12"/>
            <color indexed="81"/>
            <rFont val="Tahoma"/>
            <family val="2"/>
          </rPr>
          <t xml:space="preserve">2026-01-21 </t>
        </r>
        <r>
          <rPr>
            <b/>
            <sz val="12"/>
            <color indexed="81"/>
            <rFont val="돋움"/>
            <family val="3"/>
            <charset val="129"/>
          </rPr>
          <t>→</t>
        </r>
        <r>
          <rPr>
            <b/>
            <sz val="12"/>
            <color indexed="81"/>
            <rFont val="Tahoma"/>
            <family val="2"/>
          </rPr>
          <t xml:space="preserve"> 2026-02-27</t>
        </r>
      </text>
    </comment>
  </commentList>
</comments>
</file>

<file path=xl/sharedStrings.xml><?xml version="1.0" encoding="utf-8"?>
<sst xmlns="http://schemas.openxmlformats.org/spreadsheetml/2006/main" count="4014" uniqueCount="2012">
  <si>
    <t>No.</t>
  </si>
  <si>
    <t>PO Information</t>
    <phoneticPr fontId="2" type="noConversion"/>
  </si>
  <si>
    <t>Key  Milestone</t>
  </si>
  <si>
    <t>Sub-Order Status</t>
  </si>
  <si>
    <t>Inspection Status</t>
    <phoneticPr fontId="2" type="noConversion"/>
  </si>
  <si>
    <t>Manufacturing Progress</t>
  </si>
  <si>
    <t>Shipping &amp; Delivery</t>
  </si>
  <si>
    <t>Key Milestone</t>
  </si>
  <si>
    <t>Plan</t>
  </si>
  <si>
    <t>Forecast</t>
  </si>
  <si>
    <t>Actual</t>
  </si>
  <si>
    <t>Sub-Order Item</t>
  </si>
  <si>
    <t>Q'ty</t>
  </si>
  <si>
    <t>Sub-Order Issued</t>
  </si>
  <si>
    <t>Sub-Order Received</t>
  </si>
  <si>
    <t>Sub-Vendor</t>
  </si>
  <si>
    <t>Major Inspection Plan</t>
    <phoneticPr fontId="2" type="noConversion"/>
  </si>
  <si>
    <t>Inspection Application</t>
    <phoneticPr fontId="2" type="noConversion"/>
  </si>
  <si>
    <t>Item No.</t>
  </si>
  <si>
    <t>Item Name</t>
  </si>
  <si>
    <t>Start Fabricatioin</t>
  </si>
  <si>
    <t>SQR</t>
    <phoneticPr fontId="2" type="noConversion"/>
  </si>
  <si>
    <t>IRC</t>
    <phoneticPr fontId="2" type="noConversion"/>
  </si>
  <si>
    <t>Cargo Ready</t>
  </si>
  <si>
    <t>Weight 
(Ton)</t>
    <phoneticPr fontId="2" type="noConversion"/>
  </si>
  <si>
    <t>Remark</t>
    <phoneticPr fontId="2" type="noConversion"/>
  </si>
  <si>
    <t>Material shipped</t>
  </si>
  <si>
    <t>Shipment No.</t>
  </si>
  <si>
    <t>Delivery At site</t>
  </si>
  <si>
    <t>ROS</t>
  </si>
  <si>
    <t>Type</t>
    <phoneticPr fontId="2" type="noConversion"/>
  </si>
  <si>
    <t>NOI no.</t>
    <phoneticPr fontId="2" type="noConversion"/>
  </si>
  <si>
    <t>Insp. Date</t>
    <phoneticPr fontId="2" type="noConversion"/>
  </si>
  <si>
    <t>Result</t>
    <phoneticPr fontId="2" type="noConversion"/>
  </si>
  <si>
    <t>Transmittal no.</t>
    <phoneticPr fontId="2" type="noConversion"/>
  </si>
  <si>
    <t>number #</t>
    <phoneticPr fontId="2" type="noConversion"/>
  </si>
  <si>
    <t>ETD</t>
  </si>
  <si>
    <t>ATD</t>
  </si>
  <si>
    <t>ETA</t>
  </si>
  <si>
    <t>ATA</t>
  </si>
  <si>
    <t>M/R No.</t>
  </si>
  <si>
    <t>FK7A.01</t>
  </si>
  <si>
    <t>KOM</t>
  </si>
  <si>
    <t>Flare stack w/ Derrick and P&amp;F</t>
  </si>
  <si>
    <t>Werim , Korea</t>
  </si>
  <si>
    <t>Final inspection for Template and Anchor Bolt</t>
  </si>
  <si>
    <t>N-5000106972-001</t>
  </si>
  <si>
    <t>pass</t>
  </si>
  <si>
    <t>COMMON</t>
  </si>
  <si>
    <t>Template and Anchor Bolt</t>
  </si>
  <si>
    <t>IR-5000106972-0001</t>
  </si>
  <si>
    <t>SC7128C-P1-KC043-CS</t>
  </si>
  <si>
    <t>M/R Name</t>
  </si>
  <si>
    <t>Elevated Flare</t>
  </si>
  <si>
    <t>Key V/P</t>
  </si>
  <si>
    <t>Blowers (HP &amp; LP)</t>
  </si>
  <si>
    <t>4</t>
  </si>
  <si>
    <t>2025-02-13 Final</t>
  </si>
  <si>
    <t>Suewon , KOREA</t>
  </si>
  <si>
    <t>PIM</t>
  </si>
  <si>
    <t>N-5000106972-002</t>
  </si>
  <si>
    <t xml:space="preserve"> 40-PKF-9100</t>
  </si>
  <si>
    <t>ELEVATED CRYOGENIC LP FLARE</t>
  </si>
  <si>
    <t>refer to below</t>
  </si>
  <si>
    <t>P/O No.</t>
  </si>
  <si>
    <t>Sub-order Issued</t>
  </si>
  <si>
    <t>Instrucments (PG, PT..etc)</t>
  </si>
  <si>
    <t xml:space="preserve">  1 Lot  </t>
  </si>
  <si>
    <t>Rueger , Korea</t>
  </si>
  <si>
    <t>Material inspection</t>
  </si>
  <si>
    <t>2025-10-28
2025-11-10
2025-11-19</t>
  </si>
  <si>
    <t>N-5000106972-003
N-5000106972-005
N-5000106972-007</t>
  </si>
  <si>
    <t xml:space="preserve"> 40-PKF-9101</t>
  </si>
  <si>
    <t>ELEVATED CRYOGENIC HP FLARE</t>
  </si>
  <si>
    <t>Q'ty(Item/Set)</t>
  </si>
  <si>
    <t>Receive Main material</t>
  </si>
  <si>
    <t xml:space="preserve">UCP Panel </t>
  </si>
  <si>
    <t>JS and/or Hanshin
- FAT/iFAT on 3/3~3/6
- to REI shop by end of Mar, 2026</t>
  </si>
  <si>
    <t>PA-UT Demonstration</t>
  </si>
  <si>
    <t>N-5000106972-006</t>
  </si>
  <si>
    <t>HP Air Riser 5 ea, LP Air Riser 4 ea, HP Duct, A/B</t>
  </si>
  <si>
    <t>IR-5000106972-0002</t>
  </si>
  <si>
    <t>Anchor Bolt</t>
  </si>
  <si>
    <t>Vendor Name</t>
  </si>
  <si>
    <t>Zeeco Asia</t>
  </si>
  <si>
    <t>PIM</t>
    <phoneticPr fontId="2" type="noConversion"/>
  </si>
  <si>
    <t>ASD Panel</t>
  </si>
  <si>
    <t>ABB, Korea and China
- LV ASD PANEL in Korea
- MV ASD PANEL in China</t>
  </si>
  <si>
    <t>(MV) Motor routine/performance test</t>
  </si>
  <si>
    <t>N-5000106972-004</t>
  </si>
  <si>
    <t>LP Air Riser 1 ea, LP Duct, Derrick Structure, P&amp;L, Utility Piping, Loose Part, S/P etc</t>
  </si>
  <si>
    <t>IR-5000106972-0003</t>
  </si>
  <si>
    <t>SC7128C-P1-KA159-CS</t>
  </si>
  <si>
    <t>2026-02-19</t>
  </si>
  <si>
    <t>by DHL</t>
  </si>
  <si>
    <t>Delivery Date</t>
    <phoneticPr fontId="2" type="noConversion"/>
  </si>
  <si>
    <t>Start Fabrication</t>
  </si>
  <si>
    <t>Panels (ACWL(1))</t>
  </si>
  <si>
    <t>Hanshin</t>
  </si>
  <si>
    <t>DI/VI of Derreck</t>
  </si>
  <si>
    <t>N-5000106972-008</t>
  </si>
  <si>
    <t>HP Blower, LP Blower</t>
  </si>
  <si>
    <t>IR-5000106972-0004</t>
  </si>
  <si>
    <t>1st batch [Flare stack]</t>
  </si>
  <si>
    <t>Delivery Term</t>
    <phoneticPr fontId="2" type="noConversion"/>
  </si>
  <si>
    <t>FOB</t>
  </si>
  <si>
    <t>Inspection and Test</t>
  </si>
  <si>
    <t>2025-03-09~</t>
  </si>
  <si>
    <t>Ignition Racks</t>
  </si>
  <si>
    <t>2025-01-20 Final</t>
  </si>
  <si>
    <t>Shina Industry</t>
  </si>
  <si>
    <t>DI/VI of Rack : LPG Skid 2 only</t>
  </si>
  <si>
    <t>N-5000106972-009</t>
  </si>
  <si>
    <t>HP Flare Tip 2 ea, LP Flare Tip 1 ea</t>
  </si>
  <si>
    <t>IR-5000106972-0005</t>
  </si>
  <si>
    <t>[Duct, Riser] 14 PKGS (BB) </t>
  </si>
  <si>
    <t>SC7128C-P1-KB130-CS</t>
  </si>
  <si>
    <t>ATA Duqm, Oman 4/29</t>
  </si>
  <si>
    <t>Delivery Location</t>
    <phoneticPr fontId="2" type="noConversion"/>
  </si>
  <si>
    <t>Packing</t>
  </si>
  <si>
    <t>2025-03-17~28</t>
  </si>
  <si>
    <t>Flare Tips (including Pilots)</t>
  </si>
  <si>
    <t>2025-02-25 Final</t>
  </si>
  <si>
    <t>DI/VI of Ignition rack + LPG rack</t>
  </si>
  <si>
    <t>N-5000106972-009 rev</t>
  </si>
  <si>
    <t>[Derrick structure] 21*40 HQ</t>
  </si>
  <si>
    <t>SC7128C-P1-KC131-CS</t>
  </si>
  <si>
    <t>ETA Jeddah, KSA 6/17</t>
  </si>
  <si>
    <t>2026-03-10 booking cancelled</t>
  </si>
  <si>
    <t>Inspection Level</t>
  </si>
  <si>
    <t xml:space="preserve">Cargo ready </t>
    <phoneticPr fontId="2" type="noConversion"/>
  </si>
  <si>
    <t>2025-03-24~</t>
  </si>
  <si>
    <t>Manual valve (Gate, Ball, Check)</t>
  </si>
  <si>
    <t>Myungsung Tech</t>
  </si>
  <si>
    <t>DI/VI of remaining part</t>
  </si>
  <si>
    <t>2026-01-14, 15</t>
  </si>
  <si>
    <t>N-5000106972-010</t>
  </si>
  <si>
    <t>[ladder &amp; platform] 
4*40 FR (OW)</t>
  </si>
  <si>
    <t>SC7128C-P1-KC157-CS</t>
  </si>
  <si>
    <t>ETA Jeddah, KSA 6/28</t>
  </si>
  <si>
    <t>Vendor PIC</t>
    <phoneticPr fontId="2" type="noConversion"/>
  </si>
  <si>
    <t>Simon Lee</t>
  </si>
  <si>
    <t xml:space="preserve">Shut off valve and Sol valve </t>
  </si>
  <si>
    <t>2026-01-30</t>
  </si>
  <si>
    <t>Cohands</t>
  </si>
  <si>
    <t>Blower MRT/Performance/DIVI</t>
  </si>
  <si>
    <t>2026-01-19, 20</t>
  </si>
  <si>
    <t>2026-01-20</t>
  </si>
  <si>
    <t>N-5000106972-011</t>
  </si>
  <si>
    <t>2*40 FR (IG)</t>
  </si>
  <si>
    <t>SC7128C-P1-KC211-CS</t>
  </si>
  <si>
    <t>ETA Jeddah, KSA 6/15</t>
  </si>
  <si>
    <t>SCJV PE</t>
    <phoneticPr fontId="2" type="noConversion"/>
  </si>
  <si>
    <t>Michelle Chen</t>
  </si>
  <si>
    <t>Anchor &amp; Template</t>
  </si>
  <si>
    <t xml:space="preserve"> 1 Lot </t>
  </si>
  <si>
    <t>MI/NDE/VIDI for Duct and LP Riser</t>
  </si>
  <si>
    <t>N-5000106972-012</t>
  </si>
  <si>
    <t>SCJV RE</t>
    <phoneticPr fontId="2" type="noConversion"/>
  </si>
  <si>
    <t>Ryan Chou</t>
  </si>
  <si>
    <t>Combsution air duct w/ Supprot</t>
  </si>
  <si>
    <t>2026-03-07</t>
  </si>
  <si>
    <t>2025-02-26 Final</t>
  </si>
  <si>
    <t>Surface Preparation for LP Riser</t>
  </si>
  <si>
    <t>2026-01-23</t>
  </si>
  <si>
    <t>N-5000106972-013</t>
  </si>
  <si>
    <t>2nd batch [Blower (+ Flare Tip)]</t>
  </si>
  <si>
    <t>SCJV Expeditor</t>
  </si>
  <si>
    <t>Derek Chen (Heesun Park support)</t>
  </si>
  <si>
    <t>EHT panel (1)</t>
  </si>
  <si>
    <t>Geodong , Korea</t>
  </si>
  <si>
    <t>[No W point] Trial Assembly of Derreck</t>
  </si>
  <si>
    <t>N-5000106972-014</t>
  </si>
  <si>
    <t>not W point</t>
  </si>
  <si>
    <t>5*40 HQ</t>
  </si>
  <si>
    <t>SC7128C-P1-KC164-CS</t>
  </si>
  <si>
    <t>ETA Jeddah, KSA 6/05</t>
  </si>
  <si>
    <t>JB and LP</t>
  </si>
  <si>
    <t xml:space="preserve">   1 Lot   </t>
  </si>
  <si>
    <t>MI/NDE/VIDI for HP Riser, PI for LP Riser, 
Surface Preparation for Duct</t>
  </si>
  <si>
    <t>2026-01-26~29</t>
  </si>
  <si>
    <t>2026-01-26~28</t>
  </si>
  <si>
    <t>2026-01-26~28　</t>
  </si>
  <si>
    <t>[Ignition Rack]2*40 OT</t>
  </si>
  <si>
    <t>SC7128C-P1-KC212-CS</t>
  </si>
  <si>
    <t>ETA Jeddah, KSA 6/27</t>
  </si>
  <si>
    <t>Surface Preparation for HP Riser</t>
  </si>
  <si>
    <t>　2026-01-30</t>
  </si>
  <si>
    <t>N-5000106972-015</t>
  </si>
  <si>
    <t>　pass</t>
  </si>
  <si>
    <t>[HP blower] 4*40 FR (OWOH)</t>
  </si>
  <si>
    <t>SC7128C-P1-KC165-CS</t>
  </si>
  <si>
    <t>PI for Duct, MI/PMI/VI etc for Utility Piping</t>
  </si>
  <si>
    <t>2026-02-02</t>
  </si>
  <si>
    <t>　2026-02-02</t>
  </si>
  <si>
    <t>[LP blower] 3*40 FR (OWOH)</t>
  </si>
  <si>
    <t>SC7128C-P1-KC226-CS</t>
  </si>
  <si>
    <t>ETA Jeddah, KSA 7/11</t>
  </si>
  <si>
    <t>PI for HP Riser</t>
  </si>
  <si>
    <t>　2026-02-05</t>
  </si>
  <si>
    <t>[LP blower] 4*40 FR (OW)</t>
  </si>
  <si>
    <t>SC7128C-P1-KC227-CS</t>
  </si>
  <si>
    <t>ETA Jeddah, KSA 7/18</t>
  </si>
  <si>
    <t>Galv. Inspection for P&amp;L, HDG for Derrick</t>
  </si>
  <si>
    <t>　2026-02-04</t>
  </si>
  <si>
    <t>N-5000106972-016</t>
  </si>
  <si>
    <t>2026-02-04　</t>
  </si>
  <si>
    <t>[Pipe, Duct] 4*40 FR (OH)</t>
  </si>
  <si>
    <t>SC7128C-P1-KC228-CS</t>
  </si>
  <si>
    <t>Packing Inspection for 1st batch (LP/HP Riser and Duct - four out of five)</t>
  </si>
  <si>
    <t>N-5000106972-017</t>
  </si>
  <si>
    <t>[Rain Hood Support, Cable] 
1*40FR (OW)</t>
  </si>
  <si>
    <t>SC7128C-P1-KC229-CS</t>
  </si>
  <si>
    <t>ETA Jeddah, KSA 6/15, request change POD to Hamad with carrier</t>
  </si>
  <si>
    <t>Painting Inspection for HP/LP Blower</t>
  </si>
  <si>
    <t>2026-2-12,13</t>
  </si>
  <si>
    <t>N-5000106972-018</t>
  </si>
  <si>
    <t>Final VIDI for JB</t>
  </si>
  <si>
    <t>N-5000106972-020</t>
  </si>
  <si>
    <t>3rd batch (Paint)</t>
  </si>
  <si>
    <t>Function and VIDI for EHT Panel</t>
  </si>
  <si>
    <t>N-5000106972-019</t>
  </si>
  <si>
    <t>[Paint] 1*20 GP</t>
  </si>
  <si>
    <t>TBC</t>
  </si>
  <si>
    <t>SC7128C-P1-KC160-CS</t>
  </si>
  <si>
    <t>1. DG cargo
2. Checking import requirements and import license with GWC</t>
  </si>
  <si>
    <t>Function and VIDI for Local Panels</t>
  </si>
  <si>
    <t>N-5000106972-021</t>
  </si>
  <si>
    <t>VIDI, PI, PA for HP/LP Flare Tip</t>
  </si>
  <si>
    <t>2026-02-25~27</t>
  </si>
  <si>
    <t>N-5000106972-022</t>
  </si>
  <si>
    <t>UCP Delivery</t>
  </si>
  <si>
    <t>FAT/iFAT of UCP **hardware</t>
  </si>
  <si>
    <t>2026-03-10~12</t>
  </si>
  <si>
    <t>2026-03-11~13</t>
  </si>
  <si>
    <t>N-5000106972-026</t>
  </si>
  <si>
    <t>wiring issue</t>
  </si>
  <si>
    <t>to RIE shop</t>
  </si>
  <si>
    <t>2026-05-09</t>
  </si>
  <si>
    <t>SC7128C-P1-KT168-V</t>
  </si>
  <si>
    <t>FAT/iFAT of UCP **software</t>
  </si>
  <si>
    <t>2026-04-20~24</t>
  </si>
  <si>
    <t>2026-04-20~23</t>
  </si>
  <si>
    <t>N-5000106972-028</t>
  </si>
  <si>
    <t>to site</t>
  </si>
  <si>
    <t>Mid June</t>
  </si>
  <si>
    <t>FAT/iFAT of ASD Panel (LV) in Korea</t>
  </si>
  <si>
    <t>N-5000106972-029</t>
  </si>
  <si>
    <t>FAT/iFAT of ASD Panel (MV) in China</t>
  </si>
  <si>
    <t>2026-05-14~16</t>
  </si>
  <si>
    <t>N-5000106972-030</t>
  </si>
  <si>
    <t>Packing Inspection of UCP, ASD Panel etc</t>
  </si>
  <si>
    <t>2026-03-07
TBD</t>
  </si>
  <si>
    <t>to be postponded</t>
  </si>
  <si>
    <t>Packing Inspection for Duct etc.</t>
  </si>
  <si>
    <t>2026-02-26~27</t>
  </si>
  <si>
    <t>N-5000106972-023</t>
  </si>
  <si>
    <t>Packing Inspection for HP/LP Blower</t>
  </si>
  <si>
    <t>2026-02-26~27
2026-03-03~05</t>
  </si>
  <si>
    <t>N-5000106972-024</t>
  </si>
  <si>
    <t>PA for Rack</t>
  </si>
  <si>
    <t>N-5000106972-025</t>
  </si>
  <si>
    <t>PA for EHT panel</t>
  </si>
  <si>
    <t>N-5000106972-027</t>
  </si>
  <si>
    <t>Main Issue</t>
    <phoneticPr fontId="2" type="noConversion"/>
  </si>
  <si>
    <t>1/29 MPR ① UCP fabrication delay due to N₂ Rich and Purge cases open ② ASD under clarification</t>
  </si>
  <si>
    <t>10/23 NOI for MI submitted and scheduled on Oct 28th</t>
  </si>
  <si>
    <t>8/14 Zeeco hold the sub order due to additional case (N2 rich case) study which can affect the design of TIp, Blower, Duct Design etc
8/20 Zeeco is preparing internal process. After that, sub order can be issued by Aug 22
9/3 sub order for instrument under preparation"
9/30 current status and progres check at vendor office : about a month delayed
12/9 ① Zeeco visit Taiwan to close PLC issue ② verbal information : VFD panel delayed and details can be provided later</t>
  </si>
  <si>
    <t/>
  </si>
  <si>
    <t>EH2A.01</t>
  </si>
  <si>
    <t>Heater 40-E-9000</t>
  </si>
  <si>
    <t>Heater PIM</t>
  </si>
  <si>
    <t>N-5000106450-001</t>
  </si>
  <si>
    <t xml:space="preserve"> 40-E-9000</t>
  </si>
  <si>
    <t xml:space="preserve">HP FLARE KO DRUM ELECTRIC HEATER </t>
  </si>
  <si>
    <t>FAT report uploaded</t>
  </si>
  <si>
    <t>SC7128C-P1-EC161-CS</t>
  </si>
  <si>
    <t>update ROS: 8/15, port: Bilbao,Spain</t>
  </si>
  <si>
    <t>Electrical Heater</t>
  </si>
  <si>
    <t>304/304L Seemless Tube  for Element Pockets</t>
  </si>
  <si>
    <t>batch</t>
  </si>
  <si>
    <t>Marphil - France</t>
  </si>
  <si>
    <t>Heater E-9000 Electrical FAT and Hydrotest</t>
  </si>
  <si>
    <t>N-5000106450-003</t>
  </si>
  <si>
    <t>40-E-9001</t>
  </si>
  <si>
    <t>HP Flare KO Drum Boot Electric Heater</t>
  </si>
  <si>
    <t>update ROS: 8/15</t>
  </si>
  <si>
    <t>Incoloy 800 element material</t>
  </si>
  <si>
    <t>Vulcanic - France</t>
  </si>
  <si>
    <t>Heater E-9000 Final Inspection</t>
  </si>
  <si>
    <t>CP for Heaters</t>
  </si>
  <si>
    <t>SS304 Flange</t>
  </si>
  <si>
    <t>Special Flanges S.p.A. - Italy</t>
  </si>
  <si>
    <t xml:space="preserve">Control Panel E-9000 Electrical FAT </t>
  </si>
  <si>
    <t>N-5000106450-004</t>
  </si>
  <si>
    <t>punch closing</t>
  </si>
  <si>
    <t>Vulcanic Thermoelectrica SLU</t>
  </si>
  <si>
    <t>Temp Transmitters</t>
  </si>
  <si>
    <t>Rosemount Emerson - France</t>
  </si>
  <si>
    <t>Control Panel E-9000 Final and Packing Inspection</t>
  </si>
  <si>
    <t>Sensors (Type  K TC Duplex)</t>
  </si>
  <si>
    <t>H&amp;B Sensors - UK</t>
  </si>
  <si>
    <t>Heater E-9001 Electrical FAT and Hydrotest</t>
  </si>
  <si>
    <t>N-5000106450-003</t>
    <phoneticPr fontId="2" type="noConversion"/>
  </si>
  <si>
    <t>Finish Fabrication</t>
  </si>
  <si>
    <t>Thyristor</t>
  </si>
  <si>
    <t>CD Automation - UK</t>
  </si>
  <si>
    <t>Heater E-9001 Final Inspection</t>
  </si>
  <si>
    <t>N-5000106450-002</t>
  </si>
  <si>
    <t>Spain</t>
  </si>
  <si>
    <t>Cabinet Enclosure Compartments</t>
  </si>
  <si>
    <t>Rittal - France</t>
  </si>
  <si>
    <t xml:space="preserve">Control Panel E-9001 Electrical FAT </t>
  </si>
  <si>
    <t>Packing E-9000</t>
  </si>
  <si>
    <t>Gaskets</t>
  </si>
  <si>
    <t>CALVO SEALING - Spain</t>
  </si>
  <si>
    <t>Control Panel E-9001 Final and Packing Inspection</t>
  </si>
  <si>
    <t>Daniel Rose</t>
  </si>
  <si>
    <t>Cargo ready E-9000</t>
  </si>
  <si>
    <t>Studbolts</t>
  </si>
  <si>
    <t>BECK PROSPER - UK</t>
  </si>
  <si>
    <t>Packing E-9001</t>
  </si>
  <si>
    <t>Heater 40-E-9001</t>
  </si>
  <si>
    <t>Tawatchai Tarseekum</t>
  </si>
  <si>
    <t>Cargo ready E-9001</t>
  </si>
  <si>
    <t>Andrew Zheng-&gt;Willy Wang</t>
  </si>
  <si>
    <t>Cargo ready (Panels)</t>
  </si>
  <si>
    <t>2025-10-28</t>
  </si>
  <si>
    <t>ED1A.01</t>
  </si>
  <si>
    <t>for Main</t>
  </si>
  <si>
    <t>Final inspection for template and anchor bolt</t>
  </si>
  <si>
    <t>N-5000106900-001</t>
  </si>
  <si>
    <t>ALL</t>
  </si>
  <si>
    <t>Anchor Bolt, Template, Sole Plate</t>
  </si>
  <si>
    <t>IRC-5000106900-0001</t>
  </si>
  <si>
    <t>SC7128C-P1-KC017-CS</t>
  </si>
  <si>
    <t>Drum</t>
  </si>
  <si>
    <t>- Plate SA240-304/304L</t>
  </si>
  <si>
    <t>7 sheets</t>
  </si>
  <si>
    <t>DKC, SM Steel / Korea</t>
  </si>
  <si>
    <t>N-5000106900-002</t>
  </si>
  <si>
    <t>40-V-9000</t>
  </si>
  <si>
    <t>HP FLARE KO DRUM ELECTRIC HEATER</t>
  </si>
  <si>
    <t>IRC-5000106900-0002</t>
  </si>
  <si>
    <t>SC7128C-P1-KC116-CS</t>
  </si>
  <si>
    <t>ATA Khor Fakkan port 4/25 - all except 40' HQ x1, POD Sohar, Oman</t>
  </si>
  <si>
    <t>- Plate SA516-70</t>
  </si>
  <si>
    <t>12 sheets</t>
  </si>
  <si>
    <t>DONGKUK / Korea</t>
  </si>
  <si>
    <t>2025-07-01
2025-07-21</t>
  </si>
  <si>
    <t>N-5000106900-004
N-5000106900-005</t>
  </si>
  <si>
    <t>40-V-8501</t>
  </si>
  <si>
    <t xml:space="preserve">PLANT AIR BUFFER DRUM </t>
  </si>
  <si>
    <t>for Nozzle</t>
  </si>
  <si>
    <t>Bevel NDE,FIT UP, Pipe marking</t>
  </si>
  <si>
    <t>N-5000106900-006</t>
  </si>
  <si>
    <t>40-V-8502</t>
  </si>
  <si>
    <t>INSTRUMENT AIR BUFFER DRUM</t>
  </si>
  <si>
    <t>Shin Hwa M-Teech Co., Ltd.</t>
  </si>
  <si>
    <t>- Forging &amp; Flange</t>
  </si>
  <si>
    <t>KUMHO FORING / Korea</t>
  </si>
  <si>
    <t>Nozzle, Head,FIT UP inspection</t>
  </si>
  <si>
    <t>2025-07-29
2025-08-04~07
2025-08-12~15</t>
  </si>
  <si>
    <t xml:space="preserve">N-5000106900-007
N-5000106900-008
N-5000106900-009
</t>
  </si>
  <si>
    <t>pass
pass
pass</t>
  </si>
  <si>
    <t>- Pipe SA312-TP304</t>
  </si>
  <si>
    <t>VARIOUS / Japan, Europe</t>
  </si>
  <si>
    <t xml:space="preserve">Nozzle,Fit Up, Bevel, NDE inspection </t>
  </si>
  <si>
    <t>2025-08-18~21</t>
  </si>
  <si>
    <t>N-5000106900-010</t>
  </si>
  <si>
    <t>Delivery Term</t>
  </si>
  <si>
    <t>- Pipe SA106-B</t>
  </si>
  <si>
    <t>Nozzle,Head,Shell,Fit Up,Bevel,NDE inspection</t>
  </si>
  <si>
    <t>2025-08-25~29</t>
  </si>
  <si>
    <t>N-5000106900-011</t>
  </si>
  <si>
    <t xml:space="preserve">pass
</t>
  </si>
  <si>
    <t>Delivery Location</t>
  </si>
  <si>
    <t>Busan, Korea</t>
  </si>
  <si>
    <t>- Fitting SA403-304</t>
  </si>
  <si>
    <t>Busan Fitting, DK Bend / Kore</t>
  </si>
  <si>
    <t>Pressure Vessel Drum_Inspection </t>
  </si>
  <si>
    <t>2025-09-01~05
2025-09-10~12
2025-09.18~19
2025-09-23~26
2025-09-30
2025-10-13
2025-10-22
2025-11-06~07
2025-11-13 &amp; 17
2025-12-05
2025-12-31</t>
  </si>
  <si>
    <t>N-5000106900-012
N-5000106900-013
N-5000106900-014
N-5000106900-015
N-5000106900-016
N-5000106900-017
N-5000106900-018
N-5000106900-019
N-5000106900-021
N-5000106900-022
N-5000106900-025</t>
  </si>
  <si>
    <t>Pass
Pass
Pass
Pass
Pass
Pass
Pass
Pass
Pass
Pass
Pass</t>
  </si>
  <si>
    <t>for Internal</t>
  </si>
  <si>
    <t>Hydro</t>
  </si>
  <si>
    <t>11/18~20 for 40-V-8501/8502
11/25, 28 for 40-V-9000</t>
    <phoneticPr fontId="2" type="noConversion"/>
  </si>
  <si>
    <t>2025-11-18~28</t>
  </si>
  <si>
    <t>N-5000106900-020</t>
  </si>
  <si>
    <t>2025-11-18~20.25.28</t>
    <phoneticPr fontId="2" type="noConversion"/>
  </si>
  <si>
    <t>Pass</t>
  </si>
  <si>
    <t>Dong Hoo Shin</t>
  </si>
  <si>
    <t>- Demister 316LSS</t>
  </si>
  <si>
    <t>MTT / Korea</t>
  </si>
  <si>
    <t>Painting Inspection</t>
  </si>
  <si>
    <t>12/17~19 40-V-8501
12/23 40-V-8502</t>
  </si>
  <si>
    <t>N-5000106900-023
N-5000106900-024</t>
  </si>
  <si>
    <t xml:space="preserve">Accessory </t>
  </si>
  <si>
    <t>Blast/SQR and Packing Inspection of 40-V-8501/8502</t>
  </si>
  <si>
    <t>2026-01-06, 09</t>
  </si>
  <si>
    <t>N-5000106900-026</t>
  </si>
  <si>
    <t>- Plate CS &amp; SS</t>
  </si>
  <si>
    <t>VARIOUS / Korea</t>
  </si>
  <si>
    <t>After Coating 40-V-9000
Packing for P&amp;L</t>
  </si>
  <si>
    <t>2026-01-15~16</t>
  </si>
  <si>
    <t>N-5000106900-027</t>
  </si>
  <si>
    <t>Heesun Park</t>
  </si>
  <si>
    <t>- Bolt &amp; Nuts</t>
  </si>
  <si>
    <t>2025-11-15</t>
  </si>
  <si>
    <t>Gasket Surface and Packing for 40-V-9000 + remaining box of 40-V-8501/8502</t>
  </si>
  <si>
    <t>2026-01-21~23</t>
  </si>
  <si>
    <t>N-5000106900-028</t>
  </si>
  <si>
    <t>SCJV Buyer</t>
  </si>
  <si>
    <t>Daniel Hsieh</t>
  </si>
  <si>
    <t>- Gasket</t>
  </si>
  <si>
    <t>SQR Review</t>
  </si>
  <si>
    <t>no TPI and via VP</t>
  </si>
  <si>
    <t>N-5000106900-029</t>
  </si>
  <si>
    <t>N/A</t>
  </si>
  <si>
    <t xml:space="preserve">PIM 6/23
</t>
  </si>
  <si>
    <t>Template - Fabrication will be completed on June 10th, 2025.
Anchor Bolt – It will be delivered to our shop on June 17th, 2025
Sole Plate,Template and anchor bolt: inspection on Jun 19 2025</t>
  </si>
  <si>
    <t>No.</t>
    <phoneticPr fontId="2" type="noConversion"/>
  </si>
  <si>
    <t>PO information</t>
  </si>
  <si>
    <t>Manufacturing Progress</t>
    <phoneticPr fontId="2" type="noConversion"/>
  </si>
  <si>
    <t>Item Name</t>
    <phoneticPr fontId="2" type="noConversion"/>
  </si>
  <si>
    <t>ROS
(Baseline)</t>
    <phoneticPr fontId="2" type="noConversion"/>
  </si>
  <si>
    <t>FW2A.01</t>
  </si>
  <si>
    <t xml:space="preserve">METERING PUMP(API675) </t>
  </si>
  <si>
    <t>10</t>
  </si>
  <si>
    <t>Milton Roy/China</t>
  </si>
  <si>
    <t>N-5000106307-001</t>
  </si>
  <si>
    <t>40-PK-8301</t>
  </si>
  <si>
    <t>Remineralization Package</t>
  </si>
  <si>
    <t xml:space="preserve">IN-SCJV5000106307-1-VT088 </t>
  </si>
  <si>
    <t>IRC-5000106307-0001</t>
  </si>
  <si>
    <t>SC7128C-P2-KC117-CS</t>
  </si>
  <si>
    <t>FR: space confirmed, ETA Jeddah, KSA 6/28</t>
  </si>
  <si>
    <t>Chemical Injection Package</t>
  </si>
  <si>
    <t>Key V/P Submission</t>
    <phoneticPr fontId="2" type="noConversion"/>
  </si>
  <si>
    <t>1</t>
  </si>
  <si>
    <t>FRP Tank Full Water Test</t>
  </si>
  <si>
    <t>N-5000106307-002</t>
  </si>
  <si>
    <t>40-PK-8302</t>
  </si>
  <si>
    <t>Sodium Hypochlorite Package</t>
  </si>
  <si>
    <t>LV-MOTOR</t>
  </si>
  <si>
    <t>11</t>
  </si>
  <si>
    <t>Hyundai/Korea (5/23 PO rev)</t>
  </si>
  <si>
    <t>Tank Hydrostatic Test</t>
  </si>
  <si>
    <t>N-5000106307-003</t>
  </si>
  <si>
    <t>updated ROS = 2026-07-30</t>
  </si>
  <si>
    <t>Sub-order completed</t>
  </si>
  <si>
    <t>TBD</t>
  </si>
  <si>
    <t>PRESSURE SAFETY(RELIEF) VALVE</t>
  </si>
  <si>
    <t>Tai Milano/Italy</t>
  </si>
  <si>
    <t>Piping  Hydrostatic Test</t>
  </si>
  <si>
    <t>Decatech</t>
  </si>
  <si>
    <t>Pump 8/14~
PSV 10/10~
Motor 10/30</t>
  </si>
  <si>
    <t>PSV(CS+Lined)</t>
  </si>
  <si>
    <t>7</t>
  </si>
  <si>
    <t>Leser</t>
  </si>
  <si>
    <t>Steel Structure VI/DI</t>
  </si>
  <si>
    <t>N-5000106307-004</t>
  </si>
  <si>
    <t>PULSATION DAMPENER</t>
  </si>
  <si>
    <t>Fox/Italy</t>
  </si>
  <si>
    <t>PTFE lining Hydro</t>
  </si>
  <si>
    <t>N-5000106307-005</t>
  </si>
  <si>
    <t>CALIBRATION POT</t>
  </si>
  <si>
    <t>Viewtech/Korea</t>
  </si>
  <si>
    <t>FAT</t>
  </si>
  <si>
    <t>2026-02-12~13</t>
  </si>
  <si>
    <t>N-5000106307-006</t>
  </si>
  <si>
    <t>Busan</t>
  </si>
  <si>
    <t>Final Inspection</t>
  </si>
  <si>
    <t>LEVEL GAUGE</t>
  </si>
  <si>
    <t>3</t>
  </si>
  <si>
    <t>Wise/Korea</t>
  </si>
  <si>
    <t>Punch Clear, Packing</t>
  </si>
  <si>
    <t>N-5000106307-007</t>
  </si>
  <si>
    <t>Cargo ready</t>
  </si>
  <si>
    <t>PRESSURE GAUGE</t>
  </si>
  <si>
    <t>22</t>
  </si>
  <si>
    <t>Do-Hyun Lee</t>
  </si>
  <si>
    <t>LEVEL TRANSMITTER</t>
  </si>
  <si>
    <t>Yokogawa</t>
  </si>
  <si>
    <t>PRESSURE TRANSMITTER (Rupture)</t>
  </si>
  <si>
    <t>Steven Chen</t>
  </si>
  <si>
    <t>Junction Box</t>
  </si>
  <si>
    <t xml:space="preserve">   1 LOT   </t>
  </si>
  <si>
    <t>TM Solution</t>
  </si>
  <si>
    <t>CABLE TRAY</t>
  </si>
  <si>
    <t>Dae Han Tray Industry</t>
  </si>
  <si>
    <t>Derek Chen</t>
  </si>
  <si>
    <t>ANGLE, PIPING, C-CHANEL, PLATE etc</t>
  </si>
  <si>
    <t>9/8 skid frame fab start</t>
  </si>
  <si>
    <t>PLATE for TANK, DRIP PAN</t>
  </si>
  <si>
    <t>FLANGE &amp; FITTING</t>
  </si>
  <si>
    <t>PIPE (SS)</t>
  </si>
  <si>
    <t xml:space="preserve"> 1 LOT </t>
  </si>
  <si>
    <t>FRP TANK</t>
  </si>
  <si>
    <t>hydro completed</t>
  </si>
  <si>
    <t>Namyung e&amp;g</t>
  </si>
  <si>
    <t>BACK PRESSURE VALVE</t>
  </si>
  <si>
    <t xml:space="preserve"> 3 ea </t>
  </si>
  <si>
    <t>Newin Tech</t>
  </si>
  <si>
    <t>CHECK/GATE/BALL VALVE and STRAINER</t>
  </si>
  <si>
    <t xml:space="preserve">KOOKJE International </t>
  </si>
  <si>
    <t>J/B, &amp; CABLE TRAY FOR INSTRUMENTS</t>
  </si>
  <si>
    <t>GASKET, BOLT &amp; NUT</t>
  </si>
  <si>
    <t>HOOK-UP MATERIAL(TUBE&amp;FITTING)</t>
  </si>
  <si>
    <t>[General]
12/9 DCT informed one week delay</t>
  </si>
  <si>
    <t xml:space="preserve">[Current Status and Issue]
</t>
    <phoneticPr fontId="5" type="noConversion"/>
  </si>
  <si>
    <t>[Current Status and Issue]</t>
    <phoneticPr fontId="5" type="noConversion"/>
  </si>
  <si>
    <r>
      <rPr>
        <b/>
        <sz val="9"/>
        <color rgb="FF000000"/>
        <rFont val="Calibri"/>
        <family val="2"/>
      </rPr>
      <t>[Current Status and Issue]</t>
    </r>
    <r>
      <rPr>
        <sz val="9"/>
        <color rgb="FF000000"/>
        <rFont val="Calibri"/>
        <family val="2"/>
      </rPr>
      <t xml:space="preserve">
</t>
    </r>
  </si>
  <si>
    <t>MC2A.51</t>
  </si>
  <si>
    <t>Fire pump case castings</t>
  </si>
  <si>
    <t xml:space="preserve">Stock </t>
  </si>
  <si>
    <t xml:space="preserve">Patterson Ireland </t>
  </si>
  <si>
    <t>Electric motor Performance test</t>
  </si>
  <si>
    <t>N-5000106431-001</t>
  </si>
  <si>
    <t>PASS</t>
  </si>
  <si>
    <t>40-P-8421A</t>
  </si>
  <si>
    <t>Fire Water Pump</t>
  </si>
  <si>
    <t>IN-SCJV5000106431-1-VT084</t>
  </si>
  <si>
    <t>IRC-5000106431-0001</t>
  </si>
  <si>
    <t>booking pending</t>
  </si>
  <si>
    <t>SC7128C-P2-EC169-CS</t>
  </si>
  <si>
    <t xml:space="preserve">Fire pump impeller castings </t>
  </si>
  <si>
    <t>FTA/iFAT</t>
  </si>
  <si>
    <t xml:space="preserve">3~7/11/2025
</t>
  </si>
  <si>
    <t>40-P-8421B</t>
  </si>
  <si>
    <t>consignee issues</t>
  </si>
  <si>
    <t xml:space="preserve">Diesel engine </t>
  </si>
  <si>
    <t xml:space="preserve">Clarke USA </t>
  </si>
  <si>
    <t>hydro, performance &amp; MRT</t>
  </si>
  <si>
    <t>2026-02-04~05</t>
  </si>
  <si>
    <t>N-5000106431-003</t>
  </si>
  <si>
    <t>40-P-8421C</t>
  </si>
  <si>
    <t xml:space="preserve">Fire water electric motor (MV) </t>
  </si>
  <si>
    <t xml:space="preserve">Hyundai Korea </t>
  </si>
  <si>
    <t>DFT, Final, Packing</t>
  </si>
  <si>
    <t>N-5000106431-004</t>
  </si>
  <si>
    <t>40-P-8421D</t>
  </si>
  <si>
    <t>Patterson Pump Company</t>
  </si>
  <si>
    <t xml:space="preserve">Diesel controller with converter </t>
  </si>
  <si>
    <t xml:space="preserve">Firetrol USA </t>
  </si>
  <si>
    <t xml:space="preserve">Electric controller with converter </t>
  </si>
  <si>
    <t xml:space="preserve">Jockey controller with converter </t>
  </si>
  <si>
    <t>Dublin</t>
  </si>
  <si>
    <t xml:space="preserve">Diesel fire pump drive shaft </t>
  </si>
  <si>
    <t xml:space="preserve">Electric fire pump coupling </t>
  </si>
  <si>
    <t xml:space="preserve">FALK USA </t>
  </si>
  <si>
    <t>Lampros Veliotis</t>
  </si>
  <si>
    <t xml:space="preserve">Engine Exhaust Muffler  </t>
  </si>
  <si>
    <t xml:space="preserve">MulMuf Ireland </t>
  </si>
  <si>
    <t>Rebecca Chen</t>
  </si>
  <si>
    <t xml:space="preserve">Engine Battery (set) </t>
  </si>
  <si>
    <t xml:space="preserve">AMPAC Ireland </t>
  </si>
  <si>
    <t>Nick Chen</t>
  </si>
  <si>
    <t xml:space="preserve">Fuel Tank </t>
  </si>
  <si>
    <t>SCJV Expeditor / Buyer</t>
  </si>
  <si>
    <t xml:space="preserve">Magnetic side mounted fuel level gauge </t>
  </si>
  <si>
    <t xml:space="preserve">WIKA Germany </t>
  </si>
  <si>
    <t xml:space="preserve">Fuel Level Switch </t>
  </si>
  <si>
    <t xml:space="preserve">MPRV </t>
  </si>
  <si>
    <t xml:space="preserve">Claval USA </t>
  </si>
  <si>
    <t xml:space="preserve">Enclosed Waste cone </t>
  </si>
  <si>
    <t>Patterson Ireland </t>
  </si>
  <si>
    <t>Flow Meter </t>
  </si>
  <si>
    <t xml:space="preserve">Global USA </t>
  </si>
  <si>
    <t>Sound Enclosure </t>
  </si>
  <si>
    <t xml:space="preserve">Air Release Valve </t>
  </si>
  <si>
    <t xml:space="preserve">Casing Relief Valve 1" for Electric fire pump </t>
  </si>
  <si>
    <t xml:space="preserve">Pressure Gauges (set) </t>
  </si>
  <si>
    <t xml:space="preserve">Casing Relief Valve 3/4" for Jockey pumps </t>
  </si>
  <si>
    <t xml:space="preserve">CashAcme USA </t>
  </si>
  <si>
    <t>FC1B.01</t>
  </si>
  <si>
    <t>Air Compressor</t>
  </si>
  <si>
    <t>Ingersoll Rand, China</t>
  </si>
  <si>
    <t>Hydrotest Air end Casing</t>
  </si>
  <si>
    <t>N-5000106483-001</t>
  </si>
  <si>
    <t>Accepted</t>
  </si>
  <si>
    <t>40-PK-8500 A</t>
  </si>
  <si>
    <t xml:space="preserve">Air Compressor Package </t>
  </si>
  <si>
    <t>SC7128C-P2-KC196-CS</t>
  </si>
  <si>
    <t>updated ROS = 2026-08-04</t>
  </si>
  <si>
    <t>ETA Jeddah 6/29</t>
  </si>
  <si>
    <t>Air Compressor (Include Instrument Air Dryer)</t>
  </si>
  <si>
    <t>Key V/P Submission</t>
  </si>
  <si>
    <t>05-08~06-13</t>
  </si>
  <si>
    <t>AIR COMPRESSOR MODIFICATION</t>
  </si>
  <si>
    <t>Firscomp, Korea</t>
  </si>
  <si>
    <t>Hydro-static test for drying tower</t>
  </si>
  <si>
    <t>N-5000106483-002</t>
  </si>
  <si>
    <t>40-PK-8500 B</t>
  </si>
  <si>
    <t>OT</t>
  </si>
  <si>
    <t>Air Dryer</t>
  </si>
  <si>
    <t>Gastech, Korea</t>
  </si>
  <si>
    <t>UCP FAT &amp; Pre iFAT</t>
  </si>
  <si>
    <t>03-16~03-20</t>
  </si>
  <si>
    <t>N-5000106483-003</t>
  </si>
  <si>
    <t>40-PK-8501 A</t>
  </si>
  <si>
    <t xml:space="preserve">Air Dryer Package </t>
  </si>
  <si>
    <t>2025-08-20
2025-09-04</t>
  </si>
  <si>
    <t>AIR DRYER MODIFICATION</t>
  </si>
  <si>
    <t>2026.02.21</t>
  </si>
  <si>
    <t>FAT of Compressor/Dryer</t>
    <phoneticPr fontId="5" type="noConversion"/>
  </si>
  <si>
    <t>04-07~04-09</t>
  </si>
  <si>
    <t>N-5000106483-004</t>
  </si>
  <si>
    <t>40-PK-8501 B</t>
  </si>
  <si>
    <t>Ingersoll Rand Korea Ltd.</t>
  </si>
  <si>
    <t>UCP Panel</t>
  </si>
  <si>
    <t>Engineers Korea</t>
  </si>
  <si>
    <t>Punch Clear</t>
  </si>
  <si>
    <t>N-5000106483-005</t>
  </si>
  <si>
    <t>On/Off Valve 4 sets</t>
  </si>
  <si>
    <t>Delivery Date</t>
  </si>
  <si>
    <t>UCP Panel installation</t>
  </si>
  <si>
    <t>Firscomp, Korea / fabrication by IRK</t>
  </si>
  <si>
    <t>N-5000106483-006</t>
  </si>
  <si>
    <t>Pkg FAT ~4/10
Packing TBD</t>
  </si>
  <si>
    <t>Pkg FAT 4/7~4/9</t>
  </si>
  <si>
    <t>Main Motor</t>
  </si>
  <si>
    <t>HHI_MT1, Korea</t>
  </si>
  <si>
    <t>On/Off Valve 8 sets</t>
  </si>
  <si>
    <t>UCP (to Yokogawa shop)</t>
  </si>
  <si>
    <t>Korea, China</t>
  </si>
  <si>
    <t>Temperature Transmitter</t>
  </si>
  <si>
    <t>Emerson</t>
  </si>
  <si>
    <t>SC7128C-P2-KT197-V</t>
  </si>
  <si>
    <t>DDP</t>
  </si>
  <si>
    <t>Pressure Transmitter</t>
  </si>
  <si>
    <t>SC7128C-P2-KC235-SS</t>
  </si>
  <si>
    <t>Vendor PIC</t>
  </si>
  <si>
    <t>Pi, Kwang Hyun </t>
  </si>
  <si>
    <t>Diff. Pressure Transmitter</t>
  </si>
  <si>
    <t>SCJV PE</t>
  </si>
  <si>
    <t>Solenoid valve</t>
  </si>
  <si>
    <t>Bifold</t>
  </si>
  <si>
    <t>SCJV RE</t>
  </si>
  <si>
    <t>Ann-Ann Szu</t>
  </si>
  <si>
    <t>LP &amp; JB FOR AIR COMPRESSOR</t>
  </si>
  <si>
    <t>Bartec, installation by Firscomp</t>
  </si>
  <si>
    <t>LP &amp; JB FOR AIR DRYER</t>
  </si>
  <si>
    <t>Andrew Zheng-&gt;Derek Chen</t>
  </si>
  <si>
    <t>On/Off Valve</t>
  </si>
  <si>
    <t>Assembly at Gastech shop</t>
  </si>
  <si>
    <t xml:space="preserve"> - Actuator w.equlizing valve</t>
  </si>
  <si>
    <t>Yudam Tech (HKC / HP-115D / Lead Time : ARO 4.5 months)</t>
  </si>
  <si>
    <t xml:space="preserve"> - Solenoid Valve</t>
  </si>
  <si>
    <t>Yudam Tech (ASCO / NFET8551A322 / Lead Time : ARO 4.5 months)</t>
  </si>
  <si>
    <t xml:space="preserve"> - Limit Switch</t>
  </si>
  <si>
    <t>Yudam Tech (TOPWORX / TXP-S21GLMM / Lead Time : ARO 4.5 months)</t>
  </si>
  <si>
    <t xml:space="preserve"> - Regulator with filter</t>
  </si>
  <si>
    <t>Yudam Tech</t>
  </si>
  <si>
    <t xml:space="preserve"> - Common Regulator with Filter)</t>
  </si>
  <si>
    <t xml:space="preserve"> - Valve Body</t>
  </si>
  <si>
    <t>-</t>
  </si>
  <si>
    <t xml:space="preserve"> - Valve Assembly &amp; Inspection</t>
  </si>
  <si>
    <t xml:space="preserve"> - Air Compressor Modification</t>
  </si>
  <si>
    <t xml:space="preserve"> - Air Dryer Modification</t>
  </si>
  <si>
    <t>[General]
PID &amp; Alarm List to be obtained within Aug. 29,2025.
12/9 meeting : separate delivery of on/off valve set in Apr</t>
  </si>
  <si>
    <t>[Current Status and Issue]
1. Specific Air Dryer Nozzle is currently expecting longer lead time to procure due to less purchasing nozzle qty, and delivery delay of 1 month is currently expected
2. IRK will endeavor to limit the delivery impact to 15 days
9/16 Fan motor fabricated and main motor under fabrication, motor may not be shipped to China factory for securing delivery, Firscomp is inhouse company of IRK
10/28 JB&amp;LP delay → IRK will send Mitigation Plan by Nov 3rd
11/5 additional  delay due to on-off valve → Mitigation Plan including JB&amp;LP received : plan A without JB&amp;LP - FAT 2026.02.05 Packing 2026.02.18 / plan B with JB&amp;LP - FAT 2026.05.05 Packing 2026.03.20 / on-off valve FOB 2026.05.15</t>
  </si>
  <si>
    <t>wwa</t>
  </si>
  <si>
    <t xml:space="preserve">[Current Status and Issue]
</t>
  </si>
  <si>
    <t>FD1E.01</t>
  </si>
  <si>
    <t>Casing</t>
  </si>
  <si>
    <t>Hydrostatic test</t>
  </si>
  <si>
    <t>NOI-N-5000105913-001</t>
    <phoneticPr fontId="5" type="noConversion"/>
  </si>
  <si>
    <t>40-P-8301</t>
  </si>
  <si>
    <t>Utility Water Pump</t>
  </si>
  <si>
    <t>N-SCJV5000105913-1-VT037</t>
  </si>
  <si>
    <t>IRC-5000105913-0001</t>
  </si>
  <si>
    <t>SC7128C-P2-KC091-CS</t>
  </si>
  <si>
    <t>Pump (ANSI OH1)</t>
  </si>
  <si>
    <t>Impeller</t>
  </si>
  <si>
    <t>Performance test</t>
  </si>
  <si>
    <t>NOI-N-5000105913-002</t>
    <phoneticPr fontId="5" type="noConversion"/>
  </si>
  <si>
    <t>40-P-8302A</t>
  </si>
  <si>
    <t>Portable Water Pump</t>
  </si>
  <si>
    <t>Shaft</t>
  </si>
  <si>
    <t>Final inspection</t>
  </si>
  <si>
    <t>NOI-N-5000105913-003</t>
  </si>
  <si>
    <t>40-P-8302B</t>
  </si>
  <si>
    <t>Coupling</t>
  </si>
  <si>
    <t>40-P-8331</t>
  </si>
  <si>
    <t>YPPC</t>
  </si>
  <si>
    <t>LV motor</t>
  </si>
  <si>
    <t>Mechanical seal</t>
  </si>
  <si>
    <t>Mechanical seal plan 32 panel</t>
  </si>
  <si>
    <t>Korea</t>
  </si>
  <si>
    <t>Hyunbin Choi</t>
  </si>
  <si>
    <t>Leo Lin</t>
  </si>
  <si>
    <t>[Current Status and Issue]</t>
  </si>
  <si>
    <t>FD1A.01</t>
  </si>
  <si>
    <t>Bokyung</t>
  </si>
  <si>
    <t>Hydrostatic</t>
  </si>
  <si>
    <t xml:space="preserve">N-5000106805-001 </t>
  </si>
  <si>
    <t>40-PK-4822A</t>
  </si>
  <si>
    <t>Fire Jockey Pump</t>
  </si>
  <si>
    <t>IN-SCJV5000106805-1-VT034</t>
  </si>
  <si>
    <t>IRC-5000106805-001</t>
  </si>
  <si>
    <t>SC7128C-P2-KC090-CS</t>
  </si>
  <si>
    <t>ATA port 1/6</t>
  </si>
  <si>
    <t>JSON</t>
  </si>
  <si>
    <t>Resonance, Performance &amp; MRT</t>
  </si>
  <si>
    <t>2025-10-13/14</t>
  </si>
  <si>
    <t>N-5000106805-002</t>
  </si>
  <si>
    <t>40-PK-4822B</t>
  </si>
  <si>
    <t>Micro</t>
  </si>
  <si>
    <t>Alignment Check</t>
  </si>
  <si>
    <t>2025-10-14/15</t>
  </si>
  <si>
    <t>Motor</t>
  </si>
  <si>
    <t>Hyundai</t>
  </si>
  <si>
    <t>Hydrotest for aux. piping</t>
  </si>
  <si>
    <t>Hyosung</t>
  </si>
  <si>
    <t>Assembly</t>
  </si>
  <si>
    <t>Seal</t>
  </si>
  <si>
    <t>KSM (Flowserve Korea)</t>
  </si>
  <si>
    <t>Final (VI/DI, Painting)</t>
  </si>
  <si>
    <t>2025-10-23/24</t>
  </si>
  <si>
    <t>Inspection and Test (Performance &amp; MRT)</t>
  </si>
  <si>
    <t>JK Youn</t>
  </si>
  <si>
    <t>Andy Zhang</t>
  </si>
  <si>
    <t xml:space="preserve">[General]
</t>
  </si>
  <si>
    <t>FZ9A.01</t>
  </si>
  <si>
    <t>Oil skimmer loose items ( joint, pipe, support)</t>
  </si>
  <si>
    <t>lot</t>
    <phoneticPr fontId="5" type="noConversion"/>
  </si>
  <si>
    <t>performance test</t>
  </si>
  <si>
    <t>N-5000107980-001</t>
  </si>
  <si>
    <t>40-Z-8331</t>
    <phoneticPr fontId="5" type="noConversion"/>
  </si>
  <si>
    <t>Oil skimmer</t>
    <phoneticPr fontId="5" type="noConversion"/>
  </si>
  <si>
    <t>IN-SCJV5000107980-1-VT021</t>
  </si>
  <si>
    <t>IRC-5000107980-0001</t>
  </si>
  <si>
    <t>SC7128C-P2-AL138-CS</t>
  </si>
  <si>
    <t>updated ROS = 2026-07-15</t>
  </si>
  <si>
    <t>Floating Oil Skimmer</t>
  </si>
  <si>
    <t xml:space="preserve">Frame of floating oil skimmer </t>
  </si>
  <si>
    <t>Final inspection</t>
    <phoneticPr fontId="5" type="noConversion"/>
  </si>
  <si>
    <t>N-5000107980-002</t>
  </si>
  <si>
    <t>POD: TBD</t>
  </si>
  <si>
    <t xml:space="preserve">Weir of floating oil skimmer </t>
  </si>
  <si>
    <t>Cleaness check inspection</t>
  </si>
  <si>
    <t>N-5000107980-003</t>
  </si>
  <si>
    <t>Float of floating oil skimmer </t>
  </si>
  <si>
    <t xml:space="preserve"> ECO equipments Inc.</t>
    <phoneticPr fontId="5" type="noConversion"/>
  </si>
  <si>
    <t xml:space="preserve">End cap of floating oil skimmer </t>
  </si>
  <si>
    <t>Keelung, Taiwan</t>
    <phoneticPr fontId="5" type="noConversion"/>
  </si>
  <si>
    <t>Jennifer Chou</t>
    <phoneticPr fontId="5" type="noConversion"/>
  </si>
  <si>
    <t>Michelle Chen</t>
    <phoneticPr fontId="5" type="noConversion"/>
  </si>
  <si>
    <t>Tawatchai Tarseekam</t>
    <phoneticPr fontId="5" type="noConversion"/>
  </si>
  <si>
    <t>[Current Status and Issue]
Material ready for shipment</t>
  </si>
  <si>
    <t>[Current Status and Issue]
11/25 progress inspection
12/3 Under weld repairing
1/15 Inspection completed, expedite SQR
1/22 SQR under SCJV review
2/10 IRC issued</t>
  </si>
  <si>
    <t>[Current Status and Issue]
SQR under Company review</t>
  </si>
  <si>
    <t xml:space="preserve">FX2A.01 </t>
  </si>
  <si>
    <t>Compressors</t>
  </si>
  <si>
    <t>DANFOSS FZCO</t>
  </si>
  <si>
    <t xml:space="preserve">40-PK-8300 </t>
  </si>
  <si>
    <t>Safety Shower Chiller Package</t>
  </si>
  <si>
    <t>updated ROS 2026-08-15</t>
  </si>
  <si>
    <t>Centrifugal Pumps</t>
  </si>
  <si>
    <t>ALI MANEA AL YAMI EST.</t>
  </si>
  <si>
    <t>CS Shell</t>
  </si>
  <si>
    <t>Wieland Provides Srl</t>
  </si>
  <si>
    <t>Copper Fins Condenser Coil</t>
  </si>
  <si>
    <t> ZHEJIANG WINJOY NEW MATERIAL CO., 
LTD
NINGBO JINTIAN COPPER TUBE CO., LTD.</t>
  </si>
  <si>
    <t>Zamil Central Air Conditioners</t>
  </si>
  <si>
    <t>Copper Fins Condenser Coil, Copper Tube</t>
  </si>
  <si>
    <t>Stainless Steel Plate</t>
  </si>
  <si>
    <t>AL HUWAIS TRADING COMPANY</t>
  </si>
  <si>
    <t>FCA</t>
  </si>
  <si>
    <t>Control Panel</t>
  </si>
  <si>
    <t>MICRO CONTROL SYSTEMS, INC</t>
  </si>
  <si>
    <t>Saudi Arabia</t>
  </si>
  <si>
    <t>Samer Abdelnour</t>
  </si>
  <si>
    <t>[Current Status and Issue]
sub-order pending for V/P approval</t>
  </si>
  <si>
    <t>UNIT &amp; PKG STATUS</t>
    <phoneticPr fontId="2" type="noConversion"/>
  </si>
  <si>
    <t>INSPECTION STATUS</t>
    <phoneticPr fontId="2" type="noConversion"/>
  </si>
  <si>
    <t>SHIPMENT STATUS</t>
    <phoneticPr fontId="2" type="noConversion"/>
  </si>
  <si>
    <t>Vendor
(Actual)</t>
    <phoneticPr fontId="2" type="noConversion"/>
  </si>
  <si>
    <t>Item Description</t>
    <phoneticPr fontId="2" type="noConversion"/>
  </si>
  <si>
    <t>Contract
Delivery
Term</t>
    <phoneticPr fontId="2" type="noConversion"/>
  </si>
  <si>
    <t>PO No.</t>
    <phoneticPr fontId="2" type="noConversion"/>
  </si>
  <si>
    <t>PO Issued</t>
    <phoneticPr fontId="2" type="noConversion"/>
  </si>
  <si>
    <t>PO Delivery
Date</t>
    <phoneticPr fontId="2" type="noConversion"/>
  </si>
  <si>
    <t>Req'n</t>
    <phoneticPr fontId="2" type="noConversion"/>
  </si>
  <si>
    <t>BM
Rev</t>
    <phoneticPr fontId="6" type="noConversion"/>
  </si>
  <si>
    <t>Unit</t>
    <phoneticPr fontId="2" type="noConversion"/>
  </si>
  <si>
    <t>Order
Q'ty</t>
    <phoneticPr fontId="2" type="noConversion"/>
  </si>
  <si>
    <t>Dispatch
Q'ty</t>
    <phoneticPr fontId="2" type="noConversion"/>
  </si>
  <si>
    <t>Balance
Q'ty</t>
    <phoneticPr fontId="2" type="noConversion"/>
  </si>
  <si>
    <t>Delivery
Rate</t>
    <phoneticPr fontId="2" type="noConversion"/>
  </si>
  <si>
    <t>AREA</t>
    <phoneticPr fontId="2" type="noConversion"/>
  </si>
  <si>
    <t>Inspection Type</t>
    <phoneticPr fontId="2" type="noConversion"/>
  </si>
  <si>
    <t>Inspection Date</t>
    <phoneticPr fontId="2" type="noConversion"/>
  </si>
  <si>
    <t>IRC NO.</t>
    <phoneticPr fontId="2" type="noConversion"/>
  </si>
  <si>
    <t>InspectionTotal
Q'ty</t>
    <phoneticPr fontId="2" type="noConversion"/>
  </si>
  <si>
    <t>Inspection
Balance Q'ty</t>
    <phoneticPr fontId="2" type="noConversion"/>
  </si>
  <si>
    <t>SHIP NO</t>
    <phoneticPr fontId="2" type="noConversion"/>
  </si>
  <si>
    <t>PL NO.
(*=Server Upload)</t>
    <phoneticPr fontId="2" type="noConversion"/>
  </si>
  <si>
    <t>ETD</t>
    <phoneticPr fontId="2" type="noConversion"/>
  </si>
  <si>
    <t>ETA
(Local Port)</t>
    <phoneticPr fontId="2" type="noConversion"/>
  </si>
  <si>
    <t>ATA
(Site)</t>
    <phoneticPr fontId="2" type="noConversion"/>
  </si>
  <si>
    <t>SHIPPED
Q'TY</t>
    <phoneticPr fontId="2" type="noConversion"/>
  </si>
  <si>
    <t>SECL
(4)</t>
    <phoneticPr fontId="2" type="noConversion"/>
  </si>
  <si>
    <t>CTCI
(8)</t>
    <phoneticPr fontId="2" type="noConversion"/>
  </si>
  <si>
    <t>Future Pipe Industries</t>
    <phoneticPr fontId="5" type="noConversion"/>
  </si>
  <si>
    <t>FRP Piping (A/G)</t>
    <phoneticPr fontId="5" type="noConversion"/>
  </si>
  <si>
    <t>DDP</t>
    <phoneticPr fontId="5" type="noConversion"/>
  </si>
  <si>
    <t xml:space="preserve">5000105243-2
</t>
  </si>
  <si>
    <t>HA65AF_8_2</t>
    <phoneticPr fontId="5" type="noConversion"/>
  </si>
  <si>
    <t>pc</t>
    <phoneticPr fontId="6" type="noConversion"/>
  </si>
  <si>
    <t>PC</t>
    <phoneticPr fontId="5" type="noConversion"/>
  </si>
  <si>
    <t>INSPECTION LEVEL：3</t>
  </si>
  <si>
    <t>2/23/2026
28-30/3/3026</t>
  </si>
  <si>
    <t>IRC-5000105243-0001
IRC-5000105243-0002</t>
  </si>
  <si>
    <t>SC7128C-P3-LT1183-CS</t>
  </si>
  <si>
    <t>1/28 DN 350 &amp; 600 mm pipe inspection on 28-Jan
2/12 1st lot spool inspection arranged on 21~23 Feb
2/28 vendor suspend activity due to geopolitical situation
3/12 4th change order under preparation
3/18 1st lot arrived at site
3/30 2nd lot finished inspection
4/8 2nd lot under shipping arrangement
4/14 All spools arrived at site</t>
  </si>
  <si>
    <t xml:space="preserve"> </t>
  </si>
  <si>
    <t>HA65AP_8_3</t>
  </si>
  <si>
    <t>HA65AP_8_6</t>
  </si>
  <si>
    <t>28-30/3/3026</t>
  </si>
  <si>
    <t>IRC-5000105243-0003</t>
  </si>
  <si>
    <t>SC7128C-P3-LT200-CS</t>
  </si>
  <si>
    <t>5000105243-2
(PIPELINE)</t>
  </si>
  <si>
    <t>HA65AP_8_2</t>
    <phoneticPr fontId="5" type="noConversion"/>
  </si>
  <si>
    <t>5000105243-3</t>
  </si>
  <si>
    <t>SUB TOTAL</t>
    <phoneticPr fontId="2" type="noConversion"/>
  </si>
  <si>
    <t>BALANCE</t>
    <phoneticPr fontId="2" type="noConversion"/>
  </si>
  <si>
    <t>BALANCE</t>
  </si>
  <si>
    <t>CTA Asia Pasific Limited</t>
    <phoneticPr fontId="5" type="noConversion"/>
  </si>
  <si>
    <t>Lined PTFE Piping (A/G)</t>
  </si>
  <si>
    <t>FOB</t>
    <phoneticPr fontId="5" type="noConversion"/>
  </si>
  <si>
    <t>HA6400</t>
  </si>
  <si>
    <t>IRC-5000106211-001</t>
  </si>
  <si>
    <t>SC7128C-P3-EC045-CS</t>
  </si>
  <si>
    <t>3/11 2nd CO items inspection
3/26 final lot under shipping arrangement</t>
  </si>
  <si>
    <t>5000106211-1</t>
  </si>
  <si>
    <t>IRC-5000106211-002</t>
  </si>
  <si>
    <t>SC7128C-P3-EL071-CS</t>
  </si>
  <si>
    <t>5000106211-2</t>
  </si>
  <si>
    <t>IRC-5000106211-0003</t>
  </si>
  <si>
    <t>SC7128C-P3-EA192-CS</t>
  </si>
  <si>
    <t>Groove Joint Fitting, Flange</t>
    <phoneticPr fontId="5" type="noConversion"/>
  </si>
  <si>
    <t>HB80AF</t>
  </si>
  <si>
    <t>PC</t>
    <phoneticPr fontId="6" type="noConversion"/>
  </si>
  <si>
    <t>INSPECTION LEVEL：1</t>
  </si>
  <si>
    <t>2025-06-20
2025-09-04
2025-11-28</t>
  </si>
  <si>
    <t>IRC-5000106254-001
IRC-5000106254-002
IRC-5000106254-003</t>
  </si>
  <si>
    <t>SC7128C-P3-EC044-SS
SC7128C-P3-EL087-SS
SC7128C-P3-EC114-SS</t>
  </si>
  <si>
    <t>2025-08-05
2025-12-07
2026-01-11</t>
  </si>
  <si>
    <t>2025-10-04
2025-01-15
2026-02-19</t>
  </si>
  <si>
    <t>2025-10-09
2025-01-25
2026-02-23</t>
  </si>
  <si>
    <t>4/21 Materail arrived at site.</t>
  </si>
  <si>
    <t>5000106254-1</t>
  </si>
  <si>
    <t>IRC-5000106254-003</t>
  </si>
  <si>
    <t>SC7128C-P3-EC113-CS
SC7128C-P3-EC114-SS</t>
  </si>
  <si>
    <t>5000106254-2</t>
  </si>
  <si>
    <t>SC7128C-P3-EC114-SS</t>
  </si>
  <si>
    <t>5000106254-3</t>
  </si>
  <si>
    <t>IRC-5000106254-0004</t>
  </si>
  <si>
    <t>SC7128C-P3-EA187-CS</t>
  </si>
  <si>
    <t>5000106254-4</t>
  </si>
  <si>
    <t>SC7128C-P3-EA191-SS</t>
  </si>
  <si>
    <t>KUMHWA INDUSTRY CO</t>
  </si>
  <si>
    <t>Non-Metallic Expansion Joint</t>
  </si>
  <si>
    <t>HG9500</t>
  </si>
  <si>
    <t>Rubber 2025-11-26
Sleeve: Waived</t>
  </si>
  <si>
    <t>IRC-5000107949-0001</t>
  </si>
  <si>
    <t>SC7128C-P3-KC105-CS</t>
  </si>
  <si>
    <t>2/12 Material arrived at site</t>
  </si>
  <si>
    <t>Neway Valve Co. Ltd.</t>
  </si>
  <si>
    <t>Ball Valve</t>
  </si>
  <si>
    <t>5000105691
5000105691-1</t>
  </si>
  <si>
    <t>HF4100</t>
  </si>
  <si>
    <t>IRC-5000105691-0001</t>
  </si>
  <si>
    <t>SC7128C-P3-CA156-CS</t>
  </si>
  <si>
    <t>F 2026-06-18</t>
  </si>
  <si>
    <t>1/29 final inspection arranged on 30-Jan
2/5 Material under packing process
2/12 Materail under shipping arrangement
3/3 check valve arrange ship from Korea to China on 3-Mar
3/12 Check valve arrived China port on 11-Mar
3/18 Prepare to arrange shipment once check valve arrived to Neway shop
3/25 All valves under shipping arrangement</t>
  </si>
  <si>
    <t>ATD Korea 3/8 ATA China 3/11</t>
  </si>
  <si>
    <t>ROS: early of June 2026</t>
  </si>
  <si>
    <t>(check valve)</t>
  </si>
  <si>
    <t>5000105691-1</t>
  </si>
  <si>
    <t>IRC-5000105691-0002</t>
  </si>
  <si>
    <t>SC7128C-P3-CC142-CS &amp; CC143-SS</t>
  </si>
  <si>
    <t>booking cancelled</t>
  </si>
  <si>
    <t>(Ball valve)</t>
  </si>
  <si>
    <t>Flexitallic</t>
    <phoneticPr fontId="5" type="noConversion"/>
  </si>
  <si>
    <t>Isolation Kit</t>
    <phoneticPr fontId="5" type="noConversion"/>
  </si>
  <si>
    <t>HG5000</t>
    <phoneticPr fontId="5" type="noConversion"/>
  </si>
  <si>
    <t>INSPECTION LEVEL：0</t>
  </si>
  <si>
    <t>IRC-5000109214-001</t>
  </si>
  <si>
    <t>SC7128C-P3-CL101-CS</t>
  </si>
  <si>
    <t>1/8 SR issued
1/15 IRC released
1/22 Material under shipping arrangement
2/12 Material dispatched</t>
  </si>
  <si>
    <t>ATD UAE port, to be delivered to Qatar, ETD to be updated</t>
  </si>
  <si>
    <t>JUNG ANG ENGINEERING</t>
  </si>
  <si>
    <t>Flexible Hose &amp; Hose Connector (AG)</t>
  </si>
  <si>
    <t>HG4600</t>
  </si>
  <si>
    <t>IRC-5000108619-0001</t>
  </si>
  <si>
    <t>SC7128C-P3-KC109-CS</t>
  </si>
  <si>
    <t>11/27 material under manufacturing
12/3 Approximate complete manufacturing after 2 weeks. 
12/10 Tentative SR received
12/24 SQR under review
1/15 IRC released
1/22 Material under shipping arrangement
2/12 Material dispatched</t>
  </si>
  <si>
    <t>ATA Khor Fakkan 4/25</t>
  </si>
  <si>
    <t>5000108619-1</t>
  </si>
  <si>
    <t>Armstrong</t>
  </si>
  <si>
    <t>Trap</t>
    <phoneticPr fontId="5" type="noConversion"/>
  </si>
  <si>
    <t>HG7200</t>
    <phoneticPr fontId="5" type="noConversion"/>
  </si>
  <si>
    <t>IRC-5000109176-0001</t>
  </si>
  <si>
    <t>SC7128C-P3-KC170-CS</t>
  </si>
  <si>
    <t>11/19 Raw material under purchasing 
11/27 sub-order (raw material) placed - follow up unpriced PO
12/10 Received un-priced PO
12/30 VIDI, pressure, function test arranged on 14-Jan
1/22 material under painting
1/29 Due to vendor don't have measurment tool for painting, the inspection may postpone
2/23 Final inspection arranged on 19-Mar
3/24 Expedite SQR</t>
  </si>
  <si>
    <t>CTA (Manufacturer: TPCO / HYST)</t>
    <phoneticPr fontId="5" type="noConversion"/>
  </si>
  <si>
    <t>CS SMLS Pipe (Pipeline)</t>
    <phoneticPr fontId="5" type="noConversion"/>
  </si>
  <si>
    <t>HA1100</t>
    <phoneticPr fontId="5" type="noConversion"/>
  </si>
  <si>
    <t>m</t>
    <phoneticPr fontId="6" type="noConversion"/>
  </si>
  <si>
    <t>M</t>
    <phoneticPr fontId="5" type="noConversion"/>
  </si>
  <si>
    <t>IRC-5000106212-001</t>
  </si>
  <si>
    <t>SC7128C-P3-CA041-V
(Test piece)
SC7128C-P3-CC060-CS</t>
  </si>
  <si>
    <t>2025-07-27
2025-08-30</t>
  </si>
  <si>
    <t>2025-07-29
2025-10-15</t>
  </si>
  <si>
    <t>2025-08-02
2025-10-20</t>
  </si>
  <si>
    <t>4/16 Additional pipe completed manufacture
5/15 Additional pipe under shipping arrangement.</t>
  </si>
  <si>
    <t>5000106212-1</t>
  </si>
  <si>
    <t>IRC-5000106212-002</t>
  </si>
  <si>
    <t>SC7128C-P3-CC048-CS</t>
  </si>
  <si>
    <t>5000106212-3</t>
    <phoneticPr fontId="5" type="noConversion"/>
  </si>
  <si>
    <t>IRC-5000106212-003</t>
  </si>
  <si>
    <t>SC7128C-P3-CC217-CS</t>
  </si>
  <si>
    <t>space under booking</t>
  </si>
  <si>
    <t>TK</t>
    <phoneticPr fontId="5" type="noConversion"/>
  </si>
  <si>
    <t>Barred tee and Bend</t>
    <phoneticPr fontId="5" type="noConversion"/>
  </si>
  <si>
    <t>HG1600
(Barred tee)</t>
  </si>
  <si>
    <t>PC</t>
  </si>
  <si>
    <t>2026-01-02 &amp; 05</t>
  </si>
  <si>
    <t>IRC-5000106249-0001</t>
  </si>
  <si>
    <t>SC7128C-P3-KC104-CS</t>
  </si>
  <si>
    <t>11/19 Bend mother pipe under manufacturing
12/3 Bend mother pipe under internal inspection
12/24 Barred tee final inspection arranged on 5-Jan
12/30 Mother pipe for bend delivered to TK shop
1/15 Bend under fabrication
3/5 following up with raw materials delivery for bend
4/1 Bend mother pipe arrived TK shop
4/20 revised schedule received
- 4/22 Cutting
- 5/4 Bending → 5/7 under bending (delayed) 
- 5/8 Heat treatment
- 5/20 Hydrostatic test --&gt; 5/26~29
- 5/25 Machining &amp; NDE
- 6/10 FBE coating
- 6/15 Final inspection</t>
  </si>
  <si>
    <t>HG1800
(Bend)</t>
  </si>
  <si>
    <t>F: 2026-06-15</t>
  </si>
  <si>
    <t>F: 2026-06-30</t>
  </si>
  <si>
    <t>IGP</t>
    <phoneticPr fontId="5" type="noConversion"/>
  </si>
  <si>
    <t>Isolation joint</t>
  </si>
  <si>
    <t>HG4900</t>
    <phoneticPr fontId="5" type="noConversion"/>
  </si>
  <si>
    <t>IRC-5000106445-0001
(Isolation joint)</t>
    <phoneticPr fontId="5" type="noConversion"/>
  </si>
  <si>
    <t>SC7128C-P3-AA072-CS</t>
  </si>
  <si>
    <t>5/15 Material arrived at site</t>
  </si>
  <si>
    <t>IRC-5000106445-0002
(test ring)</t>
    <phoneticPr fontId="5" type="noConversion"/>
  </si>
  <si>
    <t>SC7128C-P3-AA171-CS
 (test ring)</t>
  </si>
  <si>
    <t>Roc-Master Piping Solutions</t>
    <phoneticPr fontId="5" type="noConversion"/>
  </si>
  <si>
    <t>Anchor flange</t>
    <phoneticPr fontId="5" type="noConversion"/>
  </si>
  <si>
    <t>HG6900</t>
    <phoneticPr fontId="5" type="noConversion"/>
  </si>
  <si>
    <t xml:space="preserve">IRC-5000106918-0001 </t>
  </si>
  <si>
    <t>SC7128C-P3-CC065-CS</t>
  </si>
  <si>
    <t>10/29 Material arrived at site</t>
  </si>
  <si>
    <t>5000106918-1</t>
  </si>
  <si>
    <t>IRC-5000106918-0002</t>
  </si>
  <si>
    <t>SC7128C-P3-CA082-CS</t>
  </si>
  <si>
    <t>Valvitalia S.p.A. </t>
  </si>
  <si>
    <t>Through Conduit Gate Valve (Pipeline)</t>
  </si>
  <si>
    <t>HF57AF</t>
  </si>
  <si>
    <t>6/24 Vendor submit revised DWG
7/10 DWG return to vendor with CODE B
7/17 vendor review the comment and will be updarte MPR
7/22 vendor submit revised DWG 
8/4 inform vendor start to purchase valve material.
9/2 vendor placed order for cast and forged material 
9/10 PIM will be opened on 18-SEP
10/8 Raw cast and forged material under manufacturing
11/19 Received cast and forged material photo
12/30 Raw main cast material under machining
1/22 All of the raw material proceed to machining process
2/12 Cast bodies will be completed by 15-19 Mar
3/4 Cast bodies postpone the complete date to May
5/14 Valve body will be dispatched from China mills on 15-May
5/20 Vlave body is on the transportation by rail</t>
  </si>
  <si>
    <t>B/L to be provided</t>
  </si>
  <si>
    <t xml:space="preserve">Valvitalia (Suzhou) Valves Co., Ltd </t>
  </si>
  <si>
    <t>Ball Valve (Pipeline)</t>
  </si>
  <si>
    <t>HF56AF</t>
  </si>
  <si>
    <t>2025-09-12
2025-09-25</t>
  </si>
  <si>
    <t xml:space="preserve">IRC-5000107328-0001 </t>
  </si>
  <si>
    <t>SC7128C-P3-CA081-CS</t>
  </si>
  <si>
    <t>2/26 Material arrived at site</t>
  </si>
  <si>
    <t>(RLOC, TA)</t>
  </si>
  <si>
    <t>5000107328
5000107328-1
5000107328-2</t>
    <phoneticPr fontId="5" type="noConversion"/>
  </si>
  <si>
    <t>2025/4/29
2025/5/27
2025/5/27</t>
    <phoneticPr fontId="5" type="noConversion"/>
  </si>
  <si>
    <t>2025-11-07~10 Hydro
2025-12-8 Painting</t>
  </si>
  <si>
    <t>IRC-5000107328-0002</t>
  </si>
  <si>
    <t>SC7128C-P3-CC095-CS</t>
  </si>
  <si>
    <t>2025-12-9 Hydro 
2025-12-26 Painting</t>
  </si>
  <si>
    <t>IRC-5000107328-0003</t>
  </si>
  <si>
    <t>ASSIGNED</t>
    <phoneticPr fontId="8" type="noConversion"/>
  </si>
  <si>
    <t>Material Requisition</t>
  </si>
  <si>
    <t>Purchase Order</t>
  </si>
  <si>
    <t>Delivery Status</t>
  </si>
  <si>
    <t>Inspection</t>
  </si>
  <si>
    <t>Contact Point</t>
  </si>
  <si>
    <t>Main Issue</t>
  </si>
  <si>
    <t>Histroy issue</t>
  </si>
  <si>
    <t>Inspection
Level</t>
    <phoneticPr fontId="8" type="noConversion"/>
  </si>
  <si>
    <t>Rev.</t>
  </si>
  <si>
    <t>Origin</t>
  </si>
  <si>
    <t>Drum Schedule Issue Date</t>
  </si>
  <si>
    <t>P/O 
Released</t>
  </si>
  <si>
    <t>Delivery 
Date</t>
  </si>
  <si>
    <t>Delivery
Term</t>
  </si>
  <si>
    <t>Delivery 
Location</t>
  </si>
  <si>
    <t>Ordered 
Q'ty.</t>
  </si>
  <si>
    <t>Unit</t>
  </si>
  <si>
    <t>Shipped 
Q'ty.</t>
  </si>
  <si>
    <t>Un-Shipped
Q'ty.</t>
  </si>
  <si>
    <t>Delivery 
Rate</t>
  </si>
  <si>
    <t>Inspection Activity</t>
  </si>
  <si>
    <t>I/A No.</t>
  </si>
  <si>
    <t>Inspection Schedule</t>
    <phoneticPr fontId="8" type="noConversion"/>
  </si>
  <si>
    <t>IRC</t>
  </si>
  <si>
    <t>Batch
No.</t>
  </si>
  <si>
    <t>Shipment Description</t>
    <phoneticPr fontId="8" type="noConversion"/>
  </si>
  <si>
    <t>Shipping</t>
  </si>
  <si>
    <t>Delivery at Qatar Port</t>
    <phoneticPr fontId="8" type="noConversion"/>
  </si>
  <si>
    <t>Delivery at Site</t>
  </si>
  <si>
    <t>SHIPPING NO.</t>
    <phoneticPr fontId="8" type="noConversion"/>
  </si>
  <si>
    <t>Current Status/Remarks</t>
    <phoneticPr fontId="8" type="noConversion"/>
  </si>
  <si>
    <t>Pending Issue &amp;
Countermeasure</t>
  </si>
  <si>
    <t>Expeditor</t>
    <phoneticPr fontId="8" type="noConversion"/>
  </si>
  <si>
    <t>ENGINEER</t>
    <phoneticPr fontId="8" type="noConversion"/>
  </si>
  <si>
    <t>Schedule</t>
  </si>
  <si>
    <t>Punch</t>
    <phoneticPr fontId="15" type="noConversion"/>
  </si>
  <si>
    <t>Packing</t>
    <phoneticPr fontId="15" type="noConversion"/>
  </si>
  <si>
    <t>IRC No.</t>
  </si>
  <si>
    <t>SECL</t>
    <phoneticPr fontId="8" type="noConversion"/>
  </si>
  <si>
    <t>CTCI</t>
    <phoneticPr fontId="8" type="noConversion"/>
  </si>
  <si>
    <t>Name</t>
    <phoneticPr fontId="8" type="noConversion"/>
  </si>
  <si>
    <t>Tel.</t>
    <phoneticPr fontId="8" type="noConversion"/>
  </si>
  <si>
    <t>email</t>
    <phoneticPr fontId="8" type="noConversion"/>
  </si>
  <si>
    <t xml:space="preserve">Shin hye(Cynthia), Lee </t>
  </si>
  <si>
    <t>Pham Nhu Luan</t>
  </si>
  <si>
    <t>ND1020</t>
    <phoneticPr fontId="8" type="noConversion"/>
  </si>
  <si>
    <t>Outdoor Lighting Fixture and Others</t>
  </si>
  <si>
    <t>Warom International Korea</t>
    <phoneticPr fontId="8" type="noConversion"/>
  </si>
  <si>
    <t>China</t>
  </si>
  <si>
    <t>N/A</t>
    <phoneticPr fontId="5" type="noConversion"/>
  </si>
  <si>
    <t>HMP-1: 2025/3/30
HMP-2(anchor bolt): 2025/8/15
HMP-2(anchor bolt): 2025/9/30
Others: 2026/4/30</t>
  </si>
  <si>
    <t>Site</t>
    <phoneticPr fontId="8" type="noConversion"/>
  </si>
  <si>
    <t>sets</t>
  </si>
  <si>
    <t>Steel pipe</t>
  </si>
  <si>
    <t>Final inspection for hogh mast pole (10 sets)</t>
  </si>
  <si>
    <t xml:space="preserve">N-5000105899-001
</t>
  </si>
  <si>
    <t>IRC-5000105899-0001</t>
    <phoneticPr fontId="5" type="noConversion"/>
  </si>
  <si>
    <t>sets</t>
    <phoneticPr fontId="5" type="noConversion"/>
  </si>
  <si>
    <t>High Mast Pole</t>
  </si>
  <si>
    <t>set</t>
  </si>
  <si>
    <t>SC7128C-P4-CC003-SS</t>
  </si>
  <si>
    <t>SC7128C-P4-CC001-CS</t>
    <phoneticPr fontId="5" type="noConversion"/>
  </si>
  <si>
    <r>
      <t xml:space="preserve">Wonil Lee (John) / </t>
    </r>
    <r>
      <rPr>
        <sz val="9"/>
        <color rgb="FF000000"/>
        <rFont val="돋움"/>
        <family val="3"/>
        <charset val="129"/>
      </rPr>
      <t>이원일</t>
    </r>
    <r>
      <rPr>
        <sz val="9"/>
        <color rgb="FF000000"/>
        <rFont val="Calibri"/>
        <family val="2"/>
      </rPr>
      <t xml:space="preserve"> </t>
    </r>
    <r>
      <rPr>
        <sz val="9"/>
        <color rgb="FF000000"/>
        <rFont val="돋움"/>
        <family val="3"/>
        <charset val="129"/>
      </rPr>
      <t>차장</t>
    </r>
  </si>
  <si>
    <t>+82-70-4110-7318</t>
    <phoneticPr fontId="8" type="noConversion"/>
  </si>
  <si>
    <t>wiksales1@waromkorea.co.kr</t>
    <phoneticPr fontId="8" type="noConversion"/>
  </si>
  <si>
    <t>1))4th MOT: space confirmed
ATD 5/19
ETA 6/27</t>
  </si>
  <si>
    <t>VPIS Submit</t>
  </si>
  <si>
    <t>Aluminum ingot</t>
  </si>
  <si>
    <t xml:space="preserve">N-5000105899-002
</t>
  </si>
  <si>
    <t>IRC-5000105899-0002</t>
    <phoneticPr fontId="5" type="noConversion"/>
  </si>
  <si>
    <t>SC7128C-P4-CC004-SS</t>
  </si>
  <si>
    <t>SC7128C-P4-CC002-CS</t>
    <phoneticPr fontId="5" type="noConversion"/>
  </si>
  <si>
    <t>Ariya</t>
    <phoneticPr fontId="8" type="noConversion"/>
  </si>
  <si>
    <t xml:space="preserve">wikmm1@waromkorea.co.kr </t>
    <phoneticPr fontId="8" type="noConversion"/>
  </si>
  <si>
    <t>Key V/P Submit</t>
  </si>
  <si>
    <t>LED clip for BAT86-240-240G</t>
  </si>
  <si>
    <t>-</t>
    <phoneticPr fontId="8" type="noConversion"/>
  </si>
  <si>
    <t>Final inspection for hogh mast pole (4 sets)-Anchor bolt</t>
  </si>
  <si>
    <t xml:space="preserve">N-5000105899-005
</t>
  </si>
  <si>
    <t>IRC-5000105899-0003</t>
  </si>
  <si>
    <t>Lot</t>
  </si>
  <si>
    <t>High Mast Pole (anchor bolts)</t>
  </si>
  <si>
    <t>est</t>
  </si>
  <si>
    <t>SC7128C-P4-CC035-SS</t>
  </si>
  <si>
    <t>SC7128C-P4-CC034-CS</t>
  </si>
  <si>
    <t xml:space="preserve">exus5@exus.asia </t>
    <phoneticPr fontId="8" type="noConversion"/>
  </si>
  <si>
    <t>Final inspection for hogh mast pole (4 sets)-main pole</t>
  </si>
  <si>
    <t>N-5000105899-007
N-5000105899-008</t>
  </si>
  <si>
    <t>IRC-5000105899-0004_x000D_
IRC-5000105899-0005</t>
  </si>
  <si>
    <t>High Mast Pole (main poles)</t>
  </si>
  <si>
    <t>SC7128C-P4-CC068-SS</t>
  </si>
  <si>
    <t>SC7128C-P4-CC067-CS</t>
  </si>
  <si>
    <t>Final inspection for SOC 100%+ TOC 50%</t>
  </si>
  <si>
    <t>N-5000105899-009
N-5000105899-010</t>
  </si>
  <si>
    <t>2025-11-20
2025-11-21</t>
  </si>
  <si>
    <t>2025-11-20_x000D_
2025-11-21</t>
  </si>
  <si>
    <t>IRC-5000105899-0006_x000D_
IRC-5000105899-0007</t>
  </si>
  <si>
    <t>EA</t>
  </si>
  <si>
    <t>SOC 100%+ TOC 50%-1st batch</t>
  </si>
  <si>
    <t>SC7128C-P4-CC094-SS</t>
  </si>
  <si>
    <t>SC7128C-P4-CC093-CS</t>
  </si>
  <si>
    <t>Final inspection for 10M lighting pole anchor bolt</t>
  </si>
  <si>
    <t>N-5000105899-011</t>
  </si>
  <si>
    <t>IRC-5000105899-0008 </t>
  </si>
  <si>
    <t>SOC 100%+ TOC 50%-2nd batch</t>
  </si>
  <si>
    <t>SC7128C-P4-CC112-CS</t>
  </si>
  <si>
    <t>Cargo ready (1st)_HMP 10 sets</t>
  </si>
  <si>
    <t>Final inspection for SOC additional + TOC 100%</t>
  </si>
  <si>
    <t>N-5000105899-017&amp;18</t>
  </si>
  <si>
    <t>2026-04-08
2026-04-09</t>
  </si>
  <si>
    <t>2026-04-08_x000D_
2026-04-09</t>
  </si>
  <si>
    <t>IRC-5000105899-0009</t>
  </si>
  <si>
    <t>10M pole anchor bolt</t>
  </si>
  <si>
    <t>SC7128C-P4-CA145-CS</t>
  </si>
  <si>
    <t>Cargo ready (2nd)_HMP 4 sets (anchor bolt)</t>
  </si>
  <si>
    <t>SOC additional + TOC 100%</t>
  </si>
  <si>
    <t>SC7128C-P4-CC216-SS</t>
  </si>
  <si>
    <t>SC7128C-P4-CC210-CS</t>
  </si>
  <si>
    <t>Cargo ready (3rd)_HMP 4 sets (main pole)</t>
  </si>
  <si>
    <t>Cargo ready (4th)_SOC 100%+ TOC 50%</t>
  </si>
  <si>
    <t>Cargo ready (5th)_10M pole anchor bolt</t>
  </si>
  <si>
    <t>Cargo ready (5th)_SOC additional+ TOC 100%</t>
  </si>
  <si>
    <t>Emma Zhan</t>
  </si>
  <si>
    <t>Williams</t>
  </si>
  <si>
    <t>NG1010</t>
  </si>
  <si>
    <t>Cathodic Protection Systems (Pipeline)</t>
  </si>
  <si>
    <t xml:space="preserve">5000105454_x000D_
</t>
  </si>
  <si>
    <t>MEECC (Middle East Engineering &amp; Corrosion Control W.L.L)</t>
    <phoneticPr fontId="5" type="noConversion"/>
  </si>
  <si>
    <t>Final inspection for Buried materials, Anodes &amp; Cables</t>
  </si>
  <si>
    <t>N-5000105454-001 </t>
  </si>
  <si>
    <t>IRC-5000105454-0001</t>
  </si>
  <si>
    <t>Buried materials, Anodes &amp; Cables</t>
  </si>
  <si>
    <t>SC7128C-P4-LT083-CS</t>
  </si>
  <si>
    <t>2nd PO-Temperary CP: 
Arrived at site on 3/11</t>
  </si>
  <si>
    <t>Final inspection for TR</t>
  </si>
  <si>
    <t>N-5000105454-002</t>
  </si>
  <si>
    <t>2025-09-05
2025-09-06</t>
  </si>
  <si>
    <t>2025-09-05_x000D_
2025-09-06</t>
  </si>
  <si>
    <t>IRC-5000105454-0002</t>
  </si>
  <si>
    <t>TR</t>
  </si>
  <si>
    <t>SC7128C-P4-LT084-CS</t>
  </si>
  <si>
    <t>Final inspection for J/B</t>
  </si>
  <si>
    <t>N-5000105454-003</t>
  </si>
  <si>
    <t>IRC-5000105454-0003</t>
  </si>
  <si>
    <t>J/B</t>
  </si>
  <si>
    <t>Final inspection for 2nd PO</t>
  </si>
  <si>
    <t>N-5000105454-004</t>
  </si>
  <si>
    <t>IRC-5000105454-0004</t>
  </si>
  <si>
    <t>Temperary CP</t>
  </si>
  <si>
    <t>SC7128C-P4-LT178-CS</t>
  </si>
  <si>
    <t>Cargo ready (1st)-buried CP materials</t>
  </si>
  <si>
    <t>Cargo ready (2nd)-TR &amp; JB</t>
  </si>
  <si>
    <t>Cargo ready-2nd PO</t>
  </si>
  <si>
    <t>NB2010</t>
  </si>
  <si>
    <t>Cable Tray &amp; Accessory</t>
  </si>
  <si>
    <t>Suzhou Ontop Mechanical &amp; Electrical Equipment Co., Ltd</t>
  </si>
  <si>
    <t>Site</t>
  </si>
  <si>
    <t>Meter</t>
  </si>
  <si>
    <t>Inspection for 1st batch (tie-in)</t>
  </si>
  <si>
    <t>N-5000107367-001</t>
  </si>
  <si>
    <t>IRC-5000107367-0001</t>
  </si>
  <si>
    <t>meters</t>
  </si>
  <si>
    <t>1st shipment for utility</t>
  </si>
  <si>
    <t>Meters</t>
  </si>
  <si>
    <t>SC7128C-P4-CC013-CS</t>
  </si>
  <si>
    <t xml:space="preserve">4th PO: 
Process-ATD 2/18 ; ATA 5/12
ETD Sharjah, UAE 5/21, ETA Hamad 5/23, MSC FLOSTA III
Utility-ATD 4/29 / ETA 6/9
</t>
  </si>
  <si>
    <t>Inspection for 2nd batch (for process 1st batch)</t>
  </si>
  <si>
    <t>N-5000107367-002</t>
  </si>
  <si>
    <t>IRC-5000107367-0002</t>
  </si>
  <si>
    <t>1st shipment for Process</t>
  </si>
  <si>
    <t>SC7128C-P4-CC061-SS</t>
  </si>
  <si>
    <t>Inspection for 3rd batch</t>
  </si>
  <si>
    <t>N-5000107367-003</t>
  </si>
  <si>
    <t>IRC-5000107367-0003</t>
  </si>
  <si>
    <t>2nd shipment for Process &amp; utility</t>
  </si>
  <si>
    <t>SC7128C-P4-CC100-SS</t>
  </si>
  <si>
    <t>SC7128C-P4-CC099-CS</t>
  </si>
  <si>
    <t>2026/3/10</t>
  </si>
  <si>
    <t>Inspection for 4thatch</t>
  </si>
  <si>
    <t>N-5000107367-004</t>
  </si>
  <si>
    <t>IRC-5000107367-0004</t>
  </si>
  <si>
    <t>3rd shipment for Process</t>
  </si>
  <si>
    <t>SC7128C-P4-CC133-SS</t>
  </si>
  <si>
    <t>3rd shipment for Utility</t>
  </si>
  <si>
    <t>SC7128C-P4-CC132-CS</t>
  </si>
  <si>
    <t>Cargo ready (1st)</t>
  </si>
  <si>
    <t>Cargo ready (2nd)</t>
  </si>
  <si>
    <t>Cargo ready (3rd)</t>
  </si>
  <si>
    <t>Cargo ready (4th)</t>
  </si>
  <si>
    <t>NB2000</t>
  </si>
  <si>
    <t>POWER &amp; CONTROL CABLE</t>
  </si>
  <si>
    <t>Doha Cables (Qatar) W.L.L</t>
  </si>
  <si>
    <t>Qatar</t>
  </si>
  <si>
    <t>2025-07-03
2025-09-22
2025-11-28
2025-12/15</t>
  </si>
  <si>
    <t>Inspection for 33kV KM power cable</t>
  </si>
  <si>
    <t>N-5000108773-001</t>
  </si>
  <si>
    <t>2025-12-08
2025-12-15</t>
  </si>
  <si>
    <t>2025-12-08_x000D_
2025-12-15</t>
  </si>
  <si>
    <t>IRC-5000108773-001</t>
  </si>
  <si>
    <t>1st PO 33kV KM power cable</t>
  </si>
  <si>
    <t>2026/1/1
2026/1/6-7</t>
  </si>
  <si>
    <t>2026/1/1_x000D_
2026/1/6-7</t>
  </si>
  <si>
    <t>SC7128C-P4-LT122-CS</t>
  </si>
  <si>
    <t>1)6th PO: 
NOI issued, FAT on 7/28-29
Forecast delivery date: 8/8</t>
  </si>
  <si>
    <t>Inspection for 2nd PO</t>
  </si>
  <si>
    <t>N-5000108773-002
N-5000108773-003</t>
  </si>
  <si>
    <t>2026-01-11
2026-02-15</t>
  </si>
  <si>
    <t>2026-01-11_x000D_
2026-02-15</t>
  </si>
  <si>
    <t>IRC-5000108773-0002
IRC-5000108773-0003</t>
  </si>
  <si>
    <t>6,702
14,200</t>
  </si>
  <si>
    <t>2nd PO-1st batch</t>
  </si>
  <si>
    <t>SC7128C-P4-LT141-SS</t>
  </si>
  <si>
    <t>SC7128C-P4-LT140-CS</t>
  </si>
  <si>
    <t>2026/3/31</t>
  </si>
  <si>
    <t>Inspection for 3rd &amp; 4th PO-1st batch</t>
  </si>
  <si>
    <t>N-5000108773-004</t>
  </si>
  <si>
    <t>2026-03-09
2026-03-10</t>
  </si>
  <si>
    <t>2026-03-09_x000D_
2026-03-10</t>
  </si>
  <si>
    <t>IRC-5000108773-0006</t>
  </si>
  <si>
    <t>2nd PO-2nd batch</t>
  </si>
  <si>
    <t>SC7128C-P4-LT173-SS</t>
  </si>
  <si>
    <t>SC7128C-P4-LT172-CS</t>
  </si>
  <si>
    <t>2026/4/30</t>
  </si>
  <si>
    <t>Inspection for 3rd &amp; 4th PO-2nd batch</t>
  </si>
  <si>
    <t>N-5000108773-005</t>
  </si>
  <si>
    <t>2026-03-29
2026-03-30</t>
  </si>
  <si>
    <t>2026-03-29_x000D_
2026-03-30</t>
  </si>
  <si>
    <t>IRC-5000108773-0007</t>
  </si>
  <si>
    <t>5th PO-1st batch(earthing cable)</t>
  </si>
  <si>
    <t>SC7128C-P4-LT174-CS</t>
  </si>
  <si>
    <t>Inspection for 5th PO (earthing cable)</t>
  </si>
  <si>
    <t>N-5000108773-006</t>
  </si>
  <si>
    <t>2026-02-22
2026-03-02</t>
  </si>
  <si>
    <t>IRC-5000108773-0004
IRC-5000108773-0005</t>
  </si>
  <si>
    <t>3,541
1,000</t>
  </si>
  <si>
    <t>5th PO-2nd batch(bonding cable)</t>
  </si>
  <si>
    <t>SC7128C-P4-LT180-CS</t>
  </si>
  <si>
    <t>Inspection for 6th PO</t>
  </si>
  <si>
    <t>2026-07-28
2026-07-29</t>
  </si>
  <si>
    <t>2026-07-28_x000D_
2026-07-29</t>
  </si>
  <si>
    <t>3rd PO-1st batch</t>
  </si>
  <si>
    <t>SC7128C-P4-LT190-SS</t>
  </si>
  <si>
    <t>SC7128C-P4-LT189-CS</t>
  </si>
  <si>
    <t>Cargo ready-1st PO (33kV KM cable)</t>
  </si>
  <si>
    <t>3rd PO-2nd batch + 4th PO</t>
  </si>
  <si>
    <t>SC7128C-P4-LT204-SS
SC7128C-P4-LT214-SS</t>
  </si>
  <si>
    <t>SC7128C-P4-LT203-CS</t>
  </si>
  <si>
    <t>6th PO</t>
  </si>
  <si>
    <t>F 2026-08-08</t>
  </si>
  <si>
    <t>Cargo ready-3rd -1st batch</t>
  </si>
  <si>
    <t>Cargo ready-3rd -2nd batch &amp; 4th PO</t>
  </si>
  <si>
    <t>Cargo ready-5th PO (earthing cable)</t>
  </si>
  <si>
    <t>Cargo ready-6th PO</t>
  </si>
  <si>
    <t>NB4010
ND2010</t>
  </si>
  <si>
    <t>Cable Termination Kits
Power Material (Welding Socket, LCS &amp; JB)</t>
  </si>
  <si>
    <t>R. Stahl Pte Ltd.</t>
  </si>
  <si>
    <t>India</t>
  </si>
  <si>
    <t>Inspection for cable termination kit(1st+2nd PO)</t>
  </si>
  <si>
    <t>N-5000108967-01</t>
  </si>
  <si>
    <t>IRC-5000108967-001</t>
  </si>
  <si>
    <t>1st shipment for cable termination kit</t>
  </si>
  <si>
    <t>SC7128C-P4-AA186-SS</t>
  </si>
  <si>
    <t>Included in SC7128C-P4-AA186-SS</t>
    <phoneticPr fontId="5" type="noConversion"/>
  </si>
  <si>
    <t xml:space="preserve">1)Power mateiral: Forecast delivery date is 2026/5/31
Forecast FAT by 5/22, NOI issued
Cargo ready by 5/31
3)2nd batch Termination kit, forecasr cargo ready by 7/15
</t>
  </si>
  <si>
    <t>Inspection for power material(1st+2nd PO)</t>
  </si>
  <si>
    <t>N-5000108967-02</t>
  </si>
  <si>
    <t>1st + 2nd shipment for power material</t>
  </si>
  <si>
    <t>F 2026-05-31</t>
  </si>
  <si>
    <t>2nd shipment for cable termination kit</t>
  </si>
  <si>
    <t>F 2026-07-17</t>
  </si>
  <si>
    <t>Start Fabrication-Termination Kits</t>
  </si>
  <si>
    <t>Start Fabrication-Power material</t>
  </si>
  <si>
    <t>Cargo ready-Power material (1st+2nd+3rd PO)</t>
  </si>
  <si>
    <t>Cargo ready-Termination Kits (1st+2nd PO)</t>
  </si>
  <si>
    <t>Cargo ready-Termination Kitsl (3rd PO)</t>
  </si>
  <si>
    <t>Nasus Huang</t>
  </si>
  <si>
    <t>K87A.01</t>
  </si>
  <si>
    <t>400V HVAC PDBS</t>
  </si>
  <si>
    <t>Wholesale Electric Asia Korea LLC.</t>
  </si>
  <si>
    <t>N-5000109026-001</t>
  </si>
  <si>
    <t>IRC-50000109026-0001</t>
  </si>
  <si>
    <t>Shipment</t>
  </si>
  <si>
    <t>SC7128C-P4-KC182-CS</t>
  </si>
  <si>
    <t>1) IRC issued 
ATD 4/14 ETA 6/27
2)VDB:
Expediting vendor submit for as-build</t>
  </si>
  <si>
    <t>NB1060</t>
  </si>
  <si>
    <t>Fiber Optical Cable for QSTEC Substation E-1000</t>
  </si>
  <si>
    <t>meter</t>
  </si>
  <si>
    <t>N-5000109274-001</t>
  </si>
  <si>
    <t>2025-12-30
2025-12-31</t>
  </si>
  <si>
    <t>2025-12-30_x000D_
2025-12-31</t>
  </si>
  <si>
    <t>IRC-5000109274-0001</t>
  </si>
  <si>
    <t>SC7128C-P4-LT128-CS</t>
  </si>
  <si>
    <t>Delivered on 1/20</t>
  </si>
  <si>
    <t>RTD, TELECOM, AND COMMUNICATION CABLE</t>
  </si>
  <si>
    <t xml:space="preserve">GAON CABLE Co., Ltd. </t>
  </si>
  <si>
    <t>2025-07-31
2025-11-18</t>
  </si>
  <si>
    <t>Inspection for 1st &amp; 2nd PO</t>
  </si>
  <si>
    <t>N-5000109306-001</t>
  </si>
  <si>
    <t>IRC-5000109306-0001</t>
  </si>
  <si>
    <t>1st+2nd PO</t>
  </si>
  <si>
    <t>SC7128C-P4-KC127-SS</t>
  </si>
  <si>
    <t>SC7128C-P4-KC126-CS</t>
  </si>
  <si>
    <t>ATD 2/8 ; ATA Port 5/1
Carrier plan to discarge cargo to Khor Fakkan, UAE
3rd PO: comparing the price between Gaon and Doha cable</t>
  </si>
  <si>
    <t>NB3010</t>
  </si>
  <si>
    <t>CABLE GLAND</t>
  </si>
  <si>
    <t xml:space="preserve">5000108966
</t>
  </si>
  <si>
    <t>CMP Products Ltd.</t>
  </si>
  <si>
    <t>UK</t>
  </si>
  <si>
    <t>IRC-5000108966-0001</t>
  </si>
  <si>
    <t>Included in SC7128C-P4-EL123-CS</t>
  </si>
  <si>
    <t>SC7128C-P4-EL123-CS</t>
  </si>
  <si>
    <t xml:space="preserve">3rd PO: cargo is ready, space confirmed 
ATD 4/12  ETA 6/30
4th PO: forecast delivery date 6/5
5th PO :forecast delivery date 7/31_x000D_
</t>
  </si>
  <si>
    <t>Inspection for 3rd PO</t>
  </si>
  <si>
    <t>IRC-5000108966-0002</t>
  </si>
  <si>
    <t>3rd PO</t>
  </si>
  <si>
    <t>SC7128C-P4-EC176-SS</t>
  </si>
  <si>
    <t>SC7128C-P4-EC175-CS</t>
  </si>
  <si>
    <t>Inspection for 4th PO</t>
  </si>
  <si>
    <t>Cargo ready-1st batch</t>
  </si>
  <si>
    <t>Cargo ready-2nd batch</t>
  </si>
  <si>
    <t>Cargo ready-3rd batch</t>
  </si>
  <si>
    <t>Cargo ready-4th batch</t>
  </si>
  <si>
    <t>Esa</t>
  </si>
  <si>
    <t>NAZO-C</t>
  </si>
  <si>
    <t>OEM Services for the QSTEC 
Substation E-1000</t>
  </si>
  <si>
    <t xml:space="preserve">Siemens Energy W.L.L </t>
  </si>
  <si>
    <t xml:space="preserve">Telecom </t>
  </si>
  <si>
    <t xml:space="preserve"> SCS Panel FAT at QATAR</t>
  </si>
  <si>
    <t>F 2026-07-06</t>
  </si>
  <si>
    <t>Tariff metering panel delivery will be delayed by three weeks due to current transportation issues</t>
  </si>
  <si>
    <t xml:space="preserve">Tariff Meter Panel </t>
  </si>
  <si>
    <t>OTB FAT at QATAR</t>
  </si>
  <si>
    <t>F 2026-06-14</t>
  </si>
  <si>
    <t xml:space="preserve"> Tariff Meter Services </t>
  </si>
  <si>
    <t>Clarifying</t>
  </si>
  <si>
    <t>Telecom Panel FAT at QATAR</t>
  </si>
  <si>
    <t>F 2026-06-21</t>
  </si>
  <si>
    <t xml:space="preserve">SCS Panel </t>
  </si>
  <si>
    <t xml:space="preserve">SCS Equipment </t>
  </si>
  <si>
    <t>Cargo ready- SCS and Tariff Meter Panel </t>
  </si>
  <si>
    <t xml:space="preserve">C&amp;P Modification at QSTECH </t>
  </si>
  <si>
    <t>Cargo ready- OTB</t>
  </si>
  <si>
    <t xml:space="preserve">SCADA Modification at DGCC for QSTECH and addition of ESP </t>
  </si>
  <si>
    <t xml:space="preserve">Cargo ready-  Telecom Panel </t>
  </si>
  <si>
    <t>Sub/Order Status</t>
  </si>
  <si>
    <t>Bond</t>
  </si>
  <si>
    <t>Origin</t>
    <phoneticPr fontId="8" type="noConversion"/>
  </si>
  <si>
    <t>QTY</t>
    <phoneticPr fontId="8" type="noConversion"/>
  </si>
  <si>
    <t>Sub/Order Item</t>
  </si>
  <si>
    <t>Sub/Order Issued</t>
  </si>
  <si>
    <t>Sub/Order Received</t>
  </si>
  <si>
    <t>Inspection Starting Date</t>
  </si>
  <si>
    <t>Curr.</t>
  </si>
  <si>
    <t>Duty</t>
  </si>
  <si>
    <t>Phone</t>
  </si>
  <si>
    <t>Mail</t>
  </si>
  <si>
    <t>Current Status</t>
  </si>
  <si>
    <t>Contract</t>
    <phoneticPr fontId="8" type="noConversion"/>
  </si>
  <si>
    <t>Manufacturing</t>
    <phoneticPr fontId="8" type="noConversion"/>
  </si>
  <si>
    <t>SE&amp;A
(Ordered/Not Ordered)</t>
  </si>
  <si>
    <t>CTCI
(Ordered/Not Ordered)</t>
    <phoneticPr fontId="8" type="noConversion"/>
  </si>
  <si>
    <t>Total
(Ordered/Not Ordered)</t>
    <phoneticPr fontId="8" type="noConversion"/>
  </si>
  <si>
    <t>Q'ty
(SE&amp;A)</t>
  </si>
  <si>
    <t>Q'ty
(CTCI)</t>
    <phoneticPr fontId="8" type="noConversion"/>
  </si>
  <si>
    <t>Q'ty
(Total)</t>
    <phoneticPr fontId="8" type="noConversion"/>
  </si>
  <si>
    <t>KAR206</t>
  </si>
  <si>
    <t>Variable Area Flowmeter</t>
    <phoneticPr fontId="5" type="noConversion"/>
  </si>
  <si>
    <t>KROHNE Korea Co., Ltd.</t>
    <phoneticPr fontId="5" type="noConversion"/>
  </si>
  <si>
    <t>GE</t>
  </si>
  <si>
    <t>GERMANY</t>
    <phoneticPr fontId="5" type="noConversion"/>
  </si>
  <si>
    <t>8/0</t>
  </si>
  <si>
    <t>.</t>
  </si>
  <si>
    <t>NA</t>
  </si>
  <si>
    <t>H250 RR M40</t>
    <phoneticPr fontId="5" type="noConversion"/>
  </si>
  <si>
    <t>KROHNE Messtechnik GmbH, Germany</t>
    <phoneticPr fontId="5" type="noConversion"/>
  </si>
  <si>
    <t>Final&amp;Packing inspection</t>
    <phoneticPr fontId="5" type="noConversion"/>
  </si>
  <si>
    <t>N-5000106373-001</t>
    <phoneticPr fontId="5" type="noConversion"/>
  </si>
  <si>
    <t>IRC-5000106373-0001</t>
  </si>
  <si>
    <t>EA</t>
    <phoneticPr fontId="5" type="noConversion"/>
  </si>
  <si>
    <t>SC7128C-P5-EL102-CS</t>
  </si>
  <si>
    <t xml:space="preserve"> -   </t>
  </si>
  <si>
    <t>2025-12-19</t>
  </si>
  <si>
    <t>2026/2/9</t>
  </si>
  <si>
    <t>Krohne to submit VDB rev.0</t>
  </si>
  <si>
    <t>SC7128C-P5-KA103-CS</t>
  </si>
  <si>
    <t xml:space="preserve"> Name Plate (DHL#2257899206) </t>
  </si>
  <si>
    <t>Manufacturing Completion</t>
  </si>
  <si>
    <t>Instrument Cable Tray and Fittings</t>
  </si>
  <si>
    <t>CN</t>
  </si>
  <si>
    <t>2025-04-09
2025-12-29</t>
  </si>
  <si>
    <t>2026-06-15
2025-08-15
2026-03-10</t>
  </si>
  <si>
    <t>Job site</t>
  </si>
  <si>
    <t>10,071/0</t>
  </si>
  <si>
    <t>10,044/0</t>
  </si>
  <si>
    <t>20,115/0</t>
  </si>
  <si>
    <t>Imspection for 1st batch (ite-in)</t>
  </si>
  <si>
    <t>N-5000107368-001</t>
  </si>
  <si>
    <t>IRC-5000107368-001</t>
  </si>
  <si>
    <t>SC7128C-P5-CC014-CS</t>
  </si>
  <si>
    <t>3rd PO: 
ATD 4/29
ETA  port 6/9</t>
  </si>
  <si>
    <t>Imspection for 2nd batch (include process and utility)</t>
  </si>
  <si>
    <t>N-5000107368-002</t>
  </si>
  <si>
    <t>IRC-5000107368-002</t>
  </si>
  <si>
    <t>SC7128C-P5-CC027-CS</t>
  </si>
  <si>
    <t>Imspection for 3rd batch (include process and utility)</t>
  </si>
  <si>
    <t>N-5000107368-003</t>
  </si>
  <si>
    <t>IRC-5000107368-0003</t>
  </si>
  <si>
    <t>SC7128C-P5-CC030-CS</t>
  </si>
  <si>
    <t>SC7128C-P5-CC031-CS</t>
  </si>
  <si>
    <t>SC7128C-P5-CC062-CS</t>
  </si>
  <si>
    <t>SC7128C-P5-CC063-SS</t>
  </si>
  <si>
    <t>Cargo ready (1st fo tie-in)</t>
  </si>
  <si>
    <t>SC7128C-P5-CC134-CS</t>
  </si>
  <si>
    <t>SC7128C-P5-CC135-SS</t>
  </si>
  <si>
    <t>KAR102</t>
  </si>
  <si>
    <t>Temperature Element</t>
  </si>
  <si>
    <t>WIKA Korea Ltd.</t>
  </si>
  <si>
    <t>KR</t>
  </si>
  <si>
    <t>KOREA</t>
  </si>
  <si>
    <t>39/0</t>
  </si>
  <si>
    <t>9/0</t>
  </si>
  <si>
    <t>48/0</t>
  </si>
  <si>
    <t>N-5000107441-001</t>
  </si>
  <si>
    <t>2026-04-22&amp;24</t>
  </si>
  <si>
    <t>40-TW-10021 to be re-manufactured. (300 lbs -&gt; 1500 lbs)
Pressure Test / 2” 1500lb items shall be re-tested by 373 bar. (40-TW-10013, 10019, 40002, 40003, 40012AS/BS/CS, 10021)</t>
  </si>
  <si>
    <t>(12/9) Tag# changed 40-TE-40001/40-TW-40001 
        -&gt; 40-TE-10040/40-TW-10040</t>
  </si>
  <si>
    <t>Packing Inspection</t>
  </si>
  <si>
    <t>N-5000107441-002</t>
  </si>
  <si>
    <t>waive</t>
  </si>
  <si>
    <t>Cargo ready (47EA)</t>
  </si>
  <si>
    <t>Cargo ready (40-TW-10021)</t>
  </si>
  <si>
    <t>KAR407</t>
  </si>
  <si>
    <t xml:space="preserve">5000107440_x000D_
</t>
  </si>
  <si>
    <t>Samil Industry Co., Ltd.</t>
    <phoneticPr fontId="5" type="noConversion"/>
  </si>
  <si>
    <t>KOREA</t>
    <phoneticPr fontId="5" type="noConversion"/>
  </si>
  <si>
    <t>10/0</t>
  </si>
  <si>
    <t>5/0</t>
    <phoneticPr fontId="5" type="noConversion"/>
  </si>
  <si>
    <t>15/0</t>
    <phoneticPr fontId="5" type="noConversion"/>
  </si>
  <si>
    <t>Flange (Utility)</t>
    <phoneticPr fontId="5" type="noConversion"/>
  </si>
  <si>
    <t>Kumoh Forge</t>
    <phoneticPr fontId="34" type="noConversion"/>
  </si>
  <si>
    <t>Fit up (Utility)</t>
  </si>
  <si>
    <t>N-5000107440-001</t>
  </si>
  <si>
    <t>SC7128C-P5-KC162-CS</t>
  </si>
  <si>
    <t>Valve (Utility)</t>
    <phoneticPr fontId="5" type="noConversion"/>
  </si>
  <si>
    <t>Dongeun Valve</t>
    <phoneticPr fontId="34" type="noConversion"/>
  </si>
  <si>
    <t>Final&amp;Packing inspection (Utility)</t>
  </si>
  <si>
    <t>N-5000107440-002</t>
  </si>
  <si>
    <t>IRC-5000107440-0001</t>
  </si>
  <si>
    <t>Gasket (Utility)</t>
    <phoneticPr fontId="5" type="noConversion"/>
  </si>
  <si>
    <t>Flexitallic</t>
    <phoneticPr fontId="34" type="noConversion"/>
  </si>
  <si>
    <t>Fit up (Process)</t>
  </si>
  <si>
    <t>N-5000107440-003</t>
  </si>
  <si>
    <t>Final&amp;Packing inspection (Process)</t>
  </si>
  <si>
    <t>N-5000107440-004</t>
  </si>
  <si>
    <t>Cargo ready (Utility)</t>
    <phoneticPr fontId="5" type="noConversion"/>
  </si>
  <si>
    <t>Cargo ready (Process)</t>
    <phoneticPr fontId="5" type="noConversion"/>
  </si>
  <si>
    <t>KAR303</t>
  </si>
  <si>
    <t>PRESSURE GAUGE &amp; TEMPERATURE GAUGE</t>
  </si>
  <si>
    <t>WISE Control Inc.</t>
  </si>
  <si>
    <t>KR</t>
    <phoneticPr fontId="5" type="noConversion"/>
  </si>
  <si>
    <t>2025/12/30
2026/2/1</t>
    <phoneticPr fontId="5" type="noConversion"/>
  </si>
  <si>
    <t>17/0</t>
    <phoneticPr fontId="5" type="noConversion"/>
  </si>
  <si>
    <t>32/0</t>
    <phoneticPr fontId="5" type="noConversion"/>
  </si>
  <si>
    <t>2-Way manifold valve</t>
    <phoneticPr fontId="34" type="noConversion"/>
  </si>
  <si>
    <t>Hy-lok korea</t>
    <phoneticPr fontId="34" type="noConversion"/>
  </si>
  <si>
    <t>Final&amp;Packing inspection (073-PI-0125)</t>
  </si>
  <si>
    <t>N-5000107447-001</t>
  </si>
  <si>
    <t>IRC-5000107447-0001</t>
  </si>
  <si>
    <t>SC7128C-P5-KA092-CS</t>
  </si>
  <si>
    <t>Final&amp;Packing inspection (PG)</t>
  </si>
  <si>
    <t>N-5000107447-002</t>
  </si>
  <si>
    <t>2026-02-03
~2026-02-04</t>
  </si>
  <si>
    <t>IRC-5000107447-0002</t>
  </si>
  <si>
    <t>SC7128C-P5-KC154-SS</t>
  </si>
  <si>
    <t>Mono Flange valve</t>
    <phoneticPr fontId="34" type="noConversion"/>
  </si>
  <si>
    <t>Final&amp;Packing inspection (TG)</t>
  </si>
  <si>
    <t>N-5000107447-003</t>
  </si>
  <si>
    <t>IRC-5000107447-0003</t>
  </si>
  <si>
    <t xml:space="preserve">SC7128C-P5-KC144-CS </t>
  </si>
  <si>
    <t>Final&amp;Packing inspection (Pre-commissioning Spares)-PG</t>
  </si>
  <si>
    <t>N-5000107447-004</t>
  </si>
  <si>
    <t>IRC-5000107447-0004</t>
  </si>
  <si>
    <t>SET</t>
  </si>
  <si>
    <t>SC7128C-P5-KA224-SS</t>
  </si>
  <si>
    <t>Receive Main material</t>
    <phoneticPr fontId="5" type="noConversion"/>
  </si>
  <si>
    <t>Final&amp;Packing inspection (Pre-commissioning Spares)-TG</t>
  </si>
  <si>
    <t>N-5000107447-005</t>
  </si>
  <si>
    <t>IRC-5000107447-0005</t>
  </si>
  <si>
    <t>Law Material</t>
  </si>
  <si>
    <t>1 LOT</t>
    <phoneticPr fontId="34" type="noConversion"/>
  </si>
  <si>
    <t>1 LOT</t>
  </si>
  <si>
    <t>POSCO</t>
    <phoneticPr fontId="34" type="noConversion"/>
  </si>
  <si>
    <t>Cargo ready (073-PI-0125)</t>
  </si>
  <si>
    <t>Cargo ready (30EA)</t>
  </si>
  <si>
    <t>Cargo ready (Pre-commissioning Spares)</t>
  </si>
  <si>
    <t>KAR202</t>
  </si>
  <si>
    <t>Orifice Plate</t>
  </si>
  <si>
    <t>26/0</t>
  </si>
  <si>
    <t>30/0</t>
  </si>
  <si>
    <t>Flange (for Utility)</t>
  </si>
  <si>
    <t>Kumoh Forge or Equiv.</t>
  </si>
  <si>
    <t>Final&amp;Packing inspection (for Utility)</t>
  </si>
  <si>
    <t>N-5000107469-001</t>
  </si>
  <si>
    <t>IRC-5000107469-0001</t>
  </si>
  <si>
    <t>SC7128C-P5-KL148-CS</t>
  </si>
  <si>
    <t>Gasket (for Utility)</t>
  </si>
  <si>
    <t>Flexitallic</t>
  </si>
  <si>
    <t>Final&amp;Packing inspection (for Process Flange&amp;Nipple)</t>
  </si>
  <si>
    <t>N-5000107469-002</t>
  </si>
  <si>
    <t>IRC-5000107469-0002</t>
  </si>
  <si>
    <t>SC7128C-P5-KA194-SS</t>
  </si>
  <si>
    <t>Flange (for Process)</t>
  </si>
  <si>
    <t>Final&amp;Packing inspection (for Utility Nipple Spares)</t>
  </si>
  <si>
    <t>N-5000107469-003</t>
  </si>
  <si>
    <t>N/A (SQR review)</t>
  </si>
  <si>
    <t>IRC-5000107469-0003</t>
  </si>
  <si>
    <t>SC7128C-P5-KA225-CS</t>
  </si>
  <si>
    <t>Gasket (for Process)</t>
  </si>
  <si>
    <t>Final&amp;Packing inspection (for Process)</t>
  </si>
  <si>
    <t>N-5000107469-004</t>
  </si>
  <si>
    <t>Cargo ready (Utility Main)</t>
  </si>
  <si>
    <t>Cargo ready (Process-Flange&amp;Nipple)</t>
  </si>
  <si>
    <t>Cargo ready (Utility-Nipple Spare)</t>
  </si>
  <si>
    <t>Cargo ready (Process Main)</t>
  </si>
  <si>
    <t>KBR920</t>
  </si>
  <si>
    <t>INSTRUMENT_x000D_
CABLE</t>
  </si>
  <si>
    <t>GAON CABLE Co., Ltd</t>
  </si>
  <si>
    <t>81252/0</t>
  </si>
  <si>
    <t>101394/0</t>
  </si>
  <si>
    <t>182646/0</t>
  </si>
  <si>
    <t>Inspeciton for 1st batch (ite-in)</t>
  </si>
  <si>
    <t>N-5000107926-001
N-5000107926-002</t>
  </si>
  <si>
    <t>2025-07-03
2025-07-09</t>
  </si>
  <si>
    <t>IRC-5000107926-001_x000D_
IRC-5000107926-002</t>
  </si>
  <si>
    <t>SC7128C-P5-KC020-CS</t>
  </si>
  <si>
    <t>2nd PO: 
HMM MIR 0019W, ATA Hamad 5/19
3rd PO 
ATD 4/29
ETA port 6/28
4th PO: 
Forecast delivery date: 7/15</t>
  </si>
  <si>
    <t>Inspeciton for 2nd batch</t>
  </si>
  <si>
    <t>N-5000107926-003</t>
  </si>
  <si>
    <t>IRC-5000107926-003</t>
  </si>
  <si>
    <t>SC7128C-P5-KCA033-CS</t>
  </si>
  <si>
    <t>Inspeciton for 3rd batch</t>
  </si>
  <si>
    <t>N-5000107926-005&amp;006&amp;007</t>
  </si>
  <si>
    <t>2026-03-24
2026-04-01</t>
  </si>
  <si>
    <t xml:space="preserve">IRC-5000107926-004-6
</t>
  </si>
  <si>
    <t>SC7128C-P5-KA036-CS</t>
  </si>
  <si>
    <t>SC7128C-P5-KA042-CS</t>
  </si>
  <si>
    <t>SC7128C-P5-KC124-CS</t>
  </si>
  <si>
    <t>SC7128C-P5-KC125-SS</t>
  </si>
  <si>
    <t>B/L to be revised due to different POD</t>
  </si>
  <si>
    <t>SC7128C-P5-KC215-CS</t>
  </si>
  <si>
    <t>Cargo ready (Tie-in scope)</t>
  </si>
  <si>
    <t>Cargo ready (2nd PO)</t>
  </si>
  <si>
    <t>Cargo ready (3rdPO)</t>
  </si>
  <si>
    <t>Cargo ready (4thPO)</t>
  </si>
  <si>
    <t>KAR893</t>
  </si>
  <si>
    <t>Integrated Telecommunication System </t>
  </si>
  <si>
    <t>Vector InfoTech Pte Ltd</t>
  </si>
  <si>
    <t>SG</t>
  </si>
  <si>
    <t>Internation</t>
  </si>
  <si>
    <t>2026-03-31
2026-04-40
2026-05-30</t>
  </si>
  <si>
    <t>FOB/DDP</t>
  </si>
  <si>
    <t>0/0</t>
  </si>
  <si>
    <t>2/0</t>
  </si>
  <si>
    <t>System Cabinet - Rittal</t>
  </si>
  <si>
    <t xml:space="preserve">Rittal Pte Ltd </t>
  </si>
  <si>
    <t>turn around scope-antenna cable</t>
  </si>
  <si>
    <t>IRC-5000108095-0001</t>
  </si>
  <si>
    <t>1)Cabinet 
Cabinet from SG to IN: Confirmed the WPC is required and will take 1-2 onth for application. 
2)Ooredoo the subvendor for Tetra and Cellular is lack of respond and unable to advise the delivery schedule. Delivery schedule was postponed to 11/15
3)FAT of 1st shipment of equiments was done by 4/14
All punches were closed, SQR is unber reviewing
Vendor will shipment goods based on DDP term, and resourcing vessel now.
Forecast cargo ready 6/2</t>
  </si>
  <si>
    <t>All Junction Box - Rose</t>
  </si>
  <si>
    <t>Rose</t>
  </si>
  <si>
    <t>turn around scope-FO cable</t>
  </si>
  <si>
    <t>IRC-5000108095-0002</t>
  </si>
  <si>
    <t>EAS System - Industronic</t>
  </si>
  <si>
    <t>Industronic</t>
  </si>
  <si>
    <t>CCTV anchor bolt</t>
  </si>
  <si>
    <t>IRC-5000108095-0003</t>
  </si>
  <si>
    <t>SC7128C-P5-AC098-CS</t>
  </si>
  <si>
    <t xml:space="preserve">CCTV Cameras </t>
  </si>
  <si>
    <t>Axis &amp; Pelco</t>
  </si>
  <si>
    <t xml:space="preserve">Anchor bolt for EAS siren pole </t>
  </si>
  <si>
    <t>IRC-5000108095-0004</t>
  </si>
  <si>
    <t>SC7128C-P5-AA108-CS</t>
  </si>
  <si>
    <t>ACS Controller</t>
  </si>
  <si>
    <t>Siemens</t>
  </si>
  <si>
    <t>Cabinet for RIE &amp; AH (In SG)</t>
  </si>
  <si>
    <t>N-5000108095-001</t>
  </si>
  <si>
    <t>2026-01-26
to
2026-01-31</t>
  </si>
  <si>
    <t>IRC-5000108095-0005</t>
  </si>
  <si>
    <t>Set</t>
  </si>
  <si>
    <t>SC7128C-P5-AC151-V</t>
  </si>
  <si>
    <t>Start Fabrication (Cabinet)</t>
  </si>
  <si>
    <t>RIE EAS Cabinet &amp; EAS field equipment (In DE)</t>
  </si>
  <si>
    <t>N-5000108095-002</t>
  </si>
  <si>
    <t>2026-02-10
to
2026-02-12</t>
  </si>
  <si>
    <t>IRC-5000108095-0006</t>
  </si>
  <si>
    <t>SC7128C-P5-AC152-V</t>
  </si>
  <si>
    <t>pending - India BIS certificate to be advised by Emerson</t>
  </si>
  <si>
    <t>Manufacturing Completion (Cabinet)</t>
  </si>
  <si>
    <t>Inspection for Telecom Cabinet and Field Equipment FA </t>
  </si>
  <si>
    <t>N-5000108095-003</t>
  </si>
  <si>
    <t>2026-04-06
to
2026-04-14</t>
  </si>
  <si>
    <t>SQR reviewing</t>
  </si>
  <si>
    <t>SC7128C-P5-EA153-V</t>
  </si>
  <si>
    <t>Final Inspection (Cabinet)</t>
  </si>
  <si>
    <t xml:space="preserve">Inspection for CO2 Telecom Equipment </t>
  </si>
  <si>
    <t>N-5000108095-004</t>
  </si>
  <si>
    <t>SC7128C-P5-AA232-V</t>
  </si>
  <si>
    <t>black box to Yokogawa</t>
  </si>
  <si>
    <t>Cargo ready (Cabinet)</t>
  </si>
  <si>
    <t>Cargo ready-OREDOO</t>
  </si>
  <si>
    <t>Cargo ready-CO2 items</t>
  </si>
  <si>
    <t>KBR940</t>
  </si>
  <si>
    <t>INSTRUMENT JUNCTION BOX AND LCP</t>
  </si>
  <si>
    <t>Phoenix Mecano</t>
  </si>
  <si>
    <t>222/0</t>
  </si>
  <si>
    <t>95/0</t>
  </si>
  <si>
    <t>317/0</t>
  </si>
  <si>
    <t>Terminal block</t>
  </si>
  <si>
    <t>N-5000108061-001</t>
  </si>
  <si>
    <t xml:space="preserve">IRC-5000108061-0001  </t>
  </si>
  <si>
    <t>SC7128C-P5-AL066-CS</t>
  </si>
  <si>
    <t>NOI issued, FAT 5/29</t>
  </si>
  <si>
    <t>Plug</t>
  </si>
  <si>
    <t>Inspeciton for 2nd batch (ite-in)-splicing box</t>
  </si>
  <si>
    <t>IRC-5000108061-0002</t>
  </si>
  <si>
    <t>SC7128C-P5-AA079-CS
SC7128C-P5-AL107-CS</t>
  </si>
  <si>
    <t>2025-12-02
2025-12-21</t>
  </si>
  <si>
    <t>2025-12-04
2026-01-06</t>
  </si>
  <si>
    <t>2025-12-04
2026-01-10</t>
  </si>
  <si>
    <t>2025-12-04
2026-01-11</t>
  </si>
  <si>
    <t>Componets</t>
  </si>
  <si>
    <t>Inspeciton for 3rd PO</t>
  </si>
  <si>
    <t>N-5000108061-002</t>
  </si>
  <si>
    <t>Cargo ready (Tie-in J/B)</t>
  </si>
  <si>
    <t>Cargo ready (Tie-in splicing box)</t>
  </si>
  <si>
    <t>Cargo ready (3rd PO, 100% q'ty)</t>
  </si>
  <si>
    <t>10-1</t>
  </si>
  <si>
    <t>KAR701</t>
  </si>
  <si>
    <t>Metering Station</t>
  </si>
  <si>
    <t>Emerson Asia Pacific Private Limited</t>
  </si>
  <si>
    <t>3/0</t>
  </si>
  <si>
    <t>CORIOLIS METER</t>
  </si>
  <si>
    <t>Inspectio for metering control panel</t>
  </si>
  <si>
    <t>N-5000108145-002</t>
  </si>
  <si>
    <t>2026-02-02
to 
2026-02-07</t>
  </si>
  <si>
    <t>IRC-5000108145-001</t>
  </si>
  <si>
    <t>SC7128C-P5-AC139-V</t>
  </si>
  <si>
    <t>2026-04-09</t>
  </si>
  <si>
    <t>1.The cargo ready date of 3 metering skid are postponed to mid of Jul
Current delay reason:
1) Valves: ETD Dubai: 6/8  ETA India: 6/10 (postponed due to Eid)
1st batch:
-Final Inspection date: 5/22
-Packing: completed by 5/25
2nd batch(Actuated valves):
-Target inspection date: 1st week of Jun, NOI will be issued by 5/22
2)PSV (India factory), will delivered to site seperately.
-Target DDP: vendor is checking the date, lead time is 20 weeks.
2.FAT schedule:
Natural Gas &amp; Propane Skid: 6/20
Ethylene Metering Skid:7/13</t>
  </si>
  <si>
    <t>Ball Valves</t>
  </si>
  <si>
    <t>1 Lot</t>
  </si>
  <si>
    <t>JC VALVULAS ME FZC</t>
  </si>
  <si>
    <t>Inspectio for HRVOC &amp; GC</t>
  </si>
  <si>
    <t>N-5000108145-003</t>
  </si>
  <si>
    <t>2026-02-10
2026-02-11</t>
  </si>
  <si>
    <t>SC7128C-P5-AC221-CS</t>
  </si>
  <si>
    <t>GC</t>
  </si>
  <si>
    <t>PAS</t>
  </si>
  <si>
    <t>Inspectio for Coriolis Meter</t>
  </si>
  <si>
    <t>N-5000108145-004</t>
  </si>
  <si>
    <t>2026-03-09
to
2026-03-13</t>
  </si>
  <si>
    <t>SC7128C-P5-AC222-CS</t>
  </si>
  <si>
    <t>Sub-order Issued-Metering</t>
  </si>
  <si>
    <t>Check Valve </t>
  </si>
  <si>
    <t>JC Valves, Dubai</t>
  </si>
  <si>
    <t>Inspectio for metering skid (Intermediate Inspection)</t>
  </si>
  <si>
    <t>N-5000108145-005</t>
  </si>
  <si>
    <t>Receive Main material-Metering</t>
  </si>
  <si>
    <t>Globe Valve </t>
  </si>
  <si>
    <t>Inspection for Natural Gas &amp; Propane Metering Skid(Intermediate Inspection)</t>
  </si>
  <si>
    <t>N-5000108145-007</t>
  </si>
  <si>
    <t>2026-03-10&amp;11
2026-03-17&amp;18
2026-03-24</t>
  </si>
  <si>
    <t>2026-03-10&amp;11
2026-03-17&amp;18</t>
  </si>
  <si>
    <t>Start Fabricationl-metering control panel</t>
  </si>
  <si>
    <t>Thermal Relief Valve</t>
  </si>
  <si>
    <t>Lesser, India</t>
  </si>
  <si>
    <t>Inspection for Natural Gas &amp; Propane Metering Skid (painting)</t>
  </si>
  <si>
    <t>N-5000108145-008</t>
  </si>
  <si>
    <t>Start Fabricationl-Metering</t>
  </si>
  <si>
    <t>Pressure Safety Valve</t>
  </si>
  <si>
    <t>Inspection for galvanizing for structure</t>
  </si>
  <si>
    <t>N-5000108145-009</t>
  </si>
  <si>
    <t>Manufacturing Completionl-metering control panel</t>
  </si>
  <si>
    <t>Flow Computer (S600+)</t>
  </si>
  <si>
    <t>Emerson, USA</t>
  </si>
  <si>
    <t>Inspection for for structure &amp; piping visual &amp; dimension without shoe support</t>
  </si>
  <si>
    <t>N-5000108145-014</t>
  </si>
  <si>
    <t>2026-04-27
to
2026-05-07</t>
  </si>
  <si>
    <t>Manufacturing Completionl-Natural Gas &amp; Propane Skid</t>
  </si>
  <si>
    <t>PT, TT, TW, RTD </t>
  </si>
  <si>
    <t>Emerson, India</t>
  </si>
  <si>
    <t>Inspection for ball valve, check valve, Globe Valve </t>
  </si>
  <si>
    <t>N-5000108145-015</t>
  </si>
  <si>
    <t>2026-05-05
2026-05-06
2026-05-07</t>
  </si>
  <si>
    <t>Manufacturing Completionl-Ethylene Metering Skid</t>
  </si>
  <si>
    <t xml:space="preserve">Junction Box </t>
  </si>
  <si>
    <t>Surface Preparation Inspection for ball valve, check valve, Globe Valve </t>
  </si>
  <si>
    <t>N-5000108145-016</t>
  </si>
  <si>
    <t>Final Inspectionl-metering control panel</t>
  </si>
  <si>
    <t>Metering control panel</t>
  </si>
  <si>
    <t>Painting Inspection for ball valve, check valve, Globe Valve </t>
  </si>
  <si>
    <t>N-5000108145-017</t>
  </si>
  <si>
    <t>Final Inspectionl-Natural Gas &amp; Propane Skid</t>
  </si>
  <si>
    <t>Metering skid</t>
  </si>
  <si>
    <t>WIKA</t>
  </si>
  <si>
    <t>Inspection for metering skids Structure Final Dimension</t>
  </si>
  <si>
    <t>N-5000108145-018</t>
  </si>
  <si>
    <t>Final Inspectionl-Ethylene Metering Skid</t>
  </si>
  <si>
    <t>Alcatraz interlocks</t>
  </si>
  <si>
    <t>ALCATRAZ INTERLOCKS BV</t>
  </si>
  <si>
    <t>Final Galvanizing inspection for Ethylene Metering Skid</t>
  </si>
  <si>
    <t>N-5000108145-019</t>
  </si>
  <si>
    <t>Cargo ready-metering control panel</t>
  </si>
  <si>
    <t>Calibration witness of coriolis meters in FCRI, India(Propane &amp; NG Metering)</t>
  </si>
  <si>
    <t>F 2026-05-25&amp;26</t>
  </si>
  <si>
    <t>Cargo ready-Natural Gas &amp; Propane Skid</t>
  </si>
  <si>
    <t>CalibraCalibration witness of coriolis meter in Singapore(Ethylene Metering)</t>
  </si>
  <si>
    <t>F 2026-06-01</t>
  </si>
  <si>
    <t>Cargo ready-Ethylene Metering Skid</t>
  </si>
  <si>
    <t>Final FAT (Propane &amp; NG Metering)</t>
  </si>
  <si>
    <t>F 2026-06-20</t>
  </si>
  <si>
    <t>Final FAT(Ethylene Metering)</t>
  </si>
  <si>
    <t>F 2026-07-13</t>
  </si>
  <si>
    <t>10-2</t>
  </si>
  <si>
    <t>Analyzer</t>
  </si>
  <si>
    <t>2026/2/28
2026/5/15</t>
  </si>
  <si>
    <t>HRVOC Analyzer</t>
  </si>
  <si>
    <t>PAS, Singapore</t>
  </si>
  <si>
    <t>Inspection for HRVOC and GC</t>
  </si>
  <si>
    <t>Rack and cabinet: 
Inspection date: 6/9, NOI issued .
Target delivery date: 6/22
(NJB will arrive at vendor shop by end of May)
AH will be delivered by early of Sep. (FAT by 8/17)
Current delay reason:
1)HVAC 
-Electrical enclosure: Arrived, photo will be provdied from vendor.
-HVAC FAT: 7/8.  ETD Australia: 7/15 (by air)  ETA India: 7/23.
2)PK controller panel: Forecast receiving date 7/31</t>
  </si>
  <si>
    <t>Wobbe / Density Index</t>
  </si>
  <si>
    <t>Hobre, Netherlands</t>
  </si>
  <si>
    <t>Inspection for Rack and cabinet</t>
  </si>
  <si>
    <t>N-5000108145-020</t>
  </si>
  <si>
    <t>2026-06-09&amp;10
2026-06-11&amp;13</t>
  </si>
  <si>
    <t>Oxygen Analyzer</t>
  </si>
  <si>
    <t>Emerson, UK</t>
  </si>
  <si>
    <t>HVAC FAT</t>
  </si>
  <si>
    <t>F 2026-07-08</t>
  </si>
  <si>
    <t>ORP Analyzer</t>
  </si>
  <si>
    <t>Final FAT (AH)</t>
  </si>
  <si>
    <t>F 2026-08-07</t>
  </si>
  <si>
    <t>Final Inspectionl-Analyzer-Analyzer Cabinets and Racks</t>
  </si>
  <si>
    <t>HVAC</t>
  </si>
  <si>
    <t>Stolway </t>
  </si>
  <si>
    <t>Final Inspectionl-Analyzer House</t>
  </si>
  <si>
    <t>PK controller panel</t>
  </si>
  <si>
    <t>Emerson India</t>
  </si>
  <si>
    <t>Cargo ready-Analyzer Cabinets and Racks</t>
  </si>
  <si>
    <t>PK controller accrssories</t>
  </si>
  <si>
    <t>Cargo ready-Analyzer House</t>
  </si>
  <si>
    <t>KBR933</t>
  </si>
  <si>
    <t>Cable Gland (Instrument)</t>
  </si>
  <si>
    <t>2025-05-22
2025-12-08</t>
  </si>
  <si>
    <t>2025-07-31
2026-02-20</t>
  </si>
  <si>
    <t>1701/0</t>
  </si>
  <si>
    <t>993/0</t>
  </si>
  <si>
    <t>2697/0</t>
  </si>
  <si>
    <t>Inspection for 1st batcxh (tie-in)</t>
  </si>
  <si>
    <t>IRC-5000108080-0001</t>
  </si>
  <si>
    <t>SC7128C-P5-EA064-CS</t>
  </si>
  <si>
    <t>2nd PO: space confirmed
ATD 4/12  ETA 6/30</t>
  </si>
  <si>
    <t>Inspection for 2nd batcxh (SOC+TOC)</t>
  </si>
  <si>
    <t>IRC-5000108080-0002</t>
  </si>
  <si>
    <t>SC7128C-P5-EC149-CS
SC7128C-P5-EC150-SS</t>
  </si>
  <si>
    <t>Cargo ready-1st PO</t>
  </si>
  <si>
    <t>KAR213</t>
  </si>
  <si>
    <t>Ultrasonic flowmeter</t>
    <phoneticPr fontId="5" type="noConversion"/>
  </si>
  <si>
    <t>INTERCIS</t>
    <phoneticPr fontId="5" type="noConversion"/>
  </si>
  <si>
    <t>Ire</t>
    <phoneticPr fontId="5" type="noConversion"/>
  </si>
  <si>
    <t>0/0</t>
    <phoneticPr fontId="5" type="noConversion"/>
  </si>
  <si>
    <t>4/0</t>
    <phoneticPr fontId="5" type="noConversion"/>
  </si>
  <si>
    <t>Adaptor (3/4" NPT X M20)</t>
  </si>
  <si>
    <t>Shinhwa Tech</t>
  </si>
  <si>
    <t>Final&amp;Packing inspection (FOB Ireland)</t>
  </si>
  <si>
    <t xml:space="preserve">N-50000108629-001 </t>
  </si>
  <si>
    <t>2026-02-19,20</t>
  </si>
  <si>
    <t>IRC-5000108629-0001</t>
  </si>
  <si>
    <t>SC7128C-P5-KC188-CS</t>
  </si>
  <si>
    <t>Ireland</t>
    <phoneticPr fontId="5" type="noConversion"/>
  </si>
  <si>
    <t>2/0</t>
    <phoneticPr fontId="5" type="noConversion"/>
  </si>
  <si>
    <t>Tag Plate</t>
  </si>
  <si>
    <t>Calibration Test (FOB Korea)</t>
  </si>
  <si>
    <t>N-50000108629-002</t>
  </si>
  <si>
    <t>SC7128C-P5-EA179-CS</t>
  </si>
  <si>
    <t>Mounting Bracket for gas</t>
  </si>
  <si>
    <t>Final&amp;Packing inspection (FOB Korea)</t>
  </si>
  <si>
    <t>N-50000108629-003</t>
  </si>
  <si>
    <t>IRC-5000108629-0002</t>
  </si>
  <si>
    <t>Sunshade</t>
  </si>
  <si>
    <t>GRP cabinet for Liquid</t>
  </si>
  <si>
    <t>BULK s기</t>
  </si>
  <si>
    <t>Gate Valve for Gas</t>
  </si>
  <si>
    <t>PK Valve</t>
  </si>
  <si>
    <t>Cargo ready (FOB Ireland)</t>
  </si>
  <si>
    <t>Cargo ready (FOB Korea)</t>
  </si>
  <si>
    <t>KAR212</t>
  </si>
  <si>
    <t>FIRE &amp; GAS DETECTOR</t>
  </si>
  <si>
    <t>Tyco Qatar Fire &amp; Security WLL</t>
  </si>
  <si>
    <t>Germany, UK, USA</t>
  </si>
  <si>
    <t>Dräger Flame 1500, Dual M25 cable entry, Aluminum </t>
  </si>
  <si>
    <t>Vendor is preparing GAD and datasheet of process scope (waiting the input from Dräger.</t>
  </si>
  <si>
    <t>Polytron 8700 IR d 4-20mA HART Marine Grade Copper-Free Aluminium</t>
  </si>
  <si>
    <t>Dräger Pulsar 7000 Tx S Range JB Ex e Tx ONLY 4-60m</t>
  </si>
  <si>
    <t>Dräger Pulsar 7700 Rx S Range JB Ex e Rx ONLY 4-120m</t>
  </si>
  <si>
    <t>Dräger Flame 1500, Dual M25 cable entry, Aluminum</t>
  </si>
  <si>
    <t>D1xB2X10 20-28Vdc Red/Red 10J Xenon Strobe Beacon</t>
  </si>
  <si>
    <t>D1xS1F 11.5-54Vdc Red Alarm Horn Sounder</t>
  </si>
  <si>
    <t xml:space="preserve"> GNExCP7-BG Break Glass Manual Signaling Box CP 1-24-150</t>
  </si>
  <si>
    <t>KBR954</t>
  </si>
  <si>
    <t>Instrument Tube &amp; Fitting</t>
  </si>
  <si>
    <t>Swegelok</t>
  </si>
  <si>
    <t>6557/0</t>
  </si>
  <si>
    <t>1608/0</t>
  </si>
  <si>
    <t>8165/0</t>
  </si>
  <si>
    <t>Final&amp;Packing inspection (1ST)</t>
  </si>
  <si>
    <t>IRC-5000109996-0001</t>
  </si>
  <si>
    <t>SC7128C-P5-KC137-SS</t>
  </si>
  <si>
    <t>Final&amp;Packing inspection (2ND)</t>
  </si>
  <si>
    <t>IRC-5000109996-0002</t>
  </si>
  <si>
    <t>SC7128C-P5-KC136-CS</t>
  </si>
  <si>
    <t>Final&amp;Packing inspection (3rd)</t>
  </si>
  <si>
    <t>SC7128C-P5-KC209-SS</t>
  </si>
  <si>
    <t>Final&amp;Packing inspection (4th)</t>
  </si>
  <si>
    <t>SC7128C-P5-KC208-CS</t>
  </si>
  <si>
    <t xml:space="preserve">Cargo ready 1st </t>
  </si>
  <si>
    <t xml:space="preserve">Cargo ready 2nd </t>
  </si>
  <si>
    <t>Cargo ready 3rd</t>
  </si>
  <si>
    <t>Cargo ready 4th</t>
  </si>
  <si>
    <t>KAR533</t>
  </si>
  <si>
    <t>On-Off Valve, Ball( 40-XV-71005S)</t>
  </si>
  <si>
    <t xml:space="preserve">5000110902
</t>
  </si>
  <si>
    <t>Flowserve</t>
  </si>
  <si>
    <t>TW</t>
  </si>
  <si>
    <t>1/0</t>
  </si>
  <si>
    <t>Pressure &amp;Torque Test FAT</t>
  </si>
  <si>
    <t>N-5000110902-002 </t>
  </si>
  <si>
    <t>SC7128C-P5-CA184-CS</t>
  </si>
  <si>
    <t>F 2026-06-02</t>
  </si>
  <si>
    <t>F 2026-06-05</t>
  </si>
  <si>
    <t>1)Inpsection was completed by 4/27. SQR was submitted..
2)Shipment will be shipped by Air after Eid.
ETD 6/2
ETA 6/2</t>
  </si>
  <si>
    <t>N-5000110902-003</t>
  </si>
  <si>
    <t>On-Off Valve, Ball (40-XV-71024S,40-XV-71002S)</t>
  </si>
  <si>
    <t>Valpres S.r.l.</t>
  </si>
  <si>
    <t>Italy</t>
  </si>
  <si>
    <t>BALL 12"</t>
  </si>
  <si>
    <t xml:space="preserve">BIFFI ITALIA S.R.L. </t>
  </si>
  <si>
    <t>Material Inspection</t>
  </si>
  <si>
    <t xml:space="preserve">N-5000110841-002 </t>
  </si>
  <si>
    <t xml:space="preserve">All the project materials have been collected and are currently in transit. _x000D_
Most of them are expected to arrive at our facility by the end of May, except for some components of the 12” valve, which have been delayed by one week due to the additional witness required on the ball and seats._x000D_
</t>
  </si>
  <si>
    <t>SEATS 12"</t>
  </si>
  <si>
    <t>BALL 2"</t>
  </si>
  <si>
    <t>SEATS 2"</t>
  </si>
  <si>
    <t>BODY &amp; CLOSURES 12"</t>
  </si>
  <si>
    <t>BODY &amp; CLOSURES 2"</t>
  </si>
  <si>
    <t>STEM &amp; TRUNNION 12"</t>
  </si>
  <si>
    <t>STEM &amp; TRUNNION 2"</t>
  </si>
  <si>
    <t>SEALS 12"</t>
  </si>
  <si>
    <t>SEALS 2"</t>
  </si>
  <si>
    <t>BOLTING 12"</t>
  </si>
  <si>
    <t>BOLTING 2"</t>
  </si>
  <si>
    <t>ACTUATOR 12"</t>
  </si>
  <si>
    <t>ACTUATOR 2"</t>
  </si>
  <si>
    <t>MR No.</t>
  </si>
  <si>
    <t>MR Description</t>
    <phoneticPr fontId="25" type="noConversion"/>
  </si>
  <si>
    <t>batch</t>
    <phoneticPr fontId="25" type="noConversion"/>
  </si>
  <si>
    <t>Area</t>
    <phoneticPr fontId="25" type="noConversion"/>
  </si>
  <si>
    <t>Description</t>
    <phoneticPr fontId="26" type="noConversion"/>
  </si>
  <si>
    <t>BOM by</t>
    <phoneticPr fontId="25" type="noConversion"/>
  </si>
  <si>
    <t>ROS date</t>
  </si>
  <si>
    <t>BOM</t>
    <phoneticPr fontId="25" type="noConversion"/>
  </si>
  <si>
    <t>MMS
releasement</t>
    <phoneticPr fontId="25" type="noConversion"/>
  </si>
  <si>
    <t>PO/CO
issuance</t>
    <phoneticPr fontId="25" type="noConversion"/>
  </si>
  <si>
    <t>PO schedule
date
(Level III)</t>
    <phoneticPr fontId="26" type="noConversion"/>
  </si>
  <si>
    <t>Remark</t>
    <phoneticPr fontId="25" type="noConversion"/>
  </si>
  <si>
    <t>Lead time, not including logistic
(for reference)</t>
    <phoneticPr fontId="26" type="noConversion"/>
  </si>
  <si>
    <t>SOC to TOC
(For PO)</t>
    <phoneticPr fontId="25" type="noConversion"/>
  </si>
  <si>
    <t>SOC to TOC
(For Fab.)</t>
    <phoneticPr fontId="26" type="noConversion"/>
  </si>
  <si>
    <t>Eng to Pro</t>
    <phoneticPr fontId="25" type="noConversion"/>
  </si>
  <si>
    <t>ND1020</t>
  </si>
  <si>
    <t>Lighting Fixture and Others</t>
  </si>
  <si>
    <t>ESP</t>
    <phoneticPr fontId="26" type="noConversion"/>
  </si>
  <si>
    <t>High Mast Pole x10</t>
    <phoneticPr fontId="5" type="noConversion"/>
  </si>
  <si>
    <t>SOC + TOC</t>
    <phoneticPr fontId="26" type="noConversion"/>
  </si>
  <si>
    <t>done</t>
  </si>
  <si>
    <t>12-18 weeks</t>
  </si>
  <si>
    <t>ESP</t>
    <phoneticPr fontId="5" type="noConversion"/>
  </si>
  <si>
    <t>High Mast Pole x4</t>
    <phoneticPr fontId="5" type="noConversion"/>
  </si>
  <si>
    <t>TBC</t>
    <phoneticPr fontId="5" type="noConversion"/>
  </si>
  <si>
    <t>Cable tray</t>
  </si>
  <si>
    <t>RLOC</t>
    <phoneticPr fontId="26" type="noConversion"/>
  </si>
  <si>
    <t>turnaround period</t>
    <phoneticPr fontId="26" type="noConversion"/>
  </si>
  <si>
    <t>TOC</t>
    <phoneticPr fontId="26" type="noConversion"/>
  </si>
  <si>
    <t>N/A</t>
    <phoneticPr fontId="26" type="noConversion"/>
  </si>
  <si>
    <t>6-8 weeks</t>
  </si>
  <si>
    <t>TOC 70%</t>
    <phoneticPr fontId="26" type="noConversion"/>
  </si>
  <si>
    <t xml:space="preserve">TOC 100% </t>
    <phoneticPr fontId="26" type="noConversion"/>
  </si>
  <si>
    <r>
      <t xml:space="preserve">SOC </t>
    </r>
    <r>
      <rPr>
        <sz val="11"/>
        <rFont val="맑은 고딕"/>
        <family val="2"/>
        <charset val="129"/>
      </rPr>
      <t>70%</t>
    </r>
    <r>
      <rPr>
        <sz val="11"/>
        <rFont val="Calibri"/>
        <family val="2"/>
      </rPr>
      <t xml:space="preserve">  (Perforated)
 + 100% (Ladder)</t>
    </r>
    <phoneticPr fontId="26" type="noConversion"/>
  </si>
  <si>
    <t>SOC</t>
    <phoneticPr fontId="26" type="noConversion"/>
  </si>
  <si>
    <t>Perforated Tray</t>
    <phoneticPr fontId="26" type="noConversion"/>
  </si>
  <si>
    <t>SOC 100% (Perforated)</t>
    <phoneticPr fontId="26" type="noConversion"/>
  </si>
  <si>
    <t>Ladder Tray</t>
    <phoneticPr fontId="26" type="noConversion"/>
  </si>
  <si>
    <t>Cable Gland</t>
  </si>
  <si>
    <t>TBE issued, awaiting for BOM for PO</t>
    <phoneticPr fontId="26" type="noConversion"/>
  </si>
  <si>
    <t>8-10 weeks</t>
  </si>
  <si>
    <t>NB4010</t>
  </si>
  <si>
    <t>MV &amp; LV Cable</t>
    <phoneticPr fontId="26" type="noConversion"/>
  </si>
  <si>
    <t>DDP 15-Jan-26</t>
  </si>
  <si>
    <t>10-12 weeks</t>
    <phoneticPr fontId="26" type="noConversion"/>
  </si>
  <si>
    <t>KM</t>
    <phoneticPr fontId="26" type="noConversion"/>
  </si>
  <si>
    <t xml:space="preserve">tie-in </t>
    <phoneticPr fontId="26" type="noConversion"/>
  </si>
  <si>
    <t>N13A.01A</t>
    <phoneticPr fontId="26" type="noConversion"/>
  </si>
  <si>
    <t>RTD, TELECOM, AND COMMUNICATION CABLE</t>
    <phoneticPr fontId="26" type="noConversion"/>
  </si>
  <si>
    <t>TBE on-going</t>
    <phoneticPr fontId="26" type="noConversion"/>
  </si>
  <si>
    <t>14-16 weeks</t>
    <phoneticPr fontId="26" type="noConversion"/>
  </si>
  <si>
    <t>CABLE TERMINATION KITS</t>
  </si>
  <si>
    <t>18 weeks</t>
    <phoneticPr fontId="26" type="noConversion"/>
  </si>
  <si>
    <t>ND2010</t>
  </si>
  <si>
    <t>POWER MATERIAL
(WELDING SOCKET &amp; PLUG, LCS)</t>
    <phoneticPr fontId="26" type="noConversion"/>
  </si>
  <si>
    <t>14 weeks</t>
    <phoneticPr fontId="26" type="noConversion"/>
  </si>
  <si>
    <t>KBR910</t>
  </si>
  <si>
    <t>Instrument Cable Tray &amp; Fitting</t>
  </si>
  <si>
    <t>RLOC + RLIC</t>
    <phoneticPr fontId="26" type="noConversion"/>
  </si>
  <si>
    <t>turnaround period + tie-in</t>
    <phoneticPr fontId="26" type="noConversion"/>
  </si>
  <si>
    <t>done</t>
    <phoneticPr fontId="26" type="noConversion"/>
  </si>
  <si>
    <t>under TBE</t>
    <phoneticPr fontId="5" type="noConversion"/>
  </si>
  <si>
    <t>Instrument Cable</t>
    <phoneticPr fontId="26" type="noConversion"/>
  </si>
  <si>
    <t>TOC</t>
  </si>
  <si>
    <t>8-12 weeks</t>
  </si>
  <si>
    <t>turnaround period / JB x2 +LP x1</t>
    <phoneticPr fontId="26" type="noConversion"/>
  </si>
  <si>
    <t>tie-in</t>
    <phoneticPr fontId="26" type="noConversion"/>
  </si>
  <si>
    <t>AR approved, BOM for 1st order only 30m (vendor is not willing to take this order) 
--&gt; PO based on 80% BOM</t>
    <phoneticPr fontId="26" type="noConversion"/>
  </si>
  <si>
    <t>12-30 weeks</t>
  </si>
  <si>
    <t>PO issuance based on 80% BOM</t>
    <phoneticPr fontId="5" type="noConversion"/>
  </si>
  <si>
    <t>SOC + TOC</t>
  </si>
  <si>
    <t>Instrument Cable Glands</t>
  </si>
  <si>
    <t>ISBL+OSBL</t>
  </si>
  <si>
    <t>RLP ESP Electrical and Instrument Bulk Material Procurement Status</t>
    <phoneticPr fontId="39" type="noConversion"/>
  </si>
  <si>
    <t xml:space="preserve">Discipline </t>
    <phoneticPr fontId="6" type="noConversion"/>
  </si>
  <si>
    <t>PO No</t>
  </si>
  <si>
    <t xml:space="preserve">Description </t>
  </si>
  <si>
    <t>Vendor</t>
    <phoneticPr fontId="5" type="noConversion"/>
  </si>
  <si>
    <t>Country</t>
    <phoneticPr fontId="5" type="noConversion"/>
  </si>
  <si>
    <t xml:space="preserve">Batch (order %) </t>
  </si>
  <si>
    <t>SAP PO</t>
    <phoneticPr fontId="5" type="noConversion"/>
  </si>
  <si>
    <t>Delivery</t>
  </si>
  <si>
    <t>ETA site</t>
  </si>
  <si>
    <t>Remark</t>
  </si>
  <si>
    <t xml:space="preserve">Electrical </t>
  </si>
  <si>
    <t>Warom</t>
  </si>
  <si>
    <t xml:space="preserve">1st batch (HMP and lightings) </t>
  </si>
  <si>
    <t>2nd HMP</t>
  </si>
  <si>
    <t>Electrical</t>
  </si>
  <si>
    <t>3rd batch (100% SOC + 50% TOC)</t>
  </si>
  <si>
    <t>Outdoor Lighting Fixture and Others</t>
    <phoneticPr fontId="39" type="noConversion"/>
  </si>
  <si>
    <t>4th batch (remaining 50% TOC)</t>
    <phoneticPr fontId="5" type="noConversion"/>
  </si>
  <si>
    <t>SAP CO has been completed</t>
  </si>
  <si>
    <t>Doha Cables</t>
    <phoneticPr fontId="6" type="noConversion"/>
  </si>
  <si>
    <t>KM power cable (33kV)</t>
    <phoneticPr fontId="5" type="noConversion"/>
  </si>
  <si>
    <t>Forecast delivery on 1/1&amp;6&amp;7</t>
  </si>
  <si>
    <t>Doha Cables</t>
  </si>
  <si>
    <t>2nd batch (70%)</t>
  </si>
  <si>
    <t>1st: 2026/1/28
2nd: 2026/3/9</t>
  </si>
  <si>
    <t>FAT on 1/12&amp;2/15</t>
  </si>
  <si>
    <t>500010877302</t>
    <phoneticPr fontId="6" type="noConversion"/>
  </si>
  <si>
    <t>POWER &amp; CONTROL CABLE</t>
    <phoneticPr fontId="5" type="noConversion"/>
  </si>
  <si>
    <t>3rd batch (95%)</t>
  </si>
  <si>
    <t>4th batch (96%)</t>
    <phoneticPr fontId="5" type="noConversion"/>
  </si>
  <si>
    <t>5th batch (Earthing cable)</t>
    <phoneticPr fontId="5" type="noConversion"/>
  </si>
  <si>
    <t xml:space="preserve">6th batch </t>
  </si>
  <si>
    <t>F 2026-08-15</t>
  </si>
  <si>
    <t>CO is processing</t>
  </si>
  <si>
    <t>500010930601</t>
    <phoneticPr fontId="6" type="noConversion"/>
  </si>
  <si>
    <t>RTD, TELECOM, AND COMMUNICATION CABLE</t>
    <phoneticPr fontId="6" type="noConversion"/>
  </si>
  <si>
    <t>Gaon Cable</t>
    <phoneticPr fontId="6" type="noConversion"/>
  </si>
  <si>
    <t>1st + 2nd batch (100%)</t>
  </si>
  <si>
    <t>Sailing through South India at low speed, waiting final decision from HMM</t>
  </si>
  <si>
    <t>Additional</t>
  </si>
  <si>
    <t>IRC issued</t>
  </si>
  <si>
    <t>CABLE GLAND</t>
    <phoneticPr fontId="5" type="noConversion"/>
  </si>
  <si>
    <t>CMP Products</t>
    <phoneticPr fontId="6" type="noConversion"/>
  </si>
  <si>
    <t>Shipment arranging</t>
  </si>
  <si>
    <t>5000108966</t>
    <phoneticPr fontId="6" type="noConversion"/>
  </si>
  <si>
    <t>CABLE GLAND</t>
    <phoneticPr fontId="6" type="noConversion"/>
  </si>
  <si>
    <t>UK</t>
    <phoneticPr fontId="39" type="noConversion"/>
  </si>
  <si>
    <t>MMS is updating</t>
  </si>
  <si>
    <t>Remaining</t>
  </si>
  <si>
    <t>F 2026-07-31</t>
  </si>
  <si>
    <t>Power Material (Welding Socket, LCS &amp; JB) and Cable Termination Kits</t>
    <phoneticPr fontId="6" type="noConversion"/>
  </si>
  <si>
    <t>Singapore</t>
  </si>
  <si>
    <t>2026-04-28
(termination kit)
F 2026-05-31 (power material) </t>
  </si>
  <si>
    <t xml:space="preserve">2026-04-28
(termination kit)_x000D_
</t>
  </si>
  <si>
    <t>500010896701</t>
    <phoneticPr fontId="6" type="noConversion"/>
  </si>
  <si>
    <t>F 2026-07-17
(termination kit)
F 2026-05-31
(power material) </t>
  </si>
  <si>
    <t>Suzhou Ontop</t>
    <phoneticPr fontId="6" type="noConversion"/>
  </si>
  <si>
    <t>1st batch (40%)</t>
  </si>
  <si>
    <t>Suzhou Ontop</t>
  </si>
  <si>
    <t>2nd batch (80%)</t>
  </si>
  <si>
    <t>500010736702</t>
    <phoneticPr fontId="6" type="noConversion"/>
  </si>
  <si>
    <t>3rd batch (100%)</t>
    <phoneticPr fontId="6" type="noConversion"/>
  </si>
  <si>
    <t>CO completed</t>
  </si>
  <si>
    <t>500010736703</t>
    <phoneticPr fontId="6" type="noConversion"/>
  </si>
  <si>
    <t>Cable Tray &amp; Accessory</t>
    <phoneticPr fontId="39" type="noConversion"/>
  </si>
  <si>
    <t>4th batch (additional)</t>
    <phoneticPr fontId="39" type="noConversion"/>
  </si>
  <si>
    <t>Instrument</t>
  </si>
  <si>
    <t>1st batch for tie-in</t>
  </si>
  <si>
    <t>5000107368</t>
    <phoneticPr fontId="6" type="noConversion"/>
  </si>
  <si>
    <t>Instrument Cable Tray and Fittings</t>
    <phoneticPr fontId="39" type="noConversion"/>
  </si>
  <si>
    <t>3rd batch (100%)</t>
    <phoneticPr fontId="39" type="noConversion"/>
  </si>
  <si>
    <t>500010808001</t>
    <phoneticPr fontId="6" type="noConversion"/>
  </si>
  <si>
    <t>Cable Gland (Instrument)</t>
    <phoneticPr fontId="6" type="noConversion"/>
  </si>
  <si>
    <t>CMP Products</t>
  </si>
  <si>
    <t>2nd batch (100%)</t>
    <phoneticPr fontId="6" type="noConversion"/>
  </si>
  <si>
    <t>Instrument Tube &amp; Fitting</t>
    <phoneticPr fontId="6" type="noConversion"/>
  </si>
  <si>
    <t>Swagelok Korea</t>
    <phoneticPr fontId="6" type="noConversion"/>
  </si>
  <si>
    <t xml:space="preserve">Korea </t>
    <phoneticPr fontId="6" type="noConversion"/>
  </si>
  <si>
    <t>1st batch (70% SOC + 80% TOC)</t>
    <phoneticPr fontId="6" type="noConversion"/>
  </si>
  <si>
    <t>Instrument Tube &amp; Fitting</t>
    <phoneticPr fontId="39" type="noConversion"/>
  </si>
  <si>
    <t>Swagelok Korea</t>
  </si>
  <si>
    <t xml:space="preserve">Korea </t>
  </si>
  <si>
    <t>2nd batch (100%)</t>
    <phoneticPr fontId="39" type="noConversion"/>
  </si>
  <si>
    <t>3rd batch (100%)</t>
  </si>
  <si>
    <t>TBE</t>
  </si>
  <si>
    <t>INSTRUMENT CABLE</t>
    <phoneticPr fontId="6" type="noConversion"/>
  </si>
  <si>
    <t>500010792601</t>
    <phoneticPr fontId="6" type="noConversion"/>
  </si>
  <si>
    <t>INSTRUMENT CABLE</t>
    <phoneticPr fontId="5" type="noConversion"/>
  </si>
  <si>
    <t>Gaon Cable</t>
  </si>
  <si>
    <t>2nd batch (80% SOC + 60% TOC)</t>
    <phoneticPr fontId="5" type="noConversion"/>
  </si>
  <si>
    <t>500010792602</t>
    <phoneticPr fontId="6" type="noConversion"/>
  </si>
  <si>
    <t>INSTRUMENT CABLE</t>
    <phoneticPr fontId="39" type="noConversion"/>
  </si>
  <si>
    <t>3rd batch</t>
    <phoneticPr fontId="5" type="noConversion"/>
  </si>
  <si>
    <t>4th batch (remaining % TOC + EE FO cable)</t>
  </si>
  <si>
    <t>Phoenix Mecano</t>
    <phoneticPr fontId="6" type="noConversion"/>
  </si>
  <si>
    <t>2nd batch (accessories only)</t>
  </si>
  <si>
    <t xml:space="preserve">PO to be included for 3rd batch. </t>
    <phoneticPr fontId="5" type="noConversion"/>
  </si>
  <si>
    <t>5000108061</t>
    <phoneticPr fontId="6" type="noConversion"/>
  </si>
  <si>
    <t>INSTRUMENT JUNCTION BOX AND LCP</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</si>
</sst>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164" formatCode="_-* #,##0_-;\-* #,##0_-;_-* &quot;-&quot;_-;_-@_-"/>
    <numFmt numFmtId="165" formatCode="#,##0.###"/>
    <numFmt numFmtId="166" formatCode="yyyy/mm/dd;@"/>
    <numFmt numFmtId="167" formatCode="0_);[Red]\(0\)"/>
    <numFmt numFmtId="168" formatCode="#,##0.0_);[Red]\(#,##0.0\)"/>
    <numFmt numFmtId="169" formatCode="_-* #,##0.0_-;\-* #,##0.0_-;_-* &quot;-&quot;_-;_-@_-"/>
    <numFmt numFmtId="170" formatCode="#,##0.0_ "/>
    <numFmt numFmtId="171" formatCode="#,###.###"/>
    <numFmt numFmtId="172" formatCode="_(* #,##0_);_(* \(#,##0\);_(* &quot;-&quot;??_);_(@_)"/>
    <numFmt numFmtId="173" formatCode="yyyy/mm/dd"/>
    <numFmt numFmtId="174" formatCode="000"/>
    <numFmt numFmtId="175" formatCode="yyyy\-mm\-dd;@"/>
    <numFmt numFmtId="176" formatCode="0.0"/>
  </numFmts>
  <fonts count="44">
    <font>
      <sz val="11"/>
      <color theme="1"/>
      <name val="新細明體"/>
      <family val="3"/>
      <charset val="129"/>
      <scheme val="minor"/>
    </font>
    <font>
      <sz val="12"/>
      <color theme="1"/>
      <name val="新細明體"/>
      <family val="2"/>
      <charset val="136"/>
      <scheme val="minor"/>
    </font>
    <font>
      <sz val="8"/>
      <name val="맑은 고딕"/>
      <family val="3"/>
      <charset val="129"/>
    </font>
    <font>
      <sz val="11"/>
      <color theme="1"/>
      <name val="新細明體"/>
      <family val="3"/>
      <charset val="129"/>
      <scheme val="minor"/>
    </font>
    <font>
      <sz val="11"/>
      <color theme="1"/>
      <name val="新細明體"/>
      <family val="1"/>
      <charset val="136"/>
      <scheme val="minor"/>
    </font>
    <font>
      <sz val="9"/>
      <name val="新細明體"/>
      <family val="3"/>
      <charset val="136"/>
      <scheme val="minor"/>
    </font>
    <font>
      <sz val="8"/>
      <name val="新細明體"/>
      <family val="3"/>
      <charset val="129"/>
      <scheme val="minor"/>
    </font>
    <font>
      <sz val="10"/>
      <name val="Arial"/>
      <family val="2"/>
    </font>
    <font>
      <sz val="8"/>
      <name val="맑은 고딕"/>
      <family val="2"/>
      <charset val="129"/>
    </font>
    <font>
      <sz val="11"/>
      <color theme="1"/>
      <name val="新細明體"/>
      <family val="2"/>
      <charset val="129"/>
      <scheme val="minor"/>
    </font>
    <font>
      <b/>
      <sz val="9"/>
      <color rgb="FF000000"/>
      <name val="Calibri"/>
      <family val="2"/>
    </font>
    <font>
      <sz val="11"/>
      <color rgb="FF000000"/>
      <name val="新細明體"/>
      <family val="1"/>
      <charset val="136"/>
      <scheme val="minor"/>
    </font>
    <font>
      <sz val="9"/>
      <color rgb="FF000000"/>
      <name val="Calibri"/>
      <family val="2"/>
    </font>
    <font>
      <sz val="11"/>
      <color indexed="8"/>
      <name val="新細明體"/>
      <family val="2"/>
      <scheme val="minor"/>
    </font>
    <font>
      <u/>
      <sz val="11"/>
      <color theme="10"/>
      <name val="新細明體"/>
      <family val="2"/>
      <scheme val="minor"/>
    </font>
    <font>
      <b/>
      <sz val="9"/>
      <color rgb="FF696768"/>
      <name val="Tahoma"/>
      <family val="2"/>
    </font>
    <font>
      <sz val="9"/>
      <color rgb="FF000000"/>
      <name val="돋움"/>
      <family val="3"/>
      <charset val="129"/>
    </font>
    <font>
      <sz val="8"/>
      <color rgb="FF000000"/>
      <name val="Calibri"/>
      <family val="2"/>
    </font>
    <font>
      <b/>
      <sz val="8"/>
      <color rgb="FF000000"/>
      <name val="Calibri"/>
      <family val="2"/>
    </font>
    <font>
      <sz val="9"/>
      <color indexed="81"/>
      <name val="Tahoma"/>
      <family val="2"/>
    </font>
    <font>
      <b/>
      <sz val="9"/>
      <color indexed="81"/>
      <name val="Tahoma"/>
      <family val="2"/>
    </font>
    <font>
      <sz val="11"/>
      <color rgb="FF000000"/>
      <name val="Calibri"/>
      <family val="2"/>
    </font>
    <font>
      <sz val="11"/>
      <color rgb="FF000000"/>
      <name val="新細明體"/>
      <family val="3"/>
      <charset val="129"/>
      <scheme val="minor"/>
    </font>
    <font>
      <b/>
      <sz val="11"/>
      <color rgb="FF000000"/>
      <name val="Calibri"/>
      <family val="2"/>
    </font>
    <font>
      <sz val="7"/>
      <color rgb="FF000000"/>
      <name val="Arial"/>
      <family val="2"/>
    </font>
    <font>
      <sz val="12"/>
      <color rgb="FFFF0000"/>
      <name val="Calibri"/>
      <family val="2"/>
    </font>
    <font>
      <sz val="9"/>
      <name val="新細明體"/>
      <family val="2"/>
      <charset val="136"/>
      <scheme val="minor"/>
    </font>
    <font>
      <b/>
      <sz val="12"/>
      <color indexed="81"/>
      <name val="Tahoma"/>
      <family val="2"/>
    </font>
    <font>
      <b/>
      <sz val="12"/>
      <color indexed="81"/>
      <name val="돋움"/>
      <family val="3"/>
      <charset val="129"/>
    </font>
    <font>
      <sz val="11"/>
      <name val="Calibri"/>
      <family val="2"/>
    </font>
    <font>
      <sz val="11"/>
      <name val="맑은 고딕"/>
      <family val="2"/>
      <charset val="129"/>
    </font>
    <font>
      <strike/>
      <sz val="11"/>
      <color rgb="FF000000"/>
      <name val="Calibri"/>
      <family val="2"/>
    </font>
    <font>
      <strike/>
      <sz val="11"/>
      <name val="Calibri"/>
      <family val="2"/>
    </font>
    <font>
      <strike/>
      <sz val="9"/>
      <color rgb="FF000000"/>
      <name val="Calibri"/>
      <family val="2"/>
    </font>
    <font>
      <b/>
      <sz val="13"/>
      <color theme="3"/>
      <name val="新細明體"/>
      <family val="2"/>
      <charset val="136"/>
      <scheme val="minor"/>
    </font>
    <font>
      <sz val="9"/>
      <color rgb="FF000000"/>
      <name val="Calibri"/>
      <family val="2"/>
      <charset val="136"/>
    </font>
    <font>
      <sz val="11"/>
      <color rgb="FF000000"/>
      <name val="新細明體"/>
      <family val="2"/>
      <scheme val="minor"/>
    </font>
    <font>
      <sz val="11"/>
      <color rgb="FFFF0000"/>
      <name val="Calibri"/>
      <family val="2"/>
    </font>
    <font>
      <sz val="10"/>
      <color rgb="FF000000"/>
      <name val="Calibri"/>
      <family val="2"/>
    </font>
    <font>
      <sz val="8"/>
      <name val="新細明體"/>
      <family val="2"/>
      <charset val="129"/>
      <scheme val="minor"/>
    </font>
    <font>
      <b/>
      <u/>
      <sz val="9"/>
      <color rgb="FF000000"/>
      <name val="Calibri"/>
      <family val="2"/>
    </font>
    <font>
      <sz val="9"/>
      <color rgb="FF000000"/>
      <name val="新細明體"/>
      <family val="1"/>
      <charset val="136"/>
      <scheme val="minor"/>
    </font>
    <font>
      <sz val="9"/>
      <color rgb="FFFF0000"/>
      <name val="Calibri"/>
      <family val="2"/>
    </font>
    <font>
      <sz val="11"/>
      <color rgb="FFFF0000"/>
      <name val="新細明體"/>
      <family val="1"/>
      <charset val="136"/>
      <scheme val="minor"/>
    </font>
  </fonts>
  <fills count="23">
    <fill>
      <patternFill patternType="none"/>
    </fill>
    <fill>
      <patternFill patternType="gray125"/>
    </fill>
    <fill>
      <patternFill patternType="solid">
        <fgColor rgb="FFF0F0F0"/>
        <bgColor indexed="64"/>
      </patternFill>
    </fill>
    <fill>
      <patternFill patternType="solid">
        <fgColor rgb="FFE6FAFF"/>
        <bgColor indexed="64"/>
      </patternFill>
    </fill>
    <fill>
      <patternFill patternType="solid">
        <fgColor rgb="FFFFFFFF"/>
        <bgColor indexed="64"/>
      </patternFill>
    </fill>
    <fill>
      <patternFill patternType="solid">
        <fgColor theme="7"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E2EFDA"/>
        <bgColor indexed="64"/>
      </patternFill>
    </fill>
    <fill>
      <patternFill patternType="solid">
        <fgColor rgb="FFDDEBF7"/>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D9D9D9"/>
        <bgColor indexed="64"/>
      </patternFill>
    </fill>
    <fill>
      <patternFill patternType="solid">
        <fgColor rgb="FFFFFF00"/>
        <bgColor indexed="64"/>
      </patternFill>
    </fill>
    <fill>
      <patternFill patternType="solid">
        <fgColor rgb="FFFCE4D6"/>
        <bgColor indexed="64"/>
      </patternFill>
    </fill>
    <fill>
      <patternFill patternType="solid">
        <fgColor rgb="FFFFF2CC"/>
        <bgColor indexed="64"/>
      </patternFill>
    </fill>
    <fill>
      <patternFill patternType="solid">
        <fgColor rgb="FFF8CBAD"/>
        <bgColor indexed="64"/>
      </patternFill>
    </fill>
    <fill>
      <patternFill patternType="solid">
        <fgColor rgb="FFD0CECE"/>
        <bgColor indexed="64"/>
      </patternFill>
    </fill>
  </fills>
  <borders count="174">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rgb="FFC6C6C6"/>
      </left>
      <right style="thin">
        <color rgb="FFC6C6C6"/>
      </right>
      <top style="thin">
        <color rgb="FFC6C6C6"/>
      </top>
      <bottom/>
      <diagonal/>
    </border>
    <border>
      <left style="thin">
        <color rgb="FFC6C6C6"/>
      </left>
      <right style="thin">
        <color rgb="FFC6C6C6"/>
      </right>
      <top style="thin">
        <color rgb="FFC6C6C6"/>
      </top>
      <bottom style="thin">
        <color rgb="FFC6C6C6"/>
      </bottom>
      <diagonal/>
    </border>
    <border>
      <left style="thin">
        <color rgb="FFC6C6C6"/>
      </left>
      <right/>
      <top style="thin">
        <color rgb="FFC6C6C6"/>
      </top>
      <bottom/>
      <diagonal/>
    </border>
    <border>
      <left/>
      <right/>
      <top style="thin">
        <color rgb="FFC6C6C6"/>
      </top>
      <bottom/>
      <diagonal/>
    </border>
    <border>
      <left/>
      <right style="thin">
        <color rgb="FFC6C6C6"/>
      </right>
      <top style="thin">
        <color rgb="FFC6C6C6"/>
      </top>
      <bottom/>
      <diagonal/>
    </border>
    <border>
      <left style="thin">
        <color rgb="FFC6C6C6"/>
      </left>
      <right/>
      <top/>
      <bottom/>
      <diagonal/>
    </border>
    <border>
      <left/>
      <right style="thin">
        <color rgb="FFC6C6C6"/>
      </right>
      <top/>
      <bottom/>
      <diagonal/>
    </border>
    <border>
      <left style="thin">
        <color rgb="FFC6C6C6"/>
      </left>
      <right style="thin">
        <color rgb="FFC6C6C6"/>
      </right>
      <top/>
      <bottom/>
      <diagonal/>
    </border>
    <border>
      <left style="thin">
        <color rgb="FFC6C6C6"/>
      </left>
      <right style="thin">
        <color rgb="FFC6C6C6"/>
      </right>
      <top/>
      <bottom style="thin">
        <color rgb="FFC6C6C6"/>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theme="1" tint="0.34998626667073579"/>
      </right>
      <top style="medium">
        <color indexed="64"/>
      </top>
      <bottom/>
      <diagonal/>
    </border>
    <border>
      <left/>
      <right style="thin">
        <color theme="1" tint="0.34998626667073579"/>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theme="1" tint="0.34998626667073579"/>
      </right>
      <top/>
      <bottom/>
      <diagonal/>
    </border>
    <border>
      <left/>
      <right style="thin">
        <color theme="1" tint="0.34998626667073579"/>
      </right>
      <top/>
      <bottom/>
      <diagonal/>
    </border>
    <border>
      <left style="medium">
        <color indexed="64"/>
      </left>
      <right style="thin">
        <color indexed="64"/>
      </right>
      <top/>
      <bottom style="thin">
        <color indexed="64"/>
      </bottom>
      <diagonal/>
    </border>
    <border>
      <left style="thin">
        <color auto="1"/>
      </left>
      <right style="medium">
        <color indexed="64"/>
      </right>
      <top style="thin">
        <color auto="1"/>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theme="1" tint="0.34998626667073579"/>
      </right>
      <top/>
      <bottom style="medium">
        <color indexed="64"/>
      </bottom>
      <diagonal/>
    </border>
    <border>
      <left/>
      <right style="thin">
        <color theme="1" tint="0.34998626667073579"/>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rgb="FFC6C6C6"/>
      </left>
      <right/>
      <top style="thin">
        <color rgb="FFC6C6C6"/>
      </top>
      <bottom style="thin">
        <color rgb="FFC6C6C6"/>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style="thin">
        <color auto="1"/>
      </left>
      <right style="thin">
        <color auto="1"/>
      </right>
      <top style="thin">
        <color rgb="FFC6C6C6"/>
      </top>
      <bottom style="thin">
        <color rgb="FFC6C6C6"/>
      </bottom>
      <diagonal/>
    </border>
    <border>
      <left style="thin">
        <color indexed="64"/>
      </left>
      <right style="thin">
        <color indexed="64"/>
      </right>
      <top style="hair">
        <color indexed="64"/>
      </top>
      <bottom/>
      <diagonal/>
    </border>
    <border>
      <left style="thin">
        <color auto="1"/>
      </left>
      <right style="thin">
        <color auto="1"/>
      </right>
      <top style="thin">
        <color rgb="FFC6C6C6"/>
      </top>
      <bottom/>
      <diagonal/>
    </border>
    <border>
      <left style="thin">
        <color indexed="64"/>
      </left>
      <right style="thin">
        <color indexed="64"/>
      </right>
      <top style="medium">
        <color indexed="64"/>
      </top>
      <bottom style="thin">
        <color rgb="FFC6C6C6"/>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rgb="FFC6C6C6"/>
      </top>
      <bottom/>
      <diagonal/>
    </border>
    <border>
      <left style="thin">
        <color theme="1"/>
      </left>
      <right style="thin">
        <color rgb="FFC6C6C6"/>
      </right>
      <top style="thin">
        <color theme="1"/>
      </top>
      <bottom style="thin">
        <color rgb="FFC6C6C6"/>
      </bottom>
      <diagonal/>
    </border>
    <border>
      <left style="thin">
        <color rgb="FFC6C6C6"/>
      </left>
      <right style="thin">
        <color rgb="FFC6C6C6"/>
      </right>
      <top style="thin">
        <color theme="1"/>
      </top>
      <bottom style="thin">
        <color rgb="FFC6C6C6"/>
      </bottom>
      <diagonal/>
    </border>
    <border>
      <left style="thin">
        <color rgb="FFC6C6C6"/>
      </left>
      <right style="thin">
        <color theme="1"/>
      </right>
      <top style="thin">
        <color theme="1"/>
      </top>
      <bottom style="thin">
        <color rgb="FFC6C6C6"/>
      </bottom>
      <diagonal/>
    </border>
    <border>
      <left style="thin">
        <color theme="1"/>
      </left>
      <right style="thin">
        <color rgb="FFC6C6C6"/>
      </right>
      <top style="thin">
        <color rgb="FFC6C6C6"/>
      </top>
      <bottom style="thin">
        <color rgb="FFC6C6C6"/>
      </bottom>
      <diagonal/>
    </border>
    <border>
      <left style="thin">
        <color rgb="FFC6C6C6"/>
      </left>
      <right style="thin">
        <color theme="1"/>
      </right>
      <top style="thin">
        <color rgb="FFC6C6C6"/>
      </top>
      <bottom style="thin">
        <color rgb="FFC6C6C6"/>
      </bottom>
      <diagonal/>
    </border>
    <border>
      <left/>
      <right style="thin">
        <color theme="1"/>
      </right>
      <top style="thin">
        <color rgb="FFC6C6C6"/>
      </top>
      <bottom/>
      <diagonal/>
    </border>
    <border>
      <left style="thin">
        <color theme="1"/>
      </left>
      <right style="thin">
        <color rgb="FFC6C6C6"/>
      </right>
      <top style="thin">
        <color rgb="FFC6C6C6"/>
      </top>
      <bottom style="thin">
        <color theme="1"/>
      </bottom>
      <diagonal/>
    </border>
    <border>
      <left style="thin">
        <color rgb="FFC6C6C6"/>
      </left>
      <right style="thin">
        <color rgb="FFC6C6C6"/>
      </right>
      <top/>
      <bottom style="thin">
        <color theme="1"/>
      </bottom>
      <diagonal/>
    </border>
    <border>
      <left style="thin">
        <color rgb="FFC6C6C6"/>
      </left>
      <right/>
      <top/>
      <bottom style="thin">
        <color theme="1"/>
      </bottom>
      <diagonal/>
    </border>
    <border>
      <left/>
      <right/>
      <top/>
      <bottom style="thin">
        <color theme="1"/>
      </bottom>
      <diagonal/>
    </border>
    <border>
      <left/>
      <right style="thin">
        <color rgb="FFC6C6C6"/>
      </right>
      <top/>
      <bottom style="thin">
        <color theme="1"/>
      </bottom>
      <diagonal/>
    </border>
    <border>
      <left/>
      <right style="thin">
        <color theme="1"/>
      </right>
      <top/>
      <bottom style="thin">
        <color theme="1"/>
      </bottom>
      <diagonal/>
    </border>
    <border>
      <left style="thin">
        <color theme="0" tint="-0.14999847407452621"/>
      </left>
      <right style="thin">
        <color theme="0" tint="-0.14999847407452621"/>
      </right>
      <top style="thin">
        <color theme="0" tint="-0.14999847407452621"/>
      </top>
      <bottom/>
      <diagonal/>
    </border>
    <border>
      <left style="thin">
        <color theme="1"/>
      </left>
      <right style="thin">
        <color theme="0" tint="-0.14999847407452621"/>
      </right>
      <top style="thin">
        <color theme="1"/>
      </top>
      <bottom style="thin">
        <color theme="0" tint="-0.14999847407452621"/>
      </bottom>
      <diagonal/>
    </border>
    <border>
      <left style="thin">
        <color theme="0" tint="-0.14999847407452621"/>
      </left>
      <right style="thin">
        <color theme="0" tint="-0.14999847407452621"/>
      </right>
      <top style="thin">
        <color theme="1"/>
      </top>
      <bottom style="thin">
        <color theme="0" tint="-0.14999847407452621"/>
      </bottom>
      <diagonal/>
    </border>
    <border>
      <left style="thin">
        <color theme="0" tint="-0.14999847407452621"/>
      </left>
      <right style="thin">
        <color theme="1"/>
      </right>
      <top style="thin">
        <color theme="1"/>
      </top>
      <bottom style="thin">
        <color theme="0" tint="-0.14999847407452621"/>
      </bottom>
      <diagonal/>
    </border>
    <border>
      <left style="thin">
        <color theme="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1"/>
      </right>
      <top style="thin">
        <color theme="0" tint="-0.14999847407452621"/>
      </top>
      <bottom style="thin">
        <color theme="0" tint="-0.14999847407452621"/>
      </bottom>
      <diagonal/>
    </border>
    <border>
      <left style="thin">
        <color theme="1"/>
      </left>
      <right style="thin">
        <color theme="0" tint="-0.14999847407452621"/>
      </right>
      <top style="thin">
        <color theme="0" tint="-0.14999847407452621"/>
      </top>
      <bottom style="thin">
        <color theme="1"/>
      </bottom>
      <diagonal/>
    </border>
    <border>
      <left style="thin">
        <color theme="0" tint="-0.14999847407452621"/>
      </left>
      <right style="thin">
        <color theme="0" tint="-0.14999847407452621"/>
      </right>
      <top style="thin">
        <color theme="0" tint="-0.14999847407452621"/>
      </top>
      <bottom style="thin">
        <color theme="1"/>
      </bottom>
      <diagonal/>
    </border>
    <border>
      <left style="thin">
        <color theme="0" tint="-0.14999847407452621"/>
      </left>
      <right style="thin">
        <color theme="1"/>
      </right>
      <top style="thin">
        <color theme="0" tint="-0.14999847407452621"/>
      </top>
      <bottom style="thin">
        <color theme="1"/>
      </bottom>
      <diagonal/>
    </border>
    <border>
      <left style="thin">
        <color theme="0" tint="-0.14999847407452621"/>
      </left>
      <right/>
      <top style="thin">
        <color rgb="FFC6C6C6"/>
      </top>
      <bottom/>
      <diagonal/>
    </border>
    <border>
      <left style="thin">
        <color theme="0" tint="-0.14999847407452621"/>
      </left>
      <right/>
      <top/>
      <bottom style="thin">
        <color theme="1"/>
      </bottom>
      <diagonal/>
    </border>
    <border>
      <left/>
      <right style="thin">
        <color theme="0" tint="-0.14999847407452621"/>
      </right>
      <top/>
      <bottom style="thin">
        <color theme="1"/>
      </bottom>
      <diagonal/>
    </border>
    <border>
      <left style="thin">
        <color theme="0" tint="-0.14999847407452621"/>
      </left>
      <right style="thin">
        <color theme="0" tint="-0.14999847407452621"/>
      </right>
      <top style="thin">
        <color theme="0" tint="-0.14999847407452621"/>
      </top>
      <bottom style="thin">
        <color indexed="64"/>
      </bottom>
      <diagonal/>
    </border>
    <border>
      <left style="thin">
        <color theme="0" tint="-0.14999847407452621"/>
      </left>
      <right style="thin">
        <color theme="0" tint="-0.14999847407452621"/>
      </right>
      <top style="thin">
        <color theme="1"/>
      </top>
      <bottom style="thin">
        <color theme="0" tint="-0.149967955565050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rgb="FFC6C6C6"/>
      </right>
      <top style="thin">
        <color theme="1"/>
      </top>
      <bottom style="thin">
        <color theme="0" tint="-0.14996795556505021"/>
      </bottom>
      <diagonal/>
    </border>
    <border>
      <left style="thin">
        <color theme="0" tint="-0.14999847407452621"/>
      </left>
      <right style="thin">
        <color rgb="FFC6C6C6"/>
      </right>
      <top style="thin">
        <color theme="0" tint="-0.14996795556505021"/>
      </top>
      <bottom style="thin">
        <color theme="0" tint="-0.14996795556505021"/>
      </bottom>
      <diagonal/>
    </border>
    <border>
      <left style="thin">
        <color theme="0" tint="-0.14999847407452621"/>
      </left>
      <right style="thin">
        <color rgb="FFC6C6C6"/>
      </right>
      <top style="thin">
        <color theme="0" tint="-0.14996795556505021"/>
      </top>
      <bottom style="thin">
        <color theme="0" tint="-0.14999847407452621"/>
      </bottom>
      <diagonal/>
    </border>
    <border>
      <left style="thin">
        <color rgb="FFC6C6C6"/>
      </left>
      <right style="thin">
        <color rgb="FFC6C6C6"/>
      </right>
      <top style="thin">
        <color theme="1"/>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thin">
        <color indexed="64"/>
      </right>
      <top style="thin">
        <color theme="1" tint="0.34998626667073579"/>
      </top>
      <bottom style="thin">
        <color theme="1" tint="0.34998626667073579"/>
      </bottom>
      <diagonal/>
    </border>
    <border>
      <left style="thin">
        <color indexed="64"/>
      </left>
      <right style="thin">
        <color indexed="64"/>
      </right>
      <top style="thin">
        <color theme="1" tint="0.34998626667073579"/>
      </top>
      <bottom style="thin">
        <color theme="1" tint="0.34998626667073579"/>
      </bottom>
      <diagonal/>
    </border>
    <border>
      <left style="thin">
        <color indexed="64"/>
      </left>
      <right style="medium">
        <color indexed="64"/>
      </right>
      <top style="thin">
        <color theme="1" tint="0.34998626667073579"/>
      </top>
      <bottom style="thin">
        <color theme="1" tint="0.34998626667073579"/>
      </bottom>
      <diagonal/>
    </border>
    <border>
      <left style="medium">
        <color indexed="64"/>
      </left>
      <right style="thin">
        <color indexed="64"/>
      </right>
      <top style="thin">
        <color theme="1" tint="0.34998626667073579"/>
      </top>
      <bottom style="thin">
        <color theme="1" tint="0.34998626667073579"/>
      </bottom>
      <diagonal/>
    </border>
    <border>
      <left/>
      <right style="thin">
        <color indexed="64"/>
      </right>
      <top style="thin">
        <color theme="1" tint="0.34998626667073579"/>
      </top>
      <bottom style="thin">
        <color theme="1" tint="0.34998626667073579"/>
      </bottom>
      <diagonal/>
    </border>
    <border>
      <left style="thin">
        <color indexed="64"/>
      </left>
      <right/>
      <top style="thin">
        <color theme="1" tint="0.34998626667073579"/>
      </top>
      <bottom style="thin">
        <color theme="1" tint="0.34998626667073579"/>
      </bottom>
      <diagonal/>
    </border>
    <border>
      <left style="medium">
        <color indexed="64"/>
      </left>
      <right/>
      <top style="medium">
        <color indexed="64"/>
      </top>
      <bottom/>
      <diagonal/>
    </border>
    <border>
      <left style="thin">
        <color rgb="FFC6C6C6"/>
      </left>
      <right style="thin">
        <color indexed="64"/>
      </right>
      <top style="thin">
        <color theme="1"/>
      </top>
      <bottom style="thin">
        <color rgb="FFC6C6C6"/>
      </bottom>
      <diagonal/>
    </border>
    <border>
      <left style="thin">
        <color rgb="FFC6C6C6"/>
      </left>
      <right style="thin">
        <color indexed="64"/>
      </right>
      <top style="thin">
        <color rgb="FFC6C6C6"/>
      </top>
      <bottom style="thin">
        <color rgb="FFC6C6C6"/>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auto="1"/>
      </top>
      <bottom/>
      <diagonal/>
    </border>
    <border>
      <left/>
      <right style="thin">
        <color indexed="64"/>
      </right>
      <top style="thin">
        <color indexed="64"/>
      </top>
      <bottom/>
      <diagonal/>
    </border>
    <border>
      <left/>
      <right style="medium">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top style="thin">
        <color indexed="64"/>
      </top>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thin">
        <color theme="1"/>
      </left>
      <right style="thin">
        <color rgb="FFC6C6C6"/>
      </right>
      <top style="thin">
        <color indexed="64"/>
      </top>
      <bottom style="thin">
        <color rgb="FFC6C6C6"/>
      </bottom>
      <diagonal/>
    </border>
    <border>
      <left style="thin">
        <color rgb="FFC6C6C6"/>
      </left>
      <right style="thin">
        <color rgb="FFC6C6C6"/>
      </right>
      <top style="thin">
        <color indexed="64"/>
      </top>
      <bottom style="thin">
        <color rgb="FFC6C6C6"/>
      </bottom>
      <diagonal/>
    </border>
    <border>
      <left style="thin">
        <color theme="1"/>
      </left>
      <right style="thin">
        <color rgb="FFC6C6C6"/>
      </right>
      <top style="thin">
        <color rgb="FFC6C6C6"/>
      </top>
      <bottom/>
      <diagonal/>
    </border>
    <border>
      <left/>
      <right style="thin">
        <color theme="1"/>
      </right>
      <top/>
      <bottom/>
      <diagonal/>
    </border>
    <border>
      <left style="thin">
        <color rgb="FFC6C6C6"/>
      </left>
      <right style="thin">
        <color rgb="FFC6C6C6"/>
      </right>
      <top style="thin">
        <color indexed="64"/>
      </top>
      <bottom/>
      <diagonal/>
    </border>
    <border>
      <left style="thin">
        <color rgb="FFC6C6C6"/>
      </left>
      <right style="thin">
        <color theme="1"/>
      </right>
      <top style="thin">
        <color indexed="64"/>
      </top>
      <bottom/>
      <diagonal/>
    </border>
    <border>
      <left style="medium">
        <color indexed="64"/>
      </left>
      <right style="thin">
        <color indexed="64"/>
      </right>
      <top style="thin">
        <color theme="1" tint="0.34998626667073579"/>
      </top>
      <bottom/>
      <diagonal/>
    </border>
    <border>
      <left style="thin">
        <color rgb="FFC6C6C6"/>
      </left>
      <right style="thin">
        <color rgb="FFC6C6C6"/>
      </right>
      <top style="thin">
        <color rgb="FFC6C6C6"/>
      </top>
      <bottom style="medium">
        <color indexed="64"/>
      </bottom>
      <diagonal/>
    </border>
    <border>
      <left style="thin">
        <color rgb="FFC6C6C6"/>
      </left>
      <right style="thin">
        <color rgb="FFC6C6C6"/>
      </right>
      <top/>
      <bottom style="medium">
        <color indexed="64"/>
      </bottom>
      <diagonal/>
    </border>
    <border>
      <left style="thin">
        <color indexed="64"/>
      </left>
      <right style="medium">
        <color indexed="64"/>
      </right>
      <top/>
      <bottom style="thin">
        <color theme="1" tint="0.34998626667073579"/>
      </bottom>
      <diagonal/>
    </border>
    <border>
      <left style="medium">
        <color indexed="64"/>
      </left>
      <right style="thin">
        <color indexed="64"/>
      </right>
      <top/>
      <bottom style="thin">
        <color theme="1" tint="0.34998626667073579"/>
      </bottom>
      <diagonal/>
    </border>
    <border>
      <left style="thin">
        <color indexed="64"/>
      </left>
      <right style="thin">
        <color indexed="64"/>
      </right>
      <top/>
      <bottom style="thin">
        <color theme="1" tint="0.34998626667073579"/>
      </bottom>
      <diagonal/>
    </border>
    <border>
      <left style="thin">
        <color theme="1" tint="0.34998626667073579"/>
      </left>
      <right style="thin">
        <color indexed="64"/>
      </right>
      <top/>
      <bottom style="thin">
        <color theme="1" tint="0.34998626667073579"/>
      </bottom>
      <diagonal/>
    </border>
    <border>
      <left style="thin">
        <color theme="1" tint="0.34998626667073579"/>
      </left>
      <right style="thin">
        <color indexed="64"/>
      </right>
      <top style="medium">
        <color indexed="64"/>
      </top>
      <bottom/>
      <diagonal/>
    </border>
    <border>
      <left style="thin">
        <color theme="1" tint="0.34998626667073579"/>
      </left>
      <right style="thin">
        <color indexed="64"/>
      </right>
      <top/>
      <bottom/>
      <diagonal/>
    </border>
    <border>
      <left/>
      <right style="thin">
        <color theme="1"/>
      </right>
      <top style="thin">
        <color theme="0" tint="-0.14999847407452621"/>
      </top>
      <bottom/>
      <diagonal/>
    </border>
    <border>
      <left/>
      <right style="medium">
        <color indexed="64"/>
      </right>
      <top style="thin">
        <color indexed="64"/>
      </top>
      <bottom style="medium">
        <color indexed="64"/>
      </bottom>
      <diagonal/>
    </border>
    <border>
      <left style="thin">
        <color rgb="FFC6C6C6"/>
      </left>
      <right style="thin">
        <color rgb="FFC6C6C6"/>
      </right>
      <top/>
      <bottom style="thin">
        <color indexed="64"/>
      </bottom>
      <diagonal/>
    </border>
    <border>
      <left style="thin">
        <color indexed="64"/>
      </left>
      <right style="thin">
        <color rgb="FFC6C6C6"/>
      </right>
      <top style="thin">
        <color indexed="64"/>
      </top>
      <bottom style="thin">
        <color rgb="FFC6C6C6"/>
      </bottom>
      <diagonal/>
    </border>
    <border>
      <left style="thin">
        <color rgb="FFC6C6C6"/>
      </left>
      <right style="thin">
        <color indexed="64"/>
      </right>
      <top style="thin">
        <color indexed="64"/>
      </top>
      <bottom style="thin">
        <color rgb="FFC6C6C6"/>
      </bottom>
      <diagonal/>
    </border>
    <border>
      <left style="thin">
        <color indexed="64"/>
      </left>
      <right style="thin">
        <color rgb="FFC6C6C6"/>
      </right>
      <top style="thin">
        <color rgb="FFC6C6C6"/>
      </top>
      <bottom style="thin">
        <color rgb="FFC6C6C6"/>
      </bottom>
      <diagonal/>
    </border>
    <border>
      <left style="thin">
        <color theme="0" tint="-0.14999847407452621"/>
      </left>
      <right style="thin">
        <color indexed="64"/>
      </right>
      <top style="thin">
        <color theme="0" tint="-0.14999847407452621"/>
      </top>
      <bottom style="thin">
        <color theme="0" tint="-0.14999847407452621"/>
      </bottom>
      <diagonal/>
    </border>
    <border>
      <left style="thin">
        <color indexed="64"/>
      </left>
      <right style="thin">
        <color rgb="FFC6C6C6"/>
      </right>
      <top style="thin">
        <color rgb="FFC6C6C6"/>
      </top>
      <bottom style="thin">
        <color indexed="64"/>
      </bottom>
      <diagonal/>
    </border>
    <border>
      <left style="thin">
        <color rgb="FFC6C6C6"/>
      </left>
      <right/>
      <top/>
      <bottom style="thin">
        <color indexed="64"/>
      </bottom>
      <diagonal/>
    </border>
    <border>
      <left/>
      <right style="thin">
        <color rgb="FFC6C6C6"/>
      </right>
      <top/>
      <bottom style="thin">
        <color indexed="64"/>
      </bottom>
      <diagonal/>
    </border>
    <border>
      <left style="thin">
        <color theme="0" tint="-0.14999847407452621"/>
      </left>
      <right/>
      <top/>
      <bottom style="thin">
        <color indexed="64"/>
      </bottom>
      <diagonal/>
    </border>
    <border>
      <left/>
      <right style="thin">
        <color theme="0" tint="-0.14999847407452621"/>
      </right>
      <top/>
      <bottom style="thin">
        <color indexed="64"/>
      </bottom>
      <diagonal/>
    </border>
    <border>
      <left style="thin">
        <color theme="0" tint="-0.14999847407452621"/>
      </left>
      <right style="thin">
        <color indexed="64"/>
      </right>
      <top style="thin">
        <color theme="0" tint="-0.14999847407452621"/>
      </top>
      <bottom style="thin">
        <color indexed="64"/>
      </bottom>
      <diagonal/>
    </border>
    <border>
      <left style="thin">
        <color theme="1"/>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1"/>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6795556505021"/>
      </bottom>
      <diagonal/>
    </border>
    <border>
      <left style="thin">
        <color theme="0" tint="-0.14999847407452621"/>
      </left>
      <right style="thin">
        <color rgb="FFC6C6C6"/>
      </right>
      <top/>
      <bottom style="thin">
        <color theme="0" tint="-0.14996795556505021"/>
      </bottom>
      <diagonal/>
    </border>
    <border>
      <left style="thin">
        <color theme="0" tint="-0.14999847407452621"/>
      </left>
      <right style="thin">
        <color theme="1"/>
      </right>
      <top/>
      <bottom style="thin">
        <color theme="0" tint="-0.14999847407452621"/>
      </bottom>
      <diagonal/>
    </border>
    <border>
      <left style="thin">
        <color theme="0" tint="-0.14999847407452621"/>
      </left>
      <right style="thin">
        <color theme="1"/>
      </right>
      <top style="thin">
        <color theme="0" tint="-0.14999847407452621"/>
      </top>
      <bottom style="thin">
        <color indexed="64"/>
      </bottom>
      <diagonal/>
    </border>
    <border>
      <left style="thin">
        <color theme="1"/>
      </left>
      <right/>
      <top/>
      <bottom/>
      <diagonal/>
    </border>
  </borders>
  <cellStyleXfs count="17">
    <xf numFmtId="0" fontId="0" fillId="0" borderId="0">
      <alignment vertical="center"/>
    </xf>
    <xf numFmtId="164" fontId="3" fillId="0" borderId="0" applyFont="0" applyFill="0" applyBorder="0" applyAlignment="0" applyProtection="0">
      <alignment vertical="center"/>
    </xf>
    <xf numFmtId="164" fontId="4" fillId="0" borderId="0" applyFont="0" applyFill="0" applyBorder="0" applyAlignment="0" applyProtection="0">
      <alignment vertical="center"/>
    </xf>
    <xf numFmtId="164" fontId="3" fillId="0" borderId="0" applyFont="0" applyFill="0" applyBorder="0" applyAlignment="0" applyProtection="0">
      <alignment vertical="center"/>
    </xf>
    <xf numFmtId="164" fontId="4" fillId="0" borderId="0" applyFont="0" applyFill="0" applyBorder="0" applyAlignment="0" applyProtection="0">
      <alignment vertical="center"/>
    </xf>
    <xf numFmtId="9" fontId="3" fillId="0" borderId="0" applyFont="0" applyFill="0" applyBorder="0" applyAlignment="0" applyProtection="0">
      <alignment vertical="center"/>
    </xf>
    <xf numFmtId="0" fontId="7" fillId="0" borderId="0"/>
    <xf numFmtId="0" fontId="9" fillId="0" borderId="0">
      <alignment vertical="center"/>
    </xf>
    <xf numFmtId="0" fontId="3" fillId="0" borderId="0">
      <alignment vertical="center"/>
    </xf>
    <xf numFmtId="0" fontId="4" fillId="0" borderId="0">
      <alignment vertical="center"/>
    </xf>
    <xf numFmtId="0" fontId="9" fillId="0" borderId="0">
      <alignment vertical="center"/>
    </xf>
    <xf numFmtId="0" fontId="13" fillId="0" borderId="0">
      <alignment vertical="center"/>
    </xf>
    <xf numFmtId="0" fontId="4" fillId="0" borderId="0">
      <alignment vertical="center"/>
    </xf>
    <xf numFmtId="0" fontId="14" fillId="0" borderId="0" applyNumberFormat="0" applyFill="0" applyBorder="0" applyAlignment="0" applyProtection="0">
      <alignment vertical="center"/>
    </xf>
    <xf numFmtId="0" fontId="9" fillId="0" borderId="0">
      <alignment vertical="center"/>
    </xf>
    <xf numFmtId="0" fontId="1" fillId="0" borderId="0">
      <alignment vertical="center"/>
    </xf>
    <xf numFmtId="0" fontId="9" fillId="0" borderId="0">
      <alignment vertical="center"/>
    </xf>
  </cellStyleXfs>
  <cellXfs count="2308">
    <xf numFmtId="0" fontId="0" fillId="0" borderId="0" xfId="0">
      <alignment vertical="center"/>
    </xf>
    <xf numFmtId="0" fontId="11" fillId="0" borderId="0" xfId="9" applyFont="1">
      <alignment vertical="center"/>
    </xf>
    <xf numFmtId="0" fontId="12" fillId="0" borderId="15" xfId="7" applyFont="1" applyBorder="1">
      <alignment vertical="center"/>
    </xf>
    <xf numFmtId="0" fontId="12" fillId="0" borderId="15" xfId="7" applyFont="1" applyBorder="1" applyAlignment="1">
      <alignment horizontal="center" vertical="center"/>
    </xf>
    <xf numFmtId="171" fontId="12" fillId="0" borderId="15" xfId="7" applyNumberFormat="1" applyFont="1" applyBorder="1">
      <alignment vertical="center"/>
    </xf>
    <xf numFmtId="0" fontId="12" fillId="6" borderId="15" xfId="10" applyFont="1" applyFill="1" applyBorder="1" applyAlignment="1">
      <alignment horizontal="center" vertical="center"/>
    </xf>
    <xf numFmtId="0" fontId="12" fillId="6" borderId="15" xfId="10" applyFont="1" applyFill="1" applyBorder="1" applyAlignment="1">
      <alignment horizontal="left" vertical="center"/>
    </xf>
    <xf numFmtId="0" fontId="12" fillId="6" borderId="15" xfId="10" applyFont="1" applyFill="1" applyBorder="1" applyAlignment="1">
      <alignment horizontal="left" vertical="center" wrapText="1"/>
    </xf>
    <xf numFmtId="0" fontId="12" fillId="0" borderId="15" xfId="7" applyFont="1" applyBorder="1" applyAlignment="1">
      <alignment vertical="center" wrapText="1"/>
    </xf>
    <xf numFmtId="49" fontId="12" fillId="0" borderId="15" xfId="7" applyNumberFormat="1" applyFont="1" applyBorder="1" applyAlignment="1">
      <alignment horizontal="center" vertical="center"/>
    </xf>
    <xf numFmtId="0" fontId="12" fillId="0" borderId="15" xfId="7" applyFont="1" applyBorder="1" applyAlignment="1">
      <alignment horizontal="left" vertical="center" wrapText="1"/>
    </xf>
    <xf numFmtId="172" fontId="12" fillId="0" borderId="15" xfId="7" applyNumberFormat="1" applyFont="1" applyBorder="1" applyAlignment="1">
      <alignment horizontal="right" vertical="center"/>
    </xf>
    <xf numFmtId="0" fontId="12" fillId="0" borderId="15" xfId="10" applyFont="1" applyBorder="1" applyAlignment="1">
      <alignment horizontal="center" vertical="center"/>
    </xf>
    <xf numFmtId="0" fontId="12" fillId="6" borderId="15" xfId="10" applyFont="1" applyFill="1" applyBorder="1" applyAlignment="1">
      <alignment horizontal="center" vertical="center" wrapText="1"/>
    </xf>
    <xf numFmtId="0" fontId="12" fillId="0" borderId="19" xfId="7" applyFont="1" applyBorder="1">
      <alignment vertical="center"/>
    </xf>
    <xf numFmtId="0" fontId="12" fillId="0" borderId="19" xfId="7" applyFont="1" applyBorder="1" applyAlignment="1">
      <alignment horizontal="center" vertical="center"/>
    </xf>
    <xf numFmtId="171" fontId="12" fillId="0" borderId="19" xfId="7" applyNumberFormat="1" applyFont="1" applyBorder="1">
      <alignment vertical="center"/>
    </xf>
    <xf numFmtId="0" fontId="12" fillId="6" borderId="19" xfId="10" applyFont="1" applyFill="1" applyBorder="1" applyAlignment="1">
      <alignment horizontal="center" vertical="center"/>
    </xf>
    <xf numFmtId="0" fontId="12" fillId="6" borderId="19" xfId="10" applyFont="1" applyFill="1" applyBorder="1" applyAlignment="1">
      <alignment horizontal="left" vertical="center"/>
    </xf>
    <xf numFmtId="0" fontId="12" fillId="6" borderId="19" xfId="10" applyFont="1" applyFill="1" applyBorder="1" applyAlignment="1">
      <alignment horizontal="left" vertical="center" wrapText="1"/>
    </xf>
    <xf numFmtId="14" fontId="12" fillId="0" borderId="19" xfId="7" applyNumberFormat="1" applyFont="1" applyBorder="1">
      <alignment vertical="center"/>
    </xf>
    <xf numFmtId="49" fontId="12" fillId="0" borderId="19" xfId="7" applyNumberFormat="1" applyFont="1" applyBorder="1" applyAlignment="1">
      <alignment horizontal="center" vertical="center"/>
    </xf>
    <xf numFmtId="0" fontId="12" fillId="0" borderId="19" xfId="7" applyFont="1" applyBorder="1" applyAlignment="1">
      <alignment horizontal="left" vertical="center"/>
    </xf>
    <xf numFmtId="172" fontId="12" fillId="0" borderId="19" xfId="7" applyNumberFormat="1" applyFont="1" applyBorder="1" applyAlignment="1">
      <alignment horizontal="right" vertical="center"/>
    </xf>
    <xf numFmtId="0" fontId="12" fillId="6" borderId="19" xfId="10" applyFont="1" applyFill="1" applyBorder="1" applyAlignment="1">
      <alignment horizontal="center" vertical="center" wrapText="1"/>
    </xf>
    <xf numFmtId="0" fontId="12" fillId="0" borderId="19" xfId="10" applyFont="1" applyBorder="1" applyAlignment="1">
      <alignment horizontal="left" vertical="center"/>
    </xf>
    <xf numFmtId="0" fontId="12" fillId="11" borderId="25" xfId="8" applyFont="1" applyFill="1" applyBorder="1">
      <alignment vertical="center"/>
    </xf>
    <xf numFmtId="49" fontId="12" fillId="11" borderId="19" xfId="8" applyNumberFormat="1" applyFont="1" applyFill="1" applyBorder="1" applyAlignment="1">
      <alignment horizontal="center" vertical="center"/>
    </xf>
    <xf numFmtId="49" fontId="12" fillId="6" borderId="19" xfId="8" applyNumberFormat="1" applyFont="1" applyFill="1" applyBorder="1">
      <alignment vertical="center"/>
    </xf>
    <xf numFmtId="14" fontId="12" fillId="11" borderId="19" xfId="8" applyNumberFormat="1" applyFont="1" applyFill="1" applyBorder="1" applyAlignment="1">
      <alignment horizontal="center" vertical="center"/>
    </xf>
    <xf numFmtId="0" fontId="12" fillId="11" borderId="19" xfId="8" applyFont="1" applyFill="1" applyBorder="1">
      <alignment vertical="center"/>
    </xf>
    <xf numFmtId="0" fontId="12" fillId="0" borderId="19" xfId="8" applyFont="1" applyBorder="1">
      <alignment vertical="center"/>
    </xf>
    <xf numFmtId="49" fontId="10" fillId="10" borderId="24" xfId="8" applyNumberFormat="1" applyFont="1" applyFill="1" applyBorder="1" applyAlignment="1">
      <alignment horizontal="center" vertical="center"/>
    </xf>
    <xf numFmtId="0" fontId="12" fillId="0" borderId="19" xfId="8" applyFont="1" applyBorder="1" applyAlignment="1">
      <alignment vertical="center" wrapText="1"/>
    </xf>
    <xf numFmtId="49" fontId="10" fillId="11" borderId="24" xfId="8" applyNumberFormat="1" applyFont="1" applyFill="1" applyBorder="1" applyAlignment="1">
      <alignment horizontal="center" vertical="center"/>
    </xf>
    <xf numFmtId="0" fontId="12" fillId="11" borderId="37" xfId="8" applyFont="1" applyFill="1" applyBorder="1">
      <alignment vertical="center"/>
    </xf>
    <xf numFmtId="0" fontId="12" fillId="11" borderId="38" xfId="8" applyFont="1" applyFill="1" applyBorder="1">
      <alignment vertical="center"/>
    </xf>
    <xf numFmtId="0" fontId="12" fillId="11" borderId="23" xfId="8" applyFont="1" applyFill="1" applyBorder="1">
      <alignment vertical="center"/>
    </xf>
    <xf numFmtId="171" fontId="12" fillId="0" borderId="19" xfId="8" applyNumberFormat="1" applyFont="1" applyBorder="1">
      <alignment vertical="center"/>
    </xf>
    <xf numFmtId="171" fontId="12" fillId="0" borderId="19" xfId="8" quotePrefix="1" applyNumberFormat="1" applyFont="1" applyBorder="1">
      <alignment vertical="center"/>
    </xf>
    <xf numFmtId="49" fontId="10" fillId="10" borderId="75" xfId="8" applyNumberFormat="1" applyFont="1" applyFill="1" applyBorder="1">
      <alignment vertical="center"/>
    </xf>
    <xf numFmtId="49" fontId="10" fillId="11" borderId="75" xfId="8" applyNumberFormat="1" applyFont="1" applyFill="1" applyBorder="1" applyAlignment="1">
      <alignment horizontal="center" vertical="center"/>
    </xf>
    <xf numFmtId="0" fontId="12" fillId="0" borderId="15" xfId="8" applyFont="1" applyBorder="1">
      <alignment vertical="center"/>
    </xf>
    <xf numFmtId="0" fontId="12" fillId="0" borderId="46" xfId="8" applyFont="1" applyBorder="1">
      <alignment vertical="center"/>
    </xf>
    <xf numFmtId="171" fontId="12" fillId="0" borderId="46" xfId="8" applyNumberFormat="1" applyFont="1" applyBorder="1">
      <alignment vertical="center"/>
    </xf>
    <xf numFmtId="14" fontId="12" fillId="11" borderId="46" xfId="8" applyNumberFormat="1" applyFont="1" applyFill="1" applyBorder="1" applyAlignment="1">
      <alignment horizontal="center" vertical="center"/>
    </xf>
    <xf numFmtId="0" fontId="12" fillId="11" borderId="46" xfId="8" applyFont="1" applyFill="1" applyBorder="1">
      <alignment vertical="center"/>
    </xf>
    <xf numFmtId="0" fontId="18" fillId="12" borderId="15" xfId="0" applyFont="1" applyFill="1" applyBorder="1" applyAlignment="1">
      <alignment horizontal="center" vertical="center" wrapText="1"/>
    </xf>
    <xf numFmtId="0" fontId="17" fillId="6"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0" fontId="17" fillId="6" borderId="26" xfId="0" applyFont="1" applyFill="1" applyBorder="1" applyAlignment="1">
      <alignment horizontal="center" vertical="center" wrapText="1"/>
    </xf>
    <xf numFmtId="0" fontId="17" fillId="0" borderId="0" xfId="0" applyFont="1">
      <alignment vertical="center"/>
    </xf>
    <xf numFmtId="0" fontId="18" fillId="13" borderId="34" xfId="0" applyFont="1" applyFill="1" applyBorder="1" applyAlignment="1">
      <alignment horizontal="center" vertical="center"/>
    </xf>
    <xf numFmtId="164" fontId="18" fillId="5" borderId="46" xfId="1" applyFont="1" applyFill="1" applyBorder="1" applyAlignment="1">
      <alignment horizontal="center" vertical="center" wrapText="1"/>
    </xf>
    <xf numFmtId="168" fontId="18" fillId="0" borderId="15" xfId="1" applyNumberFormat="1" applyFont="1" applyBorder="1" applyAlignment="1">
      <alignment horizontal="right" vertical="center"/>
    </xf>
    <xf numFmtId="168" fontId="18" fillId="6" borderId="16" xfId="1" applyNumberFormat="1" applyFont="1" applyFill="1" applyBorder="1" applyAlignment="1">
      <alignment horizontal="right" vertical="center"/>
    </xf>
    <xf numFmtId="14" fontId="17" fillId="6" borderId="3" xfId="5" applyNumberFormat="1" applyFont="1" applyFill="1" applyBorder="1" applyAlignment="1">
      <alignment horizontal="center" vertical="center"/>
    </xf>
    <xf numFmtId="14" fontId="18" fillId="6" borderId="15" xfId="0" quotePrefix="1" applyNumberFormat="1" applyFont="1" applyFill="1" applyBorder="1" applyAlignment="1">
      <alignment horizontal="center" vertical="center" wrapText="1"/>
    </xf>
    <xf numFmtId="164" fontId="17" fillId="6" borderId="51" xfId="1" applyFont="1" applyFill="1" applyBorder="1" applyAlignment="1">
      <alignment horizontal="right" vertical="center" wrapText="1"/>
    </xf>
    <xf numFmtId="164" fontId="17" fillId="6" borderId="51" xfId="1" applyFont="1" applyFill="1" applyBorder="1" applyAlignment="1">
      <alignment horizontal="center" vertical="center" wrapText="1"/>
    </xf>
    <xf numFmtId="164" fontId="17" fillId="6" borderId="38" xfId="1" applyFont="1" applyFill="1" applyBorder="1" applyAlignment="1">
      <alignment horizontal="right" vertical="center" wrapText="1"/>
    </xf>
    <xf numFmtId="0" fontId="18" fillId="6" borderId="13" xfId="1" applyNumberFormat="1" applyFont="1" applyFill="1" applyBorder="1" applyAlignment="1">
      <alignment horizontal="right" vertical="center"/>
    </xf>
    <xf numFmtId="164" fontId="18" fillId="6" borderId="52" xfId="1" applyFont="1" applyFill="1" applyBorder="1" applyAlignment="1">
      <alignment horizontal="right" vertical="center"/>
    </xf>
    <xf numFmtId="14" fontId="18" fillId="6" borderId="52" xfId="0" applyNumberFormat="1" applyFont="1" applyFill="1" applyBorder="1" applyAlignment="1">
      <alignment horizontal="center" vertical="center"/>
    </xf>
    <xf numFmtId="14" fontId="18" fillId="6" borderId="15" xfId="0" applyNumberFormat="1" applyFont="1" applyFill="1" applyBorder="1" applyAlignment="1">
      <alignment horizontal="center" vertical="center"/>
    </xf>
    <xf numFmtId="14" fontId="17" fillId="6" borderId="15" xfId="0" applyNumberFormat="1" applyFont="1" applyFill="1" applyBorder="1" applyAlignment="1">
      <alignment horizontal="center" vertical="center"/>
    </xf>
    <xf numFmtId="164" fontId="17" fillId="6" borderId="52" xfId="1" applyFont="1" applyFill="1" applyBorder="1" applyAlignment="1">
      <alignment horizontal="right" vertical="center"/>
    </xf>
    <xf numFmtId="164" fontId="17" fillId="6" borderId="38" xfId="1" applyFont="1" applyFill="1" applyBorder="1" applyAlignment="1">
      <alignment horizontal="right" vertical="center"/>
    </xf>
    <xf numFmtId="0" fontId="17" fillId="6" borderId="55" xfId="0" applyFont="1" applyFill="1" applyBorder="1" applyAlignment="1">
      <alignment horizontal="center" vertical="center"/>
    </xf>
    <xf numFmtId="14" fontId="17" fillId="6" borderId="26" xfId="5" applyNumberFormat="1" applyFont="1" applyFill="1" applyBorder="1" applyAlignment="1">
      <alignment horizontal="center" vertical="center"/>
    </xf>
    <xf numFmtId="14" fontId="17" fillId="6" borderId="21" xfId="0" quotePrefix="1" applyNumberFormat="1" applyFont="1" applyFill="1" applyBorder="1" applyAlignment="1">
      <alignment horizontal="center" vertical="center" wrapText="1"/>
    </xf>
    <xf numFmtId="164" fontId="17" fillId="6" borderId="21" xfId="1" applyFont="1" applyFill="1" applyBorder="1" applyAlignment="1">
      <alignment horizontal="right" vertical="center" wrapText="1"/>
    </xf>
    <xf numFmtId="164" fontId="17" fillId="6" borderId="21" xfId="1" applyFont="1" applyFill="1" applyBorder="1" applyAlignment="1">
      <alignment horizontal="center" vertical="center" wrapText="1"/>
    </xf>
    <xf numFmtId="164" fontId="17" fillId="6" borderId="19" xfId="1" applyFont="1" applyFill="1" applyBorder="1" applyAlignment="1">
      <alignment horizontal="right" vertical="center" wrapText="1"/>
    </xf>
    <xf numFmtId="0" fontId="17" fillId="6" borderId="55" xfId="1" applyNumberFormat="1" applyFont="1" applyFill="1" applyBorder="1" applyAlignment="1">
      <alignment horizontal="right" vertical="center"/>
    </xf>
    <xf numFmtId="164" fontId="17" fillId="6" borderId="3" xfId="1" applyFont="1" applyFill="1" applyBorder="1" applyAlignment="1">
      <alignment horizontal="right" vertical="center"/>
    </xf>
    <xf numFmtId="14" fontId="17" fillId="6" borderId="3" xfId="0" applyNumberFormat="1" applyFont="1" applyFill="1" applyBorder="1" applyAlignment="1">
      <alignment horizontal="center" vertical="center"/>
    </xf>
    <xf numFmtId="14" fontId="17" fillId="6" borderId="26" xfId="0" applyNumberFormat="1" applyFont="1" applyFill="1" applyBorder="1" applyAlignment="1">
      <alignment horizontal="center" vertical="center"/>
    </xf>
    <xf numFmtId="164" fontId="17" fillId="6" borderId="20" xfId="1" applyFont="1" applyFill="1" applyBorder="1" applyAlignment="1">
      <alignment horizontal="right" vertical="center"/>
    </xf>
    <xf numFmtId="41" fontId="18" fillId="8" borderId="26" xfId="0" applyNumberFormat="1" applyFont="1" applyFill="1" applyBorder="1" applyAlignment="1">
      <alignment horizontal="right" vertical="center"/>
    </xf>
    <xf numFmtId="164" fontId="18" fillId="9" borderId="52" xfId="1" applyFont="1" applyFill="1" applyBorder="1" applyAlignment="1">
      <alignment horizontal="right" vertical="center"/>
    </xf>
    <xf numFmtId="41" fontId="18" fillId="8" borderId="43" xfId="0" applyNumberFormat="1" applyFont="1" applyFill="1" applyBorder="1" applyAlignment="1">
      <alignment horizontal="right" vertical="center"/>
    </xf>
    <xf numFmtId="169" fontId="18" fillId="8" borderId="44" xfId="0" applyNumberFormat="1" applyFont="1" applyFill="1" applyBorder="1" applyAlignment="1">
      <alignment horizontal="right" vertical="center"/>
    </xf>
    <xf numFmtId="164" fontId="18" fillId="9" borderId="45" xfId="1" applyFont="1" applyFill="1" applyBorder="1" applyAlignment="1">
      <alignment horizontal="right" vertical="center"/>
    </xf>
    <xf numFmtId="164" fontId="18" fillId="9" borderId="43" xfId="1" applyFont="1" applyFill="1" applyBorder="1" applyAlignment="1">
      <alignment horizontal="right" vertical="center"/>
    </xf>
    <xf numFmtId="168" fontId="18" fillId="6" borderId="19" xfId="1" applyNumberFormat="1" applyFont="1" applyFill="1" applyBorder="1" applyAlignment="1">
      <alignment horizontal="right" vertical="center"/>
    </xf>
    <xf numFmtId="168" fontId="18" fillId="6" borderId="20" xfId="1" applyNumberFormat="1" applyFont="1" applyFill="1" applyBorder="1" applyAlignment="1">
      <alignment horizontal="right" vertical="center"/>
    </xf>
    <xf numFmtId="0" fontId="18" fillId="0" borderId="0" xfId="0" applyFont="1">
      <alignment vertical="center"/>
    </xf>
    <xf numFmtId="0" fontId="17" fillId="0" borderId="0" xfId="0" applyFont="1" applyAlignment="1">
      <alignment horizontal="center" vertical="center"/>
    </xf>
    <xf numFmtId="0" fontId="17" fillId="0" borderId="0" xfId="0" applyFont="1" applyAlignment="1">
      <alignment vertical="center" wrapText="1"/>
    </xf>
    <xf numFmtId="0" fontId="12" fillId="0" borderId="15" xfId="8" applyFont="1" applyBorder="1" applyAlignment="1">
      <alignment vertical="top"/>
    </xf>
    <xf numFmtId="0" fontId="12" fillId="11" borderId="15" xfId="8" applyFont="1" applyFill="1" applyBorder="1" applyAlignment="1">
      <alignment vertical="top"/>
    </xf>
    <xf numFmtId="0" fontId="11" fillId="0" borderId="0" xfId="9" applyFont="1" applyAlignment="1">
      <alignment vertical="top"/>
    </xf>
    <xf numFmtId="0" fontId="12" fillId="0" borderId="19" xfId="8" applyFont="1" applyBorder="1" applyAlignment="1">
      <alignment vertical="top"/>
    </xf>
    <xf numFmtId="0" fontId="12" fillId="11" borderId="19" xfId="8" applyFont="1" applyFill="1" applyBorder="1" applyAlignment="1">
      <alignment vertical="top"/>
    </xf>
    <xf numFmtId="171" fontId="12" fillId="0" borderId="15" xfId="8" applyNumberFormat="1" applyFont="1" applyBorder="1" applyAlignment="1">
      <alignment horizontal="center" vertical="top"/>
    </xf>
    <xf numFmtId="171" fontId="12" fillId="0" borderId="19" xfId="8" applyNumberFormat="1" applyFont="1" applyBorder="1" applyAlignment="1">
      <alignment horizontal="center" vertical="top"/>
    </xf>
    <xf numFmtId="49" fontId="10" fillId="2" borderId="24" xfId="14" applyNumberFormat="1" applyFont="1" applyFill="1" applyBorder="1" applyAlignment="1">
      <alignment horizontal="center" vertical="top" wrapText="1"/>
    </xf>
    <xf numFmtId="49" fontId="10" fillId="11" borderId="24" xfId="14" applyNumberFormat="1" applyFont="1" applyFill="1" applyBorder="1" applyAlignment="1">
      <alignment horizontal="center" vertical="top" wrapText="1"/>
    </xf>
    <xf numFmtId="0" fontId="11" fillId="0" borderId="0" xfId="9" applyFont="1" applyAlignment="1">
      <alignment horizontal="center" vertical="top"/>
    </xf>
    <xf numFmtId="49" fontId="12" fillId="6" borderId="46" xfId="8" applyNumberFormat="1" applyFont="1" applyFill="1" applyBorder="1">
      <alignment vertical="center"/>
    </xf>
    <xf numFmtId="0" fontId="12" fillId="0" borderId="15" xfId="8" applyFont="1" applyBorder="1" applyAlignment="1">
      <alignment horizontal="center" vertical="top"/>
    </xf>
    <xf numFmtId="49" fontId="10" fillId="11" borderId="5" xfId="7" applyNumberFormat="1" applyFont="1" applyFill="1" applyBorder="1" applyAlignment="1">
      <alignment horizontal="center" vertical="center" wrapText="1"/>
    </xf>
    <xf numFmtId="0" fontId="12" fillId="0" borderId="19" xfId="8" applyFont="1" applyBorder="1" applyAlignment="1">
      <alignment horizontal="center" vertical="top"/>
    </xf>
    <xf numFmtId="0" fontId="12" fillId="0" borderId="24" xfId="8" applyFont="1" applyBorder="1">
      <alignment vertical="center"/>
    </xf>
    <xf numFmtId="171" fontId="12" fillId="0" borderId="24" xfId="8" applyNumberFormat="1" applyFont="1" applyBorder="1">
      <alignment vertical="center"/>
    </xf>
    <xf numFmtId="14" fontId="12" fillId="11" borderId="24" xfId="8" applyNumberFormat="1" applyFont="1" applyFill="1" applyBorder="1" applyAlignment="1">
      <alignment horizontal="center" vertical="center"/>
    </xf>
    <xf numFmtId="0" fontId="12" fillId="11" borderId="24" xfId="8" applyFont="1" applyFill="1" applyBorder="1">
      <alignment vertical="center"/>
    </xf>
    <xf numFmtId="0" fontId="12" fillId="0" borderId="24" xfId="7" applyFont="1" applyBorder="1">
      <alignment vertical="center"/>
    </xf>
    <xf numFmtId="171" fontId="12" fillId="0" borderId="24" xfId="7" applyNumberFormat="1" applyFont="1" applyBorder="1">
      <alignment vertical="center"/>
    </xf>
    <xf numFmtId="0" fontId="12" fillId="6" borderId="24" xfId="10" applyFont="1" applyFill="1" applyBorder="1" applyAlignment="1">
      <alignment horizontal="left" vertical="center"/>
    </xf>
    <xf numFmtId="49" fontId="12" fillId="0" borderId="24" xfId="7" applyNumberFormat="1" applyFont="1" applyBorder="1" applyAlignment="1">
      <alignment horizontal="center" vertical="center"/>
    </xf>
    <xf numFmtId="0" fontId="12" fillId="0" borderId="24" xfId="7" applyFont="1" applyBorder="1" applyAlignment="1">
      <alignment horizontal="left" vertical="center"/>
    </xf>
    <xf numFmtId="172" fontId="12" fillId="0" borderId="24" xfId="7" applyNumberFormat="1" applyFont="1" applyBorder="1" applyAlignment="1">
      <alignment horizontal="right" vertical="center"/>
    </xf>
    <xf numFmtId="0" fontId="12" fillId="0" borderId="24" xfId="7" applyFont="1" applyBorder="1" applyAlignment="1">
      <alignment horizontal="center" vertical="center"/>
    </xf>
    <xf numFmtId="0" fontId="12" fillId="4" borderId="78" xfId="0" applyFont="1" applyFill="1" applyBorder="1" applyAlignment="1">
      <alignment horizontal="left" vertical="center"/>
    </xf>
    <xf numFmtId="0" fontId="12" fillId="4" borderId="78" xfId="0" applyFont="1" applyFill="1" applyBorder="1" applyAlignment="1">
      <alignment horizontal="left" vertical="center" wrapText="1"/>
    </xf>
    <xf numFmtId="173" fontId="12" fillId="0" borderId="78" xfId="0" applyNumberFormat="1" applyFont="1" applyBorder="1" applyAlignment="1">
      <alignment horizontal="center" vertical="center"/>
    </xf>
    <xf numFmtId="0" fontId="12" fillId="0" borderId="46" xfId="7" applyFont="1" applyBorder="1">
      <alignment vertical="center"/>
    </xf>
    <xf numFmtId="171" fontId="12" fillId="0" borderId="46" xfId="7" applyNumberFormat="1" applyFont="1" applyBorder="1">
      <alignment vertical="center"/>
    </xf>
    <xf numFmtId="0" fontId="12" fillId="6" borderId="46" xfId="10" applyFont="1" applyFill="1" applyBorder="1" applyAlignment="1">
      <alignment horizontal="left" vertical="center"/>
    </xf>
    <xf numFmtId="0" fontId="12" fillId="0" borderId="46" xfId="10" applyFont="1" applyBorder="1">
      <alignment vertical="center"/>
    </xf>
    <xf numFmtId="0" fontId="18" fillId="12" borderId="26" xfId="0" applyFont="1" applyFill="1" applyBorder="1" applyAlignment="1">
      <alignment horizontal="center" vertical="center" wrapText="1"/>
    </xf>
    <xf numFmtId="168" fontId="18" fillId="0" borderId="26" xfId="1" applyNumberFormat="1" applyFont="1" applyBorder="1" applyAlignment="1">
      <alignment horizontal="right" vertical="center"/>
    </xf>
    <xf numFmtId="168" fontId="18" fillId="6" borderId="29" xfId="1" applyNumberFormat="1" applyFont="1" applyFill="1" applyBorder="1" applyAlignment="1">
      <alignment horizontal="right" vertical="center"/>
    </xf>
    <xf numFmtId="14" fontId="18" fillId="6" borderId="26" xfId="0" quotePrefix="1" applyNumberFormat="1" applyFont="1" applyFill="1" applyBorder="1" applyAlignment="1">
      <alignment horizontal="center" vertical="center" wrapText="1"/>
    </xf>
    <xf numFmtId="164" fontId="17" fillId="6" borderId="25" xfId="1" applyFont="1" applyFill="1" applyBorder="1" applyAlignment="1">
      <alignment horizontal="right" vertical="center" wrapText="1"/>
    </xf>
    <xf numFmtId="0" fontId="18" fillId="6" borderId="55" xfId="1" applyNumberFormat="1" applyFont="1" applyFill="1" applyBorder="1" applyAlignment="1">
      <alignment horizontal="right" vertical="center"/>
    </xf>
    <xf numFmtId="164" fontId="18" fillId="6" borderId="3" xfId="1" applyFont="1" applyFill="1" applyBorder="1" applyAlignment="1">
      <alignment horizontal="right" vertical="center"/>
    </xf>
    <xf numFmtId="14" fontId="18" fillId="6" borderId="26" xfId="0" applyNumberFormat="1" applyFont="1" applyFill="1" applyBorder="1" applyAlignment="1">
      <alignment horizontal="center" vertical="center"/>
    </xf>
    <xf numFmtId="164" fontId="17" fillId="6" borderId="25" xfId="1" applyFont="1" applyFill="1" applyBorder="1" applyAlignment="1">
      <alignment horizontal="right" vertical="center"/>
    </xf>
    <xf numFmtId="49" fontId="10" fillId="2" borderId="5" xfId="0" applyNumberFormat="1" applyFont="1" applyFill="1" applyBorder="1" applyAlignment="1">
      <alignment horizontal="center" vertical="center" shrinkToFit="1"/>
    </xf>
    <xf numFmtId="0" fontId="21" fillId="0" borderId="0" xfId="0" applyFont="1">
      <alignment vertical="center"/>
    </xf>
    <xf numFmtId="49" fontId="10" fillId="2" borderId="92" xfId="0" applyNumberFormat="1" applyFont="1" applyFill="1" applyBorder="1" applyAlignment="1">
      <alignment horizontal="center" vertical="center" wrapText="1"/>
    </xf>
    <xf numFmtId="49" fontId="10" fillId="2" borderId="4" xfId="0" applyNumberFormat="1" applyFont="1" applyFill="1" applyBorder="1" applyAlignment="1">
      <alignment horizontal="center" vertical="center" shrinkToFit="1"/>
    </xf>
    <xf numFmtId="0" fontId="10" fillId="2" borderId="92" xfId="0" applyFont="1" applyFill="1" applyBorder="1" applyAlignment="1">
      <alignment horizontal="center" vertical="center" wrapText="1"/>
    </xf>
    <xf numFmtId="14" fontId="10" fillId="2" borderId="92" xfId="0" applyNumberFormat="1" applyFont="1" applyFill="1" applyBorder="1" applyAlignment="1">
      <alignment horizontal="center" vertical="center" wrapText="1"/>
    </xf>
    <xf numFmtId="0" fontId="12" fillId="3" borderId="94" xfId="0" applyFont="1" applyFill="1" applyBorder="1" applyAlignment="1">
      <alignment horizontal="left" vertical="center" shrinkToFit="1"/>
    </xf>
    <xf numFmtId="0" fontId="12" fillId="4" borderId="94" xfId="0" applyFont="1" applyFill="1" applyBorder="1" applyAlignment="1">
      <alignment horizontal="left" vertical="center" wrapText="1"/>
    </xf>
    <xf numFmtId="0" fontId="12" fillId="3" borderId="94" xfId="0" applyFont="1" applyFill="1" applyBorder="1" applyAlignment="1">
      <alignment horizontal="left" vertical="center"/>
    </xf>
    <xf numFmtId="173" fontId="12" fillId="0" borderId="81" xfId="0" applyNumberFormat="1" applyFont="1" applyBorder="1" applyAlignment="1">
      <alignment horizontal="center" vertical="center" shrinkToFit="1"/>
    </xf>
    <xf numFmtId="0" fontId="12" fillId="3" borderId="94" xfId="0" applyFont="1" applyFill="1" applyBorder="1" applyAlignment="1">
      <alignment horizontal="center" vertical="center"/>
    </xf>
    <xf numFmtId="0" fontId="12" fillId="3" borderId="78" xfId="0" applyFont="1" applyFill="1" applyBorder="1" applyAlignment="1">
      <alignment horizontal="left" vertical="center" shrinkToFit="1"/>
    </xf>
    <xf numFmtId="0" fontId="12" fillId="3" borderId="78" xfId="0" applyFont="1" applyFill="1" applyBorder="1" applyAlignment="1">
      <alignment horizontal="left" vertical="center"/>
    </xf>
    <xf numFmtId="173" fontId="12" fillId="4" borderId="78" xfId="0" applyNumberFormat="1" applyFont="1" applyFill="1" applyBorder="1" applyAlignment="1">
      <alignment horizontal="center" vertical="center"/>
    </xf>
    <xf numFmtId="173" fontId="12" fillId="0" borderId="5" xfId="0" applyNumberFormat="1" applyFont="1" applyBorder="1" applyAlignment="1">
      <alignment horizontal="center" vertical="center" shrinkToFit="1"/>
    </xf>
    <xf numFmtId="0" fontId="12" fillId="3" borderId="78" xfId="0" applyFont="1" applyFill="1" applyBorder="1" applyAlignment="1">
      <alignment horizontal="center" vertical="center"/>
    </xf>
    <xf numFmtId="0" fontId="12" fillId="4" borderId="78" xfId="0" applyFont="1" applyFill="1" applyBorder="1" applyAlignment="1">
      <alignment horizontal="center" vertical="center"/>
    </xf>
    <xf numFmtId="173" fontId="12" fillId="4" borderId="97" xfId="0" applyNumberFormat="1" applyFont="1" applyFill="1" applyBorder="1" applyAlignment="1">
      <alignment horizontal="center" vertical="center"/>
    </xf>
    <xf numFmtId="0" fontId="12" fillId="0" borderId="78" xfId="0" applyFont="1" applyBorder="1" applyAlignment="1">
      <alignment horizontal="left" vertical="center"/>
    </xf>
    <xf numFmtId="173" fontId="12" fillId="4" borderId="5" xfId="0" applyNumberFormat="1" applyFont="1" applyFill="1" applyBorder="1" applyAlignment="1">
      <alignment horizontal="center" vertical="center" shrinkToFit="1"/>
    </xf>
    <xf numFmtId="173" fontId="12" fillId="4" borderId="78" xfId="0" applyNumberFormat="1" applyFont="1" applyFill="1" applyBorder="1" applyAlignment="1">
      <alignment horizontal="left" vertical="center" wrapText="1"/>
    </xf>
    <xf numFmtId="14" fontId="12" fillId="4" borderId="78" xfId="0" applyNumberFormat="1" applyFont="1" applyFill="1" applyBorder="1" applyAlignment="1">
      <alignment horizontal="left" vertical="center" wrapText="1"/>
    </xf>
    <xf numFmtId="49" fontId="12" fillId="4" borderId="5" xfId="0" applyNumberFormat="1" applyFont="1" applyFill="1" applyBorder="1" applyAlignment="1">
      <alignment horizontal="center" vertical="center" shrinkToFit="1"/>
    </xf>
    <xf numFmtId="49" fontId="12" fillId="4" borderId="78" xfId="0" applyNumberFormat="1" applyFont="1" applyFill="1" applyBorder="1" applyAlignment="1">
      <alignment horizontal="center" vertical="center"/>
    </xf>
    <xf numFmtId="0" fontId="12" fillId="3" borderId="78" xfId="0" applyFont="1" applyFill="1" applyBorder="1" applyAlignment="1">
      <alignment horizontal="left" vertical="center" wrapText="1"/>
    </xf>
    <xf numFmtId="0" fontId="10" fillId="3" borderId="78" xfId="0" applyFont="1" applyFill="1" applyBorder="1" applyAlignment="1">
      <alignment horizontal="left" vertical="center"/>
    </xf>
    <xf numFmtId="0" fontId="10" fillId="4" borderId="78" xfId="0" applyFont="1" applyFill="1" applyBorder="1" applyAlignment="1">
      <alignment vertical="center" wrapText="1"/>
    </xf>
    <xf numFmtId="49" fontId="12" fillId="0" borderId="78" xfId="0" applyNumberFormat="1" applyFont="1" applyBorder="1" applyAlignment="1">
      <alignment horizontal="center" vertical="center"/>
    </xf>
    <xf numFmtId="0" fontId="10" fillId="3" borderId="78" xfId="0" applyFont="1" applyFill="1" applyBorder="1">
      <alignment vertical="center"/>
    </xf>
    <xf numFmtId="0" fontId="10" fillId="4" borderId="78" xfId="0" applyFont="1" applyFill="1" applyBorder="1">
      <alignment vertical="center"/>
    </xf>
    <xf numFmtId="0" fontId="12" fillId="12" borderId="81" xfId="0" applyFont="1" applyFill="1" applyBorder="1" applyAlignment="1">
      <alignment horizontal="left" vertical="center" shrinkToFit="1"/>
    </xf>
    <xf numFmtId="0" fontId="12" fillId="4" borderId="81" xfId="0" applyFont="1" applyFill="1" applyBorder="1" applyAlignment="1">
      <alignment horizontal="left" vertical="center" shrinkToFit="1"/>
    </xf>
    <xf numFmtId="0" fontId="12" fillId="0" borderId="81" xfId="0" applyFont="1" applyBorder="1" applyAlignment="1">
      <alignment horizontal="left" vertical="center" shrinkToFit="1"/>
    </xf>
    <xf numFmtId="0" fontId="12" fillId="0" borderId="81" xfId="0" applyFont="1" applyBorder="1" applyAlignment="1">
      <alignment horizontal="center" vertical="center" shrinkToFit="1"/>
    </xf>
    <xf numFmtId="0" fontId="12" fillId="0" borderId="5" xfId="0" applyFont="1" applyBorder="1" applyAlignment="1">
      <alignment horizontal="center" vertical="center" shrinkToFit="1"/>
    </xf>
    <xf numFmtId="0" fontId="21" fillId="0" borderId="0" xfId="0" applyFont="1" applyAlignment="1">
      <alignment vertical="center" shrinkToFit="1"/>
    </xf>
    <xf numFmtId="0" fontId="12" fillId="0" borderId="0" xfId="0" applyFont="1" applyAlignment="1">
      <alignment vertical="center" shrinkToFit="1"/>
    </xf>
    <xf numFmtId="0" fontId="12" fillId="12" borderId="5" xfId="0" applyFont="1" applyFill="1" applyBorder="1" applyAlignment="1">
      <alignment horizontal="left" vertical="center" shrinkToFit="1"/>
    </xf>
    <xf numFmtId="0" fontId="12" fillId="4" borderId="5" xfId="0" applyFont="1" applyFill="1" applyBorder="1" applyAlignment="1">
      <alignment horizontal="left" vertical="center" shrinkToFit="1"/>
    </xf>
    <xf numFmtId="166" fontId="12" fillId="0" borderId="5" xfId="0" applyNumberFormat="1" applyFont="1" applyBorder="1" applyAlignment="1">
      <alignment horizontal="center" vertical="center" shrinkToFit="1"/>
    </xf>
    <xf numFmtId="0" fontId="12" fillId="0" borderId="5" xfId="0" applyFont="1" applyBorder="1" applyAlignment="1">
      <alignment horizontal="left" vertical="center" shrinkToFit="1"/>
    </xf>
    <xf numFmtId="173" fontId="12" fillId="0" borderId="84" xfId="0" applyNumberFormat="1" applyFont="1" applyBorder="1" applyAlignment="1">
      <alignment horizontal="center" vertical="center" shrinkToFit="1"/>
    </xf>
    <xf numFmtId="164" fontId="12" fillId="0" borderId="5" xfId="1" applyFont="1" applyBorder="1" applyAlignment="1">
      <alignment horizontal="right" vertical="center" shrinkToFit="1"/>
    </xf>
    <xf numFmtId="0" fontId="12" fillId="4" borderId="5" xfId="0" applyFont="1" applyFill="1" applyBorder="1" applyAlignment="1">
      <alignment horizontal="center" vertical="center" shrinkToFit="1"/>
    </xf>
    <xf numFmtId="166" fontId="12" fillId="0" borderId="5" xfId="0" applyNumberFormat="1" applyFont="1" applyBorder="1" applyAlignment="1">
      <alignment horizontal="left" vertical="center" shrinkToFit="1"/>
    </xf>
    <xf numFmtId="164" fontId="12" fillId="4" borderId="5" xfId="1" applyFont="1" applyFill="1" applyBorder="1" applyAlignment="1">
      <alignment horizontal="right" vertical="center" shrinkToFit="1"/>
    </xf>
    <xf numFmtId="173" fontId="12" fillId="4" borderId="84" xfId="0" applyNumberFormat="1" applyFont="1" applyFill="1" applyBorder="1" applyAlignment="1">
      <alignment horizontal="center" vertical="center" shrinkToFit="1"/>
    </xf>
    <xf numFmtId="0" fontId="12" fillId="12" borderId="4" xfId="0" applyFont="1" applyFill="1" applyBorder="1" applyAlignment="1">
      <alignment horizontal="left" vertical="center" shrinkToFit="1"/>
    </xf>
    <xf numFmtId="0" fontId="12" fillId="4" borderId="4" xfId="0" applyFont="1" applyFill="1" applyBorder="1" applyAlignment="1">
      <alignment horizontal="left" vertical="center" shrinkToFit="1"/>
    </xf>
    <xf numFmtId="164" fontId="12" fillId="0" borderId="5" xfId="1" applyFont="1" applyBorder="1" applyAlignment="1">
      <alignment horizontal="center" vertical="center" shrinkToFit="1"/>
    </xf>
    <xf numFmtId="166" fontId="12" fillId="0" borderId="84" xfId="0" applyNumberFormat="1" applyFont="1" applyBorder="1" applyAlignment="1">
      <alignment horizontal="center" vertical="center" shrinkToFit="1"/>
    </xf>
    <xf numFmtId="164" fontId="12" fillId="4" borderId="5" xfId="1" applyFont="1" applyFill="1" applyBorder="1" applyAlignment="1">
      <alignment horizontal="center" vertical="center" shrinkToFit="1"/>
    </xf>
    <xf numFmtId="49" fontId="12" fillId="4" borderId="84" xfId="0" applyNumberFormat="1" applyFont="1" applyFill="1" applyBorder="1" applyAlignment="1">
      <alignment horizontal="center" vertical="center" shrinkToFit="1"/>
    </xf>
    <xf numFmtId="0" fontId="12" fillId="4" borderId="107" xfId="0" applyFont="1" applyFill="1" applyBorder="1" applyAlignment="1">
      <alignment horizontal="left" vertical="center" wrapText="1"/>
    </xf>
    <xf numFmtId="0" fontId="12" fillId="4" borderId="108" xfId="0" applyFont="1" applyFill="1" applyBorder="1" applyAlignment="1">
      <alignment horizontal="left" vertical="center" wrapText="1"/>
    </xf>
    <xf numFmtId="0" fontId="12" fillId="4" borderId="109" xfId="0" applyFont="1" applyFill="1" applyBorder="1" applyAlignment="1">
      <alignment horizontal="left" vertical="center" wrapText="1"/>
    </xf>
    <xf numFmtId="0" fontId="12" fillId="12" borderId="12" xfId="0" applyFont="1" applyFill="1" applyBorder="1" applyAlignment="1">
      <alignment horizontal="left" vertical="center" shrinkToFit="1"/>
    </xf>
    <xf numFmtId="49" fontId="12" fillId="4" borderId="0" xfId="0" applyNumberFormat="1" applyFont="1" applyFill="1" applyAlignment="1">
      <alignment vertical="top" shrinkToFit="1"/>
    </xf>
    <xf numFmtId="0" fontId="12" fillId="3" borderId="81" xfId="0" applyFont="1" applyFill="1" applyBorder="1" applyAlignment="1">
      <alignment horizontal="left" vertical="center" shrinkToFit="1"/>
    </xf>
    <xf numFmtId="0" fontId="12" fillId="3" borderId="5" xfId="0" applyFont="1" applyFill="1" applyBorder="1" applyAlignment="1">
      <alignment horizontal="left" vertical="center" shrinkToFit="1"/>
    </xf>
    <xf numFmtId="0" fontId="23" fillId="0" borderId="0" xfId="0" applyFont="1">
      <alignment vertical="center"/>
    </xf>
    <xf numFmtId="0" fontId="21" fillId="0" borderId="0" xfId="0" applyFont="1" applyAlignment="1">
      <alignment horizontal="left" vertical="center"/>
    </xf>
    <xf numFmtId="49" fontId="21" fillId="0" borderId="0" xfId="0" applyNumberFormat="1" applyFont="1" applyAlignment="1">
      <alignment vertical="center" shrinkToFit="1"/>
    </xf>
    <xf numFmtId="14" fontId="21" fillId="0" borderId="0" xfId="0" applyNumberFormat="1" applyFont="1">
      <alignment vertical="center"/>
    </xf>
    <xf numFmtId="49" fontId="10" fillId="2" borderId="11" xfId="0" applyNumberFormat="1" applyFont="1" applyFill="1" applyBorder="1" applyAlignment="1">
      <alignment horizontal="center" vertical="center" shrinkToFit="1"/>
    </xf>
    <xf numFmtId="0" fontId="12" fillId="3" borderId="4" xfId="0" applyFont="1" applyFill="1" applyBorder="1" applyAlignment="1">
      <alignment horizontal="left" vertical="center" shrinkToFit="1"/>
    </xf>
    <xf numFmtId="49" fontId="12" fillId="4" borderId="6" xfId="0" quotePrefix="1" applyNumberFormat="1" applyFont="1" applyFill="1" applyBorder="1" applyAlignment="1">
      <alignment vertical="top" wrapText="1" shrinkToFit="1"/>
    </xf>
    <xf numFmtId="49" fontId="12" fillId="4" borderId="7" xfId="0" applyNumberFormat="1" applyFont="1" applyFill="1" applyBorder="1" applyAlignment="1">
      <alignment vertical="top" shrinkToFit="1"/>
    </xf>
    <xf numFmtId="49" fontId="12" fillId="4" borderId="88" xfId="0" applyNumberFormat="1" applyFont="1" applyFill="1" applyBorder="1" applyAlignment="1">
      <alignment vertical="top" shrinkToFit="1"/>
    </xf>
    <xf numFmtId="49" fontId="12" fillId="4" borderId="89" xfId="0" applyNumberFormat="1" applyFont="1" applyFill="1" applyBorder="1" applyAlignment="1">
      <alignment vertical="top" shrinkToFit="1"/>
    </xf>
    <xf numFmtId="0" fontId="21" fillId="0" borderId="0" xfId="0" applyFont="1" applyAlignment="1">
      <alignment horizontal="left" vertical="center" shrinkToFit="1"/>
    </xf>
    <xf numFmtId="164" fontId="21" fillId="0" borderId="0" xfId="1" applyFont="1" applyAlignment="1">
      <alignment vertical="center" shrinkToFit="1"/>
    </xf>
    <xf numFmtId="49" fontId="12" fillId="0" borderId="46" xfId="7" applyNumberFormat="1" applyFont="1" applyBorder="1" applyAlignment="1">
      <alignment horizontal="center" vertical="center"/>
    </xf>
    <xf numFmtId="0" fontId="12" fillId="0" borderId="46" xfId="7" applyFont="1" applyBorder="1" applyAlignment="1">
      <alignment horizontal="left" vertical="center"/>
    </xf>
    <xf numFmtId="172" fontId="12" fillId="0" borderId="46" xfId="7" applyNumberFormat="1" applyFont="1" applyBorder="1" applyAlignment="1">
      <alignment horizontal="right" vertical="center"/>
    </xf>
    <xf numFmtId="0" fontId="12" fillId="0" borderId="46" xfId="7" applyFont="1" applyBorder="1" applyAlignment="1">
      <alignment horizontal="center" vertical="center"/>
    </xf>
    <xf numFmtId="164" fontId="12" fillId="0" borderId="81" xfId="1" applyFont="1" applyBorder="1" applyAlignment="1">
      <alignment horizontal="center" vertical="center" shrinkToFit="1"/>
    </xf>
    <xf numFmtId="49" fontId="12" fillId="0" borderId="5" xfId="0" applyNumberFormat="1" applyFont="1" applyBorder="1" applyAlignment="1">
      <alignment horizontal="center" vertical="center" shrinkToFit="1"/>
    </xf>
    <xf numFmtId="175" fontId="12" fillId="0" borderId="19" xfId="8" applyNumberFormat="1" applyFont="1" applyBorder="1" applyAlignment="1">
      <alignment horizontal="center" vertical="top"/>
    </xf>
    <xf numFmtId="175" fontId="12" fillId="0" borderId="19" xfId="8" applyNumberFormat="1" applyFont="1" applyBorder="1" applyAlignment="1">
      <alignment horizontal="center" vertical="center"/>
    </xf>
    <xf numFmtId="175" fontId="12" fillId="0" borderId="24" xfId="8" applyNumberFormat="1" applyFont="1" applyBorder="1" applyAlignment="1">
      <alignment horizontal="center" vertical="center"/>
    </xf>
    <xf numFmtId="175" fontId="12" fillId="0" borderId="15" xfId="8" applyNumberFormat="1" applyFont="1" applyBorder="1" applyAlignment="1">
      <alignment horizontal="center" vertical="center"/>
    </xf>
    <xf numFmtId="175" fontId="12" fillId="0" borderId="46" xfId="8" applyNumberFormat="1" applyFont="1" applyBorder="1" applyAlignment="1">
      <alignment horizontal="center" vertical="center"/>
    </xf>
    <xf numFmtId="175" fontId="12" fillId="0" borderId="19" xfId="8" applyNumberFormat="1" applyFont="1" applyBorder="1">
      <alignment vertical="center"/>
    </xf>
    <xf numFmtId="175" fontId="12" fillId="0" borderId="24" xfId="8" applyNumberFormat="1" applyFont="1" applyBorder="1">
      <alignment vertical="center"/>
    </xf>
    <xf numFmtId="175" fontId="12" fillId="0" borderId="19" xfId="8" applyNumberFormat="1" applyFont="1" applyBorder="1" applyAlignment="1">
      <alignment horizontal="left" vertical="center"/>
    </xf>
    <xf numFmtId="175" fontId="12" fillId="0" borderId="24" xfId="8" applyNumberFormat="1" applyFont="1" applyBorder="1" applyAlignment="1">
      <alignment horizontal="left" vertical="center"/>
    </xf>
    <xf numFmtId="175" fontId="12" fillId="0" borderId="46" xfId="8" applyNumberFormat="1" applyFont="1" applyBorder="1" applyAlignment="1">
      <alignment horizontal="left" vertical="center"/>
    </xf>
    <xf numFmtId="175" fontId="12" fillId="6" borderId="15" xfId="10" applyNumberFormat="1" applyFont="1" applyFill="1" applyBorder="1" applyAlignment="1">
      <alignment horizontal="center" vertical="center"/>
    </xf>
    <xf numFmtId="175" fontId="12" fillId="6" borderId="19" xfId="10" applyNumberFormat="1" applyFont="1" applyFill="1" applyBorder="1" applyAlignment="1">
      <alignment horizontal="center" vertical="center"/>
    </xf>
    <xf numFmtId="175" fontId="12" fillId="6" borderId="24" xfId="10" applyNumberFormat="1" applyFont="1" applyFill="1" applyBorder="1" applyAlignment="1">
      <alignment horizontal="center" vertical="center"/>
    </xf>
    <xf numFmtId="175" fontId="12" fillId="0" borderId="24" xfId="10" applyNumberFormat="1" applyFont="1" applyBorder="1" applyAlignment="1">
      <alignment horizontal="center" vertical="center"/>
    </xf>
    <xf numFmtId="175" fontId="12" fillId="6" borderId="46" xfId="10" applyNumberFormat="1" applyFont="1" applyFill="1" applyBorder="1" applyAlignment="1">
      <alignment horizontal="center" vertical="center"/>
    </xf>
    <xf numFmtId="175" fontId="12" fillId="0" borderId="46" xfId="10" applyNumberFormat="1" applyFont="1" applyBorder="1" applyAlignment="1">
      <alignment horizontal="center" vertical="center"/>
    </xf>
    <xf numFmtId="175" fontId="12" fillId="0" borderId="15" xfId="7" applyNumberFormat="1" applyFont="1" applyBorder="1" applyAlignment="1">
      <alignment horizontal="center" vertical="center"/>
    </xf>
    <xf numFmtId="175" fontId="12" fillId="0" borderId="19" xfId="7" applyNumberFormat="1" applyFont="1" applyBorder="1" applyAlignment="1">
      <alignment horizontal="center" vertical="center"/>
    </xf>
    <xf numFmtId="175" fontId="12" fillId="0" borderId="24" xfId="7" applyNumberFormat="1" applyFont="1" applyBorder="1" applyAlignment="1">
      <alignment horizontal="center" vertical="center"/>
    </xf>
    <xf numFmtId="175" fontId="12" fillId="0" borderId="46" xfId="7" applyNumberFormat="1" applyFont="1" applyBorder="1" applyAlignment="1">
      <alignment horizontal="center" vertical="center"/>
    </xf>
    <xf numFmtId="175" fontId="12" fillId="6" borderId="19" xfId="8" applyNumberFormat="1" applyFont="1" applyFill="1" applyBorder="1" applyAlignment="1">
      <alignment horizontal="center" vertical="center"/>
    </xf>
    <xf numFmtId="49" fontId="12" fillId="6" borderId="19" xfId="8" applyNumberFormat="1" applyFont="1" applyFill="1" applyBorder="1" applyAlignment="1">
      <alignment horizontal="center" vertical="center"/>
    </xf>
    <xf numFmtId="175" fontId="12" fillId="0" borderId="19" xfId="8" applyNumberFormat="1" applyFont="1" applyBorder="1" applyAlignment="1">
      <alignment vertical="center" wrapText="1"/>
    </xf>
    <xf numFmtId="175" fontId="12" fillId="0" borderId="46" xfId="8" applyNumberFormat="1" applyFont="1" applyBorder="1">
      <alignment vertical="center"/>
    </xf>
    <xf numFmtId="175" fontId="12" fillId="11" borderId="19" xfId="8" applyNumberFormat="1" applyFont="1" applyFill="1" applyBorder="1" applyAlignment="1">
      <alignment horizontal="center" vertical="top"/>
    </xf>
    <xf numFmtId="175" fontId="12" fillId="11" borderId="19" xfId="8" applyNumberFormat="1" applyFont="1" applyFill="1" applyBorder="1" applyAlignment="1">
      <alignment horizontal="center" vertical="center"/>
    </xf>
    <xf numFmtId="175" fontId="12" fillId="11" borderId="24" xfId="8" applyNumberFormat="1" applyFont="1" applyFill="1" applyBorder="1" applyAlignment="1">
      <alignment horizontal="center" vertical="center"/>
    </xf>
    <xf numFmtId="175" fontId="12" fillId="11" borderId="46" xfId="8" applyNumberFormat="1" applyFont="1" applyFill="1" applyBorder="1" applyAlignment="1">
      <alignment horizontal="center" vertical="center"/>
    </xf>
    <xf numFmtId="175" fontId="12" fillId="0" borderId="24" xfId="8" applyNumberFormat="1" applyFont="1" applyBorder="1" applyAlignment="1">
      <alignment horizontal="center" vertical="top"/>
    </xf>
    <xf numFmtId="175" fontId="12" fillId="11" borderId="24" xfId="8" applyNumberFormat="1" applyFont="1" applyFill="1" applyBorder="1" applyAlignment="1">
      <alignment horizontal="center" vertical="top"/>
    </xf>
    <xf numFmtId="175" fontId="12" fillId="0" borderId="46" xfId="8" applyNumberFormat="1" applyFont="1" applyBorder="1" applyAlignment="1">
      <alignment horizontal="center" vertical="top"/>
    </xf>
    <xf numFmtId="175" fontId="12" fillId="11" borderId="46" xfId="8" applyNumberFormat="1" applyFont="1" applyFill="1" applyBorder="1" applyAlignment="1">
      <alignment horizontal="center" vertical="top"/>
    </xf>
    <xf numFmtId="0" fontId="12" fillId="0" borderId="19" xfId="8" applyFont="1" applyBorder="1" applyAlignment="1">
      <alignment horizontal="center" vertical="center"/>
    </xf>
    <xf numFmtId="0" fontId="12" fillId="0" borderId="24" xfId="8" applyFont="1" applyBorder="1" applyAlignment="1">
      <alignment horizontal="center" vertical="center"/>
    </xf>
    <xf numFmtId="175" fontId="12" fillId="4" borderId="106" xfId="0" applyNumberFormat="1" applyFont="1" applyFill="1" applyBorder="1" applyAlignment="1">
      <alignment horizontal="center" vertical="center"/>
    </xf>
    <xf numFmtId="175" fontId="12" fillId="4" borderId="78" xfId="0" applyNumberFormat="1" applyFont="1" applyFill="1" applyBorder="1" applyAlignment="1">
      <alignment horizontal="center" vertical="center"/>
    </xf>
    <xf numFmtId="175" fontId="12" fillId="0" borderId="78" xfId="0" applyNumberFormat="1" applyFont="1" applyBorder="1" applyAlignment="1">
      <alignment horizontal="center" vertical="center"/>
    </xf>
    <xf numFmtId="175" fontId="12" fillId="4" borderId="94" xfId="0" applyNumberFormat="1" applyFont="1" applyFill="1" applyBorder="1" applyAlignment="1">
      <alignment horizontal="center" vertical="center"/>
    </xf>
    <xf numFmtId="175" fontId="12" fillId="0" borderId="81" xfId="0" applyNumberFormat="1" applyFont="1" applyBorder="1" applyAlignment="1">
      <alignment horizontal="center" vertical="center" shrinkToFit="1"/>
    </xf>
    <xf numFmtId="175" fontId="12" fillId="0" borderId="5" xfId="0" applyNumberFormat="1" applyFont="1" applyBorder="1" applyAlignment="1">
      <alignment horizontal="center" vertical="center" shrinkToFit="1"/>
    </xf>
    <xf numFmtId="175" fontId="12" fillId="4" borderId="5" xfId="0" applyNumberFormat="1" applyFont="1" applyFill="1" applyBorder="1" applyAlignment="1">
      <alignment horizontal="center" vertical="center" shrinkToFit="1"/>
    </xf>
    <xf numFmtId="175" fontId="12" fillId="0" borderId="5" xfId="1" applyNumberFormat="1" applyFont="1" applyBorder="1" applyAlignment="1">
      <alignment horizontal="center" vertical="center" shrinkToFit="1"/>
    </xf>
    <xf numFmtId="175" fontId="12" fillId="4" borderId="5" xfId="1" applyNumberFormat="1" applyFont="1" applyFill="1" applyBorder="1" applyAlignment="1">
      <alignment horizontal="center" vertical="center" shrinkToFit="1"/>
    </xf>
    <xf numFmtId="175" fontId="12" fillId="4" borderId="105" xfId="0" applyNumberFormat="1" applyFont="1" applyFill="1" applyBorder="1" applyAlignment="1">
      <alignment horizontal="center" vertical="center"/>
    </xf>
    <xf numFmtId="175" fontId="12" fillId="0" borderId="106" xfId="0" applyNumberFormat="1" applyFont="1" applyBorder="1" applyAlignment="1">
      <alignment horizontal="center" vertical="center"/>
    </xf>
    <xf numFmtId="175" fontId="12" fillId="0" borderId="110" xfId="0" applyNumberFormat="1" applyFont="1" applyBorder="1" applyAlignment="1">
      <alignment horizontal="center" vertical="center" shrinkToFit="1"/>
    </xf>
    <xf numFmtId="175" fontId="12" fillId="0" borderId="12" xfId="0" applyNumberFormat="1" applyFont="1" applyBorder="1" applyAlignment="1">
      <alignment horizontal="center" vertical="center" shrinkToFit="1"/>
    </xf>
    <xf numFmtId="175" fontId="12" fillId="0" borderId="5" xfId="1" applyNumberFormat="1" applyFont="1" applyBorder="1" applyAlignment="1">
      <alignment horizontal="right" vertical="center" shrinkToFit="1"/>
    </xf>
    <xf numFmtId="175" fontId="12" fillId="4" borderId="5" xfId="1" applyNumberFormat="1" applyFont="1" applyFill="1" applyBorder="1" applyAlignment="1">
      <alignment horizontal="right" vertical="center" shrinkToFit="1"/>
    </xf>
    <xf numFmtId="175" fontId="12" fillId="0" borderId="81" xfId="1" applyNumberFormat="1" applyFont="1" applyBorder="1" applyAlignment="1">
      <alignment horizontal="right" vertical="center" shrinkToFit="1"/>
    </xf>
    <xf numFmtId="175" fontId="12" fillId="0" borderId="81" xfId="0" applyNumberFormat="1" applyFont="1" applyBorder="1" applyAlignment="1">
      <alignment horizontal="left" vertical="center" shrinkToFit="1"/>
    </xf>
    <xf numFmtId="175" fontId="12" fillId="0" borderId="82" xfId="0" applyNumberFormat="1" applyFont="1" applyBorder="1" applyAlignment="1">
      <alignment horizontal="center" vertical="center" shrinkToFit="1"/>
    </xf>
    <xf numFmtId="175" fontId="12" fillId="0" borderId="5" xfId="0" applyNumberFormat="1" applyFont="1" applyBorder="1" applyAlignment="1">
      <alignment horizontal="left" vertical="center" shrinkToFit="1"/>
    </xf>
    <xf numFmtId="175" fontId="12" fillId="0" borderId="84" xfId="0" applyNumberFormat="1" applyFont="1" applyBorder="1" applyAlignment="1">
      <alignment horizontal="center" vertical="center" shrinkToFit="1"/>
    </xf>
    <xf numFmtId="175" fontId="12" fillId="4" borderId="5" xfId="0" applyNumberFormat="1" applyFont="1" applyFill="1" applyBorder="1" applyAlignment="1">
      <alignment horizontal="left" vertical="center" shrinkToFit="1"/>
    </xf>
    <xf numFmtId="175" fontId="12" fillId="4" borderId="84" xfId="0" applyNumberFormat="1" applyFont="1" applyFill="1" applyBorder="1" applyAlignment="1">
      <alignment horizontal="center" vertical="center" shrinkToFit="1"/>
    </xf>
    <xf numFmtId="164" fontId="12" fillId="0" borderId="5" xfId="1" applyFont="1" applyBorder="1" applyAlignment="1">
      <alignment vertical="center" shrinkToFit="1"/>
    </xf>
    <xf numFmtId="164" fontId="12" fillId="4" borderId="5" xfId="1" applyFont="1" applyFill="1" applyBorder="1" applyAlignment="1">
      <alignment vertical="center" shrinkToFit="1"/>
    </xf>
    <xf numFmtId="175" fontId="12" fillId="0" borderId="19" xfId="10" applyNumberFormat="1" applyFont="1" applyBorder="1" applyAlignment="1">
      <alignment horizontal="center" vertical="center"/>
    </xf>
    <xf numFmtId="173" fontId="12" fillId="0" borderId="5" xfId="0" applyNumberFormat="1" applyFont="1" applyBorder="1" applyAlignment="1">
      <alignment horizontal="center" vertical="center" wrapText="1" shrinkToFit="1"/>
    </xf>
    <xf numFmtId="0" fontId="12" fillId="14" borderId="5" xfId="0" applyFont="1" applyFill="1" applyBorder="1" applyAlignment="1">
      <alignment horizontal="left" vertical="center" shrinkToFit="1"/>
    </xf>
    <xf numFmtId="0" fontId="12" fillId="14" borderId="4" xfId="0" applyFont="1" applyFill="1" applyBorder="1" applyAlignment="1">
      <alignment horizontal="left" vertical="center" shrinkToFit="1"/>
    </xf>
    <xf numFmtId="0" fontId="24" fillId="0" borderId="0" xfId="0" applyFont="1">
      <alignment vertical="center"/>
    </xf>
    <xf numFmtId="175" fontId="12" fillId="0" borderId="0" xfId="0" applyNumberFormat="1" applyFont="1" applyAlignment="1">
      <alignment horizontal="center" vertical="center" shrinkToFit="1"/>
    </xf>
    <xf numFmtId="175" fontId="12" fillId="4" borderId="0" xfId="0" applyNumberFormat="1" applyFont="1" applyFill="1" applyAlignment="1">
      <alignment horizontal="center" vertical="center" shrinkToFit="1"/>
    </xf>
    <xf numFmtId="49" fontId="12" fillId="4" borderId="0" xfId="0" applyNumberFormat="1" applyFont="1" applyFill="1" applyAlignment="1">
      <alignment horizontal="center" vertical="center" shrinkToFit="1"/>
    </xf>
    <xf numFmtId="175" fontId="12" fillId="0" borderId="125" xfId="0" applyNumberFormat="1" applyFont="1" applyBorder="1" applyAlignment="1">
      <alignment horizontal="center" vertical="center" shrinkToFit="1"/>
    </xf>
    <xf numFmtId="175" fontId="12" fillId="4" borderId="125" xfId="0" applyNumberFormat="1" applyFont="1" applyFill="1" applyBorder="1" applyAlignment="1">
      <alignment horizontal="center" vertical="center" shrinkToFit="1"/>
    </xf>
    <xf numFmtId="0" fontId="12" fillId="4" borderId="125" xfId="0" applyFont="1" applyFill="1" applyBorder="1" applyAlignment="1">
      <alignment horizontal="center" vertical="center" shrinkToFit="1"/>
    </xf>
    <xf numFmtId="173" fontId="12" fillId="0" borderId="81" xfId="0" applyNumberFormat="1" applyFont="1" applyBorder="1" applyAlignment="1">
      <alignment horizontal="center" vertical="center" wrapText="1" shrinkToFit="1"/>
    </xf>
    <xf numFmtId="0" fontId="12" fillId="0" borderId="26" xfId="8" applyFont="1" applyBorder="1" applyAlignment="1">
      <alignment horizontal="center" vertical="top"/>
    </xf>
    <xf numFmtId="0" fontId="21" fillId="0" borderId="19" xfId="15" applyFont="1" applyBorder="1" applyAlignment="1">
      <alignment horizontal="center" vertical="center" wrapText="1"/>
    </xf>
    <xf numFmtId="0" fontId="21" fillId="0" borderId="19" xfId="15" applyFont="1" applyBorder="1" applyAlignment="1">
      <alignment horizontal="left" vertical="center" wrapText="1"/>
    </xf>
    <xf numFmtId="0" fontId="3" fillId="0" borderId="0" xfId="0" applyFont="1">
      <alignment vertical="center"/>
    </xf>
    <xf numFmtId="0" fontId="21" fillId="5" borderId="24" xfId="15" applyFont="1" applyFill="1" applyBorder="1" applyAlignment="1">
      <alignment horizontal="center" vertical="center" wrapText="1"/>
    </xf>
    <xf numFmtId="0" fontId="21" fillId="5" borderId="24" xfId="15" applyFont="1" applyFill="1" applyBorder="1" applyAlignment="1">
      <alignment horizontal="center" vertical="center"/>
    </xf>
    <xf numFmtId="0" fontId="21" fillId="0" borderId="19" xfId="15" applyFont="1" applyBorder="1" applyAlignment="1">
      <alignment horizontal="center" vertical="center"/>
    </xf>
    <xf numFmtId="0" fontId="21" fillId="15" borderId="19" xfId="15" applyFont="1" applyFill="1" applyBorder="1" applyAlignment="1">
      <alignment horizontal="center" vertical="center"/>
    </xf>
    <xf numFmtId="0" fontId="21" fillId="15" borderId="19" xfId="15" applyFont="1" applyFill="1" applyBorder="1" applyAlignment="1">
      <alignment horizontal="left" vertical="center"/>
    </xf>
    <xf numFmtId="175" fontId="21" fillId="15" borderId="19" xfId="15" applyNumberFormat="1" applyFont="1" applyFill="1" applyBorder="1" applyAlignment="1">
      <alignment horizontal="center" vertical="center"/>
    </xf>
    <xf numFmtId="0" fontId="21" fillId="0" borderId="19" xfId="15" applyFont="1" applyBorder="1" applyAlignment="1">
      <alignment horizontal="left" vertical="center"/>
    </xf>
    <xf numFmtId="175" fontId="21" fillId="0" borderId="19" xfId="15" applyNumberFormat="1" applyFont="1" applyBorder="1" applyAlignment="1">
      <alignment horizontal="center" vertical="center"/>
    </xf>
    <xf numFmtId="9" fontId="21" fillId="0" borderId="19" xfId="15" applyNumberFormat="1" applyFont="1" applyBorder="1" applyAlignment="1">
      <alignment horizontal="left" vertical="center" wrapText="1"/>
    </xf>
    <xf numFmtId="175" fontId="21" fillId="0" borderId="19" xfId="15" applyNumberFormat="1" applyFont="1" applyBorder="1" applyAlignment="1">
      <alignment horizontal="center" vertical="center" wrapText="1"/>
    </xf>
    <xf numFmtId="0" fontId="21" fillId="15" borderId="19" xfId="15" applyFont="1" applyFill="1" applyBorder="1" applyAlignment="1">
      <alignment horizontal="left" vertical="center" wrapText="1"/>
    </xf>
    <xf numFmtId="0" fontId="21" fillId="15" borderId="19" xfId="15" applyFont="1" applyFill="1" applyBorder="1" applyAlignment="1">
      <alignment horizontal="center" vertical="center" wrapText="1"/>
    </xf>
    <xf numFmtId="0" fontId="29" fillId="0" borderId="19" xfId="15" applyFont="1" applyBorder="1" applyAlignment="1">
      <alignment horizontal="left" vertical="center" wrapText="1"/>
    </xf>
    <xf numFmtId="0" fontId="29" fillId="0" borderId="19" xfId="15" applyFont="1" applyBorder="1" applyAlignment="1">
      <alignment horizontal="center" vertical="center"/>
    </xf>
    <xf numFmtId="175" fontId="29" fillId="0" borderId="19" xfId="15" applyNumberFormat="1" applyFont="1" applyBorder="1" applyAlignment="1">
      <alignment horizontal="center" vertical="center" wrapText="1"/>
    </xf>
    <xf numFmtId="175" fontId="29" fillId="0" borderId="19" xfId="15" applyNumberFormat="1" applyFont="1" applyBorder="1" applyAlignment="1">
      <alignment horizontal="center" vertical="center"/>
    </xf>
    <xf numFmtId="0" fontId="29" fillId="0" borderId="19" xfId="15" applyFont="1" applyBorder="1" applyAlignment="1">
      <alignment horizontal="left" vertical="center"/>
    </xf>
    <xf numFmtId="9" fontId="29" fillId="0" borderId="19" xfId="15" applyNumberFormat="1" applyFont="1" applyBorder="1" applyAlignment="1">
      <alignment horizontal="left" vertical="center"/>
    </xf>
    <xf numFmtId="175" fontId="29" fillId="16" borderId="19" xfId="15" applyNumberFormat="1" applyFont="1" applyFill="1" applyBorder="1" applyAlignment="1">
      <alignment horizontal="center" vertical="center"/>
    </xf>
    <xf numFmtId="9" fontId="29" fillId="0" borderId="19" xfId="15" applyNumberFormat="1" applyFont="1" applyBorder="1" applyAlignment="1">
      <alignment horizontal="left" vertical="center" wrapText="1"/>
    </xf>
    <xf numFmtId="0" fontId="21" fillId="0" borderId="0" xfId="15" applyFont="1" applyAlignment="1">
      <alignment horizontal="center" vertical="center"/>
    </xf>
    <xf numFmtId="0" fontId="21" fillId="0" borderId="0" xfId="15" applyFont="1" applyAlignment="1">
      <alignment horizontal="center" vertical="center" wrapText="1"/>
    </xf>
    <xf numFmtId="0" fontId="21" fillId="0" borderId="0" xfId="15" applyFont="1" applyAlignment="1">
      <alignment horizontal="left" vertical="center" wrapText="1"/>
    </xf>
    <xf numFmtId="175" fontId="21" fillId="0" borderId="0" xfId="15" applyNumberFormat="1" applyFont="1" applyAlignment="1">
      <alignment horizontal="center" vertical="center"/>
    </xf>
    <xf numFmtId="175" fontId="21" fillId="0" borderId="0" xfId="15" applyNumberFormat="1" applyFont="1" applyAlignment="1">
      <alignment horizontal="center" vertical="center" wrapText="1"/>
    </xf>
    <xf numFmtId="0" fontId="21" fillId="0" borderId="0" xfId="15" applyFont="1" applyAlignment="1">
      <alignment horizontal="left" vertical="center"/>
    </xf>
    <xf numFmtId="9" fontId="21" fillId="15" borderId="19" xfId="15" applyNumberFormat="1" applyFont="1" applyFill="1" applyBorder="1" applyAlignment="1">
      <alignment horizontal="left" vertical="center"/>
    </xf>
    <xf numFmtId="9" fontId="21" fillId="0" borderId="19" xfId="15" applyNumberFormat="1" applyFont="1" applyBorder="1" applyAlignment="1">
      <alignment horizontal="left" vertical="center"/>
    </xf>
    <xf numFmtId="175" fontId="21" fillId="17" borderId="19" xfId="15" applyNumberFormat="1" applyFont="1" applyFill="1" applyBorder="1" applyAlignment="1">
      <alignment horizontal="center" vertical="center"/>
    </xf>
    <xf numFmtId="175" fontId="31" fillId="0" borderId="19" xfId="15" applyNumberFormat="1" applyFont="1" applyBorder="1" applyAlignment="1">
      <alignment horizontal="center" vertical="center"/>
    </xf>
    <xf numFmtId="175" fontId="31" fillId="0" borderId="19" xfId="15" applyNumberFormat="1" applyFont="1" applyBorder="1" applyAlignment="1">
      <alignment horizontal="center" vertical="center" wrapText="1"/>
    </xf>
    <xf numFmtId="175" fontId="32" fillId="0" borderId="19" xfId="15" applyNumberFormat="1" applyFont="1" applyBorder="1" applyAlignment="1">
      <alignment horizontal="center" vertical="center"/>
    </xf>
    <xf numFmtId="175" fontId="29" fillId="16" borderId="19" xfId="15" applyNumberFormat="1" applyFont="1" applyFill="1" applyBorder="1" applyAlignment="1">
      <alignment horizontal="center" vertical="center" wrapText="1"/>
    </xf>
    <xf numFmtId="175" fontId="12" fillId="6" borderId="15" xfId="10" applyNumberFormat="1" applyFont="1" applyFill="1" applyBorder="1" applyAlignment="1">
      <alignment horizontal="center" vertical="center" wrapText="1"/>
    </xf>
    <xf numFmtId="0" fontId="12" fillId="0" borderId="24" xfId="10" applyFont="1" applyBorder="1" applyAlignment="1">
      <alignment horizontal="left" vertical="center"/>
    </xf>
    <xf numFmtId="0" fontId="11" fillId="0" borderId="19" xfId="9" applyFont="1" applyBorder="1">
      <alignment vertical="center"/>
    </xf>
    <xf numFmtId="0" fontId="12" fillId="0" borderId="26" xfId="7" applyFont="1" applyBorder="1">
      <alignment vertical="center"/>
    </xf>
    <xf numFmtId="175" fontId="12" fillId="0" borderId="26" xfId="7" applyNumberFormat="1" applyFont="1" applyBorder="1" applyAlignment="1">
      <alignment horizontal="center" vertical="center"/>
    </xf>
    <xf numFmtId="0" fontId="12" fillId="0" borderId="26" xfId="7" applyFont="1" applyBorder="1" applyAlignment="1">
      <alignment horizontal="left" vertical="center"/>
    </xf>
    <xf numFmtId="171" fontId="12" fillId="0" borderId="26" xfId="7" applyNumberFormat="1" applyFont="1" applyBorder="1">
      <alignment vertical="center"/>
    </xf>
    <xf numFmtId="14" fontId="12" fillId="0" borderId="24" xfId="7" applyNumberFormat="1" applyFont="1" applyBorder="1">
      <alignment vertical="center"/>
    </xf>
    <xf numFmtId="175" fontId="12" fillId="0" borderId="30" xfId="8" applyNumberFormat="1" applyFont="1" applyBorder="1" applyAlignment="1">
      <alignment horizontal="center" vertical="center"/>
    </xf>
    <xf numFmtId="0" fontId="12" fillId="0" borderId="32" xfId="7" applyFont="1" applyBorder="1">
      <alignment vertical="center"/>
    </xf>
    <xf numFmtId="0" fontId="11" fillId="0" borderId="32" xfId="9" applyFont="1" applyBorder="1">
      <alignment vertical="center"/>
    </xf>
    <xf numFmtId="0" fontId="12" fillId="0" borderId="3" xfId="7" applyFont="1" applyBorder="1">
      <alignment vertical="center"/>
    </xf>
    <xf numFmtId="0" fontId="12" fillId="6" borderId="24" xfId="10" applyFont="1" applyFill="1" applyBorder="1" applyAlignment="1">
      <alignment horizontal="left" vertical="center" wrapText="1"/>
    </xf>
    <xf numFmtId="0" fontId="12" fillId="6" borderId="26" xfId="10" applyFont="1" applyFill="1" applyBorder="1" applyAlignment="1">
      <alignment horizontal="left" vertical="center"/>
    </xf>
    <xf numFmtId="14" fontId="12" fillId="0" borderId="26" xfId="7" applyNumberFormat="1" applyFont="1" applyBorder="1">
      <alignment vertical="center"/>
    </xf>
    <xf numFmtId="175" fontId="12" fillId="6" borderId="19" xfId="10" applyNumberFormat="1" applyFont="1" applyFill="1" applyBorder="1" applyAlignment="1">
      <alignment horizontal="center" vertical="center" wrapText="1"/>
    </xf>
    <xf numFmtId="175" fontId="12" fillId="6" borderId="38" xfId="10" applyNumberFormat="1" applyFont="1" applyFill="1" applyBorder="1" applyAlignment="1">
      <alignment horizontal="center" vertical="center" wrapText="1"/>
    </xf>
    <xf numFmtId="175" fontId="12" fillId="6" borderId="15" xfId="8" applyNumberFormat="1" applyFont="1" applyFill="1" applyBorder="1" applyAlignment="1">
      <alignment horizontal="center" vertical="center"/>
    </xf>
    <xf numFmtId="171" fontId="12" fillId="0" borderId="15" xfId="8" applyNumberFormat="1" applyFont="1" applyBorder="1">
      <alignment vertical="center"/>
    </xf>
    <xf numFmtId="175" fontId="12" fillId="0" borderId="15" xfId="8" applyNumberFormat="1" applyFont="1" applyBorder="1" applyAlignment="1">
      <alignment horizontal="left" vertical="center"/>
    </xf>
    <xf numFmtId="0" fontId="12" fillId="0" borderId="15" xfId="8" applyFont="1" applyBorder="1" applyAlignment="1">
      <alignment vertical="center" wrapText="1"/>
    </xf>
    <xf numFmtId="175" fontId="12" fillId="11" borderId="15" xfId="8" applyNumberFormat="1" applyFont="1" applyFill="1" applyBorder="1" applyAlignment="1">
      <alignment horizontal="center" vertical="center"/>
    </xf>
    <xf numFmtId="0" fontId="12" fillId="0" borderId="15" xfId="8" applyFont="1" applyBorder="1" applyAlignment="1">
      <alignment horizontal="center" vertical="center"/>
    </xf>
    <xf numFmtId="175" fontId="12" fillId="0" borderId="15" xfId="8" applyNumberFormat="1" applyFont="1" applyBorder="1">
      <alignment vertical="center"/>
    </xf>
    <xf numFmtId="14" fontId="12" fillId="11" borderId="15" xfId="8" quotePrefix="1" applyNumberFormat="1" applyFont="1" applyFill="1" applyBorder="1" applyAlignment="1">
      <alignment horizontal="center" vertical="center"/>
    </xf>
    <xf numFmtId="14" fontId="12" fillId="11" borderId="15" xfId="8" applyNumberFormat="1" applyFont="1" applyFill="1" applyBorder="1" applyAlignment="1">
      <alignment horizontal="center" vertical="center"/>
    </xf>
    <xf numFmtId="0" fontId="12" fillId="11" borderId="15" xfId="8" applyFont="1" applyFill="1" applyBorder="1">
      <alignment vertical="center"/>
    </xf>
    <xf numFmtId="14" fontId="17" fillId="6" borderId="3" xfId="5" applyNumberFormat="1" applyFont="1" applyFill="1" applyBorder="1" applyAlignment="1">
      <alignment horizontal="center" vertical="center" wrapText="1"/>
    </xf>
    <xf numFmtId="0" fontId="12" fillId="0" borderId="46" xfId="8" applyFont="1" applyBorder="1" applyAlignment="1">
      <alignment horizontal="center" vertical="center"/>
    </xf>
    <xf numFmtId="0" fontId="12" fillId="0" borderId="26" xfId="8" applyFont="1" applyBorder="1">
      <alignment vertical="center"/>
    </xf>
    <xf numFmtId="176" fontId="12" fillId="0" borderId="15" xfId="7" applyNumberFormat="1" applyFont="1" applyBorder="1">
      <alignment vertical="center"/>
    </xf>
    <xf numFmtId="14" fontId="12" fillId="0" borderId="27" xfId="7" applyNumberFormat="1" applyFont="1" applyBorder="1">
      <alignment vertical="center"/>
    </xf>
    <xf numFmtId="175" fontId="11" fillId="0" borderId="19" xfId="9" applyNumberFormat="1" applyFont="1" applyBorder="1" applyAlignment="1">
      <alignment horizontal="center" vertical="center"/>
    </xf>
    <xf numFmtId="175" fontId="12" fillId="6" borderId="26" xfId="10" applyNumberFormat="1" applyFont="1" applyFill="1" applyBorder="1" applyAlignment="1">
      <alignment horizontal="center" vertical="center"/>
    </xf>
    <xf numFmtId="175" fontId="17" fillId="6" borderId="26" xfId="5" applyNumberFormat="1" applyFont="1" applyFill="1" applyBorder="1" applyAlignment="1">
      <alignment horizontal="center" vertical="center"/>
    </xf>
    <xf numFmtId="0" fontId="12" fillId="0" borderId="30" xfId="7" applyFont="1" applyBorder="1">
      <alignment vertical="center"/>
    </xf>
    <xf numFmtId="41" fontId="18" fillId="8" borderId="25" xfId="0" applyNumberFormat="1" applyFont="1" applyFill="1" applyBorder="1" applyAlignment="1">
      <alignment horizontal="right" vertical="center"/>
    </xf>
    <xf numFmtId="169" fontId="18" fillId="8" borderId="40" xfId="0" applyNumberFormat="1" applyFont="1" applyFill="1" applyBorder="1" applyAlignment="1">
      <alignment horizontal="right" vertical="center"/>
    </xf>
    <xf numFmtId="164" fontId="18" fillId="9" borderId="1" xfId="1" applyFont="1" applyFill="1" applyBorder="1" applyAlignment="1">
      <alignment horizontal="right" vertical="center"/>
    </xf>
    <xf numFmtId="164" fontId="18" fillId="9" borderId="25" xfId="1" applyFont="1" applyFill="1" applyBorder="1" applyAlignment="1">
      <alignment horizontal="right" vertical="center"/>
    </xf>
    <xf numFmtId="0" fontId="18" fillId="17" borderId="15" xfId="0" applyFont="1" applyFill="1" applyBorder="1" applyAlignment="1">
      <alignment horizontal="center" vertical="center" wrapText="1"/>
    </xf>
    <xf numFmtId="0" fontId="17" fillId="17" borderId="15" xfId="0" applyFont="1" applyFill="1" applyBorder="1" applyAlignment="1">
      <alignment horizontal="center" vertical="center" wrapText="1"/>
    </xf>
    <xf numFmtId="168" fontId="18" fillId="17" borderId="15" xfId="1" applyNumberFormat="1" applyFont="1" applyFill="1" applyBorder="1" applyAlignment="1">
      <alignment horizontal="right" vertical="center"/>
    </xf>
    <xf numFmtId="175" fontId="17" fillId="17" borderId="15" xfId="5" applyNumberFormat="1" applyFont="1" applyFill="1" applyBorder="1" applyAlignment="1">
      <alignment horizontal="center" vertical="center"/>
    </xf>
    <xf numFmtId="164" fontId="17" fillId="17" borderId="15" xfId="1" applyFont="1" applyFill="1" applyBorder="1" applyAlignment="1">
      <alignment horizontal="right" vertical="center" wrapText="1"/>
    </xf>
    <xf numFmtId="164" fontId="17" fillId="17" borderId="15" xfId="1" applyFont="1" applyFill="1" applyBorder="1" applyAlignment="1">
      <alignment horizontal="center" vertical="center" wrapText="1"/>
    </xf>
    <xf numFmtId="0" fontId="18" fillId="17" borderId="19" xfId="0" applyFont="1" applyFill="1" applyBorder="1" applyAlignment="1">
      <alignment horizontal="center" vertical="center" wrapText="1"/>
    </xf>
    <xf numFmtId="0" fontId="17" fillId="17" borderId="19" xfId="0" applyFont="1" applyFill="1" applyBorder="1" applyAlignment="1">
      <alignment horizontal="center" vertical="center" wrapText="1"/>
    </xf>
    <xf numFmtId="168" fontId="18" fillId="17" borderId="19" xfId="1" applyNumberFormat="1" applyFont="1" applyFill="1" applyBorder="1" applyAlignment="1">
      <alignment horizontal="right" vertical="center"/>
    </xf>
    <xf numFmtId="175" fontId="17" fillId="17" borderId="19" xfId="5" applyNumberFormat="1" applyFont="1" applyFill="1" applyBorder="1" applyAlignment="1">
      <alignment horizontal="center" vertical="center"/>
    </xf>
    <xf numFmtId="14" fontId="17" fillId="17" borderId="19" xfId="0" quotePrefix="1" applyNumberFormat="1" applyFont="1" applyFill="1" applyBorder="1" applyAlignment="1">
      <alignment horizontal="center" vertical="center" wrapText="1"/>
    </xf>
    <xf numFmtId="164" fontId="17" fillId="17" borderId="19" xfId="1" applyFont="1" applyFill="1" applyBorder="1" applyAlignment="1">
      <alignment horizontal="right" vertical="center" wrapText="1"/>
    </xf>
    <xf numFmtId="164" fontId="17" fillId="17" borderId="19" xfId="1" applyFont="1" applyFill="1" applyBorder="1" applyAlignment="1">
      <alignment horizontal="center" vertical="center" wrapText="1"/>
    </xf>
    <xf numFmtId="14" fontId="18" fillId="17" borderId="15" xfId="0" quotePrefix="1" applyNumberFormat="1" applyFont="1" applyFill="1" applyBorder="1" applyAlignment="1">
      <alignment horizontal="center" vertical="center" wrapText="1"/>
    </xf>
    <xf numFmtId="175" fontId="12" fillId="0" borderId="5" xfId="0" applyNumberFormat="1" applyFont="1" applyBorder="1" applyAlignment="1">
      <alignment horizontal="center" vertical="center" wrapText="1" shrinkToFit="1"/>
    </xf>
    <xf numFmtId="0" fontId="12" fillId="12" borderId="138" xfId="0" applyFont="1" applyFill="1" applyBorder="1" applyAlignment="1">
      <alignment horizontal="left" vertical="center" shrinkToFit="1"/>
    </xf>
    <xf numFmtId="0" fontId="12" fillId="4" borderId="138" xfId="0" applyFont="1" applyFill="1" applyBorder="1" applyAlignment="1">
      <alignment horizontal="left" vertical="center" shrinkToFit="1"/>
    </xf>
    <xf numFmtId="175" fontId="12" fillId="0" borderId="138" xfId="0" applyNumberFormat="1" applyFont="1" applyBorder="1" applyAlignment="1">
      <alignment horizontal="center" vertical="center" shrinkToFit="1"/>
    </xf>
    <xf numFmtId="164" fontId="12" fillId="0" borderId="138" xfId="1" applyFont="1" applyBorder="1" applyAlignment="1">
      <alignment horizontal="center" vertical="center" shrinkToFit="1"/>
    </xf>
    <xf numFmtId="0" fontId="12" fillId="0" borderId="138" xfId="0" applyFont="1" applyBorder="1" applyAlignment="1">
      <alignment horizontal="left" vertical="center" shrinkToFit="1"/>
    </xf>
    <xf numFmtId="0" fontId="10" fillId="12" borderId="5" xfId="0" applyFont="1" applyFill="1" applyBorder="1" applyAlignment="1">
      <alignment horizontal="left" vertical="center" shrinkToFit="1"/>
    </xf>
    <xf numFmtId="0" fontId="10" fillId="12" borderId="138" xfId="0" applyFont="1" applyFill="1" applyBorder="1" applyAlignment="1">
      <alignment horizontal="left" vertical="center" wrapText="1" shrinkToFit="1"/>
    </xf>
    <xf numFmtId="175" fontId="12" fillId="0" borderId="71" xfId="1" applyNumberFormat="1" applyFont="1" applyBorder="1" applyAlignment="1">
      <alignment horizontal="right" vertical="center" shrinkToFit="1"/>
    </xf>
    <xf numFmtId="175" fontId="12" fillId="0" borderId="141" xfId="0" applyNumberFormat="1" applyFont="1" applyBorder="1" applyAlignment="1">
      <alignment horizontal="center" vertical="center" shrinkToFit="1"/>
    </xf>
    <xf numFmtId="0" fontId="12" fillId="0" borderId="26" xfId="8" applyFont="1" applyBorder="1" applyAlignment="1">
      <alignment horizontal="center" vertical="center"/>
    </xf>
    <xf numFmtId="0" fontId="12" fillId="0" borderId="26" xfId="7" applyFont="1" applyBorder="1" applyAlignment="1">
      <alignment horizontal="center" vertical="center"/>
    </xf>
    <xf numFmtId="175" fontId="11" fillId="0" borderId="19" xfId="9" applyNumberFormat="1" applyFont="1" applyBorder="1">
      <alignment vertical="center"/>
    </xf>
    <xf numFmtId="175" fontId="12" fillId="0" borderId="32" xfId="7" applyNumberFormat="1" applyFont="1" applyBorder="1" applyAlignment="1">
      <alignment horizontal="center" vertical="center"/>
    </xf>
    <xf numFmtId="49" fontId="10" fillId="11" borderId="144" xfId="7" applyNumberFormat="1" applyFont="1" applyFill="1" applyBorder="1" applyAlignment="1">
      <alignment horizontal="center" vertical="center" wrapText="1"/>
    </xf>
    <xf numFmtId="14" fontId="10" fillId="11" borderId="144" xfId="7" applyNumberFormat="1" applyFont="1" applyFill="1" applyBorder="1" applyAlignment="1">
      <alignment horizontal="center" vertical="center" wrapText="1"/>
    </xf>
    <xf numFmtId="49" fontId="12" fillId="0" borderId="26" xfId="7" applyNumberFormat="1" applyFont="1" applyBorder="1" applyAlignment="1">
      <alignment horizontal="center" vertical="center"/>
    </xf>
    <xf numFmtId="0" fontId="12" fillId="6" borderId="26" xfId="10" applyFont="1" applyFill="1" applyBorder="1" applyAlignment="1">
      <alignment horizontal="center" vertical="center"/>
    </xf>
    <xf numFmtId="0" fontId="12" fillId="6" borderId="26" xfId="10" applyFont="1" applyFill="1" applyBorder="1" applyAlignment="1">
      <alignment horizontal="center" vertical="center" wrapText="1"/>
    </xf>
    <xf numFmtId="175" fontId="12" fillId="4" borderId="95" xfId="0" applyNumberFormat="1" applyFont="1" applyFill="1" applyBorder="1" applyAlignment="1">
      <alignment horizontal="center" vertical="center"/>
    </xf>
    <xf numFmtId="175" fontId="12" fillId="4" borderId="97" xfId="0" applyNumberFormat="1" applyFont="1" applyFill="1" applyBorder="1" applyAlignment="1">
      <alignment horizontal="center" vertical="center"/>
    </xf>
    <xf numFmtId="175" fontId="12" fillId="0" borderId="15" xfId="10" applyNumberFormat="1" applyFont="1" applyBorder="1" applyAlignment="1">
      <alignment horizontal="center" vertical="center"/>
    </xf>
    <xf numFmtId="175" fontId="12" fillId="0" borderId="19" xfId="7" applyNumberFormat="1" applyFont="1" applyBorder="1">
      <alignment vertical="center"/>
    </xf>
    <xf numFmtId="175" fontId="12" fillId="0" borderId="46" xfId="7" applyNumberFormat="1" applyFont="1" applyBorder="1">
      <alignment vertical="center"/>
    </xf>
    <xf numFmtId="175" fontId="12" fillId="0" borderId="24" xfId="7" applyNumberFormat="1" applyFont="1" applyBorder="1">
      <alignment vertical="center"/>
    </xf>
    <xf numFmtId="175" fontId="12" fillId="0" borderId="26" xfId="10" applyNumberFormat="1" applyFont="1" applyBorder="1" applyAlignment="1">
      <alignment horizontal="center" vertical="center"/>
    </xf>
    <xf numFmtId="175" fontId="12" fillId="0" borderId="94" xfId="0" applyNumberFormat="1" applyFont="1" applyBorder="1" applyAlignment="1">
      <alignment horizontal="center" vertical="center"/>
    </xf>
    <xf numFmtId="0" fontId="12" fillId="0" borderId="94" xfId="0" applyFont="1" applyBorder="1" applyAlignment="1">
      <alignment horizontal="left" vertical="center"/>
    </xf>
    <xf numFmtId="0" fontId="12" fillId="0" borderId="78" xfId="0" applyFont="1" applyBorder="1" applyAlignment="1">
      <alignment horizontal="left" vertical="center" wrapText="1"/>
    </xf>
    <xf numFmtId="164" fontId="12" fillId="0" borderId="78" xfId="1" applyFont="1" applyBorder="1" applyAlignment="1">
      <alignment horizontal="center" vertical="center"/>
    </xf>
    <xf numFmtId="169" fontId="17" fillId="17" borderId="19" xfId="1" applyNumberFormat="1" applyFont="1" applyFill="1" applyBorder="1" applyAlignment="1">
      <alignment horizontal="center" vertical="center" wrapText="1"/>
    </xf>
    <xf numFmtId="0" fontId="17" fillId="17" borderId="26" xfId="0" applyFont="1" applyFill="1" applyBorder="1" applyAlignment="1">
      <alignment horizontal="center" vertical="center" wrapText="1"/>
    </xf>
    <xf numFmtId="168" fontId="18" fillId="17" borderId="24" xfId="1" applyNumberFormat="1" applyFont="1" applyFill="1" applyBorder="1" applyAlignment="1">
      <alignment horizontal="right" vertical="center"/>
    </xf>
    <xf numFmtId="168" fontId="18" fillId="17" borderId="27" xfId="1" applyNumberFormat="1" applyFont="1" applyFill="1" applyBorder="1" applyAlignment="1">
      <alignment horizontal="right" vertical="center"/>
    </xf>
    <xf numFmtId="14" fontId="17" fillId="17" borderId="17" xfId="5" applyNumberFormat="1" applyFont="1" applyFill="1" applyBorder="1" applyAlignment="1">
      <alignment vertical="center" wrapText="1"/>
    </xf>
    <xf numFmtId="175" fontId="17" fillId="17" borderId="19" xfId="5" applyNumberFormat="1" applyFont="1" applyFill="1" applyBorder="1">
      <alignment vertical="center"/>
    </xf>
    <xf numFmtId="169" fontId="17" fillId="17" borderId="19" xfId="1" applyNumberFormat="1" applyFont="1" applyFill="1" applyBorder="1" applyAlignment="1">
      <alignment horizontal="right" vertical="center" wrapText="1"/>
    </xf>
    <xf numFmtId="14" fontId="17" fillId="17" borderId="26" xfId="0" quotePrefix="1" applyNumberFormat="1" applyFont="1" applyFill="1" applyBorder="1" applyAlignment="1">
      <alignment horizontal="center" vertical="center" wrapText="1"/>
    </xf>
    <xf numFmtId="175" fontId="12" fillId="6" borderId="5" xfId="0" applyNumberFormat="1" applyFont="1" applyFill="1" applyBorder="1" applyAlignment="1">
      <alignment horizontal="center" vertical="center" shrinkToFit="1"/>
    </xf>
    <xf numFmtId="175" fontId="12" fillId="0" borderId="19" xfId="8" applyNumberFormat="1" applyFont="1" applyBorder="1" applyAlignment="1">
      <alignment horizontal="center" vertical="center" wrapText="1"/>
    </xf>
    <xf numFmtId="14" fontId="18" fillId="17" borderId="19" xfId="0" quotePrefix="1" applyNumberFormat="1" applyFont="1" applyFill="1" applyBorder="1" applyAlignment="1">
      <alignment horizontal="center" vertical="center" wrapText="1"/>
    </xf>
    <xf numFmtId="175" fontId="17" fillId="17" borderId="24" xfId="5" applyNumberFormat="1" applyFont="1" applyFill="1" applyBorder="1" applyAlignment="1">
      <alignment horizontal="center" vertical="center"/>
    </xf>
    <xf numFmtId="14" fontId="17" fillId="17" borderId="24" xfId="0" quotePrefix="1" applyNumberFormat="1" applyFont="1" applyFill="1" applyBorder="1" applyAlignment="1">
      <alignment horizontal="center" vertical="center" wrapText="1"/>
    </xf>
    <xf numFmtId="164" fontId="17" fillId="17" borderId="24" xfId="1" applyFont="1" applyFill="1" applyBorder="1" applyAlignment="1">
      <alignment horizontal="right" vertical="center" wrapText="1"/>
    </xf>
    <xf numFmtId="164" fontId="17" fillId="17" borderId="24" xfId="1" applyFont="1" applyFill="1" applyBorder="1" applyAlignment="1">
      <alignment horizontal="center" vertical="center" wrapText="1"/>
    </xf>
    <xf numFmtId="14" fontId="12" fillId="0" borderId="78" xfId="0" applyNumberFormat="1" applyFont="1" applyBorder="1" applyAlignment="1">
      <alignment horizontal="left" vertical="center" wrapText="1"/>
    </xf>
    <xf numFmtId="14" fontId="17" fillId="17" borderId="19" xfId="0" quotePrefix="1" applyNumberFormat="1" applyFont="1" applyFill="1" applyBorder="1" applyAlignment="1">
      <alignment vertical="center" wrapText="1"/>
    </xf>
    <xf numFmtId="0" fontId="12" fillId="0" borderId="19" xfId="8" applyFont="1" applyBorder="1" applyAlignment="1">
      <alignment horizontal="center" vertical="center" wrapText="1"/>
    </xf>
    <xf numFmtId="0" fontId="18" fillId="17" borderId="26" xfId="0" applyFont="1" applyFill="1" applyBorder="1" applyAlignment="1">
      <alignment horizontal="center" vertical="center" wrapText="1"/>
    </xf>
    <xf numFmtId="14" fontId="17" fillId="17" borderId="17" xfId="5" applyNumberFormat="1" applyFont="1" applyFill="1" applyBorder="1" applyAlignment="1">
      <alignment horizontal="center" vertical="center" wrapText="1"/>
    </xf>
    <xf numFmtId="14" fontId="17" fillId="17" borderId="19" xfId="5" applyNumberFormat="1" applyFont="1" applyFill="1" applyBorder="1">
      <alignment vertical="center"/>
    </xf>
    <xf numFmtId="14" fontId="18" fillId="17" borderId="19" xfId="0" quotePrefix="1" applyNumberFormat="1" applyFont="1" applyFill="1" applyBorder="1" applyAlignment="1">
      <alignment vertical="center" wrapText="1"/>
    </xf>
    <xf numFmtId="175" fontId="12" fillId="0" borderId="78" xfId="0" applyNumberFormat="1" applyFont="1" applyBorder="1" applyAlignment="1">
      <alignment horizontal="center" vertical="center" wrapText="1"/>
    </xf>
    <xf numFmtId="168" fontId="18" fillId="17" borderId="16" xfId="1" applyNumberFormat="1" applyFont="1" applyFill="1" applyBorder="1" applyAlignment="1">
      <alignment horizontal="right" vertical="center"/>
    </xf>
    <xf numFmtId="14" fontId="17" fillId="17" borderId="3" xfId="5" applyNumberFormat="1" applyFont="1" applyFill="1" applyBorder="1" applyAlignment="1">
      <alignment horizontal="center" vertical="center" wrapText="1"/>
    </xf>
    <xf numFmtId="164" fontId="17" fillId="17" borderId="51" xfId="1" applyFont="1" applyFill="1" applyBorder="1" applyAlignment="1">
      <alignment horizontal="right" vertical="center" wrapText="1"/>
    </xf>
    <xf numFmtId="164" fontId="17" fillId="17" borderId="51" xfId="1" applyFont="1" applyFill="1" applyBorder="1" applyAlignment="1">
      <alignment horizontal="center" vertical="center" wrapText="1"/>
    </xf>
    <xf numFmtId="164" fontId="17" fillId="17" borderId="38" xfId="1" applyFont="1" applyFill="1" applyBorder="1" applyAlignment="1">
      <alignment horizontal="right" vertical="center" wrapText="1"/>
    </xf>
    <xf numFmtId="168" fontId="18" fillId="17" borderId="56" xfId="1" applyNumberFormat="1" applyFont="1" applyFill="1" applyBorder="1" applyAlignment="1">
      <alignment horizontal="right" vertical="center"/>
    </xf>
    <xf numFmtId="0" fontId="17" fillId="17" borderId="55" xfId="0" applyFont="1" applyFill="1" applyBorder="1" applyAlignment="1">
      <alignment horizontal="center" vertical="center"/>
    </xf>
    <xf numFmtId="14" fontId="17" fillId="17" borderId="18" xfId="0" quotePrefix="1" applyNumberFormat="1" applyFont="1" applyFill="1" applyBorder="1" applyAlignment="1">
      <alignment horizontal="center" vertical="center" wrapText="1"/>
    </xf>
    <xf numFmtId="164" fontId="33" fillId="0" borderId="78" xfId="1" applyFont="1" applyBorder="1" applyAlignment="1">
      <alignment horizontal="center" vertical="center"/>
    </xf>
    <xf numFmtId="175" fontId="33" fillId="0" borderId="78" xfId="0" applyNumberFormat="1" applyFont="1" applyBorder="1" applyAlignment="1">
      <alignment horizontal="center" vertical="center"/>
    </xf>
    <xf numFmtId="0" fontId="12" fillId="6" borderId="30" xfId="10" applyFont="1" applyFill="1" applyBorder="1" applyAlignment="1">
      <alignment horizontal="left" vertical="center" wrapText="1"/>
    </xf>
    <xf numFmtId="164" fontId="18" fillId="17" borderId="15" xfId="1" applyFont="1" applyFill="1" applyBorder="1" applyAlignment="1">
      <alignment horizontal="right" vertical="center"/>
    </xf>
    <xf numFmtId="175" fontId="18" fillId="17" borderId="15" xfId="0" applyNumberFormat="1" applyFont="1" applyFill="1" applyBorder="1" applyAlignment="1">
      <alignment horizontal="center" vertical="center"/>
    </xf>
    <xf numFmtId="164" fontId="17" fillId="17" borderId="15" xfId="1" applyFont="1" applyFill="1" applyBorder="1" applyAlignment="1">
      <alignment horizontal="right" vertical="center"/>
    </xf>
    <xf numFmtId="164" fontId="17" fillId="17" borderId="16" xfId="1" applyFont="1" applyFill="1" applyBorder="1" applyAlignment="1">
      <alignment horizontal="right" vertical="center"/>
    </xf>
    <xf numFmtId="164" fontId="17" fillId="17" borderId="19" xfId="1" applyFont="1" applyFill="1" applyBorder="1" applyAlignment="1">
      <alignment horizontal="right" vertical="center"/>
    </xf>
    <xf numFmtId="175" fontId="17" fillId="17" borderId="19" xfId="0" applyNumberFormat="1" applyFont="1" applyFill="1" applyBorder="1" applyAlignment="1">
      <alignment horizontal="center" vertical="center"/>
    </xf>
    <xf numFmtId="164" fontId="17" fillId="17" borderId="20" xfId="1" applyFont="1" applyFill="1" applyBorder="1" applyAlignment="1">
      <alignment horizontal="right" vertical="center"/>
    </xf>
    <xf numFmtId="164" fontId="18" fillId="17" borderId="52" xfId="1" applyFont="1" applyFill="1" applyBorder="1" applyAlignment="1">
      <alignment horizontal="right" vertical="center"/>
    </xf>
    <xf numFmtId="164" fontId="17" fillId="17" borderId="52" xfId="1" applyFont="1" applyFill="1" applyBorder="1" applyAlignment="1">
      <alignment horizontal="right" vertical="center"/>
    </xf>
    <xf numFmtId="164" fontId="17" fillId="17" borderId="38" xfId="1" applyFont="1" applyFill="1" applyBorder="1" applyAlignment="1">
      <alignment horizontal="right" vertical="center"/>
    </xf>
    <xf numFmtId="164" fontId="17" fillId="17" borderId="1" xfId="1" applyFont="1" applyFill="1" applyBorder="1" applyAlignment="1">
      <alignment horizontal="right" vertical="center"/>
    </xf>
    <xf numFmtId="164" fontId="17" fillId="17" borderId="56" xfId="1" applyFont="1" applyFill="1" applyBorder="1" applyAlignment="1">
      <alignment horizontal="right" vertical="center"/>
    </xf>
    <xf numFmtId="49" fontId="12" fillId="6" borderId="24" xfId="8" applyNumberFormat="1" applyFont="1" applyFill="1" applyBorder="1">
      <alignment vertical="center"/>
    </xf>
    <xf numFmtId="0" fontId="18" fillId="17" borderId="13" xfId="1" applyNumberFormat="1" applyFont="1" applyFill="1" applyBorder="1" applyAlignment="1">
      <alignment horizontal="center" vertical="center"/>
    </xf>
    <xf numFmtId="175" fontId="18" fillId="17" borderId="52" xfId="0" applyNumberFormat="1" applyFont="1" applyFill="1" applyBorder="1" applyAlignment="1">
      <alignment horizontal="center" vertical="center" wrapText="1"/>
    </xf>
    <xf numFmtId="175" fontId="18" fillId="17" borderId="15" xfId="0" applyNumberFormat="1" applyFont="1" applyFill="1" applyBorder="1" applyAlignment="1">
      <alignment horizontal="center" vertical="center" wrapText="1"/>
    </xf>
    <xf numFmtId="169" fontId="17" fillId="17" borderId="52" xfId="1" applyNumberFormat="1" applyFont="1" applyFill="1" applyBorder="1" applyAlignment="1">
      <alignment horizontal="right" vertical="center"/>
    </xf>
    <xf numFmtId="175" fontId="17" fillId="17" borderId="1" xfId="0" applyNumberFormat="1" applyFont="1" applyFill="1" applyBorder="1" applyAlignment="1">
      <alignment horizontal="center" vertical="center"/>
    </xf>
    <xf numFmtId="175" fontId="17" fillId="17" borderId="25" xfId="0" applyNumberFormat="1" applyFont="1" applyFill="1" applyBorder="1" applyAlignment="1">
      <alignment horizontal="center" vertical="center"/>
    </xf>
    <xf numFmtId="164" fontId="17" fillId="17" borderId="3" xfId="1" applyFont="1" applyFill="1" applyBorder="1" applyAlignment="1">
      <alignment horizontal="right" vertical="center"/>
    </xf>
    <xf numFmtId="175" fontId="17" fillId="17" borderId="3" xfId="5" applyNumberFormat="1" applyFont="1" applyFill="1" applyBorder="1" applyAlignment="1">
      <alignment horizontal="center" vertical="center"/>
    </xf>
    <xf numFmtId="175" fontId="18" fillId="17" borderId="52" xfId="0" applyNumberFormat="1" applyFont="1" applyFill="1" applyBorder="1" applyAlignment="1">
      <alignment horizontal="center" vertical="center"/>
    </xf>
    <xf numFmtId="168" fontId="18" fillId="17" borderId="20" xfId="1" applyNumberFormat="1" applyFont="1" applyFill="1" applyBorder="1" applyAlignment="1">
      <alignment horizontal="right" vertical="center"/>
    </xf>
    <xf numFmtId="14" fontId="17" fillId="17" borderId="26" xfId="5" applyNumberFormat="1" applyFont="1" applyFill="1" applyBorder="1" applyAlignment="1">
      <alignment horizontal="center" vertical="center"/>
    </xf>
    <xf numFmtId="164" fontId="17" fillId="17" borderId="21" xfId="1" applyFont="1" applyFill="1" applyBorder="1" applyAlignment="1">
      <alignment horizontal="right" vertical="center" wrapText="1"/>
    </xf>
    <xf numFmtId="164" fontId="17" fillId="17" borderId="21" xfId="1" applyFont="1" applyFill="1" applyBorder="1" applyAlignment="1">
      <alignment horizontal="center" vertical="center" wrapText="1"/>
    </xf>
    <xf numFmtId="0" fontId="17" fillId="17" borderId="55" xfId="1" applyNumberFormat="1" applyFont="1" applyFill="1" applyBorder="1" applyAlignment="1">
      <alignment horizontal="right" vertical="center"/>
    </xf>
    <xf numFmtId="14" fontId="17" fillId="17" borderId="3" xfId="0" applyNumberFormat="1" applyFont="1" applyFill="1" applyBorder="1" applyAlignment="1">
      <alignment horizontal="center" vertical="center"/>
    </xf>
    <xf numFmtId="14" fontId="17" fillId="17" borderId="26" xfId="0" applyNumberFormat="1" applyFont="1" applyFill="1" applyBorder="1" applyAlignment="1">
      <alignment horizontal="center" vertical="center"/>
    </xf>
    <xf numFmtId="168" fontId="18" fillId="17" borderId="26" xfId="1" applyNumberFormat="1" applyFont="1" applyFill="1" applyBorder="1" applyAlignment="1">
      <alignment horizontal="right" vertical="center"/>
    </xf>
    <xf numFmtId="168" fontId="18" fillId="17" borderId="29" xfId="1" applyNumberFormat="1" applyFont="1" applyFill="1" applyBorder="1" applyAlignment="1">
      <alignment horizontal="right" vertical="center"/>
    </xf>
    <xf numFmtId="175" fontId="17" fillId="17" borderId="2" xfId="5" applyNumberFormat="1" applyFont="1" applyFill="1" applyBorder="1" applyAlignment="1">
      <alignment horizontal="center" vertical="center"/>
    </xf>
    <xf numFmtId="164" fontId="17" fillId="17" borderId="2" xfId="1" applyFont="1" applyFill="1" applyBorder="1" applyAlignment="1">
      <alignment horizontal="right" vertical="center" wrapText="1"/>
    </xf>
    <xf numFmtId="164" fontId="17" fillId="17" borderId="25" xfId="1" applyFont="1" applyFill="1" applyBorder="1" applyAlignment="1">
      <alignment horizontal="right" vertical="center" wrapText="1"/>
    </xf>
    <xf numFmtId="164" fontId="18" fillId="17" borderId="3" xfId="1" applyFont="1" applyFill="1" applyBorder="1" applyAlignment="1">
      <alignment horizontal="right" vertical="center"/>
    </xf>
    <xf numFmtId="164" fontId="17" fillId="17" borderId="25" xfId="1" applyFont="1" applyFill="1" applyBorder="1" applyAlignment="1">
      <alignment horizontal="right" vertical="center"/>
    </xf>
    <xf numFmtId="14" fontId="17" fillId="17" borderId="21" xfId="0" quotePrefix="1" applyNumberFormat="1" applyFont="1" applyFill="1" applyBorder="1" applyAlignment="1">
      <alignment horizontal="center" vertical="center" wrapText="1"/>
    </xf>
    <xf numFmtId="41" fontId="18" fillId="17" borderId="26" xfId="0" applyNumberFormat="1" applyFont="1" applyFill="1" applyBorder="1" applyAlignment="1">
      <alignment horizontal="right" vertical="center"/>
    </xf>
    <xf numFmtId="41" fontId="18" fillId="17" borderId="43" xfId="0" applyNumberFormat="1" applyFont="1" applyFill="1" applyBorder="1" applyAlignment="1">
      <alignment horizontal="right" vertical="center"/>
    </xf>
    <xf numFmtId="169" fontId="18" fillId="17" borderId="44" xfId="0" applyNumberFormat="1" applyFont="1" applyFill="1" applyBorder="1" applyAlignment="1">
      <alignment horizontal="right" vertical="center"/>
    </xf>
    <xf numFmtId="164" fontId="18" fillId="17" borderId="45" xfId="1" applyFont="1" applyFill="1" applyBorder="1" applyAlignment="1">
      <alignment horizontal="right" vertical="center"/>
    </xf>
    <xf numFmtId="164" fontId="18" fillId="17" borderId="43" xfId="1" applyFont="1" applyFill="1" applyBorder="1" applyAlignment="1">
      <alignment horizontal="right" vertical="center"/>
    </xf>
    <xf numFmtId="175" fontId="17" fillId="17" borderId="3" xfId="0" applyNumberFormat="1" applyFont="1" applyFill="1" applyBorder="1" applyAlignment="1">
      <alignment horizontal="center" vertical="center"/>
    </xf>
    <xf numFmtId="175" fontId="17" fillId="17" borderId="26" xfId="0" applyNumberFormat="1" applyFont="1" applyFill="1" applyBorder="1" applyAlignment="1">
      <alignment horizontal="center" vertical="center"/>
    </xf>
    <xf numFmtId="0" fontId="18" fillId="17" borderId="55" xfId="1" applyNumberFormat="1" applyFont="1" applyFill="1" applyBorder="1" applyAlignment="1">
      <alignment horizontal="center" vertical="center"/>
    </xf>
    <xf numFmtId="175" fontId="18" fillId="17" borderId="3" xfId="0" applyNumberFormat="1" applyFont="1" applyFill="1" applyBorder="1" applyAlignment="1">
      <alignment horizontal="center" vertical="center"/>
    </xf>
    <xf numFmtId="175" fontId="18" fillId="17" borderId="26" xfId="0" applyNumberFormat="1" applyFont="1" applyFill="1" applyBorder="1" applyAlignment="1">
      <alignment horizontal="center" vertical="center"/>
    </xf>
    <xf numFmtId="164" fontId="12" fillId="4" borderId="78" xfId="1" applyFont="1" applyFill="1" applyBorder="1">
      <alignment vertical="center"/>
    </xf>
    <xf numFmtId="164" fontId="12" fillId="4" borderId="94" xfId="1" applyFont="1" applyFill="1" applyBorder="1">
      <alignment vertical="center"/>
    </xf>
    <xf numFmtId="164" fontId="21" fillId="0" borderId="0" xfId="1" applyFont="1">
      <alignment vertical="center"/>
    </xf>
    <xf numFmtId="14" fontId="12" fillId="6" borderId="15" xfId="10" applyNumberFormat="1" applyFont="1" applyFill="1" applyBorder="1" applyAlignment="1">
      <alignment horizontal="center" vertical="center"/>
    </xf>
    <xf numFmtId="0" fontId="12" fillId="0" borderId="24" xfId="10" applyFont="1" applyBorder="1">
      <alignment vertical="center"/>
    </xf>
    <xf numFmtId="0" fontId="12" fillId="0" borderId="26" xfId="0" applyFont="1" applyBorder="1" applyAlignment="1">
      <alignment horizontal="center" vertical="center" shrinkToFit="1"/>
    </xf>
    <xf numFmtId="0" fontId="12" fillId="0" borderId="19" xfId="0" applyFont="1" applyBorder="1" applyAlignment="1">
      <alignment horizontal="center" vertical="center" shrinkToFit="1"/>
    </xf>
    <xf numFmtId="0" fontId="35" fillId="6" borderId="26" xfId="10" applyFont="1" applyFill="1" applyBorder="1" applyAlignment="1">
      <alignment horizontal="left" vertical="center"/>
    </xf>
    <xf numFmtId="171" fontId="35" fillId="0" borderId="26" xfId="7" applyNumberFormat="1" applyFont="1" applyBorder="1">
      <alignment vertical="center"/>
    </xf>
    <xf numFmtId="175" fontId="35" fillId="6" borderId="26" xfId="10" applyNumberFormat="1" applyFont="1" applyFill="1" applyBorder="1" applyAlignment="1">
      <alignment horizontal="center" vertical="center"/>
    </xf>
    <xf numFmtId="0" fontId="12" fillId="6" borderId="26" xfId="10" applyFont="1" applyFill="1" applyBorder="1" applyAlignment="1">
      <alignment horizontal="left" vertical="center" wrapText="1"/>
    </xf>
    <xf numFmtId="171" fontId="12" fillId="0" borderId="25" xfId="7" applyNumberFormat="1" applyFont="1" applyBorder="1">
      <alignment vertical="center"/>
    </xf>
    <xf numFmtId="172" fontId="12" fillId="0" borderId="26" xfId="7" applyNumberFormat="1" applyFont="1" applyBorder="1" applyAlignment="1">
      <alignment horizontal="right" vertical="center"/>
    </xf>
    <xf numFmtId="171" fontId="35" fillId="0" borderId="19" xfId="7" applyNumberFormat="1" applyFont="1" applyBorder="1">
      <alignment vertical="center"/>
    </xf>
    <xf numFmtId="175" fontId="35" fillId="0" borderId="19" xfId="10" applyNumberFormat="1" applyFont="1" applyBorder="1" applyAlignment="1">
      <alignment horizontal="center" vertical="center"/>
    </xf>
    <xf numFmtId="175" fontId="35" fillId="6" borderId="19" xfId="10" applyNumberFormat="1" applyFont="1" applyFill="1" applyBorder="1" applyAlignment="1">
      <alignment horizontal="center" vertical="center"/>
    </xf>
    <xf numFmtId="0" fontId="12" fillId="0" borderId="19" xfId="7" applyFont="1" applyBorder="1" applyAlignment="1">
      <alignment vertical="center" wrapText="1"/>
    </xf>
    <xf numFmtId="0" fontId="35" fillId="6" borderId="19" xfId="10" applyFont="1" applyFill="1" applyBorder="1" applyAlignment="1">
      <alignment horizontal="left" vertical="center"/>
    </xf>
    <xf numFmtId="14" fontId="12" fillId="11" borderId="19" xfId="8" quotePrefix="1" applyNumberFormat="1" applyFont="1" applyFill="1" applyBorder="1" applyAlignment="1">
      <alignment horizontal="center" vertical="center"/>
    </xf>
    <xf numFmtId="0" fontId="36" fillId="0" borderId="0" xfId="9" applyFont="1">
      <alignment vertical="center"/>
    </xf>
    <xf numFmtId="169" fontId="17" fillId="17" borderId="3" xfId="1" applyNumberFormat="1" applyFont="1" applyFill="1" applyBorder="1" applyAlignment="1">
      <alignment horizontal="right" vertical="center"/>
    </xf>
    <xf numFmtId="164" fontId="17" fillId="17" borderId="24" xfId="1" applyFont="1" applyFill="1" applyBorder="1" applyAlignment="1">
      <alignment horizontal="right" vertical="center"/>
    </xf>
    <xf numFmtId="14" fontId="17" fillId="17" borderId="24" xfId="0" applyNumberFormat="1" applyFont="1" applyFill="1" applyBorder="1" applyAlignment="1">
      <alignment horizontal="center" vertical="center"/>
    </xf>
    <xf numFmtId="0" fontId="33" fillId="3" borderId="78" xfId="0" applyFont="1" applyFill="1" applyBorder="1" applyAlignment="1">
      <alignment horizontal="left" vertical="center"/>
    </xf>
    <xf numFmtId="164" fontId="18" fillId="17" borderId="19" xfId="1" applyFont="1" applyFill="1" applyBorder="1" applyAlignment="1">
      <alignment horizontal="right" vertical="center"/>
    </xf>
    <xf numFmtId="175" fontId="18" fillId="17" borderId="19" xfId="0" applyNumberFormat="1" applyFont="1" applyFill="1" applyBorder="1" applyAlignment="1">
      <alignment horizontal="center" vertical="center"/>
    </xf>
    <xf numFmtId="164" fontId="18" fillId="17" borderId="126" xfId="1" applyFont="1" applyFill="1" applyBorder="1" applyAlignment="1">
      <alignment horizontal="right" vertical="center"/>
    </xf>
    <xf numFmtId="41" fontId="18" fillId="17" borderId="19" xfId="0" applyNumberFormat="1" applyFont="1" applyFill="1" applyBorder="1" applyAlignment="1">
      <alignment horizontal="right" vertical="center"/>
    </xf>
    <xf numFmtId="41" fontId="18" fillId="17" borderId="20" xfId="0" applyNumberFormat="1" applyFont="1" applyFill="1" applyBorder="1" applyAlignment="1">
      <alignment horizontal="right" vertical="center"/>
    </xf>
    <xf numFmtId="41" fontId="18" fillId="17" borderId="46" xfId="0" applyNumberFormat="1" applyFont="1" applyFill="1" applyBorder="1" applyAlignment="1">
      <alignment horizontal="right" vertical="center"/>
    </xf>
    <xf numFmtId="169" fontId="18" fillId="17" borderId="57" xfId="0" applyNumberFormat="1" applyFont="1" applyFill="1" applyBorder="1" applyAlignment="1">
      <alignment horizontal="right" vertical="center"/>
    </xf>
    <xf numFmtId="169" fontId="18" fillId="17" borderId="45" xfId="1" applyNumberFormat="1" applyFont="1" applyFill="1" applyBorder="1" applyAlignment="1">
      <alignment horizontal="right" vertical="center"/>
    </xf>
    <xf numFmtId="169" fontId="18" fillId="17" borderId="44" xfId="1" applyNumberFormat="1" applyFont="1" applyFill="1" applyBorder="1" applyAlignment="1">
      <alignment horizontal="right" vertical="center"/>
    </xf>
    <xf numFmtId="175" fontId="12" fillId="6" borderId="19" xfId="10" applyNumberFormat="1" applyFont="1" applyFill="1" applyBorder="1" applyAlignment="1">
      <alignment horizontal="left" vertical="center"/>
    </xf>
    <xf numFmtId="175" fontId="12" fillId="6" borderId="24" xfId="10" applyNumberFormat="1" applyFont="1" applyFill="1" applyBorder="1" applyAlignment="1">
      <alignment horizontal="left" vertical="center"/>
    </xf>
    <xf numFmtId="175" fontId="12" fillId="0" borderId="46" xfId="10" applyNumberFormat="1" applyFont="1" applyBorder="1">
      <alignment vertical="center"/>
    </xf>
    <xf numFmtId="175" fontId="12" fillId="6" borderId="15" xfId="10" applyNumberFormat="1" applyFont="1" applyFill="1" applyBorder="1" applyAlignment="1">
      <alignment horizontal="left" vertical="center"/>
    </xf>
    <xf numFmtId="175" fontId="12" fillId="0" borderId="19" xfId="10" applyNumberFormat="1" applyFont="1" applyBorder="1" applyAlignment="1">
      <alignment horizontal="left" vertical="center"/>
    </xf>
    <xf numFmtId="0" fontId="11" fillId="0" borderId="19" xfId="9" applyFont="1" applyBorder="1" applyAlignment="1">
      <alignment horizontal="center" vertical="center"/>
    </xf>
    <xf numFmtId="0" fontId="11" fillId="0" borderId="0" xfId="9" applyFont="1" applyAlignment="1">
      <alignment horizontal="center" vertical="center"/>
    </xf>
    <xf numFmtId="0" fontId="12" fillId="0" borderId="94" xfId="0" applyFont="1" applyBorder="1" applyAlignment="1">
      <alignment horizontal="center" vertical="center"/>
    </xf>
    <xf numFmtId="0" fontId="12" fillId="0" borderId="78" xfId="0" applyFont="1" applyBorder="1" applyAlignment="1">
      <alignment horizontal="center" vertical="center"/>
    </xf>
    <xf numFmtId="175" fontId="12" fillId="6" borderId="25" xfId="10" applyNumberFormat="1" applyFont="1" applyFill="1" applyBorder="1" applyAlignment="1">
      <alignment horizontal="center" vertical="center"/>
    </xf>
    <xf numFmtId="0" fontId="12" fillId="6" borderId="25" xfId="10" applyFont="1" applyFill="1" applyBorder="1" applyAlignment="1">
      <alignment horizontal="left" vertical="center"/>
    </xf>
    <xf numFmtId="0" fontId="12" fillId="0" borderId="129" xfId="7" applyFont="1" applyBorder="1">
      <alignment vertical="center"/>
    </xf>
    <xf numFmtId="175" fontId="12" fillId="11" borderId="19" xfId="8" applyNumberFormat="1" applyFont="1" applyFill="1" applyBorder="1" applyAlignment="1">
      <alignment horizontal="center" vertical="top" wrapText="1"/>
    </xf>
    <xf numFmtId="14" fontId="17" fillId="17" borderId="52" xfId="5" applyNumberFormat="1" applyFont="1" applyFill="1" applyBorder="1" applyAlignment="1">
      <alignment horizontal="center" vertical="center" wrapText="1"/>
    </xf>
    <xf numFmtId="0" fontId="17" fillId="17" borderId="32" xfId="0" applyFont="1" applyFill="1" applyBorder="1" applyAlignment="1">
      <alignment horizontal="center" vertical="center"/>
    </xf>
    <xf numFmtId="14" fontId="17" fillId="17" borderId="32" xfId="5" applyNumberFormat="1" applyFont="1" applyFill="1" applyBorder="1" applyAlignment="1">
      <alignment horizontal="center" vertical="center" wrapText="1"/>
    </xf>
    <xf numFmtId="0" fontId="17" fillId="17" borderId="129" xfId="0" applyFont="1" applyFill="1" applyBorder="1" applyAlignment="1">
      <alignment horizontal="center" vertical="center"/>
    </xf>
    <xf numFmtId="171" fontId="12" fillId="0" borderId="26" xfId="8" applyNumberFormat="1" applyFont="1" applyBorder="1" applyAlignment="1">
      <alignment horizontal="center" vertical="top"/>
    </xf>
    <xf numFmtId="168" fontId="18" fillId="17" borderId="30" xfId="1" applyNumberFormat="1" applyFont="1" applyFill="1" applyBorder="1" applyAlignment="1">
      <alignment horizontal="right" vertical="center"/>
    </xf>
    <xf numFmtId="0" fontId="12" fillId="17" borderId="15" xfId="8" applyFont="1" applyFill="1" applyBorder="1">
      <alignment vertical="center"/>
    </xf>
    <xf numFmtId="0" fontId="12" fillId="17" borderId="19" xfId="8" applyFont="1" applyFill="1" applyBorder="1" applyAlignment="1">
      <alignment horizontal="center" vertical="top"/>
    </xf>
    <xf numFmtId="175" fontId="12" fillId="17" borderId="19" xfId="8" applyNumberFormat="1" applyFont="1" applyFill="1" applyBorder="1" applyAlignment="1">
      <alignment horizontal="center" vertical="top"/>
    </xf>
    <xf numFmtId="175" fontId="12" fillId="17" borderId="19" xfId="8" applyNumberFormat="1" applyFont="1" applyFill="1" applyBorder="1" applyAlignment="1">
      <alignment horizontal="center" vertical="center"/>
    </xf>
    <xf numFmtId="171" fontId="12" fillId="17" borderId="19" xfId="8" applyNumberFormat="1" applyFont="1" applyFill="1" applyBorder="1" applyAlignment="1">
      <alignment horizontal="center" vertical="top"/>
    </xf>
    <xf numFmtId="0" fontId="12" fillId="17" borderId="19" xfId="8" applyFont="1" applyFill="1" applyBorder="1">
      <alignment vertical="center"/>
    </xf>
    <xf numFmtId="171" fontId="12" fillId="17" borderId="19" xfId="8" applyNumberFormat="1" applyFont="1" applyFill="1" applyBorder="1">
      <alignment vertical="center"/>
    </xf>
    <xf numFmtId="175" fontId="12" fillId="17" borderId="19" xfId="8" applyNumberFormat="1" applyFont="1" applyFill="1" applyBorder="1" applyAlignment="1">
      <alignment horizontal="left" vertical="center"/>
    </xf>
    <xf numFmtId="0" fontId="12" fillId="17" borderId="19" xfId="8" applyFont="1" applyFill="1" applyBorder="1" applyAlignment="1">
      <alignment vertical="center" wrapText="1"/>
    </xf>
    <xf numFmtId="0" fontId="12" fillId="17" borderId="19" xfId="8" applyFont="1" applyFill="1" applyBorder="1" applyAlignment="1">
      <alignment horizontal="center" vertical="center"/>
    </xf>
    <xf numFmtId="0" fontId="12" fillId="17" borderId="19" xfId="8" applyFont="1" applyFill="1" applyBorder="1" applyAlignment="1">
      <alignment vertical="top"/>
    </xf>
    <xf numFmtId="14" fontId="12" fillId="17" borderId="19" xfId="8" applyNumberFormat="1" applyFont="1" applyFill="1" applyBorder="1" applyAlignment="1">
      <alignment horizontal="center" vertical="center"/>
    </xf>
    <xf numFmtId="175" fontId="12" fillId="0" borderId="24" xfId="10" applyNumberFormat="1" applyFont="1" applyBorder="1">
      <alignment vertical="center"/>
    </xf>
    <xf numFmtId="0" fontId="12" fillId="0" borderId="19" xfId="10" applyFont="1" applyBorder="1">
      <alignment vertical="center"/>
    </xf>
    <xf numFmtId="175" fontId="12" fillId="0" borderId="19" xfId="10" applyNumberFormat="1" applyFont="1" applyBorder="1">
      <alignment vertical="center"/>
    </xf>
    <xf numFmtId="0" fontId="11" fillId="0" borderId="2" xfId="9" applyFont="1" applyBorder="1">
      <alignment vertical="center"/>
    </xf>
    <xf numFmtId="0" fontId="12" fillId="0" borderId="25" xfId="7" applyFont="1" applyBorder="1">
      <alignment vertical="center"/>
    </xf>
    <xf numFmtId="0" fontId="12" fillId="0" borderId="43" xfId="10" applyFont="1" applyBorder="1">
      <alignment vertical="center"/>
    </xf>
    <xf numFmtId="171" fontId="12" fillId="0" borderId="43" xfId="7" applyNumberFormat="1" applyFont="1" applyBorder="1">
      <alignment vertical="center"/>
    </xf>
    <xf numFmtId="175" fontId="12" fillId="0" borderId="43" xfId="10" applyNumberFormat="1" applyFont="1" applyBorder="1">
      <alignment vertical="center"/>
    </xf>
    <xf numFmtId="175" fontId="12" fillId="0" borderId="25" xfId="7" applyNumberFormat="1" applyFont="1" applyBorder="1" applyAlignment="1">
      <alignment horizontal="center" vertical="center"/>
    </xf>
    <xf numFmtId="175" fontId="12" fillId="0" borderId="27" xfId="10" applyNumberFormat="1" applyFont="1" applyBorder="1" applyAlignment="1">
      <alignment horizontal="center" vertical="center"/>
    </xf>
    <xf numFmtId="0" fontId="12" fillId="0" borderId="59" xfId="7" applyFont="1" applyBorder="1">
      <alignment vertical="center"/>
    </xf>
    <xf numFmtId="0" fontId="12" fillId="0" borderId="30" xfId="7" applyFont="1" applyBorder="1" applyAlignment="1">
      <alignment horizontal="center" vertical="center"/>
    </xf>
    <xf numFmtId="0" fontId="18" fillId="13" borderId="132" xfId="0" applyFont="1" applyFill="1" applyBorder="1" applyAlignment="1">
      <alignment horizontal="center" vertical="center"/>
    </xf>
    <xf numFmtId="14" fontId="17" fillId="17" borderId="55" xfId="5" applyNumberFormat="1" applyFont="1" applyFill="1" applyBorder="1" applyAlignment="1">
      <alignment horizontal="center" vertical="center" wrapText="1"/>
    </xf>
    <xf numFmtId="175" fontId="17" fillId="17" borderId="26" xfId="5" applyNumberFormat="1" applyFont="1" applyFill="1" applyBorder="1" applyAlignment="1">
      <alignment horizontal="center" vertical="center"/>
    </xf>
    <xf numFmtId="164" fontId="17" fillId="17" borderId="26" xfId="1" applyFont="1" applyFill="1" applyBorder="1" applyAlignment="1">
      <alignment horizontal="right" vertical="center" wrapText="1"/>
    </xf>
    <xf numFmtId="169" fontId="17" fillId="17" borderId="26" xfId="1" applyNumberFormat="1" applyFont="1" applyFill="1" applyBorder="1" applyAlignment="1">
      <alignment horizontal="center" vertical="center" wrapText="1"/>
    </xf>
    <xf numFmtId="169" fontId="17" fillId="17" borderId="26" xfId="1" applyNumberFormat="1" applyFont="1" applyFill="1" applyBorder="1" applyAlignment="1">
      <alignment horizontal="right" vertical="center" wrapText="1"/>
    </xf>
    <xf numFmtId="171" fontId="12" fillId="0" borderId="24" xfId="8" quotePrefix="1" applyNumberFormat="1" applyFont="1" applyBorder="1">
      <alignment vertical="center"/>
    </xf>
    <xf numFmtId="175" fontId="12" fillId="6" borderId="26" xfId="8" applyNumberFormat="1" applyFont="1" applyFill="1" applyBorder="1" applyAlignment="1">
      <alignment horizontal="center" vertical="center"/>
    </xf>
    <xf numFmtId="175" fontId="12" fillId="0" borderId="26" xfId="8" applyNumberFormat="1" applyFont="1" applyBorder="1" applyAlignment="1">
      <alignment horizontal="center" vertical="center"/>
    </xf>
    <xf numFmtId="171" fontId="12" fillId="0" borderId="26" xfId="8" applyNumberFormat="1" applyFont="1" applyBorder="1">
      <alignment vertical="center"/>
    </xf>
    <xf numFmtId="175" fontId="12" fillId="0" borderId="26" xfId="8" applyNumberFormat="1" applyFont="1" applyBorder="1" applyAlignment="1">
      <alignment horizontal="left" vertical="center"/>
    </xf>
    <xf numFmtId="175" fontId="12" fillId="11" borderId="26" xfId="8" applyNumberFormat="1" applyFont="1" applyFill="1" applyBorder="1" applyAlignment="1">
      <alignment horizontal="center" vertical="center"/>
    </xf>
    <xf numFmtId="0" fontId="12" fillId="11" borderId="26" xfId="8" applyFont="1" applyFill="1" applyBorder="1">
      <alignment vertical="center"/>
    </xf>
    <xf numFmtId="175" fontId="12" fillId="4" borderId="78" xfId="0" applyNumberFormat="1" applyFont="1" applyFill="1" applyBorder="1" applyAlignment="1">
      <alignment horizontal="left" vertical="center" wrapText="1"/>
    </xf>
    <xf numFmtId="175" fontId="17" fillId="0" borderId="3" xfId="5" applyNumberFormat="1" applyFont="1" applyBorder="1" applyAlignment="1">
      <alignment horizontal="center" vertical="center"/>
    </xf>
    <xf numFmtId="175" fontId="12" fillId="0" borderId="5" xfId="0" applyNumberFormat="1" applyFont="1" applyBorder="1" applyAlignment="1">
      <alignment horizontal="left" vertical="center" wrapText="1" shrinkToFit="1"/>
    </xf>
    <xf numFmtId="0" fontId="12" fillId="0" borderId="5" xfId="0" applyFont="1" applyBorder="1" applyAlignment="1">
      <alignment horizontal="left" vertical="center" wrapText="1" shrinkToFit="1"/>
    </xf>
    <xf numFmtId="175" fontId="38" fillId="0" borderId="21" xfId="0" applyNumberFormat="1" applyFont="1" applyBorder="1" applyAlignment="1">
      <alignment horizontal="center" vertical="center" shrinkToFit="1"/>
    </xf>
    <xf numFmtId="175" fontId="38" fillId="0" borderId="26" xfId="10" applyNumberFormat="1" applyFont="1" applyBorder="1" applyAlignment="1">
      <alignment horizontal="center" vertical="center"/>
    </xf>
    <xf numFmtId="175" fontId="38" fillId="0" borderId="21" xfId="0" applyNumberFormat="1" applyFont="1" applyBorder="1" applyAlignment="1">
      <alignment vertical="center" shrinkToFit="1"/>
    </xf>
    <xf numFmtId="175" fontId="38" fillId="0" borderId="19" xfId="10" applyNumberFormat="1" applyFont="1" applyBorder="1" applyAlignment="1">
      <alignment horizontal="center" vertical="center"/>
    </xf>
    <xf numFmtId="175" fontId="38" fillId="0" borderId="30" xfId="0" applyNumberFormat="1" applyFont="1" applyBorder="1" applyAlignment="1">
      <alignment vertical="center" shrinkToFit="1"/>
    </xf>
    <xf numFmtId="175" fontId="38" fillId="0" borderId="30" xfId="0" applyNumberFormat="1" applyFont="1" applyBorder="1" applyAlignment="1">
      <alignment horizontal="center" vertical="center" shrinkToFit="1"/>
    </xf>
    <xf numFmtId="0" fontId="12" fillId="6" borderId="15" xfId="10" applyFont="1" applyFill="1" applyBorder="1">
      <alignment vertical="center"/>
    </xf>
    <xf numFmtId="171" fontId="12" fillId="0" borderId="15" xfId="7" applyNumberFormat="1" applyFont="1" applyBorder="1" applyAlignment="1">
      <alignment horizontal="center" vertical="center"/>
    </xf>
    <xf numFmtId="0" fontId="12" fillId="6" borderId="19" xfId="10" applyFont="1" applyFill="1" applyBorder="1">
      <alignment vertical="center"/>
    </xf>
    <xf numFmtId="171" fontId="12" fillId="0" borderId="19" xfId="7" applyNumberFormat="1" applyFont="1" applyBorder="1" applyAlignment="1">
      <alignment horizontal="center" vertical="center"/>
    </xf>
    <xf numFmtId="171" fontId="12" fillId="0" borderId="24" xfId="7" applyNumberFormat="1" applyFont="1" applyBorder="1" applyAlignment="1">
      <alignment horizontal="center" vertical="center"/>
    </xf>
    <xf numFmtId="0" fontId="12" fillId="6" borderId="24" xfId="10" applyFont="1" applyFill="1" applyBorder="1" applyAlignment="1">
      <alignment horizontal="center" vertical="center"/>
    </xf>
    <xf numFmtId="171" fontId="12" fillId="0" borderId="46" xfId="7" applyNumberFormat="1" applyFont="1" applyBorder="1" applyAlignment="1">
      <alignment horizontal="center" vertical="center"/>
    </xf>
    <xf numFmtId="0" fontId="12" fillId="0" borderId="46" xfId="10" applyFont="1" applyBorder="1" applyAlignment="1">
      <alignment horizontal="center" vertical="center"/>
    </xf>
    <xf numFmtId="164" fontId="18" fillId="5" borderId="57" xfId="1" applyFont="1" applyFill="1" applyBorder="1" applyAlignment="1">
      <alignment horizontal="center" vertical="center" wrapText="1"/>
    </xf>
    <xf numFmtId="168" fontId="18" fillId="17" borderId="21" xfId="1" applyNumberFormat="1" applyFont="1" applyFill="1" applyBorder="1" applyAlignment="1">
      <alignment horizontal="right" vertical="center"/>
    </xf>
    <xf numFmtId="164" fontId="17" fillId="0" borderId="3" xfId="1" applyFont="1" applyBorder="1" applyAlignment="1">
      <alignment horizontal="right" vertical="center"/>
    </xf>
    <xf numFmtId="49" fontId="12" fillId="0" borderId="5" xfId="0" applyNumberFormat="1" applyFont="1" applyBorder="1" applyAlignment="1">
      <alignment horizontal="center" vertical="center" wrapText="1" shrinkToFit="1"/>
    </xf>
    <xf numFmtId="0" fontId="12" fillId="17" borderId="12" xfId="0" applyFont="1" applyFill="1" applyBorder="1" applyAlignment="1">
      <alignment horizontal="left" vertical="center" shrinkToFit="1"/>
    </xf>
    <xf numFmtId="175" fontId="12" fillId="17" borderId="12" xfId="0" applyNumberFormat="1" applyFont="1" applyFill="1" applyBorder="1" applyAlignment="1">
      <alignment horizontal="center" vertical="center" shrinkToFit="1"/>
    </xf>
    <xf numFmtId="0" fontId="12" fillId="17" borderId="5" xfId="0" applyFont="1" applyFill="1" applyBorder="1" applyAlignment="1">
      <alignment horizontal="left" vertical="center" shrinkToFit="1"/>
    </xf>
    <xf numFmtId="175" fontId="12" fillId="17" borderId="5" xfId="0" applyNumberFormat="1" applyFont="1" applyFill="1" applyBorder="1" applyAlignment="1">
      <alignment horizontal="center" vertical="center" shrinkToFit="1"/>
    </xf>
    <xf numFmtId="164" fontId="12" fillId="17" borderId="5" xfId="1" applyFont="1" applyFill="1" applyBorder="1" applyAlignment="1">
      <alignment vertical="center" shrinkToFit="1"/>
    </xf>
    <xf numFmtId="173" fontId="12" fillId="17" borderId="5" xfId="0" applyNumberFormat="1" applyFont="1" applyFill="1" applyBorder="1" applyAlignment="1">
      <alignment horizontal="center" vertical="center" shrinkToFit="1"/>
    </xf>
    <xf numFmtId="0" fontId="12" fillId="17" borderId="5" xfId="0" applyFont="1" applyFill="1" applyBorder="1" applyAlignment="1">
      <alignment horizontal="center" vertical="center" shrinkToFit="1"/>
    </xf>
    <xf numFmtId="175" fontId="12" fillId="17" borderId="71" xfId="0" applyNumberFormat="1" applyFont="1" applyFill="1" applyBorder="1" applyAlignment="1">
      <alignment horizontal="center" vertical="center" shrinkToFit="1"/>
    </xf>
    <xf numFmtId="49" fontId="12" fillId="17" borderId="5" xfId="0" applyNumberFormat="1" applyFont="1" applyFill="1" applyBorder="1" applyAlignment="1">
      <alignment horizontal="center" vertical="center" shrinkToFit="1"/>
    </xf>
    <xf numFmtId="175" fontId="12" fillId="17" borderId="5" xfId="1" applyNumberFormat="1" applyFont="1" applyFill="1" applyBorder="1" applyAlignment="1">
      <alignment horizontal="center" vertical="center" shrinkToFit="1"/>
    </xf>
    <xf numFmtId="49" fontId="12" fillId="0" borderId="0" xfId="0" applyNumberFormat="1" applyFont="1" applyAlignment="1">
      <alignment vertical="top" shrinkToFit="1"/>
    </xf>
    <xf numFmtId="175" fontId="12" fillId="17" borderId="78" xfId="0" applyNumberFormat="1" applyFont="1" applyFill="1" applyBorder="1" applyAlignment="1">
      <alignment horizontal="center" vertical="center"/>
    </xf>
    <xf numFmtId="0" fontId="12" fillId="17" borderId="78" xfId="0" applyFont="1" applyFill="1" applyBorder="1" applyAlignment="1">
      <alignment horizontal="left" vertical="center"/>
    </xf>
    <xf numFmtId="164" fontId="12" fillId="17" borderId="78" xfId="1" applyFont="1" applyFill="1" applyBorder="1">
      <alignment vertical="center"/>
    </xf>
    <xf numFmtId="175" fontId="12" fillId="17" borderId="106" xfId="0" applyNumberFormat="1" applyFont="1" applyFill="1" applyBorder="1" applyAlignment="1">
      <alignment horizontal="center" vertical="center"/>
    </xf>
    <xf numFmtId="0" fontId="12" fillId="17" borderId="78" xfId="0" applyFont="1" applyFill="1" applyBorder="1" applyAlignment="1">
      <alignment horizontal="center" vertical="center"/>
    </xf>
    <xf numFmtId="0" fontId="12" fillId="17" borderId="108" xfId="0" applyFont="1" applyFill="1" applyBorder="1" applyAlignment="1">
      <alignment horizontal="left" vertical="center" wrapText="1"/>
    </xf>
    <xf numFmtId="0" fontId="12" fillId="17" borderId="109" xfId="0" applyFont="1" applyFill="1" applyBorder="1" applyAlignment="1">
      <alignment horizontal="left" vertical="center" wrapText="1"/>
    </xf>
    <xf numFmtId="0" fontId="12" fillId="17" borderId="78" xfId="0" applyFont="1" applyFill="1" applyBorder="1" applyAlignment="1">
      <alignment horizontal="left" vertical="center" wrapText="1"/>
    </xf>
    <xf numFmtId="173" fontId="12" fillId="17" borderId="78" xfId="0" applyNumberFormat="1" applyFont="1" applyFill="1" applyBorder="1" applyAlignment="1">
      <alignment horizontal="center" vertical="center"/>
    </xf>
    <xf numFmtId="49" fontId="12" fillId="17" borderId="78" xfId="0" applyNumberFormat="1" applyFont="1" applyFill="1" applyBorder="1" applyAlignment="1">
      <alignment horizontal="center" vertical="center"/>
    </xf>
    <xf numFmtId="175" fontId="12" fillId="17" borderId="97" xfId="0" applyNumberFormat="1" applyFont="1" applyFill="1" applyBorder="1" applyAlignment="1">
      <alignment horizontal="center" vertical="center"/>
    </xf>
    <xf numFmtId="173" fontId="12" fillId="17" borderId="97" xfId="0" applyNumberFormat="1" applyFont="1" applyFill="1" applyBorder="1" applyAlignment="1">
      <alignment horizontal="center" vertical="center"/>
    </xf>
    <xf numFmtId="49" fontId="12" fillId="0" borderId="32" xfId="7" applyNumberFormat="1" applyFont="1" applyBorder="1" applyAlignment="1">
      <alignment horizontal="center" vertical="center"/>
    </xf>
    <xf numFmtId="175" fontId="12" fillId="0" borderId="19" xfId="7" applyNumberFormat="1" applyFont="1" applyBorder="1" applyAlignment="1">
      <alignment horizontal="center" vertical="center" wrapText="1"/>
    </xf>
    <xf numFmtId="0" fontId="12" fillId="17" borderId="15" xfId="8" applyFont="1" applyFill="1" applyBorder="1" applyAlignment="1">
      <alignment horizontal="center" vertical="top"/>
    </xf>
    <xf numFmtId="175" fontId="12" fillId="17" borderId="15" xfId="8" applyNumberFormat="1" applyFont="1" applyFill="1" applyBorder="1" applyAlignment="1">
      <alignment horizontal="center" vertical="center"/>
    </xf>
    <xf numFmtId="171" fontId="12" fillId="17" borderId="15" xfId="8" applyNumberFormat="1" applyFont="1" applyFill="1" applyBorder="1" applyAlignment="1">
      <alignment horizontal="center" vertical="top"/>
    </xf>
    <xf numFmtId="171" fontId="12" fillId="17" borderId="15" xfId="8" applyNumberFormat="1" applyFont="1" applyFill="1" applyBorder="1">
      <alignment vertical="center"/>
    </xf>
    <xf numFmtId="175" fontId="12" fillId="17" borderId="15" xfId="8" applyNumberFormat="1" applyFont="1" applyFill="1" applyBorder="1" applyAlignment="1">
      <alignment horizontal="left" vertical="center"/>
    </xf>
    <xf numFmtId="0" fontId="12" fillId="17" borderId="15" xfId="8" applyFont="1" applyFill="1" applyBorder="1" applyAlignment="1">
      <alignment vertical="center" wrapText="1"/>
    </xf>
    <xf numFmtId="175" fontId="12" fillId="17" borderId="15" xfId="8" applyNumberFormat="1" applyFont="1" applyFill="1" applyBorder="1" applyAlignment="1">
      <alignment horizontal="center" vertical="center" wrapText="1"/>
    </xf>
    <xf numFmtId="0" fontId="12" fillId="17" borderId="15" xfId="8" applyFont="1" applyFill="1" applyBorder="1" applyAlignment="1">
      <alignment horizontal="center" vertical="center"/>
    </xf>
    <xf numFmtId="175" fontId="12" fillId="17" borderId="15" xfId="8" applyNumberFormat="1" applyFont="1" applyFill="1" applyBorder="1">
      <alignment vertical="center"/>
    </xf>
    <xf numFmtId="14" fontId="12" fillId="17" borderId="15" xfId="8" quotePrefix="1" applyNumberFormat="1" applyFont="1" applyFill="1" applyBorder="1" applyAlignment="1">
      <alignment horizontal="center" vertical="center"/>
    </xf>
    <xf numFmtId="14" fontId="12" fillId="17" borderId="15" xfId="8" applyNumberFormat="1" applyFont="1" applyFill="1" applyBorder="1" applyAlignment="1">
      <alignment horizontal="center" vertical="center"/>
    </xf>
    <xf numFmtId="0" fontId="11" fillId="17" borderId="0" xfId="9" applyFont="1" applyFill="1">
      <alignment vertical="center"/>
    </xf>
    <xf numFmtId="175" fontId="12" fillId="17" borderId="19" xfId="8" applyNumberFormat="1" applyFont="1" applyFill="1" applyBorder="1">
      <alignment vertical="center"/>
    </xf>
    <xf numFmtId="175" fontId="12" fillId="17" borderId="19" xfId="8" applyNumberFormat="1" applyFont="1" applyFill="1" applyBorder="1" applyAlignment="1">
      <alignment vertical="center" wrapText="1"/>
    </xf>
    <xf numFmtId="49" fontId="12" fillId="17" borderId="19" xfId="8" applyNumberFormat="1" applyFont="1" applyFill="1" applyBorder="1" applyAlignment="1">
      <alignment horizontal="center" vertical="center"/>
    </xf>
    <xf numFmtId="49" fontId="12" fillId="17" borderId="19" xfId="8" applyNumberFormat="1" applyFont="1" applyFill="1" applyBorder="1">
      <alignment vertical="center"/>
    </xf>
    <xf numFmtId="175" fontId="12" fillId="17" borderId="46" xfId="8" applyNumberFormat="1" applyFont="1" applyFill="1" applyBorder="1" applyAlignment="1">
      <alignment horizontal="center" vertical="top"/>
    </xf>
    <xf numFmtId="49" fontId="12" fillId="17" borderId="46" xfId="8" applyNumberFormat="1" applyFont="1" applyFill="1" applyBorder="1">
      <alignment vertical="center"/>
    </xf>
    <xf numFmtId="0" fontId="12" fillId="17" borderId="46" xfId="8" applyFont="1" applyFill="1" applyBorder="1">
      <alignment vertical="center"/>
    </xf>
    <xf numFmtId="171" fontId="12" fillId="17" borderId="46" xfId="8" applyNumberFormat="1" applyFont="1" applyFill="1" applyBorder="1">
      <alignment vertical="center"/>
    </xf>
    <xf numFmtId="175" fontId="12" fillId="17" borderId="46" xfId="8" applyNumberFormat="1" applyFont="1" applyFill="1" applyBorder="1" applyAlignment="1">
      <alignment horizontal="center" vertical="center"/>
    </xf>
    <xf numFmtId="175" fontId="12" fillId="17" borderId="46" xfId="8" applyNumberFormat="1" applyFont="1" applyFill="1" applyBorder="1" applyAlignment="1">
      <alignment horizontal="left" vertical="center"/>
    </xf>
    <xf numFmtId="0" fontId="12" fillId="17" borderId="46" xfId="8" applyFont="1" applyFill="1" applyBorder="1" applyAlignment="1">
      <alignment horizontal="center" vertical="center"/>
    </xf>
    <xf numFmtId="175" fontId="12" fillId="17" borderId="46" xfId="8" applyNumberFormat="1" applyFont="1" applyFill="1" applyBorder="1">
      <alignment vertical="center"/>
    </xf>
    <xf numFmtId="14" fontId="12" fillId="17" borderId="46" xfId="8" applyNumberFormat="1" applyFont="1" applyFill="1" applyBorder="1" applyAlignment="1">
      <alignment horizontal="center" vertical="center"/>
    </xf>
    <xf numFmtId="172" fontId="12" fillId="0" borderId="15" xfId="7" applyNumberFormat="1" applyFont="1" applyBorder="1" applyAlignment="1">
      <alignment horizontal="center" vertical="center"/>
    </xf>
    <xf numFmtId="176" fontId="12" fillId="0" borderId="26" xfId="7" applyNumberFormat="1" applyFont="1" applyBorder="1">
      <alignment vertical="center"/>
    </xf>
    <xf numFmtId="175" fontId="18" fillId="17" borderId="121" xfId="0" applyNumberFormat="1" applyFont="1" applyFill="1" applyBorder="1" applyAlignment="1">
      <alignment horizontal="center" vertical="center"/>
    </xf>
    <xf numFmtId="175" fontId="17" fillId="17" borderId="121" xfId="0" applyNumberFormat="1" applyFont="1" applyFill="1" applyBorder="1" applyAlignment="1">
      <alignment horizontal="center" vertical="center"/>
    </xf>
    <xf numFmtId="175" fontId="21" fillId="17" borderId="19" xfId="16" applyNumberFormat="1" applyFont="1" applyFill="1" applyBorder="1" applyAlignment="1">
      <alignment horizontal="center" vertical="center"/>
    </xf>
    <xf numFmtId="175" fontId="21" fillId="17" borderId="15" xfId="16" applyNumberFormat="1" applyFont="1" applyFill="1" applyBorder="1" applyAlignment="1">
      <alignment horizontal="center" vertical="center"/>
    </xf>
    <xf numFmtId="0" fontId="21" fillId="17" borderId="16" xfId="16" applyFont="1" applyFill="1" applyBorder="1" applyAlignment="1">
      <alignment vertical="center" wrapText="1"/>
    </xf>
    <xf numFmtId="175" fontId="21" fillId="0" borderId="19" xfId="16" applyNumberFormat="1" applyFont="1" applyBorder="1" applyAlignment="1">
      <alignment horizontal="center" vertical="center"/>
    </xf>
    <xf numFmtId="0" fontId="21" fillId="0" borderId="20" xfId="16" applyFont="1" applyBorder="1" applyAlignment="1">
      <alignment vertical="center" wrapText="1"/>
    </xf>
    <xf numFmtId="175" fontId="21" fillId="0" borderId="24" xfId="16" applyNumberFormat="1" applyFont="1" applyBorder="1" applyAlignment="1">
      <alignment horizontal="center" vertical="center" wrapText="1"/>
    </xf>
    <xf numFmtId="175" fontId="21" fillId="0" borderId="24" xfId="16" applyNumberFormat="1" applyFont="1" applyBorder="1" applyAlignment="1">
      <alignment horizontal="center" vertical="center"/>
    </xf>
    <xf numFmtId="175" fontId="21" fillId="0" borderId="15" xfId="16" applyNumberFormat="1" applyFont="1" applyBorder="1" applyAlignment="1">
      <alignment horizontal="center" vertical="center"/>
    </xf>
    <xf numFmtId="0" fontId="21" fillId="0" borderId="16" xfId="16" applyFont="1" applyBorder="1" applyAlignment="1">
      <alignment vertical="center" wrapText="1"/>
    </xf>
    <xf numFmtId="0" fontId="21" fillId="0" borderId="24" xfId="16" applyFont="1" applyBorder="1" applyAlignment="1">
      <alignment horizontal="left" vertical="center"/>
    </xf>
    <xf numFmtId="0" fontId="21" fillId="0" borderId="56" xfId="16" applyFont="1" applyBorder="1" applyAlignment="1">
      <alignment vertical="center" wrapText="1"/>
    </xf>
    <xf numFmtId="175" fontId="21" fillId="0" borderId="46" xfId="16" applyNumberFormat="1" applyFont="1" applyBorder="1" applyAlignment="1">
      <alignment horizontal="center" vertical="center"/>
    </xf>
    <xf numFmtId="0" fontId="21" fillId="0" borderId="57" xfId="16" applyFont="1" applyBorder="1" applyAlignment="1">
      <alignment vertical="center" wrapText="1"/>
    </xf>
    <xf numFmtId="0" fontId="12" fillId="0" borderId="19" xfId="0" applyFont="1" applyBorder="1" applyAlignment="1">
      <alignment horizontal="left" vertical="center" shrinkToFit="1"/>
    </xf>
    <xf numFmtId="0" fontId="38" fillId="6" borderId="19" xfId="10" applyFont="1" applyFill="1" applyBorder="1" applyAlignment="1">
      <alignment horizontal="center" vertical="center"/>
    </xf>
    <xf numFmtId="175" fontId="21" fillId="15" borderId="15" xfId="16" applyNumberFormat="1" applyFont="1" applyFill="1" applyBorder="1" applyAlignment="1">
      <alignment horizontal="center" vertical="center"/>
    </xf>
    <xf numFmtId="175" fontId="21" fillId="15" borderId="19" xfId="16" applyNumberFormat="1" applyFont="1" applyFill="1" applyBorder="1" applyAlignment="1">
      <alignment horizontal="center" vertical="center"/>
    </xf>
    <xf numFmtId="175" fontId="21" fillId="15" borderId="24" xfId="16" applyNumberFormat="1" applyFont="1" applyFill="1" applyBorder="1" applyAlignment="1">
      <alignment horizontal="center" vertical="center" wrapText="1"/>
    </xf>
    <xf numFmtId="175" fontId="21" fillId="18" borderId="24" xfId="16" applyNumberFormat="1" applyFont="1" applyFill="1" applyBorder="1" applyAlignment="1">
      <alignment horizontal="center" vertical="center" wrapText="1"/>
    </xf>
    <xf numFmtId="175" fontId="21" fillId="0" borderId="26" xfId="16" applyNumberFormat="1" applyFont="1" applyBorder="1" applyAlignment="1">
      <alignment horizontal="center" vertical="center"/>
    </xf>
    <xf numFmtId="175" fontId="21" fillId="0" borderId="25" xfId="16" applyNumberFormat="1" applyFont="1" applyBorder="1" applyAlignment="1">
      <alignment horizontal="center" vertical="center"/>
    </xf>
    <xf numFmtId="175" fontId="12" fillId="17" borderId="73" xfId="0" applyNumberFormat="1" applyFont="1" applyFill="1" applyBorder="1" applyAlignment="1">
      <alignment horizontal="center" vertical="center" shrinkToFit="1"/>
    </xf>
    <xf numFmtId="166" fontId="12" fillId="17" borderId="5" xfId="0" applyNumberFormat="1" applyFont="1" applyFill="1" applyBorder="1" applyAlignment="1">
      <alignment horizontal="center" vertical="center" shrinkToFit="1"/>
    </xf>
    <xf numFmtId="0" fontId="12" fillId="17" borderId="138" xfId="0" applyFont="1" applyFill="1" applyBorder="1" applyAlignment="1">
      <alignment horizontal="left" vertical="center" shrinkToFit="1"/>
    </xf>
    <xf numFmtId="175" fontId="12" fillId="17" borderId="138" xfId="0" applyNumberFormat="1" applyFont="1" applyFill="1" applyBorder="1" applyAlignment="1">
      <alignment horizontal="center" vertical="center" shrinkToFit="1"/>
    </xf>
    <xf numFmtId="164" fontId="12" fillId="17" borderId="138" xfId="1" applyFont="1" applyFill="1" applyBorder="1" applyAlignment="1">
      <alignment vertical="center" shrinkToFit="1"/>
    </xf>
    <xf numFmtId="173" fontId="12" fillId="17" borderId="138" xfId="0" applyNumberFormat="1" applyFont="1" applyFill="1" applyBorder="1" applyAlignment="1">
      <alignment horizontal="center" vertical="center" shrinkToFit="1"/>
    </xf>
    <xf numFmtId="0" fontId="12" fillId="17" borderId="138" xfId="0" applyFont="1" applyFill="1" applyBorder="1" applyAlignment="1">
      <alignment horizontal="center" vertical="center" shrinkToFit="1"/>
    </xf>
    <xf numFmtId="166" fontId="12" fillId="17" borderId="138" xfId="0" applyNumberFormat="1" applyFont="1" applyFill="1" applyBorder="1" applyAlignment="1">
      <alignment horizontal="center" vertical="center" shrinkToFit="1"/>
    </xf>
    <xf numFmtId="175" fontId="12" fillId="17" borderId="156" xfId="0" applyNumberFormat="1" applyFont="1" applyFill="1" applyBorder="1" applyAlignment="1">
      <alignment horizontal="center" vertical="center" shrinkToFit="1"/>
    </xf>
    <xf numFmtId="175" fontId="12" fillId="17" borderId="125" xfId="0" applyNumberFormat="1" applyFont="1" applyFill="1" applyBorder="1" applyAlignment="1">
      <alignment horizontal="center" vertical="center" shrinkToFit="1"/>
    </xf>
    <xf numFmtId="173" fontId="12" fillId="17" borderId="125" xfId="0" applyNumberFormat="1" applyFont="1" applyFill="1" applyBorder="1" applyAlignment="1">
      <alignment horizontal="center" vertical="center" shrinkToFit="1"/>
    </xf>
    <xf numFmtId="166" fontId="12" fillId="17" borderId="125" xfId="0" applyNumberFormat="1" applyFont="1" applyFill="1" applyBorder="1" applyAlignment="1">
      <alignment horizontal="center" vertical="center" shrinkToFit="1"/>
    </xf>
    <xf numFmtId="49" fontId="12" fillId="17" borderId="125" xfId="0" applyNumberFormat="1" applyFont="1" applyFill="1" applyBorder="1" applyAlignment="1">
      <alignment horizontal="center" vertical="center" shrinkToFit="1"/>
    </xf>
    <xf numFmtId="0" fontId="12" fillId="3" borderId="106" xfId="0" applyFont="1" applyFill="1" applyBorder="1" applyAlignment="1">
      <alignment horizontal="left" vertical="center" shrinkToFit="1"/>
    </xf>
    <xf numFmtId="0" fontId="12" fillId="4" borderId="106" xfId="0" applyFont="1" applyFill="1" applyBorder="1" applyAlignment="1">
      <alignment horizontal="left" vertical="center" wrapText="1"/>
    </xf>
    <xf numFmtId="0" fontId="12" fillId="17" borderId="106" xfId="0" applyFont="1" applyFill="1" applyBorder="1" applyAlignment="1">
      <alignment horizontal="left" vertical="center"/>
    </xf>
    <xf numFmtId="164" fontId="12" fillId="17" borderId="106" xfId="1" applyFont="1" applyFill="1" applyBorder="1">
      <alignment vertical="center"/>
    </xf>
    <xf numFmtId="175" fontId="12" fillId="17" borderId="169" xfId="0" applyNumberFormat="1" applyFont="1" applyFill="1" applyBorder="1" applyAlignment="1">
      <alignment horizontal="center" vertical="center"/>
    </xf>
    <xf numFmtId="173" fontId="12" fillId="17" borderId="12" xfId="0" applyNumberFormat="1" applyFont="1" applyFill="1" applyBorder="1" applyAlignment="1">
      <alignment horizontal="center" vertical="center" shrinkToFit="1"/>
    </xf>
    <xf numFmtId="175" fontId="12" fillId="17" borderId="11" xfId="0" applyNumberFormat="1" applyFont="1" applyFill="1" applyBorder="1" applyAlignment="1">
      <alignment horizontal="center" vertical="center" shrinkToFit="1"/>
    </xf>
    <xf numFmtId="0" fontId="12" fillId="17" borderId="106" xfId="0" applyFont="1" applyFill="1" applyBorder="1" applyAlignment="1">
      <alignment horizontal="center" vertical="center"/>
    </xf>
    <xf numFmtId="0" fontId="12" fillId="17" borderId="170" xfId="0" applyFont="1" applyFill="1" applyBorder="1" applyAlignment="1">
      <alignment horizontal="left" vertical="center" wrapText="1"/>
    </xf>
    <xf numFmtId="175" fontId="12" fillId="17" borderId="171" xfId="0" applyNumberFormat="1" applyFont="1" applyFill="1" applyBorder="1" applyAlignment="1">
      <alignment horizontal="center" vertical="center"/>
    </xf>
    <xf numFmtId="0" fontId="12" fillId="4" borderId="19" xfId="8" applyFont="1" applyFill="1" applyBorder="1" applyAlignment="1">
      <alignment horizontal="center" vertical="top"/>
    </xf>
    <xf numFmtId="0" fontId="12" fillId="4" borderId="24" xfId="8" applyFont="1" applyFill="1" applyBorder="1" applyAlignment="1">
      <alignment horizontal="center" vertical="top"/>
    </xf>
    <xf numFmtId="175" fontId="12" fillId="4" borderId="19" xfId="8" applyNumberFormat="1" applyFont="1" applyFill="1" applyBorder="1" applyAlignment="1">
      <alignment horizontal="center" vertical="top" wrapText="1"/>
    </xf>
    <xf numFmtId="175" fontId="12" fillId="4" borderId="19" xfId="8" applyNumberFormat="1" applyFont="1" applyFill="1" applyBorder="1" applyAlignment="1">
      <alignment horizontal="center" vertical="center"/>
    </xf>
    <xf numFmtId="175" fontId="12" fillId="4" borderId="19" xfId="8" applyNumberFormat="1" applyFont="1" applyFill="1" applyBorder="1" applyAlignment="1">
      <alignment horizontal="center" vertical="top"/>
    </xf>
    <xf numFmtId="175" fontId="12" fillId="4" borderId="24" xfId="8" applyNumberFormat="1" applyFont="1" applyFill="1" applyBorder="1" applyAlignment="1">
      <alignment horizontal="center" vertical="top"/>
    </xf>
    <xf numFmtId="0" fontId="12" fillId="4" borderId="19" xfId="8" applyFont="1" applyFill="1" applyBorder="1">
      <alignment vertical="center"/>
    </xf>
    <xf numFmtId="171" fontId="12" fillId="4" borderId="19" xfId="8" applyNumberFormat="1" applyFont="1" applyFill="1" applyBorder="1">
      <alignment vertical="center"/>
    </xf>
    <xf numFmtId="0" fontId="12" fillId="4" borderId="19" xfId="8" applyFont="1" applyFill="1" applyBorder="1" applyAlignment="1">
      <alignment vertical="top"/>
    </xf>
    <xf numFmtId="0" fontId="12" fillId="4" borderId="24" xfId="8" applyFont="1" applyFill="1" applyBorder="1">
      <alignment vertical="center"/>
    </xf>
    <xf numFmtId="171" fontId="12" fillId="4" borderId="24" xfId="8" applyNumberFormat="1" applyFont="1" applyFill="1" applyBorder="1">
      <alignment vertical="center"/>
    </xf>
    <xf numFmtId="175" fontId="12" fillId="4" borderId="24" xfId="8" applyNumberFormat="1" applyFont="1" applyFill="1" applyBorder="1" applyAlignment="1">
      <alignment horizontal="center" vertical="center"/>
    </xf>
    <xf numFmtId="175" fontId="12" fillId="4" borderId="15" xfId="8" applyNumberFormat="1" applyFont="1" applyFill="1" applyBorder="1" applyAlignment="1">
      <alignment horizontal="center" vertical="top"/>
    </xf>
    <xf numFmtId="0" fontId="12" fillId="4" borderId="15" xfId="8" applyFont="1" applyFill="1" applyBorder="1" applyAlignment="1">
      <alignment horizontal="center" vertical="top"/>
    </xf>
    <xf numFmtId="171" fontId="12" fillId="4" borderId="15" xfId="8" applyNumberFormat="1" applyFont="1" applyFill="1" applyBorder="1" applyAlignment="1">
      <alignment horizontal="center" vertical="top"/>
    </xf>
    <xf numFmtId="0" fontId="12" fillId="4" borderId="15" xfId="8" applyFont="1" applyFill="1" applyBorder="1" applyAlignment="1">
      <alignment vertical="top"/>
    </xf>
    <xf numFmtId="171" fontId="12" fillId="4" borderId="15" xfId="8" applyNumberFormat="1" applyFont="1" applyFill="1" applyBorder="1" applyAlignment="1">
      <alignment vertical="top"/>
    </xf>
    <xf numFmtId="0" fontId="12" fillId="4" borderId="25" xfId="8" applyFont="1" applyFill="1" applyBorder="1" applyAlignment="1">
      <alignment horizontal="center" vertical="top"/>
    </xf>
    <xf numFmtId="0" fontId="12" fillId="4" borderId="25" xfId="8" applyFont="1" applyFill="1" applyBorder="1" applyAlignment="1">
      <alignment horizontal="left" vertical="top"/>
    </xf>
    <xf numFmtId="175" fontId="12" fillId="4" borderId="19" xfId="8" applyNumberFormat="1" applyFont="1" applyFill="1" applyBorder="1" applyAlignment="1">
      <alignment vertical="top"/>
    </xf>
    <xf numFmtId="171" fontId="12" fillId="4" borderId="19" xfId="8" applyNumberFormat="1" applyFont="1" applyFill="1" applyBorder="1" applyAlignment="1">
      <alignment horizontal="center" vertical="top"/>
    </xf>
    <xf numFmtId="171" fontId="12" fillId="4" borderId="19" xfId="8" applyNumberFormat="1" applyFont="1" applyFill="1" applyBorder="1" applyAlignment="1">
      <alignment vertical="top"/>
    </xf>
    <xf numFmtId="175" fontId="12" fillId="4" borderId="19" xfId="8" applyNumberFormat="1" applyFont="1" applyFill="1" applyBorder="1">
      <alignment vertical="center"/>
    </xf>
    <xf numFmtId="175" fontId="12" fillId="4" borderId="19" xfId="8" applyNumberFormat="1" applyFont="1" applyFill="1" applyBorder="1" applyAlignment="1">
      <alignment horizontal="left" vertical="center"/>
    </xf>
    <xf numFmtId="175" fontId="12" fillId="4" borderId="26" xfId="8" applyNumberFormat="1" applyFont="1" applyFill="1" applyBorder="1" applyAlignment="1">
      <alignment horizontal="center" vertical="top"/>
    </xf>
    <xf numFmtId="175" fontId="12" fillId="4" borderId="24" xfId="8" applyNumberFormat="1" applyFont="1" applyFill="1" applyBorder="1">
      <alignment vertical="center"/>
    </xf>
    <xf numFmtId="171" fontId="12" fillId="4" borderId="24" xfId="8" applyNumberFormat="1" applyFont="1" applyFill="1" applyBorder="1" applyAlignment="1">
      <alignment horizontal="center" vertical="top"/>
    </xf>
    <xf numFmtId="0" fontId="11" fillId="4" borderId="0" xfId="9" applyFont="1" applyFill="1">
      <alignment vertical="center"/>
    </xf>
    <xf numFmtId="175" fontId="12" fillId="4" borderId="24" xfId="8" applyNumberFormat="1" applyFont="1" applyFill="1" applyBorder="1" applyAlignment="1">
      <alignment horizontal="left" vertical="center"/>
    </xf>
    <xf numFmtId="0" fontId="12" fillId="4" borderId="43" xfId="8" applyFont="1" applyFill="1" applyBorder="1" applyAlignment="1">
      <alignment horizontal="center" vertical="top"/>
    </xf>
    <xf numFmtId="0" fontId="12" fillId="4" borderId="43" xfId="8" applyFont="1" applyFill="1" applyBorder="1" applyAlignment="1">
      <alignment horizontal="left" vertical="top"/>
    </xf>
    <xf numFmtId="175" fontId="12" fillId="4" borderId="46" xfId="8" applyNumberFormat="1" applyFont="1" applyFill="1" applyBorder="1">
      <alignment vertical="center"/>
    </xf>
    <xf numFmtId="0" fontId="12" fillId="4" borderId="46" xfId="8" applyFont="1" applyFill="1" applyBorder="1" applyAlignment="1">
      <alignment horizontal="center" vertical="top"/>
    </xf>
    <xf numFmtId="171" fontId="12" fillId="4" borderId="46" xfId="8" applyNumberFormat="1" applyFont="1" applyFill="1" applyBorder="1" applyAlignment="1">
      <alignment horizontal="center" vertical="top"/>
    </xf>
    <xf numFmtId="0" fontId="12" fillId="4" borderId="46" xfId="8" applyFont="1" applyFill="1" applyBorder="1">
      <alignment vertical="center"/>
    </xf>
    <xf numFmtId="175" fontId="12" fillId="4" borderId="46" xfId="8" applyNumberFormat="1" applyFont="1" applyFill="1" applyBorder="1" applyAlignment="1">
      <alignment horizontal="center" vertical="center"/>
    </xf>
    <xf numFmtId="171" fontId="12" fillId="4" borderId="46" xfId="8" applyNumberFormat="1" applyFont="1" applyFill="1" applyBorder="1">
      <alignment vertical="center"/>
    </xf>
    <xf numFmtId="175" fontId="12" fillId="4" borderId="46" xfId="8" applyNumberFormat="1" applyFont="1" applyFill="1" applyBorder="1" applyAlignment="1">
      <alignment horizontal="left" vertical="center"/>
    </xf>
    <xf numFmtId="175" fontId="12" fillId="4" borderId="46" xfId="8" applyNumberFormat="1" applyFont="1" applyFill="1" applyBorder="1" applyAlignment="1">
      <alignment horizontal="center" vertical="top"/>
    </xf>
    <xf numFmtId="175" fontId="12" fillId="0" borderId="124" xfId="0" applyNumberFormat="1" applyFont="1" applyBorder="1" applyAlignment="1">
      <alignment horizontal="center" vertical="center" shrinkToFit="1"/>
    </xf>
    <xf numFmtId="0" fontId="23" fillId="0" borderId="0" xfId="16" applyFont="1" applyAlignment="1">
      <alignment horizontal="left" vertical="center"/>
    </xf>
    <xf numFmtId="0" fontId="21" fillId="0" borderId="0" xfId="16" applyFont="1" applyAlignment="1">
      <alignment horizontal="center" vertical="center"/>
    </xf>
    <xf numFmtId="0" fontId="21" fillId="0" borderId="0" xfId="16" applyFont="1" applyAlignment="1">
      <alignment vertical="center" wrapText="1"/>
    </xf>
    <xf numFmtId="0" fontId="21" fillId="0" borderId="0" xfId="16" applyFont="1" applyAlignment="1">
      <alignment horizontal="left" vertical="center"/>
    </xf>
    <xf numFmtId="175" fontId="21" fillId="0" borderId="0" xfId="16" applyNumberFormat="1" applyFont="1" applyAlignment="1">
      <alignment horizontal="center" vertical="center"/>
    </xf>
    <xf numFmtId="0" fontId="21" fillId="0" borderId="0" xfId="16" applyFont="1">
      <alignment vertical="center"/>
    </xf>
    <xf numFmtId="0" fontId="23" fillId="0" borderId="24" xfId="16" applyFont="1" applyBorder="1" applyAlignment="1">
      <alignment horizontal="center" vertical="center"/>
    </xf>
    <xf numFmtId="0" fontId="23" fillId="0" borderId="24" xfId="16" applyFont="1" applyBorder="1" applyAlignment="1">
      <alignment horizontal="center" vertical="center" wrapText="1"/>
    </xf>
    <xf numFmtId="0" fontId="23" fillId="0" borderId="24" xfId="16" applyFont="1" applyBorder="1" applyAlignment="1">
      <alignment horizontal="left" vertical="center"/>
    </xf>
    <xf numFmtId="175" fontId="23" fillId="0" borderId="24" xfId="16" applyNumberFormat="1" applyFont="1" applyBorder="1" applyAlignment="1">
      <alignment horizontal="center" vertical="center"/>
    </xf>
    <xf numFmtId="0" fontId="21" fillId="17" borderId="13" xfId="16" applyFont="1" applyFill="1" applyBorder="1" applyAlignment="1">
      <alignment horizontal="center" vertical="center"/>
    </xf>
    <xf numFmtId="49" fontId="21" fillId="17" borderId="15" xfId="16" applyNumberFormat="1" applyFont="1" applyFill="1" applyBorder="1" applyAlignment="1">
      <alignment horizontal="center" vertical="center"/>
    </xf>
    <xf numFmtId="0" fontId="21" fillId="17" borderId="15" xfId="16" applyFont="1" applyFill="1" applyBorder="1" applyAlignment="1">
      <alignment vertical="center" wrapText="1"/>
    </xf>
    <xf numFmtId="0" fontId="21" fillId="17" borderId="15" xfId="16" applyFont="1" applyFill="1" applyBorder="1" applyAlignment="1">
      <alignment horizontal="left" vertical="center"/>
    </xf>
    <xf numFmtId="0" fontId="21" fillId="17" borderId="17" xfId="16" applyFont="1" applyFill="1" applyBorder="1" applyAlignment="1">
      <alignment horizontal="center" vertical="center"/>
    </xf>
    <xf numFmtId="49" fontId="21" fillId="17" borderId="19" xfId="16" applyNumberFormat="1" applyFont="1" applyFill="1" applyBorder="1" applyAlignment="1">
      <alignment horizontal="center" vertical="center"/>
    </xf>
    <xf numFmtId="0" fontId="21" fillId="17" borderId="19" xfId="16" applyFont="1" applyFill="1" applyBorder="1" applyAlignment="1">
      <alignment vertical="center" wrapText="1"/>
    </xf>
    <xf numFmtId="0" fontId="21" fillId="17" borderId="19" xfId="16" applyFont="1" applyFill="1" applyBorder="1" applyAlignment="1">
      <alignment horizontal="left" vertical="center"/>
    </xf>
    <xf numFmtId="0" fontId="21" fillId="17" borderId="20" xfId="16" applyFont="1" applyFill="1" applyBorder="1" applyAlignment="1">
      <alignment vertical="center" wrapText="1"/>
    </xf>
    <xf numFmtId="0" fontId="21" fillId="15" borderId="17" xfId="16" applyFont="1" applyFill="1" applyBorder="1" applyAlignment="1">
      <alignment horizontal="center" vertical="center"/>
    </xf>
    <xf numFmtId="49" fontId="21" fillId="15" borderId="19" xfId="16" applyNumberFormat="1" applyFont="1" applyFill="1" applyBorder="1" applyAlignment="1">
      <alignment horizontal="center" vertical="center"/>
    </xf>
    <xf numFmtId="0" fontId="21" fillId="15" borderId="19" xfId="16" applyFont="1" applyFill="1" applyBorder="1" applyAlignment="1">
      <alignment vertical="center" wrapText="1"/>
    </xf>
    <xf numFmtId="0" fontId="21" fillId="15" borderId="19" xfId="16" applyFont="1" applyFill="1" applyBorder="1" applyAlignment="1">
      <alignment horizontal="left" vertical="center"/>
    </xf>
    <xf numFmtId="0" fontId="21" fillId="15" borderId="20" xfId="16" applyFont="1" applyFill="1" applyBorder="1" applyAlignment="1">
      <alignment vertical="center" wrapText="1"/>
    </xf>
    <xf numFmtId="0" fontId="21" fillId="0" borderId="22" xfId="16" applyFont="1" applyBorder="1" applyAlignment="1">
      <alignment horizontal="center" vertical="center"/>
    </xf>
    <xf numFmtId="49" fontId="21" fillId="0" borderId="24" xfId="16" applyNumberFormat="1" applyFont="1" applyBorder="1" applyAlignment="1">
      <alignment horizontal="center" vertical="center"/>
    </xf>
    <xf numFmtId="0" fontId="21" fillId="0" borderId="24" xfId="16" applyFont="1" applyBorder="1" applyAlignment="1">
      <alignment vertical="center" wrapText="1"/>
    </xf>
    <xf numFmtId="0" fontId="21" fillId="15" borderId="13" xfId="16" applyFont="1" applyFill="1" applyBorder="1" applyAlignment="1">
      <alignment horizontal="center" vertical="center"/>
    </xf>
    <xf numFmtId="49" fontId="21" fillId="15" borderId="15" xfId="16" applyNumberFormat="1" applyFont="1" applyFill="1" applyBorder="1" applyAlignment="1">
      <alignment horizontal="center" vertical="center"/>
    </xf>
    <xf numFmtId="0" fontId="21" fillId="15" borderId="15" xfId="16" applyFont="1" applyFill="1" applyBorder="1" applyAlignment="1">
      <alignment vertical="center" wrapText="1"/>
    </xf>
    <xf numFmtId="0" fontId="21" fillId="15" borderId="15" xfId="16" applyFont="1" applyFill="1" applyBorder="1" applyAlignment="1">
      <alignment horizontal="left" vertical="center"/>
    </xf>
    <xf numFmtId="0" fontId="21" fillId="15" borderId="22" xfId="16" applyFont="1" applyFill="1" applyBorder="1" applyAlignment="1">
      <alignment horizontal="center" vertical="center"/>
    </xf>
    <xf numFmtId="49" fontId="21" fillId="15" borderId="24" xfId="16" applyNumberFormat="1" applyFont="1" applyFill="1" applyBorder="1" applyAlignment="1">
      <alignment horizontal="center" vertical="center"/>
    </xf>
    <xf numFmtId="0" fontId="21" fillId="15" borderId="24" xfId="16" applyFont="1" applyFill="1" applyBorder="1" applyAlignment="1">
      <alignment vertical="center" wrapText="1"/>
    </xf>
    <xf numFmtId="0" fontId="21" fillId="15" borderId="24" xfId="16" applyFont="1" applyFill="1" applyBorder="1" applyAlignment="1">
      <alignment horizontal="left" vertical="center"/>
    </xf>
    <xf numFmtId="0" fontId="21" fillId="15" borderId="55" xfId="16" applyFont="1" applyFill="1" applyBorder="1" applyAlignment="1">
      <alignment horizontal="center" vertical="center"/>
    </xf>
    <xf numFmtId="49" fontId="21" fillId="15" borderId="26" xfId="16" applyNumberFormat="1" applyFont="1" applyFill="1" applyBorder="1" applyAlignment="1">
      <alignment horizontal="center" vertical="center"/>
    </xf>
    <xf numFmtId="0" fontId="21" fillId="15" borderId="26" xfId="16" applyFont="1" applyFill="1" applyBorder="1" applyAlignment="1">
      <alignment vertical="center" wrapText="1"/>
    </xf>
    <xf numFmtId="9" fontId="21" fillId="15" borderId="26" xfId="16" applyNumberFormat="1" applyFont="1" applyFill="1" applyBorder="1" applyAlignment="1">
      <alignment horizontal="left" vertical="center"/>
    </xf>
    <xf numFmtId="175" fontId="21" fillId="15" borderId="26" xfId="16" applyNumberFormat="1" applyFont="1" applyFill="1" applyBorder="1" applyAlignment="1">
      <alignment horizontal="center" vertical="center"/>
    </xf>
    <xf numFmtId="0" fontId="21" fillId="0" borderId="55" xfId="16" applyFont="1" applyBorder="1" applyAlignment="1">
      <alignment horizontal="center" vertical="center"/>
    </xf>
    <xf numFmtId="49" fontId="21" fillId="0" borderId="26" xfId="16" applyNumberFormat="1" applyFont="1" applyBorder="1" applyAlignment="1">
      <alignment horizontal="center" vertical="center"/>
    </xf>
    <xf numFmtId="0" fontId="21" fillId="0" borderId="26" xfId="16" applyFont="1" applyBorder="1" applyAlignment="1">
      <alignment vertical="center" wrapText="1"/>
    </xf>
    <xf numFmtId="9" fontId="21" fillId="0" borderId="25" xfId="16" applyNumberFormat="1" applyFont="1" applyBorder="1" applyAlignment="1">
      <alignment horizontal="left" vertical="center"/>
    </xf>
    <xf numFmtId="175" fontId="21" fillId="15" borderId="24" xfId="16" applyNumberFormat="1" applyFont="1" applyFill="1" applyBorder="1" applyAlignment="1">
      <alignment horizontal="center" vertical="center"/>
    </xf>
    <xf numFmtId="175" fontId="21" fillId="15" borderId="15" xfId="16" applyNumberFormat="1" applyFont="1" applyFill="1" applyBorder="1" applyAlignment="1">
      <alignment horizontal="center" vertical="center" wrapText="1"/>
    </xf>
    <xf numFmtId="0" fontId="21" fillId="15" borderId="58" xfId="16" applyFont="1" applyFill="1" applyBorder="1" applyAlignment="1">
      <alignment horizontal="center" vertical="center"/>
    </xf>
    <xf numFmtId="49" fontId="21" fillId="15" borderId="46" xfId="16" applyNumberFormat="1" applyFont="1" applyFill="1" applyBorder="1" applyAlignment="1">
      <alignment horizontal="center" vertical="center"/>
    </xf>
    <xf numFmtId="0" fontId="21" fillId="15" borderId="46" xfId="16" applyFont="1" applyFill="1" applyBorder="1" applyAlignment="1">
      <alignment vertical="center" wrapText="1"/>
    </xf>
    <xf numFmtId="0" fontId="21" fillId="15" borderId="46" xfId="16" applyFont="1" applyFill="1" applyBorder="1" applyAlignment="1">
      <alignment horizontal="left" vertical="center"/>
    </xf>
    <xf numFmtId="175" fontId="21" fillId="15" borderId="46" xfId="16" applyNumberFormat="1" applyFont="1" applyFill="1" applyBorder="1" applyAlignment="1">
      <alignment horizontal="center" vertical="center"/>
    </xf>
    <xf numFmtId="0" fontId="17" fillId="17" borderId="25" xfId="0" applyFont="1" applyFill="1" applyBorder="1" applyAlignment="1">
      <alignment horizontal="center" vertical="center" wrapText="1"/>
    </xf>
    <xf numFmtId="0" fontId="18" fillId="17" borderId="24" xfId="0" applyFont="1" applyFill="1" applyBorder="1" applyAlignment="1">
      <alignment horizontal="center" vertical="center" wrapText="1"/>
    </xf>
    <xf numFmtId="175" fontId="18" fillId="17" borderId="52" xfId="1" applyNumberFormat="1" applyFont="1" applyFill="1" applyBorder="1" applyAlignment="1">
      <alignment horizontal="right" vertical="center"/>
    </xf>
    <xf numFmtId="175" fontId="17" fillId="17" borderId="3" xfId="5" applyNumberFormat="1" applyFont="1" applyFill="1" applyBorder="1" applyAlignment="1">
      <alignment horizontal="center" vertical="center" wrapText="1"/>
    </xf>
    <xf numFmtId="0" fontId="17" fillId="17" borderId="3" xfId="0" applyFont="1" applyFill="1" applyBorder="1" applyAlignment="1">
      <alignment horizontal="center" vertical="center"/>
    </xf>
    <xf numFmtId="41" fontId="18" fillId="17" borderId="25" xfId="0" applyNumberFormat="1" applyFont="1" applyFill="1" applyBorder="1" applyAlignment="1">
      <alignment horizontal="right" vertical="center"/>
    </xf>
    <xf numFmtId="169" fontId="18" fillId="17" borderId="40" xfId="0" applyNumberFormat="1" applyFont="1" applyFill="1" applyBorder="1" applyAlignment="1">
      <alignment horizontal="right" vertical="center"/>
    </xf>
    <xf numFmtId="175" fontId="17" fillId="17" borderId="52" xfId="5" applyNumberFormat="1" applyFont="1" applyFill="1" applyBorder="1" applyAlignment="1">
      <alignment horizontal="center" vertical="center"/>
    </xf>
    <xf numFmtId="41" fontId="18" fillId="17" borderId="29" xfId="0" applyNumberFormat="1" applyFont="1" applyFill="1" applyBorder="1" applyAlignment="1">
      <alignment horizontal="right" vertical="center"/>
    </xf>
    <xf numFmtId="41" fontId="18" fillId="17" borderId="21" xfId="0" applyNumberFormat="1" applyFont="1" applyFill="1" applyBorder="1" applyAlignment="1">
      <alignment horizontal="right" vertical="center"/>
    </xf>
    <xf numFmtId="169" fontId="18" fillId="17" borderId="18" xfId="0" applyNumberFormat="1" applyFont="1" applyFill="1" applyBorder="1" applyAlignment="1">
      <alignment horizontal="right" vertical="center"/>
    </xf>
    <xf numFmtId="168" fontId="18" fillId="17" borderId="51" xfId="1" applyNumberFormat="1" applyFont="1" applyFill="1" applyBorder="1" applyAlignment="1">
      <alignment horizontal="right" vertical="center"/>
    </xf>
    <xf numFmtId="14" fontId="17" fillId="17" borderId="13" xfId="5" applyNumberFormat="1" applyFont="1" applyFill="1" applyBorder="1" applyAlignment="1">
      <alignment horizontal="center" vertical="center" wrapText="1"/>
    </xf>
    <xf numFmtId="14" fontId="18" fillId="17" borderId="16" xfId="0" quotePrefix="1" applyNumberFormat="1" applyFont="1" applyFill="1" applyBorder="1" applyAlignment="1">
      <alignment horizontal="center" vertical="center" wrapText="1"/>
    </xf>
    <xf numFmtId="164" fontId="17" fillId="17" borderId="64" xfId="1" applyFont="1" applyFill="1" applyBorder="1" applyAlignment="1">
      <alignment horizontal="right" vertical="center" wrapText="1"/>
    </xf>
    <xf numFmtId="0" fontId="17" fillId="17" borderId="23" xfId="0" applyFont="1" applyFill="1" applyBorder="1" applyAlignment="1">
      <alignment horizontal="center" vertical="center"/>
    </xf>
    <xf numFmtId="175" fontId="17" fillId="17" borderId="25" xfId="5" applyNumberFormat="1" applyFont="1" applyFill="1" applyBorder="1" applyAlignment="1">
      <alignment horizontal="center" vertical="center"/>
    </xf>
    <xf numFmtId="14" fontId="17" fillId="17" borderId="40" xfId="0" quotePrefix="1" applyNumberFormat="1" applyFont="1" applyFill="1" applyBorder="1" applyAlignment="1">
      <alignment horizontal="center" vertical="center" wrapText="1"/>
    </xf>
    <xf numFmtId="164" fontId="17" fillId="17" borderId="0" xfId="1" applyFont="1" applyFill="1" applyAlignment="1">
      <alignment horizontal="right" vertical="center" wrapText="1"/>
    </xf>
    <xf numFmtId="164" fontId="17" fillId="17" borderId="18" xfId="1" applyFont="1" applyFill="1" applyBorder="1" applyAlignment="1">
      <alignment horizontal="center" vertical="center" wrapText="1"/>
    </xf>
    <xf numFmtId="175" fontId="17" fillId="17" borderId="31" xfId="5" applyNumberFormat="1" applyFont="1" applyFill="1" applyBorder="1" applyAlignment="1">
      <alignment horizontal="center" vertical="center"/>
    </xf>
    <xf numFmtId="14" fontId="18" fillId="17" borderId="20" xfId="0" quotePrefix="1" applyNumberFormat="1" applyFont="1" applyFill="1" applyBorder="1" applyAlignment="1">
      <alignment horizontal="center" vertical="center" wrapText="1"/>
    </xf>
    <xf numFmtId="164" fontId="17" fillId="17" borderId="31" xfId="1" applyFont="1" applyFill="1" applyBorder="1" applyAlignment="1">
      <alignment horizontal="right" vertical="center" wrapText="1"/>
    </xf>
    <xf numFmtId="164" fontId="17" fillId="17" borderId="30" xfId="1" applyFont="1" applyFill="1" applyBorder="1" applyAlignment="1">
      <alignment horizontal="center" vertical="center" wrapText="1"/>
    </xf>
    <xf numFmtId="14" fontId="17" fillId="17" borderId="29" xfId="0" quotePrefix="1" applyNumberFormat="1" applyFont="1" applyFill="1" applyBorder="1" applyAlignment="1">
      <alignment horizontal="center" vertical="center" wrapText="1"/>
    </xf>
    <xf numFmtId="41" fontId="18" fillId="17" borderId="3" xfId="0" applyNumberFormat="1" applyFont="1" applyFill="1" applyBorder="1" applyAlignment="1">
      <alignment horizontal="right" vertical="center"/>
    </xf>
    <xf numFmtId="41" fontId="18" fillId="17" borderId="1" xfId="0" applyNumberFormat="1" applyFont="1" applyFill="1" applyBorder="1" applyAlignment="1">
      <alignment horizontal="right" vertical="center"/>
    </xf>
    <xf numFmtId="166" fontId="12" fillId="0" borderId="81" xfId="0" applyNumberFormat="1" applyFont="1" applyBorder="1" applyAlignment="1">
      <alignment horizontal="center" vertical="center" shrinkToFit="1"/>
    </xf>
    <xf numFmtId="0" fontId="12" fillId="6" borderId="46" xfId="10" applyFont="1" applyFill="1" applyBorder="1" applyAlignment="1">
      <alignment horizontal="center" vertical="center"/>
    </xf>
    <xf numFmtId="175" fontId="12" fillId="6" borderId="136" xfId="10" applyNumberFormat="1" applyFont="1" applyFill="1" applyBorder="1" applyAlignment="1">
      <alignment horizontal="center" vertical="center"/>
    </xf>
    <xf numFmtId="0" fontId="11" fillId="0" borderId="46" xfId="9" applyFont="1" applyBorder="1">
      <alignment vertical="center"/>
    </xf>
    <xf numFmtId="14" fontId="12" fillId="0" borderId="59" xfId="7" applyNumberFormat="1" applyFont="1" applyBorder="1">
      <alignment vertical="center"/>
    </xf>
    <xf numFmtId="14" fontId="18" fillId="17" borderId="26" xfId="0" quotePrefix="1" applyNumberFormat="1" applyFont="1" applyFill="1" applyBorder="1" applyAlignment="1">
      <alignment horizontal="center" vertical="center" wrapText="1"/>
    </xf>
    <xf numFmtId="175" fontId="10" fillId="17" borderId="52" xfId="0" applyNumberFormat="1" applyFont="1" applyFill="1" applyBorder="1" applyAlignment="1">
      <alignment horizontal="center" vertical="center"/>
    </xf>
    <xf numFmtId="175" fontId="10" fillId="17" borderId="3" xfId="0" applyNumberFormat="1" applyFont="1" applyFill="1" applyBorder="1" applyAlignment="1">
      <alignment horizontal="center" vertical="center"/>
    </xf>
    <xf numFmtId="175" fontId="12" fillId="17" borderId="1" xfId="0" applyNumberFormat="1" applyFont="1" applyFill="1" applyBorder="1" applyAlignment="1">
      <alignment horizontal="center" vertical="center"/>
    </xf>
    <xf numFmtId="175" fontId="21" fillId="17" borderId="15" xfId="16" applyNumberFormat="1" applyFont="1" applyFill="1" applyBorder="1" applyAlignment="1">
      <alignment horizontal="center" vertical="center" wrapText="1"/>
    </xf>
    <xf numFmtId="0" fontId="12" fillId="17" borderId="81" xfId="0" applyFont="1" applyFill="1" applyBorder="1" applyAlignment="1">
      <alignment horizontal="left" vertical="center" shrinkToFit="1"/>
    </xf>
    <xf numFmtId="175" fontId="12" fillId="17" borderId="81" xfId="0" applyNumberFormat="1" applyFont="1" applyFill="1" applyBorder="1" applyAlignment="1">
      <alignment horizontal="center" vertical="center" shrinkToFit="1"/>
    </xf>
    <xf numFmtId="164" fontId="12" fillId="17" borderId="81" xfId="1" applyFont="1" applyFill="1" applyBorder="1" applyAlignment="1">
      <alignment horizontal="right" vertical="center" shrinkToFit="1"/>
    </xf>
    <xf numFmtId="173" fontId="12" fillId="17" borderId="5" xfId="0" applyNumberFormat="1" applyFont="1" applyFill="1" applyBorder="1" applyAlignment="1">
      <alignment horizontal="center" vertical="center" wrapText="1" shrinkToFit="1"/>
    </xf>
    <xf numFmtId="0" fontId="12" fillId="17" borderId="81" xfId="0" applyFont="1" applyFill="1" applyBorder="1" applyAlignment="1">
      <alignment horizontal="center" vertical="center" shrinkToFit="1"/>
    </xf>
    <xf numFmtId="0" fontId="12" fillId="17" borderId="5" xfId="0" quotePrefix="1" applyFont="1" applyFill="1" applyBorder="1" applyAlignment="1">
      <alignment horizontal="left" vertical="center" shrinkToFit="1"/>
    </xf>
    <xf numFmtId="49" fontId="12" fillId="17" borderId="5" xfId="0" applyNumberFormat="1" applyFont="1" applyFill="1" applyBorder="1" applyAlignment="1">
      <alignment horizontal="right" vertical="center" shrinkToFit="1"/>
    </xf>
    <xf numFmtId="0" fontId="12" fillId="17" borderId="5" xfId="0" applyFont="1" applyFill="1" applyBorder="1" applyAlignment="1">
      <alignment horizontal="center" vertical="center" wrapText="1" shrinkToFit="1"/>
    </xf>
    <xf numFmtId="164" fontId="12" fillId="17" borderId="5" xfId="1" applyFont="1" applyFill="1" applyBorder="1" applyAlignment="1">
      <alignment horizontal="right" vertical="center" shrinkToFit="1"/>
    </xf>
    <xf numFmtId="175" fontId="12" fillId="17" borderId="5" xfId="0" applyNumberFormat="1" applyFont="1" applyFill="1" applyBorder="1" applyAlignment="1">
      <alignment horizontal="center" vertical="center" wrapText="1" shrinkToFit="1"/>
    </xf>
    <xf numFmtId="49" fontId="12" fillId="17" borderId="5" xfId="0" applyNumberFormat="1" applyFont="1" applyFill="1" applyBorder="1" applyAlignment="1">
      <alignment horizontal="center" vertical="center" wrapText="1" shrinkToFit="1"/>
    </xf>
    <xf numFmtId="175" fontId="12" fillId="17" borderId="5" xfId="1" applyNumberFormat="1" applyFont="1" applyFill="1" applyBorder="1" applyAlignment="1">
      <alignment horizontal="right" vertical="center" shrinkToFit="1"/>
    </xf>
    <xf numFmtId="14" fontId="12" fillId="17" borderId="5" xfId="0" applyNumberFormat="1" applyFont="1" applyFill="1" applyBorder="1" applyAlignment="1">
      <alignment horizontal="center" vertical="center" shrinkToFit="1"/>
    </xf>
    <xf numFmtId="175" fontId="12" fillId="17" borderId="81" xfId="1" applyNumberFormat="1" applyFont="1" applyFill="1" applyBorder="1" applyAlignment="1">
      <alignment horizontal="right" vertical="center" shrinkToFit="1"/>
    </xf>
    <xf numFmtId="175" fontId="12" fillId="17" borderId="81" xfId="0" applyNumberFormat="1" applyFont="1" applyFill="1" applyBorder="1" applyAlignment="1">
      <alignment horizontal="left" vertical="center" shrinkToFit="1"/>
    </xf>
    <xf numFmtId="175" fontId="12" fillId="17" borderId="5" xfId="0" applyNumberFormat="1" applyFont="1" applyFill="1" applyBorder="1" applyAlignment="1">
      <alignment horizontal="left" vertical="center" shrinkToFit="1"/>
    </xf>
    <xf numFmtId="164" fontId="12" fillId="17" borderId="81" xfId="1" applyFont="1" applyFill="1" applyBorder="1" applyAlignment="1">
      <alignment vertical="center" shrinkToFit="1"/>
    </xf>
    <xf numFmtId="173" fontId="12" fillId="17" borderId="81" xfId="0" applyNumberFormat="1" applyFont="1" applyFill="1" applyBorder="1" applyAlignment="1">
      <alignment horizontal="center" vertical="center" shrinkToFit="1"/>
    </xf>
    <xf numFmtId="49" fontId="12" fillId="17" borderId="5" xfId="0" applyNumberFormat="1" applyFont="1" applyFill="1" applyBorder="1" applyAlignment="1">
      <alignment vertical="center" shrinkToFit="1"/>
    </xf>
    <xf numFmtId="164" fontId="17" fillId="17" borderId="18" xfId="1" applyFont="1" applyFill="1" applyBorder="1" applyAlignment="1">
      <alignment horizontal="right" vertical="center" wrapText="1"/>
    </xf>
    <xf numFmtId="0" fontId="17" fillId="17" borderId="23" xfId="1" applyNumberFormat="1" applyFont="1" applyFill="1" applyBorder="1" applyAlignment="1">
      <alignment horizontal="right" vertical="center"/>
    </xf>
    <xf numFmtId="0" fontId="18" fillId="17" borderId="118" xfId="0" applyFont="1" applyFill="1" applyBorder="1" applyAlignment="1">
      <alignment horizontal="center" vertical="center" wrapText="1"/>
    </xf>
    <xf numFmtId="0" fontId="17" fillId="17" borderId="118" xfId="0" applyFont="1" applyFill="1" applyBorder="1" applyAlignment="1">
      <alignment horizontal="center" vertical="center" wrapText="1"/>
    </xf>
    <xf numFmtId="168" fontId="18" fillId="17" borderId="148" xfId="1" applyNumberFormat="1" applyFont="1" applyFill="1" applyBorder="1" applyAlignment="1">
      <alignment horizontal="right" vertical="center"/>
    </xf>
    <xf numFmtId="168" fontId="18" fillId="17" borderId="146" xfId="1" applyNumberFormat="1" applyFont="1" applyFill="1" applyBorder="1" applyAlignment="1">
      <alignment horizontal="right" vertical="center"/>
    </xf>
    <xf numFmtId="175" fontId="18" fillId="17" borderId="121" xfId="5" applyNumberFormat="1" applyFont="1" applyFill="1" applyBorder="1" applyAlignment="1">
      <alignment horizontal="center" vertical="center" wrapText="1"/>
    </xf>
    <xf numFmtId="14" fontId="18" fillId="17" borderId="118" xfId="0" quotePrefix="1" applyNumberFormat="1" applyFont="1" applyFill="1" applyBorder="1" applyAlignment="1">
      <alignment horizontal="center" vertical="center" wrapText="1"/>
    </xf>
    <xf numFmtId="164" fontId="17" fillId="17" borderId="122" xfId="1" applyFont="1" applyFill="1" applyBorder="1" applyAlignment="1">
      <alignment horizontal="right" vertical="center" wrapText="1"/>
    </xf>
    <xf numFmtId="164" fontId="17" fillId="17" borderId="122" xfId="1" applyFont="1" applyFill="1" applyBorder="1" applyAlignment="1">
      <alignment horizontal="center" vertical="center" wrapText="1"/>
    </xf>
    <xf numFmtId="164" fontId="17" fillId="17" borderId="118" xfId="1" applyFont="1" applyFill="1" applyBorder="1" applyAlignment="1">
      <alignment horizontal="right" vertical="center" wrapText="1"/>
    </xf>
    <xf numFmtId="0" fontId="18" fillId="17" borderId="120" xfId="1" applyNumberFormat="1" applyFont="1" applyFill="1" applyBorder="1" applyAlignment="1">
      <alignment horizontal="center" vertical="center"/>
    </xf>
    <xf numFmtId="164" fontId="18" fillId="17" borderId="121" xfId="1" applyFont="1" applyFill="1" applyBorder="1" applyAlignment="1">
      <alignment horizontal="right" vertical="center"/>
    </xf>
    <xf numFmtId="164" fontId="17" fillId="17" borderId="121" xfId="1" applyFont="1" applyFill="1" applyBorder="1" applyAlignment="1">
      <alignment horizontal="right" vertical="center"/>
    </xf>
    <xf numFmtId="164" fontId="17" fillId="17" borderId="119" xfId="1" applyFont="1" applyFill="1" applyBorder="1" applyAlignment="1">
      <alignment horizontal="right" vertical="center"/>
    </xf>
    <xf numFmtId="168" fontId="18" fillId="17" borderId="118" xfId="1" applyNumberFormat="1" applyFont="1" applyFill="1" applyBorder="1" applyAlignment="1">
      <alignment horizontal="right" vertical="center"/>
    </xf>
    <xf numFmtId="168" fontId="18" fillId="17" borderId="119" xfId="1" applyNumberFormat="1" applyFont="1" applyFill="1" applyBorder="1" applyAlignment="1">
      <alignment horizontal="right" vertical="center"/>
    </xf>
    <xf numFmtId="0" fontId="17" fillId="17" borderId="120" xfId="0" applyFont="1" applyFill="1" applyBorder="1" applyAlignment="1">
      <alignment horizontal="center" vertical="center"/>
    </xf>
    <xf numFmtId="175" fontId="18" fillId="17" borderId="118" xfId="5" applyNumberFormat="1" applyFont="1" applyFill="1" applyBorder="1" applyAlignment="1">
      <alignment horizontal="center" vertical="center"/>
    </xf>
    <xf numFmtId="14" fontId="17" fillId="17" borderId="122" xfId="0" quotePrefix="1" applyNumberFormat="1" applyFont="1" applyFill="1" applyBorder="1" applyAlignment="1">
      <alignment horizontal="center" vertical="center" wrapText="1"/>
    </xf>
    <xf numFmtId="0" fontId="17" fillId="17" borderId="120" xfId="1" applyNumberFormat="1" applyFont="1" applyFill="1" applyBorder="1" applyAlignment="1">
      <alignment horizontal="center" vertical="center"/>
    </xf>
    <xf numFmtId="14" fontId="17" fillId="17" borderId="143" xfId="5" applyNumberFormat="1" applyFont="1" applyFill="1" applyBorder="1" applyAlignment="1">
      <alignment horizontal="center" vertical="center" wrapText="1"/>
    </xf>
    <xf numFmtId="14" fontId="17" fillId="17" borderId="55" xfId="5" applyNumberFormat="1" applyFont="1" applyFill="1" applyBorder="1" applyAlignment="1">
      <alignment vertical="center" wrapText="1"/>
    </xf>
    <xf numFmtId="175" fontId="18" fillId="17" borderId="26" xfId="5" applyNumberFormat="1" applyFont="1" applyFill="1" applyBorder="1" applyAlignment="1">
      <alignment horizontal="center" vertical="center"/>
    </xf>
    <xf numFmtId="0" fontId="17" fillId="17" borderId="32" xfId="0" applyFont="1" applyFill="1" applyBorder="1" applyAlignment="1">
      <alignment horizontal="center" vertical="center" wrapText="1"/>
    </xf>
    <xf numFmtId="0" fontId="17" fillId="17" borderId="3" xfId="0" applyFont="1" applyFill="1" applyBorder="1" applyAlignment="1">
      <alignment horizontal="center" vertical="center" wrapText="1"/>
    </xf>
    <xf numFmtId="0" fontId="12" fillId="17" borderId="15" xfId="7" applyFont="1" applyFill="1" applyBorder="1" applyAlignment="1">
      <alignment horizontal="center" vertical="center"/>
    </xf>
    <xf numFmtId="49" fontId="12" fillId="17" borderId="15" xfId="7" applyNumberFormat="1" applyFont="1" applyFill="1" applyBorder="1" applyAlignment="1">
      <alignment horizontal="center" vertical="center"/>
    </xf>
    <xf numFmtId="171" fontId="12" fillId="17" borderId="15" xfId="7" applyNumberFormat="1" applyFont="1" applyFill="1" applyBorder="1">
      <alignment vertical="center"/>
    </xf>
    <xf numFmtId="0" fontId="12" fillId="17" borderId="15" xfId="10" applyFont="1" applyFill="1" applyBorder="1" applyAlignment="1">
      <alignment horizontal="center" vertical="center"/>
    </xf>
    <xf numFmtId="0" fontId="12" fillId="17" borderId="15" xfId="7" applyFont="1" applyFill="1" applyBorder="1">
      <alignment vertical="center"/>
    </xf>
    <xf numFmtId="0" fontId="12" fillId="17" borderId="15" xfId="10" applyFont="1" applyFill="1" applyBorder="1" applyAlignment="1">
      <alignment horizontal="left" vertical="center"/>
    </xf>
    <xf numFmtId="175" fontId="12" fillId="17" borderId="15" xfId="10" applyNumberFormat="1" applyFont="1" applyFill="1" applyBorder="1" applyAlignment="1">
      <alignment horizontal="center" vertical="center"/>
    </xf>
    <xf numFmtId="0" fontId="12" fillId="17" borderId="15" xfId="10" applyFont="1" applyFill="1" applyBorder="1" applyAlignment="1">
      <alignment horizontal="left" vertical="center" wrapText="1"/>
    </xf>
    <xf numFmtId="0" fontId="12" fillId="17" borderId="15" xfId="7" applyFont="1" applyFill="1" applyBorder="1" applyAlignment="1">
      <alignment vertical="center" wrapText="1"/>
    </xf>
    <xf numFmtId="0" fontId="12" fillId="17" borderId="15" xfId="7" applyFont="1" applyFill="1" applyBorder="1" applyAlignment="1">
      <alignment horizontal="left" vertical="center" wrapText="1"/>
    </xf>
    <xf numFmtId="172" fontId="12" fillId="17" borderId="15" xfId="7" applyNumberFormat="1" applyFont="1" applyFill="1" applyBorder="1" applyAlignment="1">
      <alignment horizontal="right" vertical="center"/>
    </xf>
    <xf numFmtId="175" fontId="12" fillId="17" borderId="19" xfId="7" applyNumberFormat="1" applyFont="1" applyFill="1" applyBorder="1" applyAlignment="1">
      <alignment horizontal="center" vertical="center"/>
    </xf>
    <xf numFmtId="175" fontId="12" fillId="17" borderId="15" xfId="7" applyNumberFormat="1" applyFont="1" applyFill="1" applyBorder="1" applyAlignment="1">
      <alignment horizontal="center" vertical="center"/>
    </xf>
    <xf numFmtId="0" fontId="12" fillId="17" borderId="19" xfId="7" applyFont="1" applyFill="1" applyBorder="1">
      <alignment vertical="center"/>
    </xf>
    <xf numFmtId="0" fontId="12" fillId="17" borderId="19" xfId="7" applyFont="1" applyFill="1" applyBorder="1" applyAlignment="1">
      <alignment horizontal="center" vertical="center"/>
    </xf>
    <xf numFmtId="171" fontId="12" fillId="17" borderId="19" xfId="7" applyNumberFormat="1" applyFont="1" applyFill="1" applyBorder="1">
      <alignment vertical="center"/>
    </xf>
    <xf numFmtId="0" fontId="12" fillId="17" borderId="19" xfId="10" applyFont="1" applyFill="1" applyBorder="1" applyAlignment="1">
      <alignment horizontal="center" vertical="center"/>
    </xf>
    <xf numFmtId="0" fontId="12" fillId="17" borderId="19" xfId="10" applyFont="1" applyFill="1" applyBorder="1" applyAlignment="1">
      <alignment horizontal="left" vertical="center"/>
    </xf>
    <xf numFmtId="175" fontId="12" fillId="17" borderId="19" xfId="10" applyNumberFormat="1" applyFont="1" applyFill="1" applyBorder="1" applyAlignment="1">
      <alignment horizontal="center" vertical="center"/>
    </xf>
    <xf numFmtId="0" fontId="12" fillId="17" borderId="19" xfId="10" applyFont="1" applyFill="1" applyBorder="1" applyAlignment="1">
      <alignment horizontal="left" vertical="center" wrapText="1"/>
    </xf>
    <xf numFmtId="14" fontId="12" fillId="17" borderId="19" xfId="7" applyNumberFormat="1" applyFont="1" applyFill="1" applyBorder="1">
      <alignment vertical="center"/>
    </xf>
    <xf numFmtId="0" fontId="12" fillId="17" borderId="19" xfId="7" applyFont="1" applyFill="1" applyBorder="1" applyAlignment="1">
      <alignment horizontal="left" vertical="center"/>
    </xf>
    <xf numFmtId="49" fontId="12" fillId="17" borderId="19" xfId="7" applyNumberFormat="1" applyFont="1" applyFill="1" applyBorder="1" applyAlignment="1">
      <alignment horizontal="center" vertical="center"/>
    </xf>
    <xf numFmtId="175" fontId="12" fillId="17" borderId="19" xfId="10" applyNumberFormat="1" applyFont="1" applyFill="1" applyBorder="1" applyAlignment="1">
      <alignment horizontal="left" vertical="center"/>
    </xf>
    <xf numFmtId="172" fontId="12" fillId="17" borderId="19" xfId="7" applyNumberFormat="1" applyFont="1" applyFill="1" applyBorder="1" applyAlignment="1">
      <alignment horizontal="right" vertical="center"/>
    </xf>
    <xf numFmtId="0" fontId="12" fillId="17" borderId="19" xfId="7" applyFont="1" applyFill="1" applyBorder="1" applyAlignment="1">
      <alignment horizontal="right" vertical="center"/>
    </xf>
    <xf numFmtId="0" fontId="12" fillId="17" borderId="24" xfId="7" applyFont="1" applyFill="1" applyBorder="1">
      <alignment vertical="center"/>
    </xf>
    <xf numFmtId="171" fontId="12" fillId="17" borderId="24" xfId="7" applyNumberFormat="1" applyFont="1" applyFill="1" applyBorder="1">
      <alignment vertical="center"/>
    </xf>
    <xf numFmtId="0" fontId="12" fillId="17" borderId="24" xfId="10" applyFont="1" applyFill="1" applyBorder="1" applyAlignment="1">
      <alignment horizontal="left" vertical="center"/>
    </xf>
    <xf numFmtId="175" fontId="12" fillId="17" borderId="24" xfId="10" applyNumberFormat="1" applyFont="1" applyFill="1" applyBorder="1" applyAlignment="1">
      <alignment horizontal="center" vertical="center"/>
    </xf>
    <xf numFmtId="0" fontId="12" fillId="17" borderId="24" xfId="10" applyFont="1" applyFill="1" applyBorder="1">
      <alignment vertical="center"/>
    </xf>
    <xf numFmtId="14" fontId="12" fillId="17" borderId="24" xfId="10" applyNumberFormat="1" applyFont="1" applyFill="1" applyBorder="1">
      <alignment vertical="center"/>
    </xf>
    <xf numFmtId="175" fontId="12" fillId="17" borderId="24" xfId="7" applyNumberFormat="1" applyFont="1" applyFill="1" applyBorder="1" applyAlignment="1">
      <alignment horizontal="center" vertical="center"/>
    </xf>
    <xf numFmtId="0" fontId="12" fillId="17" borderId="24" xfId="7" applyFont="1" applyFill="1" applyBorder="1" applyAlignment="1">
      <alignment horizontal="left" vertical="center"/>
    </xf>
    <xf numFmtId="0" fontId="12" fillId="17" borderId="24" xfId="7" applyFont="1" applyFill="1" applyBorder="1" applyAlignment="1">
      <alignment horizontal="center" vertical="center"/>
    </xf>
    <xf numFmtId="0" fontId="12" fillId="17" borderId="24" xfId="7" applyFont="1" applyFill="1" applyBorder="1" applyAlignment="1">
      <alignment horizontal="right" vertical="center"/>
    </xf>
    <xf numFmtId="172" fontId="12" fillId="17" borderId="24" xfId="7" applyNumberFormat="1" applyFont="1" applyFill="1" applyBorder="1" applyAlignment="1">
      <alignment horizontal="right" vertical="center"/>
    </xf>
    <xf numFmtId="49" fontId="12" fillId="17" borderId="24" xfId="7" applyNumberFormat="1" applyFont="1" applyFill="1" applyBorder="1" applyAlignment="1">
      <alignment horizontal="center" vertical="center"/>
    </xf>
    <xf numFmtId="175" fontId="18" fillId="17" borderId="118" xfId="0" applyNumberFormat="1" applyFont="1" applyFill="1" applyBorder="1" applyAlignment="1">
      <alignment horizontal="center" vertical="center"/>
    </xf>
    <xf numFmtId="175" fontId="17" fillId="17" borderId="118" xfId="0" applyNumberFormat="1" applyFont="1" applyFill="1" applyBorder="1" applyAlignment="1">
      <alignment horizontal="center" vertical="center"/>
    </xf>
    <xf numFmtId="175" fontId="12" fillId="0" borderId="97" xfId="0" applyNumberFormat="1" applyFont="1" applyBorder="1" applyAlignment="1">
      <alignment horizontal="center" vertical="center"/>
    </xf>
    <xf numFmtId="0" fontId="33" fillId="4" borderId="78" xfId="0" applyFont="1" applyFill="1" applyBorder="1" applyAlignment="1">
      <alignment horizontal="left" vertical="center"/>
    </xf>
    <xf numFmtId="0" fontId="12" fillId="0" borderId="0" xfId="0" applyFont="1">
      <alignment vertical="center"/>
    </xf>
    <xf numFmtId="0" fontId="12" fillId="0" borderId="30" xfId="7" applyFont="1" applyBorder="1" applyAlignment="1">
      <alignment horizontal="left" vertical="center"/>
    </xf>
    <xf numFmtId="175" fontId="12" fillId="6" borderId="19" xfId="10" applyNumberFormat="1" applyFont="1" applyFill="1" applyBorder="1" applyAlignment="1">
      <alignment horizontal="left" vertical="center" wrapText="1"/>
    </xf>
    <xf numFmtId="175" fontId="12" fillId="0" borderId="32" xfId="7" applyNumberFormat="1" applyFont="1" applyBorder="1" applyAlignment="1">
      <alignment horizontal="left" vertical="center"/>
    </xf>
    <xf numFmtId="175" fontId="18" fillId="0" borderId="19" xfId="0" applyNumberFormat="1" applyFont="1" applyBorder="1" applyAlignment="1">
      <alignment horizontal="center" vertical="center"/>
    </xf>
    <xf numFmtId="0" fontId="12" fillId="0" borderId="26" xfId="8" applyFont="1" applyBorder="1" applyAlignment="1">
      <alignment horizontal="center" vertical="center" wrapText="1"/>
    </xf>
    <xf numFmtId="175" fontId="12" fillId="0" borderId="38" xfId="10" applyNumberFormat="1" applyFont="1" applyBorder="1" applyAlignment="1">
      <alignment horizontal="center" vertical="center" wrapText="1"/>
    </xf>
    <xf numFmtId="0" fontId="12" fillId="6" borderId="30" xfId="10" applyFont="1" applyFill="1" applyBorder="1" applyAlignment="1">
      <alignment horizontal="left" vertical="center"/>
    </xf>
    <xf numFmtId="0" fontId="21" fillId="17" borderId="22" xfId="16" applyFont="1" applyFill="1" applyBorder="1" applyAlignment="1">
      <alignment horizontal="center" vertical="center"/>
    </xf>
    <xf numFmtId="49" fontId="21" fillId="17" borderId="24" xfId="16" applyNumberFormat="1" applyFont="1" applyFill="1" applyBorder="1" applyAlignment="1">
      <alignment horizontal="center" vertical="center"/>
    </xf>
    <xf numFmtId="0" fontId="21" fillId="17" borderId="24" xfId="16" applyFont="1" applyFill="1" applyBorder="1" applyAlignment="1">
      <alignment vertical="center" wrapText="1"/>
    </xf>
    <xf numFmtId="0" fontId="21" fillId="17" borderId="24" xfId="16" applyFont="1" applyFill="1" applyBorder="1" applyAlignment="1">
      <alignment horizontal="left" vertical="center"/>
    </xf>
    <xf numFmtId="175" fontId="21" fillId="17" borderId="24" xfId="16" applyNumberFormat="1" applyFont="1" applyFill="1" applyBorder="1" applyAlignment="1">
      <alignment horizontal="center" vertical="center"/>
    </xf>
    <xf numFmtId="175" fontId="12" fillId="20" borderId="5" xfId="0" applyNumberFormat="1" applyFont="1" applyFill="1" applyBorder="1" applyAlignment="1">
      <alignment horizontal="left" vertical="center" shrinkToFit="1"/>
    </xf>
    <xf numFmtId="175" fontId="40" fillId="20" borderId="5" xfId="0" applyNumberFormat="1" applyFont="1" applyFill="1" applyBorder="1" applyAlignment="1">
      <alignment horizontal="left" vertical="center" shrinkToFit="1"/>
    </xf>
    <xf numFmtId="175" fontId="12" fillId="20" borderId="5" xfId="0" applyNumberFormat="1" applyFont="1" applyFill="1" applyBorder="1" applyAlignment="1">
      <alignment horizontal="center" vertical="center" shrinkToFit="1"/>
    </xf>
    <xf numFmtId="175" fontId="12" fillId="20" borderId="84" xfId="0" applyNumberFormat="1" applyFont="1" applyFill="1" applyBorder="1" applyAlignment="1">
      <alignment horizontal="center" vertical="center" shrinkToFit="1"/>
    </xf>
    <xf numFmtId="49" fontId="12" fillId="20" borderId="5" xfId="0" applyNumberFormat="1" applyFont="1" applyFill="1" applyBorder="1" applyAlignment="1">
      <alignment horizontal="center" vertical="center" shrinkToFit="1"/>
    </xf>
    <xf numFmtId="49" fontId="12" fillId="20" borderId="84" xfId="0" applyNumberFormat="1" applyFont="1" applyFill="1" applyBorder="1" applyAlignment="1">
      <alignment horizontal="center" vertical="center" shrinkToFit="1"/>
    </xf>
    <xf numFmtId="0" fontId="12" fillId="20" borderId="0" xfId="0" applyFont="1" applyFill="1" applyAlignment="1">
      <alignment vertical="center" shrinkToFit="1"/>
    </xf>
    <xf numFmtId="0" fontId="12" fillId="20" borderId="0" xfId="0" applyFont="1" applyFill="1" applyAlignment="1">
      <alignment vertical="center" wrapText="1" shrinkToFit="1"/>
    </xf>
    <xf numFmtId="0" fontId="12" fillId="20" borderId="5" xfId="0" applyFont="1" applyFill="1" applyBorder="1" applyAlignment="1">
      <alignment horizontal="right" vertical="center" shrinkToFit="1"/>
    </xf>
    <xf numFmtId="0" fontId="12" fillId="20" borderId="5" xfId="0" applyFont="1" applyFill="1" applyBorder="1" applyAlignment="1">
      <alignment horizontal="center" vertical="center" shrinkToFit="1"/>
    </xf>
    <xf numFmtId="173" fontId="12" fillId="20" borderId="84" xfId="0" applyNumberFormat="1" applyFont="1" applyFill="1" applyBorder="1" applyAlignment="1">
      <alignment horizontal="center" vertical="center" shrinkToFit="1"/>
    </xf>
    <xf numFmtId="166" fontId="12" fillId="20" borderId="84" xfId="0" applyNumberFormat="1" applyFont="1" applyFill="1" applyBorder="1" applyAlignment="1">
      <alignment horizontal="center" vertical="center" shrinkToFit="1"/>
    </xf>
    <xf numFmtId="0" fontId="12" fillId="0" borderId="51" xfId="7" applyFont="1" applyBorder="1" applyAlignment="1">
      <alignment horizontal="center" vertical="center"/>
    </xf>
    <xf numFmtId="168" fontId="10" fillId="17" borderId="15" xfId="1" applyNumberFormat="1" applyFont="1" applyFill="1" applyBorder="1" applyAlignment="1">
      <alignment horizontal="right" vertical="center"/>
    </xf>
    <xf numFmtId="168" fontId="10" fillId="17" borderId="16" xfId="1" applyNumberFormat="1" applyFont="1" applyFill="1" applyBorder="1" applyAlignment="1">
      <alignment horizontal="right" vertical="center"/>
    </xf>
    <xf numFmtId="14" fontId="12" fillId="17" borderId="3" xfId="5" applyNumberFormat="1" applyFont="1" applyFill="1" applyBorder="1" applyAlignment="1">
      <alignment horizontal="center" vertical="center" wrapText="1"/>
    </xf>
    <xf numFmtId="175" fontId="12" fillId="17" borderId="3" xfId="5" applyNumberFormat="1" applyFont="1" applyFill="1" applyBorder="1" applyAlignment="1">
      <alignment horizontal="center" vertical="center"/>
    </xf>
    <xf numFmtId="14" fontId="10" fillId="17" borderId="26" xfId="0" quotePrefix="1" applyNumberFormat="1" applyFont="1" applyFill="1" applyBorder="1" applyAlignment="1">
      <alignment horizontal="center" vertical="center" wrapText="1"/>
    </xf>
    <xf numFmtId="164" fontId="12" fillId="17" borderId="21" xfId="1" applyFont="1" applyFill="1" applyBorder="1" applyAlignment="1">
      <alignment horizontal="right" vertical="center" wrapText="1"/>
    </xf>
    <xf numFmtId="164" fontId="12" fillId="17" borderId="21" xfId="1" applyFont="1" applyFill="1" applyBorder="1" applyAlignment="1">
      <alignment horizontal="center" vertical="center" wrapText="1"/>
    </xf>
    <xf numFmtId="164" fontId="12" fillId="17" borderId="25" xfId="1" applyFont="1" applyFill="1" applyBorder="1" applyAlignment="1">
      <alignment horizontal="right" vertical="center" wrapText="1"/>
    </xf>
    <xf numFmtId="0" fontId="10" fillId="17" borderId="55" xfId="1" applyNumberFormat="1" applyFont="1" applyFill="1" applyBorder="1" applyAlignment="1">
      <alignment horizontal="center" vertical="center"/>
    </xf>
    <xf numFmtId="164" fontId="10" fillId="17" borderId="3" xfId="1" applyFont="1" applyFill="1" applyBorder="1" applyAlignment="1">
      <alignment horizontal="right" vertical="center"/>
    </xf>
    <xf numFmtId="164" fontId="12" fillId="17" borderId="3" xfId="1" applyFont="1" applyFill="1" applyBorder="1" applyAlignment="1">
      <alignment horizontal="right" vertical="center"/>
    </xf>
    <xf numFmtId="164" fontId="12" fillId="17" borderId="25" xfId="1" applyFont="1" applyFill="1" applyBorder="1" applyAlignment="1">
      <alignment horizontal="right" vertical="center"/>
    </xf>
    <xf numFmtId="168" fontId="10" fillId="17" borderId="19" xfId="1" applyNumberFormat="1" applyFont="1" applyFill="1" applyBorder="1" applyAlignment="1">
      <alignment horizontal="right" vertical="center"/>
    </xf>
    <xf numFmtId="168" fontId="10" fillId="17" borderId="20" xfId="1" applyNumberFormat="1" applyFont="1" applyFill="1" applyBorder="1" applyAlignment="1">
      <alignment horizontal="right" vertical="center"/>
    </xf>
    <xf numFmtId="0" fontId="12" fillId="17" borderId="55" xfId="0" applyFont="1" applyFill="1" applyBorder="1" applyAlignment="1">
      <alignment horizontal="center" vertical="center"/>
    </xf>
    <xf numFmtId="175" fontId="12" fillId="17" borderId="26" xfId="5" applyNumberFormat="1" applyFont="1" applyFill="1" applyBorder="1" applyAlignment="1">
      <alignment horizontal="center" vertical="center"/>
    </xf>
    <xf numFmtId="14" fontId="12" fillId="17" borderId="21" xfId="0" quotePrefix="1" applyNumberFormat="1" applyFont="1" applyFill="1" applyBorder="1" applyAlignment="1">
      <alignment horizontal="center" vertical="center" wrapText="1"/>
    </xf>
    <xf numFmtId="164" fontId="12" fillId="17" borderId="19" xfId="1" applyFont="1" applyFill="1" applyBorder="1" applyAlignment="1">
      <alignment horizontal="right" vertical="center" wrapText="1"/>
    </xf>
    <xf numFmtId="0" fontId="12" fillId="17" borderId="55" xfId="1" applyNumberFormat="1" applyFont="1" applyFill="1" applyBorder="1" applyAlignment="1">
      <alignment horizontal="right" vertical="center"/>
    </xf>
    <xf numFmtId="14" fontId="12" fillId="17" borderId="3" xfId="0" applyNumberFormat="1" applyFont="1" applyFill="1" applyBorder="1" applyAlignment="1">
      <alignment horizontal="center" vertical="center"/>
    </xf>
    <xf numFmtId="14" fontId="12" fillId="17" borderId="26" xfId="0" applyNumberFormat="1" applyFont="1" applyFill="1" applyBorder="1" applyAlignment="1">
      <alignment horizontal="center" vertical="center"/>
    </xf>
    <xf numFmtId="164" fontId="12" fillId="17" borderId="20" xfId="1" applyFont="1" applyFill="1" applyBorder="1" applyAlignment="1">
      <alignment horizontal="right" vertical="center"/>
    </xf>
    <xf numFmtId="0" fontId="10" fillId="17" borderId="15" xfId="0" applyFont="1" applyFill="1" applyBorder="1" applyAlignment="1">
      <alignment horizontal="center" vertical="center" wrapText="1"/>
    </xf>
    <xf numFmtId="0" fontId="12" fillId="17" borderId="19" xfId="0" applyFont="1" applyFill="1" applyBorder="1" applyAlignment="1">
      <alignment horizontal="center" vertical="center" wrapText="1"/>
    </xf>
    <xf numFmtId="0" fontId="10" fillId="17" borderId="19" xfId="0" applyFont="1" applyFill="1" applyBorder="1" applyAlignment="1">
      <alignment horizontal="center" vertical="center" wrapText="1"/>
    </xf>
    <xf numFmtId="0" fontId="12" fillId="17" borderId="26" xfId="0" applyFont="1" applyFill="1" applyBorder="1" applyAlignment="1">
      <alignment horizontal="center" vertical="center" wrapText="1"/>
    </xf>
    <xf numFmtId="14" fontId="17" fillId="17" borderId="1" xfId="0" applyNumberFormat="1" applyFont="1" applyFill="1" applyBorder="1" applyAlignment="1">
      <alignment horizontal="center" vertical="center"/>
    </xf>
    <xf numFmtId="0" fontId="17" fillId="17" borderId="148" xfId="0" applyFont="1" applyFill="1" applyBorder="1" applyAlignment="1">
      <alignment horizontal="center" vertical="center" wrapText="1"/>
    </xf>
    <xf numFmtId="0" fontId="18" fillId="17" borderId="148" xfId="0" applyFont="1" applyFill="1" applyBorder="1" applyAlignment="1">
      <alignment horizontal="center" vertical="center" wrapText="1"/>
    </xf>
    <xf numFmtId="0" fontId="18" fillId="0" borderId="19" xfId="0" applyFont="1" applyBorder="1" applyAlignment="1">
      <alignment horizontal="center" vertical="center" wrapText="1"/>
    </xf>
    <xf numFmtId="168" fontId="18" fillId="0" borderId="19" xfId="1" applyNumberFormat="1" applyFont="1" applyBorder="1" applyAlignment="1">
      <alignment horizontal="right" vertical="center"/>
    </xf>
    <xf numFmtId="168" fontId="18" fillId="0" borderId="20" xfId="1" applyNumberFormat="1" applyFont="1" applyBorder="1" applyAlignment="1">
      <alignment horizontal="right" vertical="center"/>
    </xf>
    <xf numFmtId="164" fontId="17" fillId="0" borderId="19" xfId="1" applyFont="1" applyBorder="1" applyAlignment="1">
      <alignment horizontal="right" vertical="center" wrapText="1"/>
    </xf>
    <xf numFmtId="164" fontId="17" fillId="0" borderId="19" xfId="1" applyFont="1" applyBorder="1" applyAlignment="1">
      <alignment horizontal="right" vertical="center"/>
    </xf>
    <xf numFmtId="164" fontId="17" fillId="0" borderId="20" xfId="1" applyFont="1" applyBorder="1" applyAlignment="1">
      <alignment horizontal="right" vertical="center"/>
    </xf>
    <xf numFmtId="164" fontId="17" fillId="0" borderId="24" xfId="1" applyFont="1" applyBorder="1" applyAlignment="1">
      <alignment horizontal="right" vertical="center"/>
    </xf>
    <xf numFmtId="14" fontId="17" fillId="0" borderId="24" xfId="0" applyNumberFormat="1" applyFont="1" applyBorder="1" applyAlignment="1">
      <alignment horizontal="center" vertical="center"/>
    </xf>
    <xf numFmtId="0" fontId="12" fillId="17" borderId="26" xfId="8" applyFont="1" applyFill="1" applyBorder="1" applyAlignment="1">
      <alignment horizontal="center" vertical="top"/>
    </xf>
    <xf numFmtId="175" fontId="12" fillId="17" borderId="26" xfId="8" applyNumberFormat="1" applyFont="1" applyFill="1" applyBorder="1" applyAlignment="1">
      <alignment horizontal="center" vertical="top"/>
    </xf>
    <xf numFmtId="175" fontId="12" fillId="17" borderId="26" xfId="8" applyNumberFormat="1" applyFont="1" applyFill="1" applyBorder="1" applyAlignment="1">
      <alignment horizontal="center" vertical="center"/>
    </xf>
    <xf numFmtId="171" fontId="12" fillId="17" borderId="26" xfId="8" applyNumberFormat="1" applyFont="1" applyFill="1" applyBorder="1" applyAlignment="1">
      <alignment horizontal="center" vertical="top"/>
    </xf>
    <xf numFmtId="171" fontId="12" fillId="17" borderId="21" xfId="8" applyNumberFormat="1" applyFont="1" applyFill="1" applyBorder="1" applyAlignment="1">
      <alignment horizontal="center" vertical="top"/>
    </xf>
    <xf numFmtId="0" fontId="12" fillId="17" borderId="26" xfId="8" applyFont="1" applyFill="1" applyBorder="1" applyAlignment="1">
      <alignment vertical="top"/>
    </xf>
    <xf numFmtId="0" fontId="12" fillId="17" borderId="3" xfId="8" applyFont="1" applyFill="1" applyBorder="1">
      <alignment vertical="center"/>
    </xf>
    <xf numFmtId="171" fontId="12" fillId="17" borderId="26" xfId="8" applyNumberFormat="1" applyFont="1" applyFill="1" applyBorder="1">
      <alignment vertical="center"/>
    </xf>
    <xf numFmtId="175" fontId="12" fillId="17" borderId="26" xfId="8" applyNumberFormat="1" applyFont="1" applyFill="1" applyBorder="1" applyAlignment="1">
      <alignment horizontal="left" vertical="center"/>
    </xf>
    <xf numFmtId="0" fontId="12" fillId="17" borderId="26" xfId="8" applyFont="1" applyFill="1" applyBorder="1">
      <alignment vertical="center"/>
    </xf>
    <xf numFmtId="0" fontId="12" fillId="17" borderId="26" xfId="8" applyFont="1" applyFill="1" applyBorder="1" applyAlignment="1">
      <alignment vertical="center" wrapText="1"/>
    </xf>
    <xf numFmtId="0" fontId="12" fillId="17" borderId="26" xfId="8" applyFont="1" applyFill="1" applyBorder="1" applyAlignment="1">
      <alignment horizontal="center" vertical="center"/>
    </xf>
    <xf numFmtId="14" fontId="12" fillId="17" borderId="26" xfId="8" quotePrefix="1" applyNumberFormat="1" applyFont="1" applyFill="1" applyBorder="1" applyAlignment="1">
      <alignment horizontal="center" vertical="center"/>
    </xf>
    <xf numFmtId="14" fontId="12" fillId="17" borderId="26" xfId="8" applyNumberFormat="1" applyFont="1" applyFill="1" applyBorder="1" applyAlignment="1">
      <alignment horizontal="center" vertical="center"/>
    </xf>
    <xf numFmtId="175" fontId="12" fillId="17" borderId="19" xfId="8" applyNumberFormat="1" applyFont="1" applyFill="1" applyBorder="1" applyAlignment="1">
      <alignment horizontal="center" vertical="center" wrapText="1"/>
    </xf>
    <xf numFmtId="175" fontId="12" fillId="17" borderId="19" xfId="8" applyNumberFormat="1" applyFont="1" applyFill="1" applyBorder="1" applyAlignment="1">
      <alignment horizontal="center" vertical="top" wrapText="1"/>
    </xf>
    <xf numFmtId="14" fontId="12" fillId="17" borderId="24" xfId="8" applyNumberFormat="1" applyFont="1" applyFill="1" applyBorder="1" applyAlignment="1">
      <alignment horizontal="center" vertical="center"/>
    </xf>
    <xf numFmtId="14" fontId="12" fillId="17" borderId="19" xfId="8" quotePrefix="1" applyNumberFormat="1" applyFont="1" applyFill="1" applyBorder="1" applyAlignment="1">
      <alignment horizontal="center" vertical="center"/>
    </xf>
    <xf numFmtId="0" fontId="36" fillId="17" borderId="0" xfId="9" applyFont="1" applyFill="1">
      <alignment vertical="center"/>
    </xf>
    <xf numFmtId="0" fontId="12" fillId="17" borderId="24" xfId="8" applyFont="1" applyFill="1" applyBorder="1" applyAlignment="1">
      <alignment horizontal="center" vertical="top"/>
    </xf>
    <xf numFmtId="175" fontId="12" fillId="17" borderId="24" xfId="8" applyNumberFormat="1" applyFont="1" applyFill="1" applyBorder="1" applyAlignment="1">
      <alignment horizontal="center" vertical="top"/>
    </xf>
    <xf numFmtId="175" fontId="12" fillId="17" borderId="24" xfId="8" applyNumberFormat="1" applyFont="1" applyFill="1" applyBorder="1" applyAlignment="1">
      <alignment horizontal="center" vertical="center"/>
    </xf>
    <xf numFmtId="171" fontId="12" fillId="17" borderId="24" xfId="8" applyNumberFormat="1" applyFont="1" applyFill="1" applyBorder="1" applyAlignment="1">
      <alignment horizontal="center" vertical="top"/>
    </xf>
    <xf numFmtId="0" fontId="12" fillId="17" borderId="24" xfId="8" applyFont="1" applyFill="1" applyBorder="1">
      <alignment vertical="center"/>
    </xf>
    <xf numFmtId="171" fontId="12" fillId="17" borderId="24" xfId="8" applyNumberFormat="1" applyFont="1" applyFill="1" applyBorder="1">
      <alignment vertical="center"/>
    </xf>
    <xf numFmtId="175" fontId="12" fillId="17" borderId="24" xfId="8" applyNumberFormat="1" applyFont="1" applyFill="1" applyBorder="1" applyAlignment="1">
      <alignment horizontal="left" vertical="center"/>
    </xf>
    <xf numFmtId="0" fontId="12" fillId="17" borderId="24" xfId="8" applyFont="1" applyFill="1" applyBorder="1" applyAlignment="1">
      <alignment horizontal="center" vertical="center"/>
    </xf>
    <xf numFmtId="175" fontId="12" fillId="6" borderId="27" xfId="10" applyNumberFormat="1" applyFont="1" applyFill="1" applyBorder="1" applyAlignment="1">
      <alignment horizontal="center" vertical="center"/>
    </xf>
    <xf numFmtId="14" fontId="12" fillId="0" borderId="129" xfId="7" applyNumberFormat="1" applyFont="1" applyBorder="1">
      <alignment vertical="center"/>
    </xf>
    <xf numFmtId="175" fontId="21" fillId="17" borderId="19" xfId="16" applyNumberFormat="1" applyFont="1" applyFill="1" applyBorder="1" applyAlignment="1">
      <alignment horizontal="center" vertical="center" wrapText="1"/>
    </xf>
    <xf numFmtId="175" fontId="21" fillId="17" borderId="24" xfId="16" applyNumberFormat="1" applyFont="1" applyFill="1" applyBorder="1" applyAlignment="1">
      <alignment horizontal="center" vertical="center" wrapText="1"/>
    </xf>
    <xf numFmtId="0" fontId="37" fillId="0" borderId="29" xfId="16" applyFont="1" applyBorder="1" applyAlignment="1">
      <alignment vertical="center" wrapText="1"/>
    </xf>
    <xf numFmtId="175" fontId="21" fillId="0" borderId="26" xfId="16" applyNumberFormat="1" applyFont="1" applyBorder="1" applyAlignment="1">
      <alignment horizontal="center" vertical="center" wrapText="1"/>
    </xf>
    <xf numFmtId="175" fontId="12" fillId="19" borderId="81" xfId="0" applyNumberFormat="1" applyFont="1" applyFill="1" applyBorder="1" applyAlignment="1">
      <alignment horizontal="center" vertical="center" shrinkToFit="1"/>
    </xf>
    <xf numFmtId="166" fontId="12" fillId="19" borderId="5" xfId="0" applyNumberFormat="1" applyFont="1" applyFill="1" applyBorder="1" applyAlignment="1">
      <alignment horizontal="center" vertical="center" shrinkToFit="1"/>
    </xf>
    <xf numFmtId="0" fontId="12" fillId="18" borderId="0" xfId="0" applyFont="1" applyFill="1" applyAlignment="1">
      <alignment vertical="center" shrinkToFit="1"/>
    </xf>
    <xf numFmtId="0" fontId="12" fillId="0" borderId="0" xfId="0" applyFont="1" applyAlignment="1">
      <alignment vertical="center" wrapText="1"/>
    </xf>
    <xf numFmtId="0" fontId="12" fillId="19" borderId="0" xfId="0" applyFont="1" applyFill="1">
      <alignment vertical="center"/>
    </xf>
    <xf numFmtId="0" fontId="12" fillId="0" borderId="15" xfId="7" applyFont="1" applyBorder="1" applyAlignment="1">
      <alignment horizontal="center" vertical="center" wrapText="1"/>
    </xf>
    <xf numFmtId="0" fontId="12" fillId="0" borderId="46" xfId="10" applyFont="1" applyBorder="1" applyAlignment="1">
      <alignment horizontal="left" vertical="center"/>
    </xf>
    <xf numFmtId="0" fontId="12" fillId="0" borderId="43" xfId="7" applyFont="1" applyBorder="1" applyAlignment="1">
      <alignment horizontal="center" vertical="center"/>
    </xf>
    <xf numFmtId="175" fontId="12" fillId="6" borderId="30" xfId="10" applyNumberFormat="1" applyFont="1" applyFill="1" applyBorder="1" applyAlignment="1">
      <alignment horizontal="center" vertical="center"/>
    </xf>
    <xf numFmtId="0" fontId="11" fillId="0" borderId="30" xfId="9" applyFont="1" applyBorder="1">
      <alignment vertical="center"/>
    </xf>
    <xf numFmtId="175" fontId="12" fillId="6" borderId="18" xfId="10" applyNumberFormat="1" applyFont="1" applyFill="1" applyBorder="1" applyAlignment="1">
      <alignment horizontal="center" vertical="center"/>
    </xf>
    <xf numFmtId="175" fontId="12" fillId="6" borderId="129" xfId="10" applyNumberFormat="1" applyFont="1" applyFill="1" applyBorder="1" applyAlignment="1">
      <alignment horizontal="center" vertical="center"/>
    </xf>
    <xf numFmtId="164" fontId="17" fillId="0" borderId="21" xfId="1" applyFont="1" applyBorder="1" applyAlignment="1">
      <alignment horizontal="right" vertical="center" wrapText="1"/>
    </xf>
    <xf numFmtId="164" fontId="17" fillId="0" borderId="21" xfId="1" applyFont="1" applyBorder="1" applyAlignment="1">
      <alignment horizontal="center" vertical="center" wrapText="1"/>
    </xf>
    <xf numFmtId="0" fontId="12" fillId="0" borderId="15" xfId="0" applyFont="1" applyBorder="1" applyAlignment="1">
      <alignment horizontal="left" vertical="center" shrinkToFit="1"/>
    </xf>
    <xf numFmtId="0" fontId="12" fillId="0" borderId="43" xfId="7" applyFont="1" applyBorder="1">
      <alignment vertical="center"/>
    </xf>
    <xf numFmtId="0" fontId="12" fillId="6" borderId="43" xfId="10" applyFont="1" applyFill="1" applyBorder="1" applyAlignment="1">
      <alignment horizontal="left" vertical="center"/>
    </xf>
    <xf numFmtId="175" fontId="12" fillId="6" borderId="43" xfId="10" applyNumberFormat="1" applyFont="1" applyFill="1" applyBorder="1" applyAlignment="1">
      <alignment horizontal="center" vertical="center"/>
    </xf>
    <xf numFmtId="175" fontId="12" fillId="0" borderId="43" xfId="10" applyNumberFormat="1" applyFont="1" applyBorder="1" applyAlignment="1">
      <alignment horizontal="center" vertical="center"/>
    </xf>
    <xf numFmtId="175" fontId="12" fillId="0" borderId="43" xfId="7" applyNumberFormat="1" applyFont="1" applyBorder="1" applyAlignment="1">
      <alignment horizontal="center" vertical="center"/>
    </xf>
    <xf numFmtId="0" fontId="12" fillId="0" borderId="43" xfId="7" applyFont="1" applyBorder="1" applyAlignment="1">
      <alignment horizontal="left" vertical="center"/>
    </xf>
    <xf numFmtId="172" fontId="12" fillId="0" borderId="43" xfId="7" applyNumberFormat="1" applyFont="1" applyBorder="1" applyAlignment="1">
      <alignment horizontal="right" vertical="center"/>
    </xf>
    <xf numFmtId="49" fontId="12" fillId="0" borderId="43" xfId="7" applyNumberFormat="1" applyFont="1" applyBorder="1" applyAlignment="1">
      <alignment horizontal="center" vertical="center"/>
    </xf>
    <xf numFmtId="14" fontId="12" fillId="6" borderId="26" xfId="10" applyNumberFormat="1" applyFont="1" applyFill="1" applyBorder="1" applyAlignment="1">
      <alignment horizontal="center" vertical="center"/>
    </xf>
    <xf numFmtId="0" fontId="12" fillId="4" borderId="5" xfId="0" applyFont="1" applyFill="1" applyBorder="1" applyAlignment="1">
      <alignment horizontal="left" vertical="center" wrapText="1" shrinkToFit="1"/>
    </xf>
    <xf numFmtId="0" fontId="12" fillId="0" borderId="27" xfId="7" applyFont="1" applyBorder="1">
      <alignment vertical="center"/>
    </xf>
    <xf numFmtId="175" fontId="12" fillId="6" borderId="24" xfId="10" applyNumberFormat="1" applyFont="1" applyFill="1" applyBorder="1" applyAlignment="1">
      <alignment horizontal="center" vertical="center" wrapText="1"/>
    </xf>
    <xf numFmtId="0" fontId="21" fillId="15" borderId="23" xfId="16" applyFont="1" applyFill="1" applyBorder="1" applyAlignment="1">
      <alignment horizontal="center" vertical="center"/>
    </xf>
    <xf numFmtId="49" fontId="21" fillId="15" borderId="25" xfId="16" applyNumberFormat="1" applyFont="1" applyFill="1" applyBorder="1" applyAlignment="1">
      <alignment horizontal="center" vertical="center"/>
    </xf>
    <xf numFmtId="0" fontId="21" fillId="15" borderId="25" xfId="16" applyFont="1" applyFill="1" applyBorder="1" applyAlignment="1">
      <alignment vertical="center" wrapText="1"/>
    </xf>
    <xf numFmtId="9" fontId="21" fillId="15" borderId="25" xfId="16" applyNumberFormat="1" applyFont="1" applyFill="1" applyBorder="1" applyAlignment="1">
      <alignment horizontal="left" vertical="center"/>
    </xf>
    <xf numFmtId="175" fontId="21" fillId="17" borderId="25" xfId="16" applyNumberFormat="1" applyFont="1" applyFill="1" applyBorder="1" applyAlignment="1">
      <alignment horizontal="center" vertical="center"/>
    </xf>
    <xf numFmtId="0" fontId="21" fillId="0" borderId="58" xfId="16" applyFont="1" applyBorder="1" applyAlignment="1">
      <alignment horizontal="center" vertical="center"/>
    </xf>
    <xf numFmtId="49" fontId="21" fillId="0" borderId="46" xfId="16" applyNumberFormat="1" applyFont="1" applyBorder="1" applyAlignment="1">
      <alignment horizontal="center" vertical="center"/>
    </xf>
    <xf numFmtId="0" fontId="21" fillId="0" borderId="46" xfId="16" applyFont="1" applyBorder="1" applyAlignment="1">
      <alignment vertical="center" wrapText="1"/>
    </xf>
    <xf numFmtId="0" fontId="21" fillId="0" borderId="46" xfId="16" applyFont="1" applyBorder="1" applyAlignment="1">
      <alignment horizontal="left" vertical="center"/>
    </xf>
    <xf numFmtId="175" fontId="21" fillId="0" borderId="46" xfId="16" applyNumberFormat="1" applyFont="1" applyBorder="1" applyAlignment="1">
      <alignment horizontal="center" vertical="center" wrapText="1"/>
    </xf>
    <xf numFmtId="0" fontId="37" fillId="0" borderId="57" xfId="16" applyFont="1" applyBorder="1" applyAlignment="1">
      <alignment vertical="center" wrapText="1"/>
    </xf>
    <xf numFmtId="9" fontId="21" fillId="0" borderId="46" xfId="16" applyNumberFormat="1" applyFont="1" applyBorder="1" applyAlignment="1">
      <alignment horizontal="left" vertical="center"/>
    </xf>
    <xf numFmtId="0" fontId="21" fillId="17" borderId="40" xfId="16" applyFont="1" applyFill="1" applyBorder="1" applyAlignment="1">
      <alignment vertical="center" wrapText="1"/>
    </xf>
    <xf numFmtId="175" fontId="37" fillId="0" borderId="19" xfId="16" applyNumberFormat="1" applyFont="1" applyBorder="1" applyAlignment="1">
      <alignment horizontal="center" vertical="center"/>
    </xf>
    <xf numFmtId="175" fontId="40" fillId="20" borderId="71" xfId="0" applyNumberFormat="1" applyFont="1" applyFill="1" applyBorder="1" applyAlignment="1">
      <alignment horizontal="left" vertical="center" shrinkToFit="1"/>
    </xf>
    <xf numFmtId="175" fontId="40" fillId="20" borderId="73" xfId="0" applyNumberFormat="1" applyFont="1" applyFill="1" applyBorder="1" applyAlignment="1">
      <alignment horizontal="left" vertical="center" shrinkToFit="1"/>
    </xf>
    <xf numFmtId="175" fontId="12" fillId="0" borderId="15" xfId="7" applyNumberFormat="1" applyFont="1" applyBorder="1" applyAlignment="1">
      <alignment horizontal="center" vertical="center" wrapText="1"/>
    </xf>
    <xf numFmtId="0" fontId="17" fillId="6" borderId="55" xfId="1" applyNumberFormat="1" applyFont="1" applyFill="1" applyBorder="1" applyAlignment="1">
      <alignment horizontal="center" vertical="center"/>
    </xf>
    <xf numFmtId="0" fontId="18" fillId="6" borderId="55" xfId="1" applyNumberFormat="1" applyFont="1" applyFill="1" applyBorder="1" applyAlignment="1">
      <alignment horizontal="center" vertical="center"/>
    </xf>
    <xf numFmtId="0" fontId="18" fillId="17" borderId="15" xfId="1" applyNumberFormat="1" applyFont="1" applyFill="1" applyBorder="1" applyAlignment="1">
      <alignment horizontal="center" vertical="center"/>
    </xf>
    <xf numFmtId="0" fontId="17" fillId="17" borderId="19" xfId="1" applyNumberFormat="1" applyFont="1" applyFill="1" applyBorder="1" applyAlignment="1">
      <alignment horizontal="center" vertical="center"/>
    </xf>
    <xf numFmtId="0" fontId="18" fillId="17" borderId="26" xfId="1" applyNumberFormat="1" applyFont="1" applyFill="1" applyBorder="1" applyAlignment="1">
      <alignment horizontal="center" vertical="center"/>
    </xf>
    <xf numFmtId="172" fontId="12" fillId="0" borderId="15" xfId="8" applyNumberFormat="1" applyFont="1" applyBorder="1" applyAlignment="1">
      <alignment horizontal="center" vertical="center"/>
    </xf>
    <xf numFmtId="172" fontId="12" fillId="0" borderId="19" xfId="8" applyNumberFormat="1" applyFont="1" applyBorder="1" applyAlignment="1">
      <alignment horizontal="center" vertical="center"/>
    </xf>
    <xf numFmtId="172" fontId="12" fillId="17" borderId="15" xfId="8" applyNumberFormat="1" applyFont="1" applyFill="1" applyBorder="1">
      <alignment vertical="center"/>
    </xf>
    <xf numFmtId="172" fontId="12" fillId="0" borderId="19" xfId="8" applyNumberFormat="1" applyFont="1" applyBorder="1">
      <alignment vertical="center"/>
    </xf>
    <xf numFmtId="172" fontId="12" fillId="0" borderId="24" xfId="8" applyNumberFormat="1" applyFont="1" applyBorder="1">
      <alignment vertical="center"/>
    </xf>
    <xf numFmtId="172" fontId="12" fillId="0" borderId="46" xfId="8" applyNumberFormat="1" applyFont="1" applyBorder="1">
      <alignment vertical="center"/>
    </xf>
    <xf numFmtId="172" fontId="12" fillId="0" borderId="19" xfId="8" applyNumberFormat="1" applyFont="1" applyBorder="1" applyAlignment="1">
      <alignment vertical="top"/>
    </xf>
    <xf numFmtId="172" fontId="12" fillId="0" borderId="15" xfId="8" applyNumberFormat="1" applyFont="1" applyBorder="1">
      <alignment vertical="center"/>
    </xf>
    <xf numFmtId="172" fontId="12" fillId="0" borderId="19" xfId="8" applyNumberFormat="1" applyFont="1" applyBorder="1" applyAlignment="1">
      <alignment horizontal="right" vertical="center"/>
    </xf>
    <xf numFmtId="172" fontId="12" fillId="0" borderId="19" xfId="8" applyNumberFormat="1" applyFont="1" applyBorder="1" applyAlignment="1">
      <alignment horizontal="right" vertical="top"/>
    </xf>
    <xf numFmtId="172" fontId="12" fillId="17" borderId="24" xfId="8" applyNumberFormat="1" applyFont="1" applyFill="1" applyBorder="1" applyAlignment="1">
      <alignment horizontal="right" vertical="top"/>
    </xf>
    <xf numFmtId="172" fontId="12" fillId="17" borderId="19" xfId="8" applyNumberFormat="1" applyFont="1" applyFill="1" applyBorder="1" applyAlignment="1">
      <alignment vertical="top"/>
    </xf>
    <xf numFmtId="175" fontId="12" fillId="21" borderId="19" xfId="7" applyNumberFormat="1" applyFont="1" applyFill="1" applyBorder="1" applyAlignment="1">
      <alignment horizontal="center" vertical="center" wrapText="1"/>
    </xf>
    <xf numFmtId="0" fontId="18" fillId="17" borderId="55" xfId="1" applyNumberFormat="1" applyFont="1" applyFill="1" applyBorder="1" applyAlignment="1">
      <alignment horizontal="center" vertical="center" wrapText="1"/>
    </xf>
    <xf numFmtId="0" fontId="17" fillId="17" borderId="55" xfId="1" applyNumberFormat="1" applyFont="1" applyFill="1" applyBorder="1" applyAlignment="1">
      <alignment horizontal="center" vertical="center"/>
    </xf>
    <xf numFmtId="0" fontId="18" fillId="6" borderId="52" xfId="1" applyNumberFormat="1" applyFont="1" applyFill="1" applyBorder="1" applyAlignment="1">
      <alignment horizontal="center" vertical="center"/>
    </xf>
    <xf numFmtId="0" fontId="17" fillId="6" borderId="3" xfId="1" applyNumberFormat="1" applyFont="1" applyFill="1" applyBorder="1" applyAlignment="1">
      <alignment horizontal="center" vertical="center"/>
    </xf>
    <xf numFmtId="0" fontId="18" fillId="22" borderId="15" xfId="0" applyFont="1" applyFill="1" applyBorder="1" applyAlignment="1">
      <alignment horizontal="center" vertical="center" wrapText="1"/>
    </xf>
    <xf numFmtId="0" fontId="17" fillId="22" borderId="19" xfId="0" applyFont="1" applyFill="1" applyBorder="1" applyAlignment="1">
      <alignment horizontal="center" vertical="center" wrapText="1"/>
    </xf>
    <xf numFmtId="168" fontId="18" fillId="22" borderId="15" xfId="1" applyNumberFormat="1" applyFont="1" applyFill="1" applyBorder="1" applyAlignment="1">
      <alignment horizontal="right" vertical="center"/>
    </xf>
    <xf numFmtId="168" fontId="18" fillId="22" borderId="16" xfId="1" applyNumberFormat="1" applyFont="1" applyFill="1" applyBorder="1" applyAlignment="1">
      <alignment horizontal="right" vertical="center"/>
    </xf>
    <xf numFmtId="14" fontId="17" fillId="22" borderId="3" xfId="5" applyNumberFormat="1" applyFont="1" applyFill="1" applyBorder="1" applyAlignment="1">
      <alignment horizontal="center" vertical="center" wrapText="1"/>
    </xf>
    <xf numFmtId="175" fontId="12" fillId="22" borderId="3" xfId="5" applyNumberFormat="1" applyFont="1" applyFill="1" applyBorder="1" applyAlignment="1">
      <alignment horizontal="center" vertical="center" wrapText="1"/>
    </xf>
    <xf numFmtId="14" fontId="18" fillId="22" borderId="38" xfId="0" quotePrefix="1" applyNumberFormat="1" applyFont="1" applyFill="1" applyBorder="1" applyAlignment="1">
      <alignment horizontal="center" vertical="center" wrapText="1"/>
    </xf>
    <xf numFmtId="164" fontId="17" fillId="22" borderId="51" xfId="1" applyFont="1" applyFill="1" applyBorder="1" applyAlignment="1">
      <alignment horizontal="right" vertical="center" wrapText="1"/>
    </xf>
    <xf numFmtId="164" fontId="17" fillId="22" borderId="51" xfId="1" applyFont="1" applyFill="1" applyBorder="1" applyAlignment="1">
      <alignment horizontal="center" vertical="center" wrapText="1"/>
    </xf>
    <xf numFmtId="164" fontId="17" fillId="22" borderId="38" xfId="1" applyFont="1" applyFill="1" applyBorder="1" applyAlignment="1">
      <alignment horizontal="right" vertical="center" wrapText="1"/>
    </xf>
    <xf numFmtId="0" fontId="18" fillId="22" borderId="19" xfId="0" applyFont="1" applyFill="1" applyBorder="1" applyAlignment="1">
      <alignment horizontal="center" vertical="center" wrapText="1"/>
    </xf>
    <xf numFmtId="0" fontId="17" fillId="22" borderId="26" xfId="0" applyFont="1" applyFill="1" applyBorder="1" applyAlignment="1">
      <alignment horizontal="center" vertical="center" wrapText="1"/>
    </xf>
    <xf numFmtId="168" fontId="18" fillId="22" borderId="24" xfId="1" applyNumberFormat="1" applyFont="1" applyFill="1" applyBorder="1" applyAlignment="1">
      <alignment horizontal="right" vertical="center"/>
    </xf>
    <xf numFmtId="168" fontId="18" fillId="22" borderId="56" xfId="1" applyNumberFormat="1" applyFont="1" applyFill="1" applyBorder="1" applyAlignment="1">
      <alignment horizontal="right" vertical="center"/>
    </xf>
    <xf numFmtId="0" fontId="17" fillId="22" borderId="55" xfId="0" applyFont="1" applyFill="1" applyBorder="1" applyAlignment="1">
      <alignment horizontal="center" vertical="center"/>
    </xf>
    <xf numFmtId="175" fontId="17" fillId="22" borderId="21" xfId="5" applyNumberFormat="1" applyFont="1" applyFill="1" applyBorder="1" applyAlignment="1">
      <alignment horizontal="center" vertical="center"/>
    </xf>
    <xf numFmtId="14" fontId="17" fillId="22" borderId="24" xfId="0" quotePrefix="1" applyNumberFormat="1" applyFont="1" applyFill="1" applyBorder="1" applyAlignment="1">
      <alignment horizontal="center" vertical="center" wrapText="1"/>
    </xf>
    <xf numFmtId="164" fontId="17" fillId="22" borderId="2" xfId="1" applyFont="1" applyFill="1" applyBorder="1" applyAlignment="1">
      <alignment horizontal="right" vertical="center" wrapText="1"/>
    </xf>
    <xf numFmtId="164" fontId="17" fillId="22" borderId="21" xfId="1" applyFont="1" applyFill="1" applyBorder="1" applyAlignment="1">
      <alignment horizontal="center" vertical="center" wrapText="1"/>
    </xf>
    <xf numFmtId="164" fontId="17" fillId="22" borderId="19" xfId="1" applyFont="1" applyFill="1" applyBorder="1" applyAlignment="1">
      <alignment horizontal="right" vertical="center" wrapText="1"/>
    </xf>
    <xf numFmtId="168" fontId="18" fillId="22" borderId="19" xfId="1" applyNumberFormat="1" applyFont="1" applyFill="1" applyBorder="1" applyAlignment="1">
      <alignment horizontal="right" vertical="center"/>
    </xf>
    <xf numFmtId="168" fontId="18" fillId="22" borderId="20" xfId="1" applyNumberFormat="1" applyFont="1" applyFill="1" applyBorder="1" applyAlignment="1">
      <alignment horizontal="right" vertical="center"/>
    </xf>
    <xf numFmtId="0" fontId="17" fillId="22" borderId="55" xfId="0" applyFont="1" applyFill="1" applyBorder="1" applyAlignment="1">
      <alignment horizontal="center" vertical="center" wrapText="1"/>
    </xf>
    <xf numFmtId="175" fontId="12" fillId="22" borderId="2" xfId="5" applyNumberFormat="1" applyFont="1" applyFill="1" applyBorder="1" applyAlignment="1">
      <alignment horizontal="center" vertical="center" wrapText="1"/>
    </xf>
    <xf numFmtId="14" fontId="18" fillId="22" borderId="19" xfId="0" quotePrefix="1" applyNumberFormat="1" applyFont="1" applyFill="1" applyBorder="1" applyAlignment="1">
      <alignment horizontal="center" vertical="center" wrapText="1"/>
    </xf>
    <xf numFmtId="175" fontId="17" fillId="22" borderId="2" xfId="5" applyNumberFormat="1" applyFont="1" applyFill="1" applyBorder="1" applyAlignment="1">
      <alignment horizontal="center" vertical="center"/>
    </xf>
    <xf numFmtId="14" fontId="17" fillId="22" borderId="26" xfId="0" quotePrefix="1" applyNumberFormat="1" applyFont="1" applyFill="1" applyBorder="1" applyAlignment="1">
      <alignment horizontal="left" vertical="center"/>
    </xf>
    <xf numFmtId="175" fontId="12" fillId="22" borderId="3" xfId="5" applyNumberFormat="1" applyFont="1" applyFill="1" applyBorder="1" applyAlignment="1">
      <alignment horizontal="center" vertical="center"/>
    </xf>
    <xf numFmtId="164" fontId="17" fillId="22" borderId="21" xfId="1" applyFont="1" applyFill="1" applyBorder="1" applyAlignment="1">
      <alignment horizontal="right" vertical="center" wrapText="1"/>
    </xf>
    <xf numFmtId="175" fontId="17" fillId="22" borderId="3" xfId="5" applyNumberFormat="1" applyFont="1" applyFill="1" applyBorder="1" applyAlignment="1">
      <alignment horizontal="center" vertical="center"/>
    </xf>
    <xf numFmtId="14" fontId="17" fillId="22" borderId="21" xfId="0" quotePrefix="1" applyNumberFormat="1" applyFont="1" applyFill="1" applyBorder="1" applyAlignment="1">
      <alignment horizontal="left" vertical="center"/>
    </xf>
    <xf numFmtId="0" fontId="18" fillId="22" borderId="13" xfId="1" applyNumberFormat="1" applyFont="1" applyFill="1" applyBorder="1" applyAlignment="1">
      <alignment horizontal="center" vertical="center"/>
    </xf>
    <xf numFmtId="164" fontId="18" fillId="22" borderId="52" xfId="1" applyFont="1" applyFill="1" applyBorder="1" applyAlignment="1">
      <alignment horizontal="right" vertical="center"/>
    </xf>
    <xf numFmtId="175" fontId="18" fillId="22" borderId="38" xfId="0" applyNumberFormat="1" applyFont="1" applyFill="1" applyBorder="1" applyAlignment="1">
      <alignment horizontal="center" vertical="center"/>
    </xf>
    <xf numFmtId="164" fontId="17" fillId="22" borderId="52" xfId="1" applyFont="1" applyFill="1" applyBorder="1" applyAlignment="1">
      <alignment horizontal="right" vertical="center"/>
    </xf>
    <xf numFmtId="164" fontId="17" fillId="22" borderId="38" xfId="1" applyFont="1" applyFill="1" applyBorder="1" applyAlignment="1">
      <alignment horizontal="right" vertical="center"/>
    </xf>
    <xf numFmtId="0" fontId="17" fillId="22" borderId="55" xfId="1" applyNumberFormat="1" applyFont="1" applyFill="1" applyBorder="1" applyAlignment="1">
      <alignment horizontal="center" vertical="center"/>
    </xf>
    <xf numFmtId="164" fontId="17" fillId="22" borderId="2" xfId="1" applyFont="1" applyFill="1" applyBorder="1" applyAlignment="1">
      <alignment horizontal="right" vertical="center"/>
    </xf>
    <xf numFmtId="175" fontId="18" fillId="22" borderId="19" xfId="0" applyNumberFormat="1" applyFont="1" applyFill="1" applyBorder="1" applyAlignment="1">
      <alignment horizontal="center" vertical="center"/>
    </xf>
    <xf numFmtId="175" fontId="18" fillId="22" borderId="30" xfId="0" applyNumberFormat="1" applyFont="1" applyFill="1" applyBorder="1" applyAlignment="1">
      <alignment horizontal="center" vertical="center"/>
    </xf>
    <xf numFmtId="14" fontId="17" fillId="22" borderId="19" xfId="0" applyNumberFormat="1" applyFont="1" applyFill="1" applyBorder="1" applyAlignment="1">
      <alignment horizontal="center" vertical="center"/>
    </xf>
    <xf numFmtId="164" fontId="17" fillId="22" borderId="3" xfId="1" applyFont="1" applyFill="1" applyBorder="1" applyAlignment="1">
      <alignment horizontal="right" vertical="center"/>
    </xf>
    <xf numFmtId="164" fontId="17" fillId="22" borderId="20" xfId="1" applyFont="1" applyFill="1" applyBorder="1" applyAlignment="1">
      <alignment horizontal="right" vertical="center"/>
    </xf>
    <xf numFmtId="0" fontId="18" fillId="22" borderId="55" xfId="1" applyNumberFormat="1" applyFont="1" applyFill="1" applyBorder="1" applyAlignment="1">
      <alignment horizontal="center" vertical="center"/>
    </xf>
    <xf numFmtId="175" fontId="18" fillId="22" borderId="24" xfId="0" applyNumberFormat="1" applyFont="1" applyFill="1" applyBorder="1" applyAlignment="1">
      <alignment horizontal="center" vertical="center"/>
    </xf>
    <xf numFmtId="175" fontId="18" fillId="22" borderId="27" xfId="0" applyNumberFormat="1" applyFont="1" applyFill="1" applyBorder="1" applyAlignment="1">
      <alignment horizontal="center" vertical="center"/>
    </xf>
    <xf numFmtId="164" fontId="17" fillId="22" borderId="3" xfId="1" applyFont="1" applyFill="1" applyBorder="1" applyAlignment="1">
      <alignment horizontal="center" vertical="center"/>
    </xf>
    <xf numFmtId="14" fontId="17" fillId="22" borderId="3" xfId="0" applyNumberFormat="1" applyFont="1" applyFill="1" applyBorder="1" applyAlignment="1">
      <alignment horizontal="center" vertical="center"/>
    </xf>
    <xf numFmtId="14" fontId="17" fillId="22" borderId="26" xfId="0" applyNumberFormat="1" applyFont="1" applyFill="1" applyBorder="1" applyAlignment="1">
      <alignment horizontal="center" vertical="center"/>
    </xf>
    <xf numFmtId="0" fontId="17" fillId="0" borderId="26" xfId="0" applyFont="1" applyBorder="1" applyAlignment="1">
      <alignment horizontal="center" vertical="center" wrapText="1"/>
    </xf>
    <xf numFmtId="0" fontId="17" fillId="0" borderId="55" xfId="0" applyFont="1" applyBorder="1" applyAlignment="1">
      <alignment horizontal="center" vertical="center" wrapText="1"/>
    </xf>
    <xf numFmtId="175" fontId="12" fillId="0" borderId="3" xfId="5" applyNumberFormat="1" applyFont="1" applyBorder="1" applyAlignment="1">
      <alignment horizontal="center" vertical="center"/>
    </xf>
    <xf numFmtId="0" fontId="17" fillId="0" borderId="55" xfId="0" applyFont="1" applyBorder="1" applyAlignment="1">
      <alignment horizontal="center" vertical="center"/>
    </xf>
    <xf numFmtId="14" fontId="17" fillId="0" borderId="21" xfId="0" quotePrefix="1" applyNumberFormat="1" applyFont="1" applyBorder="1" applyAlignment="1">
      <alignment horizontal="left" vertical="center"/>
    </xf>
    <xf numFmtId="0" fontId="17" fillId="0" borderId="55" xfId="1" applyNumberFormat="1" applyFont="1" applyBorder="1" applyAlignment="1">
      <alignment horizontal="center" vertical="center"/>
    </xf>
    <xf numFmtId="14" fontId="17" fillId="0" borderId="3" xfId="0" applyNumberFormat="1" applyFont="1" applyBorder="1" applyAlignment="1">
      <alignment horizontal="center" vertical="center"/>
    </xf>
    <xf numFmtId="14" fontId="17" fillId="0" borderId="26" xfId="0" applyNumberFormat="1" applyFont="1" applyBorder="1" applyAlignment="1">
      <alignment horizontal="center" vertical="center"/>
    </xf>
    <xf numFmtId="175" fontId="12" fillId="11" borderId="19" xfId="8" applyNumberFormat="1" applyFont="1" applyFill="1" applyBorder="1" applyAlignment="1">
      <alignment horizontal="center" vertical="center" wrapText="1"/>
    </xf>
    <xf numFmtId="175" fontId="37" fillId="0" borderId="26" xfId="16" applyNumberFormat="1" applyFont="1" applyBorder="1" applyAlignment="1">
      <alignment horizontal="center" vertical="center" wrapText="1"/>
    </xf>
    <xf numFmtId="0" fontId="21" fillId="0" borderId="24" xfId="16" applyFont="1" applyBorder="1" applyAlignment="1">
      <alignment horizontal="left" vertical="center" wrapText="1"/>
    </xf>
    <xf numFmtId="0" fontId="21" fillId="19" borderId="0" xfId="0" applyFont="1" applyFill="1" applyAlignment="1">
      <alignment vertical="center" shrinkToFit="1"/>
    </xf>
    <xf numFmtId="0" fontId="12" fillId="4" borderId="106" xfId="0" applyFont="1" applyFill="1" applyBorder="1" applyAlignment="1">
      <alignment horizontal="center" vertical="center"/>
    </xf>
    <xf numFmtId="175" fontId="12" fillId="4" borderId="171" xfId="0" applyNumberFormat="1" applyFont="1" applyFill="1" applyBorder="1" applyAlignment="1">
      <alignment horizontal="center" vertical="center"/>
    </xf>
    <xf numFmtId="0" fontId="17" fillId="17" borderId="15" xfId="7" applyFont="1" applyFill="1" applyBorder="1">
      <alignment vertical="center"/>
    </xf>
    <xf numFmtId="0" fontId="17" fillId="17" borderId="38" xfId="7" applyFont="1" applyFill="1" applyBorder="1" applyAlignment="1">
      <alignment horizontal="center" vertical="center"/>
    </xf>
    <xf numFmtId="0" fontId="17" fillId="17" borderId="19" xfId="7" applyFont="1" applyFill="1" applyBorder="1">
      <alignment vertical="center"/>
    </xf>
    <xf numFmtId="0" fontId="17" fillId="17" borderId="19" xfId="7" applyFont="1" applyFill="1" applyBorder="1" applyAlignment="1">
      <alignment horizontal="center" vertical="center"/>
    </xf>
    <xf numFmtId="175" fontId="17" fillId="17" borderId="19" xfId="7" applyNumberFormat="1" applyFont="1" applyFill="1" applyBorder="1" applyAlignment="1">
      <alignment horizontal="center" vertical="center"/>
    </xf>
    <xf numFmtId="0" fontId="17" fillId="17" borderId="38" xfId="7" applyFont="1" applyFill="1" applyBorder="1" applyAlignment="1">
      <alignment vertical="center" wrapText="1"/>
    </xf>
    <xf numFmtId="175" fontId="17" fillId="17" borderId="38" xfId="10" applyNumberFormat="1" applyFont="1" applyFill="1" applyBorder="1" applyAlignment="1">
      <alignment horizontal="center" vertical="center"/>
    </xf>
    <xf numFmtId="0" fontId="17" fillId="17" borderId="38" xfId="7" applyFont="1" applyFill="1" applyBorder="1" applyAlignment="1">
      <alignment horizontal="left" vertical="center" wrapText="1"/>
    </xf>
    <xf numFmtId="0" fontId="17" fillId="17" borderId="19" xfId="7" applyFont="1" applyFill="1" applyBorder="1" applyAlignment="1">
      <alignment horizontal="left" vertical="center"/>
    </xf>
    <xf numFmtId="14" fontId="17" fillId="17" borderId="27" xfId="7" applyNumberFormat="1" applyFont="1" applyFill="1" applyBorder="1">
      <alignment vertical="center"/>
    </xf>
    <xf numFmtId="169" fontId="17" fillId="0" borderId="3" xfId="1" applyNumberFormat="1" applyFont="1" applyBorder="1" applyAlignment="1">
      <alignment horizontal="right" vertical="center"/>
    </xf>
    <xf numFmtId="164" fontId="17" fillId="0" borderId="1" xfId="1" applyFont="1" applyBorder="1" applyAlignment="1">
      <alignment horizontal="right" vertical="center"/>
    </xf>
    <xf numFmtId="164" fontId="18" fillId="17" borderId="1" xfId="1" applyFont="1" applyFill="1" applyBorder="1" applyAlignment="1">
      <alignment horizontal="right" vertical="center"/>
    </xf>
    <xf numFmtId="0" fontId="18" fillId="17" borderId="13" xfId="1" applyNumberFormat="1" applyFont="1" applyFill="1" applyBorder="1" applyAlignment="1">
      <alignment horizontal="center" vertical="center" wrapText="1"/>
    </xf>
    <xf numFmtId="169" fontId="17" fillId="17" borderId="39" xfId="1" applyNumberFormat="1" applyFont="1" applyFill="1" applyBorder="1" applyAlignment="1">
      <alignment horizontal="right" vertical="center"/>
    </xf>
    <xf numFmtId="0" fontId="17" fillId="17" borderId="17" xfId="1" applyNumberFormat="1" applyFont="1" applyFill="1" applyBorder="1" applyAlignment="1">
      <alignment horizontal="center" vertical="center"/>
    </xf>
    <xf numFmtId="169" fontId="17" fillId="17" borderId="130" xfId="1" applyNumberFormat="1" applyFont="1" applyFill="1" applyBorder="1" applyAlignment="1">
      <alignment horizontal="right" vertical="center"/>
    </xf>
    <xf numFmtId="0" fontId="17" fillId="17" borderId="22" xfId="1" applyNumberFormat="1" applyFont="1" applyFill="1" applyBorder="1" applyAlignment="1">
      <alignment horizontal="right" vertical="center"/>
    </xf>
    <xf numFmtId="169" fontId="17" fillId="0" borderId="130" xfId="1" applyNumberFormat="1" applyFont="1" applyBorder="1" applyAlignment="1">
      <alignment horizontal="right" vertical="center"/>
    </xf>
    <xf numFmtId="0" fontId="17" fillId="0" borderId="22" xfId="1" applyNumberFormat="1" applyFont="1" applyBorder="1" applyAlignment="1">
      <alignment horizontal="right" vertical="center"/>
    </xf>
    <xf numFmtId="164" fontId="17" fillId="0" borderId="28" xfId="1" applyFont="1" applyBorder="1" applyAlignment="1">
      <alignment horizontal="right" vertical="center"/>
    </xf>
    <xf numFmtId="16" fontId="21" fillId="0" borderId="0" xfId="0" applyNumberFormat="1" applyFont="1" applyAlignment="1">
      <alignment vertical="center" shrinkToFit="1"/>
    </xf>
    <xf numFmtId="0" fontId="21" fillId="20" borderId="0" xfId="0" applyFont="1" applyFill="1" applyAlignment="1">
      <alignment vertical="center" shrinkToFit="1"/>
    </xf>
    <xf numFmtId="49" fontId="21" fillId="20" borderId="0" xfId="0" applyNumberFormat="1" applyFont="1" applyFill="1" applyAlignment="1">
      <alignment vertical="center" shrinkToFit="1"/>
    </xf>
    <xf numFmtId="14" fontId="18" fillId="22" borderId="26" xfId="0" quotePrefix="1" applyNumberFormat="1" applyFont="1" applyFill="1" applyBorder="1" applyAlignment="1">
      <alignment horizontal="center" vertical="center" wrapText="1"/>
    </xf>
    <xf numFmtId="14" fontId="18" fillId="0" borderId="26" xfId="0" quotePrefix="1" applyNumberFormat="1" applyFont="1" applyBorder="1" applyAlignment="1">
      <alignment horizontal="center" vertical="center" wrapText="1"/>
    </xf>
    <xf numFmtId="0" fontId="18" fillId="0" borderId="55" xfId="1" applyNumberFormat="1" applyFont="1" applyBorder="1" applyAlignment="1">
      <alignment horizontal="center" vertical="center"/>
    </xf>
    <xf numFmtId="175" fontId="18" fillId="0" borderId="3" xfId="0" applyNumberFormat="1" applyFont="1" applyBorder="1" applyAlignment="1">
      <alignment horizontal="center" vertical="center"/>
    </xf>
    <xf numFmtId="175" fontId="18" fillId="0" borderId="52" xfId="0" applyNumberFormat="1" applyFont="1" applyBorder="1" applyAlignment="1">
      <alignment horizontal="center" vertical="center"/>
    </xf>
    <xf numFmtId="175" fontId="18" fillId="17" borderId="1" xfId="0" applyNumberFormat="1" applyFont="1" applyFill="1" applyBorder="1" applyAlignment="1">
      <alignment horizontal="center" vertical="center"/>
    </xf>
    <xf numFmtId="0" fontId="12" fillId="0" borderId="19" xfId="7" applyFont="1" applyBorder="1" applyAlignment="1">
      <alignment horizontal="left" vertical="center" wrapText="1"/>
    </xf>
    <xf numFmtId="0" fontId="11" fillId="0" borderId="19" xfId="9" quotePrefix="1" applyFont="1" applyBorder="1">
      <alignment vertical="center"/>
    </xf>
    <xf numFmtId="0" fontId="11" fillId="0" borderId="46" xfId="9" quotePrefix="1" applyFont="1" applyBorder="1">
      <alignment vertical="center"/>
    </xf>
    <xf numFmtId="0" fontId="21" fillId="17" borderId="56" xfId="16" applyFont="1" applyFill="1" applyBorder="1" applyAlignment="1">
      <alignment vertical="center" wrapText="1"/>
    </xf>
    <xf numFmtId="9" fontId="21" fillId="17" borderId="15" xfId="16" applyNumberFormat="1" applyFont="1" applyFill="1" applyBorder="1" applyAlignment="1">
      <alignment horizontal="left" vertical="center"/>
    </xf>
    <xf numFmtId="9" fontId="21" fillId="17" borderId="19" xfId="16" applyNumberFormat="1" applyFont="1" applyFill="1" applyBorder="1" applyAlignment="1">
      <alignment horizontal="left" vertical="center"/>
    </xf>
    <xf numFmtId="175" fontId="21" fillId="18" borderId="46" xfId="16" applyNumberFormat="1" applyFont="1" applyFill="1" applyBorder="1" applyAlignment="1">
      <alignment horizontal="center" vertical="center"/>
    </xf>
    <xf numFmtId="0" fontId="21" fillId="18" borderId="44" xfId="16" applyFont="1" applyFill="1" applyBorder="1" applyAlignment="1">
      <alignment vertical="center" wrapText="1"/>
    </xf>
    <xf numFmtId="175" fontId="37" fillId="0" borderId="24" xfId="16" applyNumberFormat="1" applyFont="1" applyBorder="1" applyAlignment="1">
      <alignment horizontal="center" vertical="center" wrapText="1"/>
    </xf>
    <xf numFmtId="175" fontId="12" fillId="17" borderId="15" xfId="8" applyNumberFormat="1" applyFont="1" applyFill="1" applyBorder="1" applyAlignment="1">
      <alignment horizontal="center" vertical="top"/>
    </xf>
    <xf numFmtId="171" fontId="12" fillId="0" borderId="27" xfId="7" applyNumberFormat="1" applyFont="1" applyBorder="1">
      <alignment vertical="center"/>
    </xf>
    <xf numFmtId="171" fontId="12" fillId="0" borderId="30" xfId="7" applyNumberFormat="1" applyFont="1" applyBorder="1">
      <alignment vertical="center"/>
    </xf>
    <xf numFmtId="14" fontId="17" fillId="17" borderId="19" xfId="0" applyNumberFormat="1" applyFont="1" applyFill="1" applyBorder="1" applyAlignment="1">
      <alignment horizontal="center" vertical="center"/>
    </xf>
    <xf numFmtId="0" fontId="10" fillId="17" borderId="3" xfId="1" applyNumberFormat="1" applyFont="1" applyFill="1" applyBorder="1" applyAlignment="1">
      <alignment horizontal="center" vertical="center"/>
    </xf>
    <xf numFmtId="164" fontId="10" fillId="17" borderId="52" xfId="1" applyFont="1" applyFill="1" applyBorder="1" applyAlignment="1">
      <alignment horizontal="right" vertical="center"/>
    </xf>
    <xf numFmtId="0" fontId="17" fillId="17" borderId="23" xfId="1" applyNumberFormat="1" applyFont="1" applyFill="1" applyBorder="1" applyAlignment="1">
      <alignment horizontal="center" vertical="center"/>
    </xf>
    <xf numFmtId="14" fontId="17" fillId="17" borderId="25" xfId="0" applyNumberFormat="1" applyFont="1" applyFill="1" applyBorder="1" applyAlignment="1">
      <alignment horizontal="center" vertical="center"/>
    </xf>
    <xf numFmtId="164" fontId="18" fillId="17" borderId="44" xfId="1" applyFont="1" applyFill="1" applyBorder="1" applyAlignment="1">
      <alignment horizontal="right" vertical="center"/>
    </xf>
    <xf numFmtId="164" fontId="17" fillId="17" borderId="130" xfId="1" applyFont="1" applyFill="1" applyBorder="1" applyAlignment="1">
      <alignment horizontal="right" vertical="center"/>
    </xf>
    <xf numFmtId="49" fontId="21" fillId="20" borderId="1" xfId="0" applyNumberFormat="1" applyFont="1" applyFill="1" applyBorder="1" applyAlignment="1">
      <alignment vertical="center" shrinkToFit="1"/>
    </xf>
    <xf numFmtId="172" fontId="12" fillId="17" borderId="15" xfId="8" applyNumberFormat="1" applyFont="1" applyFill="1" applyBorder="1" applyAlignment="1">
      <alignment horizontal="right" vertical="center"/>
    </xf>
    <xf numFmtId="172" fontId="12" fillId="17" borderId="19" xfId="8" applyNumberFormat="1" applyFont="1" applyFill="1" applyBorder="1" applyAlignment="1">
      <alignment horizontal="right" vertical="top"/>
    </xf>
    <xf numFmtId="14" fontId="12" fillId="17" borderId="15" xfId="8" applyNumberFormat="1" applyFont="1" applyFill="1" applyBorder="1" applyAlignment="1">
      <alignment horizontal="center" vertical="top" wrapText="1"/>
    </xf>
    <xf numFmtId="14" fontId="12" fillId="17" borderId="19" xfId="8" applyNumberFormat="1" applyFont="1" applyFill="1" applyBorder="1" applyAlignment="1">
      <alignment horizontal="center" vertical="top"/>
    </xf>
    <xf numFmtId="172" fontId="12" fillId="17" borderId="19" xfId="8" applyNumberFormat="1" applyFont="1" applyFill="1" applyBorder="1" applyAlignment="1">
      <alignment horizontal="right" vertical="center"/>
    </xf>
    <xf numFmtId="0" fontId="12" fillId="17" borderId="32" xfId="8" applyFont="1" applyFill="1" applyBorder="1" applyAlignment="1">
      <alignment horizontal="center" vertical="center"/>
    </xf>
    <xf numFmtId="14" fontId="12" fillId="17" borderId="19" xfId="8" applyNumberFormat="1" applyFont="1" applyFill="1" applyBorder="1" applyAlignment="1">
      <alignment horizontal="center" vertical="center" wrapText="1"/>
    </xf>
    <xf numFmtId="172" fontId="12" fillId="17" borderId="15" xfId="8" applyNumberFormat="1" applyFont="1" applyFill="1" applyBorder="1" applyAlignment="1">
      <alignment horizontal="center" vertical="center"/>
    </xf>
    <xf numFmtId="0" fontId="12" fillId="17" borderId="15" xfId="8" applyFont="1" applyFill="1" applyBorder="1" applyAlignment="1">
      <alignment vertical="top" wrapText="1"/>
    </xf>
    <xf numFmtId="0" fontId="12" fillId="17" borderId="19" xfId="8" applyFont="1" applyFill="1" applyBorder="1" applyAlignment="1">
      <alignment vertical="top" wrapText="1"/>
    </xf>
    <xf numFmtId="0" fontId="12" fillId="17" borderId="19" xfId="8" applyFont="1" applyFill="1" applyBorder="1" applyAlignment="1">
      <alignment horizontal="center" vertical="center" wrapText="1"/>
    </xf>
    <xf numFmtId="175" fontId="12" fillId="17" borderId="38" xfId="8" applyNumberFormat="1" applyFont="1" applyFill="1" applyBorder="1" applyAlignment="1">
      <alignment horizontal="center" vertical="center"/>
    </xf>
    <xf numFmtId="0" fontId="12" fillId="17" borderId="38" xfId="8" applyFont="1" applyFill="1" applyBorder="1" applyAlignment="1">
      <alignment horizontal="center" vertical="center"/>
    </xf>
    <xf numFmtId="175" fontId="12" fillId="17" borderId="30" xfId="8" applyNumberFormat="1" applyFont="1" applyFill="1" applyBorder="1" applyAlignment="1">
      <alignment horizontal="center" vertical="top" wrapText="1"/>
    </xf>
    <xf numFmtId="0" fontId="12" fillId="17" borderId="32" xfId="8" applyFont="1" applyFill="1" applyBorder="1">
      <alignment vertical="center"/>
    </xf>
    <xf numFmtId="0" fontId="12" fillId="17" borderId="15" xfId="8" applyFont="1" applyFill="1" applyBorder="1" applyAlignment="1">
      <alignment horizontal="center" vertical="center" wrapText="1"/>
    </xf>
    <xf numFmtId="0" fontId="12" fillId="17" borderId="25" xfId="7" applyFont="1" applyFill="1" applyBorder="1">
      <alignment vertical="center"/>
    </xf>
    <xf numFmtId="0" fontId="12" fillId="17" borderId="26" xfId="7" applyFont="1" applyFill="1" applyBorder="1" applyAlignment="1">
      <alignment vertical="center" wrapText="1"/>
    </xf>
    <xf numFmtId="175" fontId="12" fillId="17" borderId="26" xfId="10" applyNumberFormat="1" applyFont="1" applyFill="1" applyBorder="1" applyAlignment="1">
      <alignment horizontal="center" vertical="center" wrapText="1"/>
    </xf>
    <xf numFmtId="0" fontId="12" fillId="17" borderId="26" xfId="7" applyFont="1" applyFill="1" applyBorder="1" applyAlignment="1">
      <alignment horizontal="left" vertical="center" wrapText="1"/>
    </xf>
    <xf numFmtId="0" fontId="12" fillId="17" borderId="26" xfId="7" applyFont="1" applyFill="1" applyBorder="1" applyAlignment="1">
      <alignment horizontal="center" vertical="center"/>
    </xf>
    <xf numFmtId="175" fontId="12" fillId="17" borderId="25" xfId="10" applyNumberFormat="1" applyFont="1" applyFill="1" applyBorder="1" applyAlignment="1">
      <alignment horizontal="center" vertical="center"/>
    </xf>
    <xf numFmtId="175" fontId="12" fillId="17" borderId="26" xfId="7" applyNumberFormat="1" applyFont="1" applyFill="1" applyBorder="1" applyAlignment="1">
      <alignment horizontal="center" vertical="center"/>
    </xf>
    <xf numFmtId="0" fontId="12" fillId="17" borderId="26" xfId="7" applyFont="1" applyFill="1" applyBorder="1">
      <alignment vertical="center"/>
    </xf>
    <xf numFmtId="172" fontId="12" fillId="17" borderId="26" xfId="7" applyNumberFormat="1" applyFont="1" applyFill="1" applyBorder="1" applyAlignment="1">
      <alignment horizontal="right" vertical="center"/>
    </xf>
    <xf numFmtId="175" fontId="12" fillId="17" borderId="25" xfId="7" applyNumberFormat="1" applyFont="1" applyFill="1" applyBorder="1" applyAlignment="1">
      <alignment horizontal="center" vertical="center"/>
    </xf>
    <xf numFmtId="0" fontId="12" fillId="17" borderId="26" xfId="10" applyFont="1" applyFill="1" applyBorder="1" applyAlignment="1">
      <alignment horizontal="center" vertical="center"/>
    </xf>
    <xf numFmtId="172" fontId="11" fillId="0" borderId="19" xfId="9" applyNumberFormat="1" applyFont="1" applyBorder="1">
      <alignment vertical="center"/>
    </xf>
    <xf numFmtId="175" fontId="12" fillId="17" borderId="38" xfId="7" applyNumberFormat="1" applyFont="1" applyFill="1" applyBorder="1" applyAlignment="1">
      <alignment horizontal="center" vertical="center"/>
    </xf>
    <xf numFmtId="0" fontId="12" fillId="17" borderId="19" xfId="7" applyFont="1" applyFill="1" applyBorder="1" applyAlignment="1">
      <alignment vertical="center" wrapText="1"/>
    </xf>
    <xf numFmtId="0" fontId="12" fillId="17" borderId="30" xfId="7" applyFont="1" applyFill="1" applyBorder="1" applyAlignment="1">
      <alignment horizontal="center" vertical="center"/>
    </xf>
    <xf numFmtId="175" fontId="12" fillId="17" borderId="19" xfId="7" applyNumberFormat="1" applyFont="1" applyFill="1" applyBorder="1" applyAlignment="1">
      <alignment horizontal="center" vertical="center" wrapText="1"/>
    </xf>
    <xf numFmtId="175" fontId="12" fillId="17" borderId="32" xfId="7" applyNumberFormat="1" applyFont="1" applyFill="1" applyBorder="1" applyAlignment="1">
      <alignment horizontal="center" vertical="center" wrapText="1"/>
    </xf>
    <xf numFmtId="175" fontId="12" fillId="17" borderId="19" xfId="7" applyNumberFormat="1" applyFont="1" applyFill="1" applyBorder="1">
      <alignment vertical="center"/>
    </xf>
    <xf numFmtId="175" fontId="12" fillId="17" borderId="26" xfId="10" applyNumberFormat="1" applyFont="1" applyFill="1" applyBorder="1" applyAlignment="1">
      <alignment horizontal="center" vertical="center"/>
    </xf>
    <xf numFmtId="0" fontId="12" fillId="17" borderId="38" xfId="7" applyFont="1" applyFill="1" applyBorder="1" applyAlignment="1">
      <alignment horizontal="center" vertical="center"/>
    </xf>
    <xf numFmtId="172" fontId="12" fillId="17" borderId="30" xfId="7" applyNumberFormat="1" applyFont="1" applyFill="1" applyBorder="1" applyAlignment="1">
      <alignment horizontal="right" vertical="center"/>
    </xf>
    <xf numFmtId="175" fontId="12" fillId="17" borderId="32" xfId="7" applyNumberFormat="1" applyFont="1" applyFill="1" applyBorder="1" applyAlignment="1">
      <alignment horizontal="center" vertical="center"/>
    </xf>
    <xf numFmtId="0" fontId="41" fillId="17" borderId="0" xfId="9" applyFont="1" applyFill="1">
      <alignment vertical="center"/>
    </xf>
    <xf numFmtId="0" fontId="12" fillId="0" borderId="26" xfId="0" applyFont="1" applyBorder="1" applyAlignment="1">
      <alignment horizontal="left" vertical="center" shrinkToFit="1"/>
    </xf>
    <xf numFmtId="172" fontId="12" fillId="17" borderId="15" xfId="7" applyNumberFormat="1" applyFont="1" applyFill="1" applyBorder="1">
      <alignment vertical="center"/>
    </xf>
    <xf numFmtId="172" fontId="12" fillId="17" borderId="19" xfId="7" applyNumberFormat="1" applyFont="1" applyFill="1" applyBorder="1">
      <alignment vertical="center"/>
    </xf>
    <xf numFmtId="172" fontId="12" fillId="17" borderId="24" xfId="7" applyNumberFormat="1" applyFont="1" applyFill="1" applyBorder="1">
      <alignment vertical="center"/>
    </xf>
    <xf numFmtId="172" fontId="17" fillId="17" borderId="38" xfId="7" applyNumberFormat="1" applyFont="1" applyFill="1" applyBorder="1">
      <alignment vertical="center"/>
    </xf>
    <xf numFmtId="172" fontId="17" fillId="17" borderId="19" xfId="7" applyNumberFormat="1" applyFont="1" applyFill="1" applyBorder="1">
      <alignment vertical="center"/>
    </xf>
    <xf numFmtId="172" fontId="12" fillId="0" borderId="19" xfId="7" applyNumberFormat="1" applyFont="1" applyBorder="1">
      <alignment vertical="center"/>
    </xf>
    <xf numFmtId="172" fontId="12" fillId="0" borderId="26" xfId="7" applyNumberFormat="1" applyFont="1" applyBorder="1">
      <alignment vertical="center"/>
    </xf>
    <xf numFmtId="172" fontId="12" fillId="0" borderId="24" xfId="7" applyNumberFormat="1" applyFont="1" applyBorder="1">
      <alignment vertical="center"/>
    </xf>
    <xf numFmtId="172" fontId="12" fillId="0" borderId="15" xfId="7" applyNumberFormat="1" applyFont="1" applyBorder="1">
      <alignment vertical="center"/>
    </xf>
    <xf numFmtId="172" fontId="12" fillId="0" borderId="43" xfId="7" applyNumberFormat="1" applyFont="1" applyBorder="1">
      <alignment vertical="center"/>
    </xf>
    <xf numFmtId="172" fontId="12" fillId="17" borderId="26" xfId="7" applyNumberFormat="1" applyFont="1" applyFill="1" applyBorder="1">
      <alignment vertical="center"/>
    </xf>
    <xf numFmtId="172" fontId="12" fillId="0" borderId="46" xfId="7" applyNumberFormat="1" applyFont="1" applyBorder="1">
      <alignment vertical="center"/>
    </xf>
    <xf numFmtId="172" fontId="12" fillId="0" borderId="19" xfId="7" applyNumberFormat="1" applyFont="1" applyBorder="1" applyAlignment="1">
      <alignment horizontal="center" vertical="center"/>
    </xf>
    <xf numFmtId="172" fontId="11" fillId="0" borderId="0" xfId="9" applyNumberFormat="1" applyFont="1">
      <alignment vertical="center"/>
    </xf>
    <xf numFmtId="172" fontId="12" fillId="17" borderId="26" xfId="8" applyNumberFormat="1" applyFont="1" applyFill="1" applyBorder="1" applyAlignment="1">
      <alignment horizontal="center" vertical="top"/>
    </xf>
    <xf numFmtId="172" fontId="12" fillId="17" borderId="19" xfId="8" applyNumberFormat="1" applyFont="1" applyFill="1" applyBorder="1" applyAlignment="1">
      <alignment horizontal="center" vertical="center"/>
    </xf>
    <xf numFmtId="172" fontId="12" fillId="0" borderId="19" xfId="8" quotePrefix="1" applyNumberFormat="1" applyFont="1" applyBorder="1" applyAlignment="1">
      <alignment horizontal="center" vertical="center"/>
    </xf>
    <xf numFmtId="172" fontId="12" fillId="17" borderId="26" xfId="8" applyNumberFormat="1" applyFont="1" applyFill="1" applyBorder="1" applyAlignment="1">
      <alignment horizontal="center" vertical="center"/>
    </xf>
    <xf numFmtId="172" fontId="12" fillId="17" borderId="19" xfId="8" applyNumberFormat="1" applyFont="1" applyFill="1" applyBorder="1">
      <alignment vertical="center"/>
    </xf>
    <xf numFmtId="172" fontId="12" fillId="17" borderId="19" xfId="8" quotePrefix="1" applyNumberFormat="1" applyFont="1" applyFill="1" applyBorder="1">
      <alignment vertical="center"/>
    </xf>
    <xf numFmtId="172" fontId="12" fillId="17" borderId="24" xfId="8" quotePrefix="1" applyNumberFormat="1" applyFont="1" applyFill="1" applyBorder="1">
      <alignment vertical="center"/>
    </xf>
    <xf numFmtId="172" fontId="12" fillId="17" borderId="24" xfId="8" applyNumberFormat="1" applyFont="1" applyFill="1" applyBorder="1">
      <alignment vertical="center"/>
    </xf>
    <xf numFmtId="172" fontId="12" fillId="17" borderId="38" xfId="9" applyNumberFormat="1" applyFont="1" applyFill="1" applyBorder="1">
      <alignment vertical="center"/>
    </xf>
    <xf numFmtId="172" fontId="12" fillId="17" borderId="19" xfId="8" applyNumberFormat="1" applyFont="1" applyFill="1" applyBorder="1" applyAlignment="1">
      <alignment horizontal="center" vertical="center" wrapText="1"/>
    </xf>
    <xf numFmtId="172" fontId="12" fillId="0" borderId="26" xfId="8" applyNumberFormat="1" applyFont="1" applyBorder="1" applyAlignment="1">
      <alignment horizontal="center" vertical="center"/>
    </xf>
    <xf numFmtId="172" fontId="12" fillId="17" borderId="46" xfId="8" applyNumberFormat="1" applyFont="1" applyFill="1" applyBorder="1">
      <alignment vertical="center"/>
    </xf>
    <xf numFmtId="172" fontId="12" fillId="0" borderId="24" xfId="8" applyNumberFormat="1" applyFont="1" applyBorder="1" applyAlignment="1">
      <alignment vertical="top"/>
    </xf>
    <xf numFmtId="172" fontId="12" fillId="0" borderId="46" xfId="8" applyNumberFormat="1" applyFont="1" applyBorder="1" applyAlignment="1">
      <alignment vertical="top"/>
    </xf>
    <xf numFmtId="172" fontId="12" fillId="17" borderId="24" xfId="8" applyNumberFormat="1" applyFont="1" applyFill="1" applyBorder="1" applyAlignment="1">
      <alignment vertical="top"/>
    </xf>
    <xf numFmtId="16" fontId="12" fillId="0" borderId="0" xfId="0" applyNumberFormat="1" applyFont="1">
      <alignment vertical="center"/>
    </xf>
    <xf numFmtId="16" fontId="21" fillId="0" borderId="0" xfId="0" applyNumberFormat="1" applyFont="1">
      <alignment vertical="center"/>
    </xf>
    <xf numFmtId="164" fontId="12" fillId="17" borderId="26" xfId="1" applyFont="1" applyFill="1" applyBorder="1" applyAlignment="1">
      <alignment horizontal="right" vertical="center"/>
    </xf>
    <xf numFmtId="175" fontId="17" fillId="4" borderId="3" xfId="5" applyNumberFormat="1" applyFont="1" applyFill="1" applyBorder="1" applyAlignment="1">
      <alignment horizontal="center" vertical="center"/>
    </xf>
    <xf numFmtId="14" fontId="18" fillId="6" borderId="3" xfId="0" applyNumberFormat="1" applyFont="1" applyFill="1" applyBorder="1" applyAlignment="1">
      <alignment horizontal="center" vertical="center"/>
    </xf>
    <xf numFmtId="175" fontId="12" fillId="20" borderId="5" xfId="0" applyNumberFormat="1" applyFont="1" applyFill="1" applyBorder="1" applyAlignment="1">
      <alignment horizontal="right" vertical="center" shrinkToFit="1"/>
    </xf>
    <xf numFmtId="0" fontId="12" fillId="20" borderId="5" xfId="0" applyFont="1" applyFill="1" applyBorder="1" applyAlignment="1">
      <alignment horizontal="right" vertical="center" wrapText="1" shrinkToFit="1"/>
    </xf>
    <xf numFmtId="172" fontId="12" fillId="0" borderId="15" xfId="7" applyNumberFormat="1" applyFont="1" applyBorder="1" applyAlignment="1">
      <alignment horizontal="right" vertical="center" wrapText="1"/>
    </xf>
    <xf numFmtId="175" fontId="12" fillId="0" borderId="73" xfId="0" applyNumberFormat="1" applyFont="1" applyBorder="1" applyAlignment="1">
      <alignment horizontal="center" vertical="center" shrinkToFit="1"/>
    </xf>
    <xf numFmtId="166" fontId="12" fillId="0" borderId="71" xfId="0" applyNumberFormat="1" applyFont="1" applyBorder="1" applyAlignment="1">
      <alignment horizontal="center" vertical="center" shrinkToFit="1"/>
    </xf>
    <xf numFmtId="173" fontId="12" fillId="0" borderId="12" xfId="0" applyNumberFormat="1" applyFont="1" applyBorder="1" applyAlignment="1">
      <alignment horizontal="center" vertical="center" shrinkToFit="1"/>
    </xf>
    <xf numFmtId="164" fontId="18" fillId="17" borderId="26" xfId="1" applyFont="1" applyFill="1" applyBorder="1" applyAlignment="1">
      <alignment horizontal="right" vertical="center"/>
    </xf>
    <xf numFmtId="0" fontId="17" fillId="17" borderId="24" xfId="1" applyNumberFormat="1" applyFont="1" applyFill="1" applyBorder="1" applyAlignment="1">
      <alignment horizontal="center" vertical="center"/>
    </xf>
    <xf numFmtId="41" fontId="18" fillId="17" borderId="15" xfId="0" applyNumberFormat="1" applyFont="1" applyFill="1" applyBorder="1" applyAlignment="1">
      <alignment horizontal="right" vertical="center"/>
    </xf>
    <xf numFmtId="175" fontId="12" fillId="0" borderId="142" xfId="0" applyNumberFormat="1" applyFont="1" applyBorder="1" applyAlignment="1">
      <alignment horizontal="center" vertical="center" shrinkToFit="1"/>
    </xf>
    <xf numFmtId="14" fontId="18" fillId="17" borderId="32" xfId="0" applyNumberFormat="1" applyFont="1" applyFill="1" applyBorder="1" applyAlignment="1">
      <alignment horizontal="center" vertical="center"/>
    </xf>
    <xf numFmtId="9" fontId="12" fillId="0" borderId="15" xfId="7" applyNumberFormat="1" applyFont="1" applyBorder="1">
      <alignment vertical="center"/>
    </xf>
    <xf numFmtId="0" fontId="12" fillId="0" borderId="30" xfId="7" applyFont="1" applyBorder="1" applyAlignment="1">
      <alignment vertical="center" wrapText="1"/>
    </xf>
    <xf numFmtId="0" fontId="12" fillId="20" borderId="5" xfId="0" applyFont="1" applyFill="1" applyBorder="1" applyAlignment="1">
      <alignment horizontal="center" vertical="center" wrapText="1" shrinkToFit="1"/>
    </xf>
    <xf numFmtId="0" fontId="18" fillId="6" borderId="32" xfId="1" applyNumberFormat="1" applyFont="1" applyFill="1" applyBorder="1" applyAlignment="1">
      <alignment horizontal="center" vertical="center" wrapText="1"/>
    </xf>
    <xf numFmtId="164" fontId="18" fillId="6" borderId="32" xfId="1" applyFont="1" applyFill="1" applyBorder="1" applyAlignment="1">
      <alignment horizontal="right" vertical="center"/>
    </xf>
    <xf numFmtId="175" fontId="18" fillId="17" borderId="32" xfId="0" applyNumberFormat="1" applyFont="1" applyFill="1" applyBorder="1" applyAlignment="1">
      <alignment horizontal="center" vertical="center"/>
    </xf>
    <xf numFmtId="175" fontId="18" fillId="0" borderId="32" xfId="0" applyNumberFormat="1" applyFont="1" applyBorder="1" applyAlignment="1">
      <alignment horizontal="center" vertical="center"/>
    </xf>
    <xf numFmtId="164" fontId="17" fillId="6" borderId="32" xfId="1" applyFont="1" applyFill="1" applyBorder="1" applyAlignment="1">
      <alignment horizontal="right" vertical="center"/>
    </xf>
    <xf numFmtId="164" fontId="17" fillId="6" borderId="24" xfId="1" applyFont="1" applyFill="1" applyBorder="1" applyAlignment="1">
      <alignment horizontal="right" vertical="center"/>
    </xf>
    <xf numFmtId="0" fontId="17" fillId="6" borderId="1" xfId="1" applyNumberFormat="1" applyFont="1" applyFill="1" applyBorder="1" applyAlignment="1">
      <alignment horizontal="center" vertical="center"/>
    </xf>
    <xf numFmtId="164" fontId="17" fillId="6" borderId="1" xfId="1" applyFont="1" applyFill="1" applyBorder="1" applyAlignment="1">
      <alignment horizontal="right" vertical="center"/>
    </xf>
    <xf numFmtId="175" fontId="17" fillId="0" borderId="1" xfId="0" applyNumberFormat="1" applyFont="1" applyBorder="1" applyAlignment="1">
      <alignment horizontal="center" vertical="center"/>
    </xf>
    <xf numFmtId="164" fontId="17" fillId="6" borderId="56" xfId="1" applyFont="1" applyFill="1" applyBorder="1" applyAlignment="1">
      <alignment horizontal="right" vertical="center"/>
    </xf>
    <xf numFmtId="172" fontId="12" fillId="17" borderId="26" xfId="8" applyNumberFormat="1" applyFont="1" applyFill="1" applyBorder="1">
      <alignment vertical="center"/>
    </xf>
    <xf numFmtId="0" fontId="12" fillId="17" borderId="19" xfId="7" applyFont="1" applyFill="1" applyBorder="1" applyAlignment="1">
      <alignment horizontal="center" vertical="center" wrapText="1"/>
    </xf>
    <xf numFmtId="0" fontId="12" fillId="17" borderId="25" xfId="7" applyFont="1" applyFill="1" applyBorder="1" applyAlignment="1">
      <alignment vertical="center" wrapText="1"/>
    </xf>
    <xf numFmtId="0" fontId="12" fillId="17" borderId="25" xfId="7" applyFont="1" applyFill="1" applyBorder="1" applyAlignment="1">
      <alignment horizontal="center" vertical="center" wrapText="1"/>
    </xf>
    <xf numFmtId="172" fontId="12" fillId="17" borderId="25" xfId="7" applyNumberFormat="1" applyFont="1" applyFill="1" applyBorder="1">
      <alignment vertical="center"/>
    </xf>
    <xf numFmtId="0" fontId="12" fillId="17" borderId="25" xfId="7" applyFont="1" applyFill="1" applyBorder="1" applyAlignment="1">
      <alignment horizontal="center" vertical="center"/>
    </xf>
    <xf numFmtId="14" fontId="12" fillId="17" borderId="30" xfId="7" applyNumberFormat="1" applyFont="1" applyFill="1" applyBorder="1">
      <alignment vertical="center"/>
    </xf>
    <xf numFmtId="175" fontId="37" fillId="0" borderId="24" xfId="16" applyNumberFormat="1" applyFont="1" applyBorder="1" applyAlignment="1">
      <alignment horizontal="center" vertical="center"/>
    </xf>
    <xf numFmtId="175" fontId="37" fillId="0" borderId="15" xfId="16" applyNumberFormat="1" applyFont="1" applyBorder="1" applyAlignment="1">
      <alignment horizontal="center" vertical="center"/>
    </xf>
    <xf numFmtId="0" fontId="12" fillId="19" borderId="19" xfId="7" applyFont="1" applyFill="1" applyBorder="1">
      <alignment vertical="center"/>
    </xf>
    <xf numFmtId="172" fontId="12" fillId="19" borderId="19" xfId="7" applyNumberFormat="1" applyFont="1" applyFill="1" applyBorder="1" applyAlignment="1">
      <alignment horizontal="right" vertical="center"/>
    </xf>
    <xf numFmtId="0" fontId="12" fillId="19" borderId="19" xfId="7" applyFont="1" applyFill="1" applyBorder="1" applyAlignment="1">
      <alignment horizontal="center" vertical="center"/>
    </xf>
    <xf numFmtId="175" fontId="12" fillId="19" borderId="19" xfId="7" applyNumberFormat="1" applyFont="1" applyFill="1" applyBorder="1" applyAlignment="1">
      <alignment horizontal="center" vertical="center"/>
    </xf>
    <xf numFmtId="0" fontId="17" fillId="0" borderId="17" xfId="1" applyNumberFormat="1" applyFont="1" applyBorder="1" applyAlignment="1">
      <alignment horizontal="center" vertical="center"/>
    </xf>
    <xf numFmtId="175" fontId="10" fillId="17" borderId="30" xfId="0" applyNumberFormat="1" applyFont="1" applyFill="1" applyBorder="1" applyAlignment="1">
      <alignment horizontal="center" vertical="center"/>
    </xf>
    <xf numFmtId="14" fontId="12" fillId="20" borderId="5" xfId="0" applyNumberFormat="1" applyFont="1" applyFill="1" applyBorder="1" applyAlignment="1">
      <alignment horizontal="center" vertical="center" shrinkToFit="1"/>
    </xf>
    <xf numFmtId="175" fontId="17" fillId="0" borderId="19" xfId="0" applyNumberFormat="1" applyFont="1" applyBorder="1" applyAlignment="1">
      <alignment horizontal="center" vertical="center"/>
    </xf>
    <xf numFmtId="0" fontId="18" fillId="17" borderId="61" xfId="5" applyNumberFormat="1" applyFont="1" applyFill="1" applyBorder="1" applyAlignment="1">
      <alignment horizontal="center" vertical="center"/>
    </xf>
    <xf numFmtId="168" fontId="17" fillId="17" borderId="25" xfId="0" applyNumberFormat="1" applyFont="1" applyFill="1" applyBorder="1" applyAlignment="1">
      <alignment horizontal="right" vertical="center" wrapText="1"/>
    </xf>
    <xf numFmtId="168" fontId="18" fillId="17" borderId="25" xfId="0" applyNumberFormat="1" applyFont="1" applyFill="1" applyBorder="1" applyAlignment="1">
      <alignment horizontal="center" vertical="center" wrapText="1"/>
    </xf>
    <xf numFmtId="168" fontId="17" fillId="17" borderId="25" xfId="0" applyNumberFormat="1" applyFont="1" applyFill="1" applyBorder="1" applyAlignment="1">
      <alignment horizontal="center" vertical="center" wrapText="1"/>
    </xf>
    <xf numFmtId="0" fontId="12" fillId="0" borderId="25" xfId="7" applyFont="1" applyBorder="1" applyAlignment="1">
      <alignment horizontal="center" vertical="center"/>
    </xf>
    <xf numFmtId="175" fontId="12" fillId="0" borderId="0" xfId="0" applyNumberFormat="1" applyFont="1" applyAlignment="1">
      <alignment horizontal="left" vertical="center" shrinkToFit="1"/>
    </xf>
    <xf numFmtId="175" fontId="12" fillId="19" borderId="19" xfId="7" applyNumberFormat="1" applyFont="1" applyFill="1" applyBorder="1" applyAlignment="1">
      <alignment horizontal="left" vertical="center"/>
    </xf>
    <xf numFmtId="175" fontId="12" fillId="19" borderId="19" xfId="7" applyNumberFormat="1" applyFont="1" applyFill="1" applyBorder="1">
      <alignment vertical="center"/>
    </xf>
    <xf numFmtId="14" fontId="12" fillId="0" borderId="32" xfId="7" applyNumberFormat="1" applyFont="1" applyBorder="1">
      <alignment vertical="center"/>
    </xf>
    <xf numFmtId="14" fontId="18" fillId="17" borderId="38" xfId="0" quotePrefix="1" applyNumberFormat="1" applyFont="1" applyFill="1" applyBorder="1" applyAlignment="1">
      <alignment horizontal="center" vertical="center" wrapText="1"/>
    </xf>
    <xf numFmtId="169" fontId="17" fillId="17" borderId="16" xfId="1" applyNumberFormat="1" applyFont="1" applyFill="1" applyBorder="1" applyAlignment="1">
      <alignment vertical="center" wrapText="1"/>
    </xf>
    <xf numFmtId="169" fontId="17" fillId="17" borderId="29" xfId="1" applyNumberFormat="1" applyFont="1" applyFill="1" applyBorder="1" applyAlignment="1">
      <alignment vertical="center" wrapText="1"/>
    </xf>
    <xf numFmtId="167" fontId="17" fillId="17" borderId="0" xfId="0" applyNumberFormat="1" applyFont="1" applyFill="1" applyAlignment="1">
      <alignment horizontal="center" vertical="center" wrapText="1"/>
    </xf>
    <xf numFmtId="175" fontId="17" fillId="17" borderId="0" xfId="0" applyNumberFormat="1" applyFont="1" applyFill="1" applyAlignment="1">
      <alignment horizontal="center" vertical="center" wrapText="1"/>
    </xf>
    <xf numFmtId="0" fontId="18" fillId="17" borderId="0" xfId="0" applyFont="1" applyFill="1" applyAlignment="1">
      <alignment horizontal="center" vertical="center" wrapText="1"/>
    </xf>
    <xf numFmtId="0" fontId="17" fillId="17" borderId="0" xfId="0" applyFont="1" applyFill="1" applyAlignment="1">
      <alignment horizontal="center" vertical="center" wrapText="1"/>
    </xf>
    <xf numFmtId="0" fontId="17" fillId="17" borderId="1" xfId="0" applyFont="1" applyFill="1" applyBorder="1" applyAlignment="1">
      <alignment horizontal="center" vertical="center" wrapText="1"/>
    </xf>
    <xf numFmtId="9" fontId="17" fillId="17" borderId="28" xfId="0" applyNumberFormat="1" applyFont="1" applyFill="1" applyBorder="1" applyAlignment="1">
      <alignment horizontal="right" vertical="center" wrapText="1"/>
    </xf>
    <xf numFmtId="168" fontId="18" fillId="17" borderId="25" xfId="1" applyNumberFormat="1" applyFont="1" applyFill="1" applyBorder="1" applyAlignment="1">
      <alignment horizontal="right" vertical="center"/>
    </xf>
    <xf numFmtId="168" fontId="18" fillId="17" borderId="18" xfId="1" applyNumberFormat="1" applyFont="1" applyFill="1" applyBorder="1" applyAlignment="1">
      <alignment horizontal="right" vertical="center"/>
    </xf>
    <xf numFmtId="0" fontId="17" fillId="17" borderId="62" xfId="0" applyFont="1" applyFill="1" applyBorder="1" applyAlignment="1">
      <alignment horizontal="center" vertical="center"/>
    </xf>
    <xf numFmtId="14" fontId="17" fillId="17" borderId="2" xfId="5" applyNumberFormat="1" applyFont="1" applyFill="1" applyBorder="1" applyAlignment="1">
      <alignment horizontal="center" vertical="center"/>
    </xf>
    <xf numFmtId="14" fontId="17" fillId="17" borderId="2" xfId="0" quotePrefix="1" applyNumberFormat="1" applyFont="1" applyFill="1" applyBorder="1" applyAlignment="1">
      <alignment horizontal="center" vertical="center" wrapText="1"/>
    </xf>
    <xf numFmtId="169" fontId="17" fillId="17" borderId="21" xfId="1" applyNumberFormat="1" applyFont="1" applyFill="1" applyBorder="1" applyAlignment="1">
      <alignment horizontal="center" vertical="center" wrapText="1"/>
    </xf>
    <xf numFmtId="0" fontId="17" fillId="17" borderId="62" xfId="1" applyNumberFormat="1" applyFont="1" applyFill="1" applyBorder="1" applyAlignment="1">
      <alignment horizontal="right" vertical="center"/>
    </xf>
    <xf numFmtId="164" fontId="17" fillId="17" borderId="2" xfId="1" applyFont="1" applyFill="1" applyBorder="1" applyAlignment="1">
      <alignment horizontal="right" vertical="center"/>
    </xf>
    <xf numFmtId="164" fontId="17" fillId="17" borderId="40" xfId="1" applyFont="1" applyFill="1" applyBorder="1" applyAlignment="1">
      <alignment horizontal="right" vertical="center"/>
    </xf>
    <xf numFmtId="0" fontId="17" fillId="17" borderId="3" xfId="1" applyNumberFormat="1" applyFont="1" applyFill="1" applyBorder="1" applyAlignment="1">
      <alignment horizontal="center" vertical="center"/>
    </xf>
    <xf numFmtId="175" fontId="12" fillId="17" borderId="25" xfId="0" applyNumberFormat="1" applyFont="1" applyFill="1" applyBorder="1" applyAlignment="1">
      <alignment horizontal="center" vertical="center"/>
    </xf>
    <xf numFmtId="164" fontId="18" fillId="17" borderId="2" xfId="1" applyFont="1" applyFill="1" applyBorder="1" applyAlignment="1">
      <alignment horizontal="right" vertical="center"/>
    </xf>
    <xf numFmtId="164" fontId="18" fillId="17" borderId="40" xfId="1" applyFont="1" applyFill="1" applyBorder="1" applyAlignment="1">
      <alignment horizontal="right" vertical="center"/>
    </xf>
    <xf numFmtId="0" fontId="12" fillId="17" borderId="52" xfId="10" applyFont="1" applyFill="1" applyBorder="1" applyAlignment="1">
      <alignment horizontal="center" vertical="center"/>
    </xf>
    <xf numFmtId="0" fontId="12" fillId="17" borderId="3" xfId="7" applyFont="1" applyFill="1" applyBorder="1">
      <alignment vertical="center"/>
    </xf>
    <xf numFmtId="172" fontId="12" fillId="0" borderId="25" xfId="7" applyNumberFormat="1" applyFont="1" applyBorder="1" applyAlignment="1">
      <alignment horizontal="right" vertical="center"/>
    </xf>
    <xf numFmtId="49" fontId="12" fillId="0" borderId="25" xfId="7" applyNumberFormat="1" applyFont="1" applyBorder="1" applyAlignment="1">
      <alignment horizontal="center" vertical="center"/>
    </xf>
    <xf numFmtId="171" fontId="12" fillId="0" borderId="19" xfId="8" applyNumberFormat="1" applyFont="1" applyBorder="1" applyAlignment="1">
      <alignment horizontal="center" vertical="center"/>
    </xf>
    <xf numFmtId="14" fontId="12" fillId="6" borderId="19" xfId="8" applyNumberFormat="1" applyFont="1" applyFill="1" applyBorder="1" applyAlignment="1">
      <alignment horizontal="center" vertical="center"/>
    </xf>
    <xf numFmtId="0" fontId="12" fillId="0" borderId="30" xfId="8" applyFont="1" applyBorder="1">
      <alignment vertical="center"/>
    </xf>
    <xf numFmtId="175" fontId="12" fillId="0" borderId="32" xfId="8" applyNumberFormat="1" applyFont="1" applyBorder="1" applyAlignment="1">
      <alignment horizontal="center" vertical="center" wrapText="1"/>
    </xf>
    <xf numFmtId="172" fontId="12" fillId="0" borderId="26" xfId="8" applyNumberFormat="1" applyFont="1" applyBorder="1">
      <alignment vertical="center"/>
    </xf>
    <xf numFmtId="0" fontId="12" fillId="0" borderId="24" xfId="10" quotePrefix="1" applyFont="1" applyBorder="1" applyAlignment="1">
      <alignment horizontal="left" vertical="center"/>
    </xf>
    <xf numFmtId="0" fontId="12" fillId="0" borderId="0" xfId="0" applyFont="1" applyAlignment="1">
      <alignment vertical="center" wrapText="1" shrinkToFit="1"/>
    </xf>
    <xf numFmtId="0" fontId="12" fillId="20" borderId="5" xfId="0" applyFont="1" applyFill="1" applyBorder="1" applyAlignment="1">
      <alignment horizontal="left" vertical="center" shrinkToFit="1"/>
    </xf>
    <xf numFmtId="0" fontId="12" fillId="17" borderId="94" xfId="0" applyFont="1" applyFill="1" applyBorder="1" applyAlignment="1">
      <alignment horizontal="left" vertical="center"/>
    </xf>
    <xf numFmtId="49" fontId="12" fillId="17" borderId="78" xfId="1" applyNumberFormat="1" applyFont="1" applyFill="1" applyBorder="1" applyAlignment="1">
      <alignment horizontal="center" vertical="center"/>
    </xf>
    <xf numFmtId="175" fontId="12" fillId="17" borderId="94" xfId="0" applyNumberFormat="1" applyFont="1" applyFill="1" applyBorder="1" applyAlignment="1">
      <alignment horizontal="center" vertical="center"/>
    </xf>
    <xf numFmtId="0" fontId="12" fillId="17" borderId="94" xfId="0" applyFont="1" applyFill="1" applyBorder="1" applyAlignment="1">
      <alignment horizontal="center" vertical="center"/>
    </xf>
    <xf numFmtId="0" fontId="12" fillId="17" borderId="94" xfId="0" applyFont="1" applyFill="1" applyBorder="1" applyAlignment="1">
      <alignment horizontal="left" vertical="center" wrapText="1"/>
    </xf>
    <xf numFmtId="164" fontId="12" fillId="17" borderId="78" xfId="1" applyFont="1" applyFill="1" applyBorder="1" applyAlignment="1">
      <alignment horizontal="center" vertical="center"/>
    </xf>
    <xf numFmtId="0" fontId="33" fillId="17" borderId="78" xfId="0" applyFont="1" applyFill="1" applyBorder="1" applyAlignment="1">
      <alignment horizontal="left" vertical="center" wrapText="1"/>
    </xf>
    <xf numFmtId="164" fontId="33" fillId="17" borderId="78" xfId="1" applyFont="1" applyFill="1" applyBorder="1" applyAlignment="1">
      <alignment horizontal="center" vertical="center"/>
    </xf>
    <xf numFmtId="175" fontId="33" fillId="17" borderId="78" xfId="0" applyNumberFormat="1" applyFont="1" applyFill="1" applyBorder="1" applyAlignment="1">
      <alignment horizontal="center" vertical="center"/>
    </xf>
    <xf numFmtId="0" fontId="33" fillId="17" borderId="78" xfId="0" applyFont="1" applyFill="1" applyBorder="1" applyAlignment="1">
      <alignment horizontal="left" vertical="center"/>
    </xf>
    <xf numFmtId="175" fontId="12" fillId="17" borderId="78" xfId="0" applyNumberFormat="1" applyFont="1" applyFill="1" applyBorder="1" applyAlignment="1">
      <alignment horizontal="left" vertical="center"/>
    </xf>
    <xf numFmtId="164" fontId="33" fillId="17" borderId="78" xfId="1" applyFont="1" applyFill="1" applyBorder="1">
      <alignment vertical="center"/>
    </xf>
    <xf numFmtId="175" fontId="12" fillId="17" borderId="78" xfId="0" applyNumberFormat="1" applyFont="1" applyFill="1" applyBorder="1" applyAlignment="1">
      <alignment horizontal="center" vertical="center" wrapText="1"/>
    </xf>
    <xf numFmtId="49" fontId="40" fillId="20" borderId="5" xfId="0" applyNumberFormat="1" applyFont="1" applyFill="1" applyBorder="1" applyAlignment="1">
      <alignment horizontal="left" vertical="center" shrinkToFit="1"/>
    </xf>
    <xf numFmtId="0" fontId="12" fillId="4" borderId="5" xfId="0" applyFont="1" applyFill="1" applyBorder="1" applyAlignment="1">
      <alignment horizontal="right" vertical="center" shrinkToFit="1"/>
    </xf>
    <xf numFmtId="175" fontId="12" fillId="4" borderId="78" xfId="0" applyNumberFormat="1" applyFont="1" applyFill="1" applyBorder="1" applyAlignment="1">
      <alignment horizontal="right" vertical="center" wrapText="1"/>
    </xf>
    <xf numFmtId="175" fontId="40" fillId="0" borderId="78" xfId="0" applyNumberFormat="1" applyFont="1" applyBorder="1" applyAlignment="1">
      <alignment horizontal="left"/>
    </xf>
    <xf numFmtId="175" fontId="12" fillId="4" borderId="78" xfId="0" applyNumberFormat="1" applyFont="1" applyFill="1" applyBorder="1" applyAlignment="1">
      <alignment horizontal="right" vertical="center"/>
    </xf>
    <xf numFmtId="175" fontId="12" fillId="0" borderId="19" xfId="8" applyNumberFormat="1" applyFont="1" applyBorder="1" applyAlignment="1">
      <alignment horizontal="center" vertical="top" wrapText="1"/>
    </xf>
    <xf numFmtId="14" fontId="12" fillId="0" borderId="32" xfId="7" quotePrefix="1" applyNumberFormat="1" applyFont="1" applyBorder="1">
      <alignment vertical="center"/>
    </xf>
    <xf numFmtId="14" fontId="12" fillId="0" borderId="129" xfId="7" quotePrefix="1" applyNumberFormat="1" applyFont="1" applyBorder="1">
      <alignment vertical="center"/>
    </xf>
    <xf numFmtId="14" fontId="12" fillId="0" borderId="24" xfId="7" quotePrefix="1" applyNumberFormat="1" applyFont="1" applyBorder="1">
      <alignment vertical="center"/>
    </xf>
    <xf numFmtId="0" fontId="42" fillId="0" borderId="19" xfId="7" applyFont="1" applyBorder="1">
      <alignment vertical="center"/>
    </xf>
    <xf numFmtId="175" fontId="42" fillId="0" borderId="19" xfId="7" applyNumberFormat="1" applyFont="1" applyBorder="1">
      <alignment vertical="center"/>
    </xf>
    <xf numFmtId="173" fontId="12" fillId="18" borderId="5" xfId="0" applyNumberFormat="1" applyFont="1" applyFill="1" applyBorder="1" applyAlignment="1">
      <alignment horizontal="center" vertical="center" shrinkToFit="1"/>
    </xf>
    <xf numFmtId="175" fontId="12" fillId="18" borderId="5" xfId="0" applyNumberFormat="1" applyFont="1" applyFill="1" applyBorder="1" applyAlignment="1">
      <alignment horizontal="center" vertical="center" wrapText="1" shrinkToFit="1"/>
    </xf>
    <xf numFmtId="49" fontId="12" fillId="18" borderId="5" xfId="0" applyNumberFormat="1" applyFont="1" applyFill="1" applyBorder="1" applyAlignment="1">
      <alignment horizontal="center" vertical="center" shrinkToFit="1"/>
    </xf>
    <xf numFmtId="0" fontId="42" fillId="20" borderId="0" xfId="0" applyFont="1" applyFill="1" applyAlignment="1">
      <alignment vertical="center" wrapText="1" shrinkToFit="1"/>
    </xf>
    <xf numFmtId="175" fontId="42" fillId="20" borderId="5" xfId="0" applyNumberFormat="1" applyFont="1" applyFill="1" applyBorder="1" applyAlignment="1">
      <alignment horizontal="center" vertical="center" shrinkToFit="1"/>
    </xf>
    <xf numFmtId="0" fontId="42" fillId="0" borderId="30" xfId="7" applyFont="1" applyBorder="1">
      <alignment vertical="center"/>
    </xf>
    <xf numFmtId="175" fontId="42" fillId="6" borderId="19" xfId="10" applyNumberFormat="1" applyFont="1" applyFill="1" applyBorder="1" applyAlignment="1">
      <alignment horizontal="center" vertical="center" wrapText="1"/>
    </xf>
    <xf numFmtId="175" fontId="42" fillId="6" borderId="15" xfId="8" applyNumberFormat="1" applyFont="1" applyFill="1" applyBorder="1" applyAlignment="1">
      <alignment horizontal="center" vertical="center"/>
    </xf>
    <xf numFmtId="0" fontId="42" fillId="0" borderId="15" xfId="8" applyFont="1" applyBorder="1" applyAlignment="1">
      <alignment horizontal="center" vertical="top"/>
    </xf>
    <xf numFmtId="171" fontId="42" fillId="0" borderId="15" xfId="8" applyNumberFormat="1" applyFont="1" applyBorder="1" applyAlignment="1">
      <alignment horizontal="center" vertical="top"/>
    </xf>
    <xf numFmtId="0" fontId="42" fillId="0" borderId="15" xfId="8" applyFont="1" applyBorder="1">
      <alignment vertical="center"/>
    </xf>
    <xf numFmtId="175" fontId="42" fillId="0" borderId="15" xfId="8" applyNumberFormat="1" applyFont="1" applyBorder="1" applyAlignment="1">
      <alignment horizontal="center" vertical="center"/>
    </xf>
    <xf numFmtId="171" fontId="42" fillId="0" borderId="15" xfId="8" applyNumberFormat="1" applyFont="1" applyBorder="1">
      <alignment vertical="center"/>
    </xf>
    <xf numFmtId="0" fontId="42" fillId="0" borderId="15" xfId="8" applyFont="1" applyBorder="1" applyAlignment="1">
      <alignment horizontal="center" vertical="center" wrapText="1"/>
    </xf>
    <xf numFmtId="175" fontId="42" fillId="13" borderId="15" xfId="8" applyNumberFormat="1" applyFont="1" applyFill="1" applyBorder="1" applyAlignment="1">
      <alignment horizontal="center" vertical="center"/>
    </xf>
    <xf numFmtId="0" fontId="42" fillId="0" borderId="15" xfId="8" applyFont="1" applyBorder="1" applyAlignment="1">
      <alignment horizontal="center" vertical="center"/>
    </xf>
    <xf numFmtId="172" fontId="42" fillId="0" borderId="15" xfId="8" applyNumberFormat="1" applyFont="1" applyBorder="1" applyAlignment="1">
      <alignment horizontal="center" vertical="center"/>
    </xf>
    <xf numFmtId="14" fontId="42" fillId="13" borderId="15" xfId="8" quotePrefix="1" applyNumberFormat="1" applyFont="1" applyFill="1" applyBorder="1" applyAlignment="1">
      <alignment horizontal="center" vertical="center"/>
    </xf>
    <xf numFmtId="14" fontId="42" fillId="13" borderId="15" xfId="8" applyNumberFormat="1" applyFont="1" applyFill="1" applyBorder="1" applyAlignment="1">
      <alignment horizontal="center" vertical="center"/>
    </xf>
    <xf numFmtId="0" fontId="42" fillId="11" borderId="15" xfId="8" applyFont="1" applyFill="1" applyBorder="1">
      <alignment vertical="center"/>
    </xf>
    <xf numFmtId="0" fontId="43" fillId="0" borderId="0" xfId="9" applyFont="1">
      <alignment vertical="center"/>
    </xf>
    <xf numFmtId="175" fontId="42" fillId="6" borderId="19" xfId="8" applyNumberFormat="1" applyFont="1" applyFill="1" applyBorder="1" applyAlignment="1">
      <alignment horizontal="center" vertical="center"/>
    </xf>
    <xf numFmtId="0" fontId="42" fillId="0" borderId="19" xfId="8" applyFont="1" applyBorder="1" applyAlignment="1">
      <alignment horizontal="center" vertical="top"/>
    </xf>
    <xf numFmtId="171" fontId="42" fillId="0" borderId="19" xfId="8" applyNumberFormat="1" applyFont="1" applyBorder="1" applyAlignment="1">
      <alignment horizontal="center" vertical="top"/>
    </xf>
    <xf numFmtId="0" fontId="42" fillId="0" borderId="19" xfId="8" applyFont="1" applyBorder="1">
      <alignment vertical="center"/>
    </xf>
    <xf numFmtId="175" fontId="42" fillId="0" borderId="19" xfId="8" applyNumberFormat="1" applyFont="1" applyBorder="1" applyAlignment="1">
      <alignment horizontal="center" vertical="center"/>
    </xf>
    <xf numFmtId="171" fontId="42" fillId="0" borderId="19" xfId="8" applyNumberFormat="1" applyFont="1" applyBorder="1">
      <alignment vertical="center"/>
    </xf>
    <xf numFmtId="0" fontId="42" fillId="0" borderId="19" xfId="8" applyFont="1" applyBorder="1" applyAlignment="1">
      <alignment horizontal="center" vertical="center" wrapText="1"/>
    </xf>
    <xf numFmtId="175" fontId="42" fillId="0" borderId="19" xfId="8" applyNumberFormat="1" applyFont="1" applyBorder="1" applyAlignment="1">
      <alignment horizontal="center" vertical="top"/>
    </xf>
    <xf numFmtId="175" fontId="42" fillId="11" borderId="19" xfId="8" applyNumberFormat="1" applyFont="1" applyFill="1" applyBorder="1" applyAlignment="1">
      <alignment horizontal="center" vertical="top"/>
    </xf>
    <xf numFmtId="0" fontId="42" fillId="0" borderId="19" xfId="8" applyFont="1" applyBorder="1" applyAlignment="1">
      <alignment horizontal="center" vertical="center"/>
    </xf>
    <xf numFmtId="172" fontId="42" fillId="0" borderId="19" xfId="8" applyNumberFormat="1" applyFont="1" applyBorder="1" applyAlignment="1">
      <alignment horizontal="center" vertical="center"/>
    </xf>
    <xf numFmtId="175" fontId="42" fillId="0" borderId="19" xfId="8" applyNumberFormat="1" applyFont="1" applyBorder="1" applyAlignment="1">
      <alignment horizontal="center" vertical="center" wrapText="1"/>
    </xf>
    <xf numFmtId="175" fontId="42" fillId="11" borderId="19" xfId="8" applyNumberFormat="1" applyFont="1" applyFill="1" applyBorder="1" applyAlignment="1">
      <alignment horizontal="center" vertical="center"/>
    </xf>
    <xf numFmtId="175" fontId="42" fillId="0" borderId="19" xfId="8" applyNumberFormat="1" applyFont="1" applyBorder="1" applyAlignment="1">
      <alignment vertical="center" wrapText="1"/>
    </xf>
    <xf numFmtId="14" fontId="42" fillId="11" borderId="19" xfId="8" applyNumberFormat="1" applyFont="1" applyFill="1" applyBorder="1" applyAlignment="1">
      <alignment horizontal="center" vertical="center"/>
    </xf>
    <xf numFmtId="0" fontId="42" fillId="11" borderId="19" xfId="8" applyFont="1" applyFill="1" applyBorder="1">
      <alignment vertical="center"/>
    </xf>
    <xf numFmtId="172" fontId="42" fillId="0" borderId="19" xfId="8" applyNumberFormat="1" applyFont="1" applyBorder="1">
      <alignment vertical="center"/>
    </xf>
    <xf numFmtId="175" fontId="42" fillId="6" borderId="19" xfId="8" applyNumberFormat="1" applyFont="1" applyFill="1" applyBorder="1">
      <alignment vertical="center"/>
    </xf>
    <xf numFmtId="49" fontId="42" fillId="6" borderId="19" xfId="8" applyNumberFormat="1" applyFont="1" applyFill="1" applyBorder="1">
      <alignment vertical="center"/>
    </xf>
    <xf numFmtId="175" fontId="42" fillId="0" borderId="19" xfId="8" applyNumberFormat="1" applyFont="1" applyBorder="1">
      <alignment vertical="center"/>
    </xf>
    <xf numFmtId="0" fontId="42" fillId="0" borderId="24" xfId="8" applyFont="1" applyBorder="1">
      <alignment vertical="center"/>
    </xf>
    <xf numFmtId="175" fontId="42" fillId="0" borderId="24" xfId="8" applyNumberFormat="1" applyFont="1" applyBorder="1" applyAlignment="1">
      <alignment horizontal="center" vertical="center"/>
    </xf>
    <xf numFmtId="49" fontId="42" fillId="6" borderId="24" xfId="8" applyNumberFormat="1" applyFont="1" applyFill="1" applyBorder="1">
      <alignment vertical="center"/>
    </xf>
    <xf numFmtId="171" fontId="42" fillId="0" borderId="24" xfId="8" applyNumberFormat="1" applyFont="1" applyBorder="1">
      <alignment vertical="center"/>
    </xf>
    <xf numFmtId="0" fontId="42" fillId="0" borderId="24" xfId="8" applyFont="1" applyBorder="1" applyAlignment="1">
      <alignment vertical="center" wrapText="1"/>
    </xf>
    <xf numFmtId="175" fontId="42" fillId="0" borderId="24" xfId="8" applyNumberFormat="1" applyFont="1" applyBorder="1" applyAlignment="1">
      <alignment horizontal="center" vertical="top"/>
    </xf>
    <xf numFmtId="175" fontId="42" fillId="11" borderId="24" xfId="8" applyNumberFormat="1" applyFont="1" applyFill="1" applyBorder="1" applyAlignment="1">
      <alignment horizontal="center" vertical="top"/>
    </xf>
    <xf numFmtId="172" fontId="42" fillId="0" borderId="24" xfId="8" applyNumberFormat="1" applyFont="1" applyBorder="1">
      <alignment vertical="center"/>
    </xf>
    <xf numFmtId="0" fontId="42" fillId="0" borderId="24" xfId="8" applyFont="1" applyBorder="1" applyAlignment="1">
      <alignment horizontal="center" vertical="center"/>
    </xf>
    <xf numFmtId="175" fontId="42" fillId="0" borderId="24" xfId="8" applyNumberFormat="1" applyFont="1" applyBorder="1">
      <alignment vertical="center"/>
    </xf>
    <xf numFmtId="175" fontId="42" fillId="11" borderId="24" xfId="8" applyNumberFormat="1" applyFont="1" applyFill="1" applyBorder="1" applyAlignment="1">
      <alignment horizontal="center" vertical="center"/>
    </xf>
    <xf numFmtId="14" fontId="42" fillId="11" borderId="24" xfId="8" applyNumberFormat="1" applyFont="1" applyFill="1" applyBorder="1" applyAlignment="1">
      <alignment horizontal="center" vertical="center"/>
    </xf>
    <xf numFmtId="0" fontId="42" fillId="11" borderId="24" xfId="8" applyFont="1" applyFill="1" applyBorder="1">
      <alignment vertical="center"/>
    </xf>
    <xf numFmtId="49" fontId="42" fillId="6" borderId="46" xfId="8" applyNumberFormat="1" applyFont="1" applyFill="1" applyBorder="1">
      <alignment vertical="center"/>
    </xf>
    <xf numFmtId="0" fontId="42" fillId="0" borderId="46" xfId="8" applyFont="1" applyBorder="1">
      <alignment vertical="center"/>
    </xf>
    <xf numFmtId="171" fontId="42" fillId="0" borderId="46" xfId="8" applyNumberFormat="1" applyFont="1" applyBorder="1">
      <alignment vertical="center"/>
    </xf>
    <xf numFmtId="175" fontId="42" fillId="0" borderId="46" xfId="8" applyNumberFormat="1" applyFont="1" applyBorder="1" applyAlignment="1">
      <alignment horizontal="center" vertical="center"/>
    </xf>
    <xf numFmtId="175" fontId="42" fillId="0" borderId="46" xfId="8" applyNumberFormat="1" applyFont="1" applyBorder="1" applyAlignment="1">
      <alignment horizontal="left" vertical="center"/>
    </xf>
    <xf numFmtId="175" fontId="42" fillId="0" borderId="46" xfId="8" applyNumberFormat="1" applyFont="1" applyBorder="1" applyAlignment="1">
      <alignment horizontal="center" vertical="top"/>
    </xf>
    <xf numFmtId="175" fontId="42" fillId="11" borderId="46" xfId="8" applyNumberFormat="1" applyFont="1" applyFill="1" applyBorder="1" applyAlignment="1">
      <alignment horizontal="center" vertical="top"/>
    </xf>
    <xf numFmtId="172" fontId="42" fillId="0" borderId="46" xfId="8" applyNumberFormat="1" applyFont="1" applyBorder="1">
      <alignment vertical="center"/>
    </xf>
    <xf numFmtId="0" fontId="42" fillId="0" borderId="46" xfId="8" applyFont="1" applyBorder="1" applyAlignment="1">
      <alignment horizontal="center" vertical="center"/>
    </xf>
    <xf numFmtId="175" fontId="42" fillId="0" borderId="46" xfId="8" applyNumberFormat="1" applyFont="1" applyBorder="1">
      <alignment vertical="center"/>
    </xf>
    <xf numFmtId="175" fontId="42" fillId="11" borderId="46" xfId="8" applyNumberFormat="1" applyFont="1" applyFill="1" applyBorder="1" applyAlignment="1">
      <alignment horizontal="center" vertical="center"/>
    </xf>
    <xf numFmtId="14" fontId="42" fillId="11" borderId="46" xfId="8" applyNumberFormat="1" applyFont="1" applyFill="1" applyBorder="1" applyAlignment="1">
      <alignment horizontal="center" vertical="center"/>
    </xf>
    <xf numFmtId="0" fontId="42" fillId="11" borderId="46" xfId="8" applyFont="1" applyFill="1" applyBorder="1">
      <alignment vertical="center"/>
    </xf>
    <xf numFmtId="175" fontId="42" fillId="6" borderId="15" xfId="10" applyNumberFormat="1" applyFont="1" applyFill="1" applyBorder="1" applyAlignment="1">
      <alignment horizontal="center" vertical="center"/>
    </xf>
    <xf numFmtId="175" fontId="42" fillId="6" borderId="19" xfId="10" applyNumberFormat="1" applyFont="1" applyFill="1" applyBorder="1" applyAlignment="1">
      <alignment horizontal="center" vertical="center"/>
    </xf>
    <xf numFmtId="175" fontId="42" fillId="6" borderId="46" xfId="10" applyNumberFormat="1" applyFont="1" applyFill="1" applyBorder="1" applyAlignment="1">
      <alignment horizontal="center" vertical="center"/>
    </xf>
    <xf numFmtId="175" fontId="42" fillId="0" borderId="19" xfId="7" applyNumberFormat="1" applyFont="1" applyBorder="1" applyAlignment="1">
      <alignment horizontal="center" vertical="center"/>
    </xf>
    <xf numFmtId="171" fontId="42" fillId="0" borderId="19" xfId="8" applyNumberFormat="1" applyFont="1" applyBorder="1" applyAlignment="1">
      <alignment horizontal="center" vertical="center"/>
    </xf>
    <xf numFmtId="175" fontId="42" fillId="0" borderId="24" xfId="7" applyNumberFormat="1" applyFont="1" applyBorder="1" applyAlignment="1">
      <alignment horizontal="center" vertical="center"/>
    </xf>
    <xf numFmtId="0" fontId="42" fillId="0" borderId="19" xfId="7" applyFont="1" applyBorder="1" applyAlignment="1">
      <alignment horizontal="center" vertical="center"/>
    </xf>
    <xf numFmtId="175" fontId="42" fillId="6" borderId="24" xfId="10" applyNumberFormat="1" applyFont="1" applyFill="1" applyBorder="1" applyAlignment="1">
      <alignment horizontal="center" vertical="center"/>
    </xf>
    <xf numFmtId="0" fontId="21" fillId="0" borderId="19" xfId="16" applyFont="1" applyBorder="1" applyAlignment="1">
      <alignment vertical="center" wrapText="1"/>
    </xf>
    <xf numFmtId="49" fontId="21" fillId="0" borderId="19" xfId="16" applyNumberFormat="1" applyFont="1" applyBorder="1" applyAlignment="1">
      <alignment horizontal="center" vertical="center"/>
    </xf>
    <xf numFmtId="9" fontId="21" fillId="0" borderId="19" xfId="16" applyNumberFormat="1" applyFont="1" applyBorder="1" applyAlignment="1">
      <alignment horizontal="left" vertical="center"/>
    </xf>
    <xf numFmtId="175" fontId="21" fillId="18" borderId="19" xfId="16" applyNumberFormat="1" applyFont="1" applyFill="1" applyBorder="1" applyAlignment="1">
      <alignment horizontal="center" vertical="center"/>
    </xf>
    <xf numFmtId="0" fontId="21" fillId="0" borderId="17" xfId="16" applyFont="1" applyBorder="1" applyAlignment="1">
      <alignment horizontal="center" vertical="center"/>
    </xf>
    <xf numFmtId="175" fontId="37" fillId="18" borderId="46" xfId="16" applyNumberFormat="1" applyFont="1" applyFill="1" applyBorder="1" applyAlignment="1">
      <alignment horizontal="center" vertical="center"/>
    </xf>
    <xf numFmtId="175" fontId="37" fillId="0" borderId="25" xfId="16" applyNumberFormat="1" applyFont="1" applyBorder="1" applyAlignment="1">
      <alignment horizontal="center" vertical="center"/>
    </xf>
    <xf numFmtId="175" fontId="37" fillId="18" borderId="24" xfId="16" applyNumberFormat="1" applyFont="1" applyFill="1" applyBorder="1" applyAlignment="1">
      <alignment horizontal="center" vertical="center" wrapText="1"/>
    </xf>
    <xf numFmtId="0" fontId="37" fillId="0" borderId="44" xfId="16" applyFont="1" applyBorder="1" applyAlignment="1">
      <alignment vertical="center" wrapText="1"/>
    </xf>
    <xf numFmtId="0" fontId="42" fillId="0" borderId="24" xfId="10" applyFont="1" applyBorder="1" applyAlignment="1">
      <alignment horizontal="left" vertical="center"/>
    </xf>
    <xf numFmtId="0" fontId="42" fillId="6" borderId="24" xfId="10" applyFont="1" applyFill="1" applyBorder="1" applyAlignment="1">
      <alignment horizontal="left" vertical="center"/>
    </xf>
    <xf numFmtId="175" fontId="42" fillId="0" borderId="24" xfId="10" applyNumberFormat="1" applyFont="1" applyBorder="1" applyAlignment="1">
      <alignment horizontal="center" vertical="center"/>
    </xf>
    <xf numFmtId="0" fontId="42" fillId="0" borderId="19" xfId="10" applyFont="1" applyBorder="1" applyAlignment="1">
      <alignment horizontal="left" vertical="center"/>
    </xf>
    <xf numFmtId="0" fontId="42" fillId="6" borderId="46" xfId="10" applyFont="1" applyFill="1" applyBorder="1" applyAlignment="1">
      <alignment horizontal="left" vertical="center"/>
    </xf>
    <xf numFmtId="175" fontId="42" fillId="0" borderId="15" xfId="7" applyNumberFormat="1" applyFont="1" applyBorder="1" applyAlignment="1">
      <alignment horizontal="center" vertical="center"/>
    </xf>
    <xf numFmtId="0" fontId="42" fillId="0" borderId="0" xfId="0" applyFont="1" applyAlignment="1">
      <alignment vertical="center" shrinkToFit="1"/>
    </xf>
    <xf numFmtId="175" fontId="42" fillId="0" borderId="32" xfId="7" applyNumberFormat="1" applyFont="1" applyBorder="1" applyAlignment="1">
      <alignment horizontal="center" vertical="center"/>
    </xf>
    <xf numFmtId="175" fontId="42" fillId="0" borderId="81" xfId="0" applyNumberFormat="1" applyFont="1" applyBorder="1" applyAlignment="1">
      <alignment horizontal="center" vertical="center" shrinkToFit="1"/>
    </xf>
    <xf numFmtId="175" fontId="42" fillId="0" borderId="141" xfId="0" applyNumberFormat="1" applyFont="1" applyBorder="1" applyAlignment="1">
      <alignment horizontal="center" vertical="center" shrinkToFit="1"/>
    </xf>
    <xf numFmtId="175" fontId="42" fillId="4" borderId="5" xfId="0" applyNumberFormat="1" applyFont="1" applyFill="1" applyBorder="1" applyAlignment="1">
      <alignment horizontal="center" vertical="center" shrinkToFit="1"/>
    </xf>
    <xf numFmtId="175" fontId="42" fillId="4" borderId="138" xfId="0" applyNumberFormat="1" applyFont="1" applyFill="1" applyBorder="1" applyAlignment="1">
      <alignment horizontal="center" vertical="center" shrinkToFit="1"/>
    </xf>
    <xf numFmtId="175" fontId="42" fillId="0" borderId="5" xfId="0" applyNumberFormat="1" applyFont="1" applyBorder="1" applyAlignment="1">
      <alignment horizontal="center" vertical="center" shrinkToFit="1"/>
    </xf>
    <xf numFmtId="175" fontId="42" fillId="4" borderId="78" xfId="0" applyNumberFormat="1" applyFont="1" applyFill="1" applyBorder="1" applyAlignment="1">
      <alignment horizontal="center" vertical="center"/>
    </xf>
    <xf numFmtId="49" fontId="12" fillId="4" borderId="7" xfId="0" applyNumberFormat="1" applyFont="1" applyFill="1" applyBorder="1" applyAlignment="1">
      <alignment horizontal="center" vertical="top" shrinkToFit="1"/>
    </xf>
    <xf numFmtId="49" fontId="12" fillId="4" borderId="85" xfId="0" applyNumberFormat="1" applyFont="1" applyFill="1" applyBorder="1" applyAlignment="1">
      <alignment horizontal="center" vertical="top" shrinkToFit="1"/>
    </xf>
    <xf numFmtId="49" fontId="12" fillId="4" borderId="89" xfId="0" applyNumberFormat="1" applyFont="1" applyFill="1" applyBorder="1" applyAlignment="1">
      <alignment horizontal="center" vertical="top" shrinkToFit="1"/>
    </xf>
    <xf numFmtId="49" fontId="12" fillId="4" borderId="91" xfId="0" applyNumberFormat="1" applyFont="1" applyFill="1" applyBorder="1" applyAlignment="1">
      <alignment horizontal="center" vertical="top" shrinkToFit="1"/>
    </xf>
    <xf numFmtId="49" fontId="10" fillId="2" borderId="4" xfId="0" applyNumberFormat="1" applyFont="1" applyFill="1" applyBorder="1" applyAlignment="1">
      <alignment horizontal="center" vertical="center" shrinkToFit="1"/>
    </xf>
    <xf numFmtId="49" fontId="10" fillId="2" borderId="5" xfId="0" applyNumberFormat="1" applyFont="1" applyFill="1" applyBorder="1" applyAlignment="1">
      <alignment horizontal="center" vertical="center" shrinkToFit="1"/>
    </xf>
    <xf numFmtId="165" fontId="12" fillId="4" borderId="6" xfId="0" applyNumberFormat="1" applyFont="1" applyFill="1" applyBorder="1" applyAlignment="1">
      <alignment horizontal="left" vertical="top" wrapText="1" shrinkToFit="1"/>
    </xf>
    <xf numFmtId="165" fontId="12" fillId="4" borderId="7" xfId="0" applyNumberFormat="1" applyFont="1" applyFill="1" applyBorder="1" applyAlignment="1">
      <alignment horizontal="left" vertical="top" shrinkToFit="1"/>
    </xf>
    <xf numFmtId="165" fontId="12" fillId="4" borderId="8" xfId="0" applyNumberFormat="1" applyFont="1" applyFill="1" applyBorder="1" applyAlignment="1">
      <alignment horizontal="left" vertical="top" shrinkToFit="1"/>
    </xf>
    <xf numFmtId="165" fontId="12" fillId="4" borderId="9" xfId="0" applyNumberFormat="1" applyFont="1" applyFill="1" applyBorder="1" applyAlignment="1">
      <alignment horizontal="left" vertical="top" shrinkToFit="1"/>
    </xf>
    <xf numFmtId="165" fontId="12" fillId="4" borderId="0" xfId="0" applyNumberFormat="1" applyFont="1" applyFill="1" applyAlignment="1">
      <alignment horizontal="left" vertical="top" shrinkToFit="1"/>
    </xf>
    <xf numFmtId="165" fontId="12" fillId="4" borderId="10" xfId="0" applyNumberFormat="1" applyFont="1" applyFill="1" applyBorder="1" applyAlignment="1">
      <alignment horizontal="left" vertical="top" shrinkToFit="1"/>
    </xf>
    <xf numFmtId="164" fontId="10" fillId="2" borderId="5" xfId="1" applyFont="1" applyFill="1" applyBorder="1" applyAlignment="1">
      <alignment horizontal="center" vertical="center" shrinkToFit="1"/>
    </xf>
    <xf numFmtId="164" fontId="10" fillId="2" borderId="4" xfId="1" applyFont="1" applyFill="1" applyBorder="1" applyAlignment="1">
      <alignment horizontal="center" vertical="center" shrinkToFit="1"/>
    </xf>
    <xf numFmtId="49" fontId="10" fillId="2" borderId="11" xfId="0" applyNumberFormat="1" applyFont="1" applyFill="1" applyBorder="1" applyAlignment="1">
      <alignment horizontal="center" vertical="center" shrinkToFit="1"/>
    </xf>
    <xf numFmtId="49" fontId="10" fillId="2" borderId="6" xfId="0" applyNumberFormat="1" applyFont="1" applyFill="1" applyBorder="1" applyAlignment="1">
      <alignment horizontal="center" vertical="center" shrinkToFit="1"/>
    </xf>
    <xf numFmtId="49" fontId="10" fillId="2" borderId="8" xfId="0" applyNumberFormat="1" applyFont="1" applyFill="1" applyBorder="1" applyAlignment="1">
      <alignment horizontal="center" vertical="center" shrinkToFit="1"/>
    </xf>
    <xf numFmtId="49" fontId="10" fillId="2" borderId="9" xfId="0" applyNumberFormat="1" applyFont="1" applyFill="1" applyBorder="1" applyAlignment="1">
      <alignment horizontal="center" vertical="center" shrinkToFit="1"/>
    </xf>
    <xf numFmtId="49" fontId="10" fillId="2" borderId="10" xfId="0" applyNumberFormat="1" applyFont="1" applyFill="1" applyBorder="1" applyAlignment="1">
      <alignment horizontal="center" vertical="center" shrinkToFit="1"/>
    </xf>
    <xf numFmtId="0" fontId="12" fillId="4" borderId="80" xfId="0" applyFont="1" applyFill="1" applyBorder="1" applyAlignment="1">
      <alignment horizontal="center" vertical="top" shrinkToFit="1"/>
    </xf>
    <xf numFmtId="0" fontId="12" fillId="4" borderId="83" xfId="0" applyFont="1" applyFill="1" applyBorder="1" applyAlignment="1">
      <alignment horizontal="center" vertical="top" shrinkToFit="1"/>
    </xf>
    <xf numFmtId="0" fontId="12" fillId="4" borderId="139" xfId="0" applyFont="1" applyFill="1" applyBorder="1" applyAlignment="1">
      <alignment horizontal="center" vertical="top" shrinkToFit="1"/>
    </xf>
    <xf numFmtId="0" fontId="12" fillId="3" borderId="4" xfId="0" applyFont="1" applyFill="1" applyBorder="1" applyAlignment="1">
      <alignment horizontal="left" vertical="top" shrinkToFit="1"/>
    </xf>
    <xf numFmtId="0" fontId="12" fillId="3" borderId="11" xfId="0" applyFont="1" applyFill="1" applyBorder="1" applyAlignment="1">
      <alignment horizontal="left" vertical="top" shrinkToFit="1"/>
    </xf>
    <xf numFmtId="0" fontId="12" fillId="4" borderId="4" xfId="0" applyFont="1" applyFill="1" applyBorder="1" applyAlignment="1">
      <alignment horizontal="left" vertical="center" wrapText="1" shrinkToFit="1"/>
    </xf>
    <xf numFmtId="0" fontId="12" fillId="4" borderId="154" xfId="0" applyFont="1" applyFill="1" applyBorder="1" applyAlignment="1">
      <alignment horizontal="left" vertical="center" wrapText="1" shrinkToFit="1"/>
    </xf>
    <xf numFmtId="49" fontId="12" fillId="4" borderId="6" xfId="0" applyNumberFormat="1" applyFont="1" applyFill="1" applyBorder="1" applyAlignment="1">
      <alignment horizontal="left" vertical="top" wrapText="1" shrinkToFit="1"/>
    </xf>
    <xf numFmtId="49" fontId="12" fillId="4" borderId="7" xfId="0" applyNumberFormat="1" applyFont="1" applyFill="1" applyBorder="1" applyAlignment="1">
      <alignment horizontal="left" vertical="top" shrinkToFit="1"/>
    </xf>
    <xf numFmtId="49" fontId="12" fillId="4" borderId="8" xfId="0" applyNumberFormat="1" applyFont="1" applyFill="1" applyBorder="1" applyAlignment="1">
      <alignment horizontal="left" vertical="top" shrinkToFit="1"/>
    </xf>
    <xf numFmtId="49" fontId="12" fillId="4" borderId="9" xfId="0" applyNumberFormat="1" applyFont="1" applyFill="1" applyBorder="1" applyAlignment="1">
      <alignment horizontal="left" vertical="top" shrinkToFit="1"/>
    </xf>
    <xf numFmtId="49" fontId="12" fillId="4" borderId="0" xfId="0" applyNumberFormat="1" applyFont="1" applyFill="1" applyAlignment="1">
      <alignment horizontal="left" vertical="top" shrinkToFit="1"/>
    </xf>
    <xf numFmtId="49" fontId="12" fillId="4" borderId="10" xfId="0" applyNumberFormat="1" applyFont="1" applyFill="1" applyBorder="1" applyAlignment="1">
      <alignment horizontal="left" vertical="top" shrinkToFit="1"/>
    </xf>
    <xf numFmtId="49" fontId="12" fillId="4" borderId="6" xfId="0" applyNumberFormat="1" applyFont="1" applyFill="1" applyBorder="1" applyAlignment="1">
      <alignment horizontal="left" vertical="top" shrinkToFit="1"/>
    </xf>
    <xf numFmtId="49" fontId="12" fillId="4" borderId="85" xfId="0" applyNumberFormat="1" applyFont="1" applyFill="1" applyBorder="1" applyAlignment="1">
      <alignment horizontal="left" vertical="top" shrinkToFit="1"/>
    </xf>
    <xf numFmtId="49" fontId="12" fillId="4" borderId="140" xfId="0" applyNumberFormat="1" applyFont="1" applyFill="1" applyBorder="1" applyAlignment="1">
      <alignment horizontal="left" vertical="top" shrinkToFit="1"/>
    </xf>
    <xf numFmtId="164" fontId="10" fillId="2" borderId="5" xfId="1" applyFont="1" applyFill="1" applyBorder="1" applyAlignment="1">
      <alignment horizontal="center" vertical="center" wrapText="1" shrinkToFit="1"/>
    </xf>
    <xf numFmtId="49" fontId="10" fillId="2" borderId="71" xfId="0" applyNumberFormat="1" applyFont="1" applyFill="1" applyBorder="1" applyAlignment="1">
      <alignment horizontal="center" vertical="center" shrinkToFit="1"/>
    </xf>
    <xf numFmtId="49" fontId="12" fillId="4" borderId="6" xfId="0" quotePrefix="1" applyNumberFormat="1" applyFont="1" applyFill="1" applyBorder="1" applyAlignment="1">
      <alignment horizontal="left" vertical="top" wrapText="1" shrinkToFit="1"/>
    </xf>
    <xf numFmtId="49" fontId="12" fillId="4" borderId="88" xfId="0" applyNumberFormat="1" applyFont="1" applyFill="1" applyBorder="1" applyAlignment="1">
      <alignment horizontal="left" vertical="top" shrinkToFit="1"/>
    </xf>
    <xf numFmtId="49" fontId="12" fillId="4" borderId="89" xfId="0" applyNumberFormat="1" applyFont="1" applyFill="1" applyBorder="1" applyAlignment="1">
      <alignment horizontal="left" vertical="top" shrinkToFit="1"/>
    </xf>
    <xf numFmtId="49" fontId="12" fillId="4" borderId="90" xfId="0" applyNumberFormat="1" applyFont="1" applyFill="1" applyBorder="1" applyAlignment="1">
      <alignment horizontal="left" vertical="top" shrinkToFit="1"/>
    </xf>
    <xf numFmtId="165" fontId="12" fillId="4" borderId="89" xfId="0" applyNumberFormat="1" applyFont="1" applyFill="1" applyBorder="1" applyAlignment="1">
      <alignment horizontal="left" vertical="top" shrinkToFit="1"/>
    </xf>
    <xf numFmtId="175" fontId="12" fillId="0" borderId="71" xfId="0" applyNumberFormat="1" applyFont="1" applyBorder="1" applyAlignment="1">
      <alignment horizontal="center" vertical="center" shrinkToFit="1"/>
    </xf>
    <xf numFmtId="175" fontId="12" fillId="0" borderId="73" xfId="0" applyNumberFormat="1" applyFont="1" applyBorder="1" applyAlignment="1">
      <alignment horizontal="center" vertical="center" shrinkToFit="1"/>
    </xf>
    <xf numFmtId="175" fontId="40" fillId="20" borderId="71" xfId="0" applyNumberFormat="1" applyFont="1" applyFill="1" applyBorder="1" applyAlignment="1">
      <alignment horizontal="center" vertical="center" shrinkToFit="1"/>
    </xf>
    <xf numFmtId="175" fontId="40" fillId="20" borderId="73" xfId="0" applyNumberFormat="1" applyFont="1" applyFill="1" applyBorder="1" applyAlignment="1">
      <alignment horizontal="center" vertical="center" shrinkToFit="1"/>
    </xf>
    <xf numFmtId="175" fontId="40" fillId="20" borderId="71" xfId="0" applyNumberFormat="1" applyFont="1" applyFill="1" applyBorder="1" applyAlignment="1">
      <alignment horizontal="left" vertical="center" shrinkToFit="1"/>
    </xf>
    <xf numFmtId="175" fontId="40" fillId="20" borderId="73" xfId="0" applyNumberFormat="1" applyFont="1" applyFill="1" applyBorder="1" applyAlignment="1">
      <alignment horizontal="left" vertical="center" shrinkToFit="1"/>
    </xf>
    <xf numFmtId="0" fontId="12" fillId="4" borderId="137" xfId="0" applyFont="1" applyFill="1" applyBorder="1" applyAlignment="1">
      <alignment horizontal="center" vertical="top" shrinkToFit="1"/>
    </xf>
    <xf numFmtId="0" fontId="12" fillId="4" borderId="86" xfId="0" applyFont="1" applyFill="1" applyBorder="1" applyAlignment="1">
      <alignment horizontal="center" vertical="top" shrinkToFit="1"/>
    </xf>
    <xf numFmtId="0" fontId="12" fillId="12" borderId="4" xfId="0" applyFont="1" applyFill="1" applyBorder="1" applyAlignment="1">
      <alignment horizontal="left" vertical="top" shrinkToFit="1"/>
    </xf>
    <xf numFmtId="0" fontId="12" fillId="12" borderId="87" xfId="0" applyFont="1" applyFill="1" applyBorder="1" applyAlignment="1">
      <alignment horizontal="left" vertical="top" shrinkToFit="1"/>
    </xf>
    <xf numFmtId="0" fontId="12" fillId="4" borderId="4" xfId="0" applyFont="1" applyFill="1" applyBorder="1" applyAlignment="1">
      <alignment horizontal="left" vertical="center" shrinkToFit="1"/>
    </xf>
    <xf numFmtId="0" fontId="12" fillId="4" borderId="87" xfId="0" applyFont="1" applyFill="1" applyBorder="1" applyAlignment="1">
      <alignment horizontal="left" vertical="center" shrinkToFit="1"/>
    </xf>
    <xf numFmtId="165" fontId="12" fillId="4" borderId="88" xfId="0" applyNumberFormat="1" applyFont="1" applyFill="1" applyBorder="1" applyAlignment="1">
      <alignment horizontal="left" vertical="top" shrinkToFit="1"/>
    </xf>
    <xf numFmtId="165" fontId="12" fillId="4" borderId="90" xfId="0" applyNumberFormat="1" applyFont="1" applyFill="1" applyBorder="1" applyAlignment="1">
      <alignment horizontal="left" vertical="top" shrinkToFit="1"/>
    </xf>
    <xf numFmtId="0" fontId="12" fillId="0" borderId="173" xfId="0" applyFont="1" applyBorder="1" applyAlignment="1">
      <alignment horizontal="left" vertical="center" wrapText="1" shrinkToFit="1"/>
    </xf>
    <xf numFmtId="165" fontId="12" fillId="4" borderId="7" xfId="0" applyNumberFormat="1" applyFont="1" applyFill="1" applyBorder="1" applyAlignment="1">
      <alignment horizontal="left" vertical="top" wrapText="1" shrinkToFit="1"/>
    </xf>
    <xf numFmtId="49" fontId="12" fillId="4" borderId="91" xfId="0" applyNumberFormat="1" applyFont="1" applyFill="1" applyBorder="1" applyAlignment="1">
      <alignment horizontal="left" vertical="top" shrinkToFit="1"/>
    </xf>
    <xf numFmtId="0" fontId="12" fillId="3" borderId="87" xfId="0" applyFont="1" applyFill="1" applyBorder="1" applyAlignment="1">
      <alignment horizontal="left" vertical="top" shrinkToFit="1"/>
    </xf>
    <xf numFmtId="165" fontId="12" fillId="0" borderId="7" xfId="0" applyNumberFormat="1" applyFont="1" applyBorder="1" applyAlignment="1">
      <alignment horizontal="left" vertical="top" shrinkToFit="1"/>
    </xf>
    <xf numFmtId="165" fontId="12" fillId="0" borderId="2" xfId="0" applyNumberFormat="1" applyFont="1" applyBorder="1" applyAlignment="1">
      <alignment horizontal="left" vertical="top" shrinkToFit="1"/>
    </xf>
    <xf numFmtId="0" fontId="12" fillId="4" borderId="155" xfId="0" applyFont="1" applyFill="1" applyBorder="1" applyAlignment="1">
      <alignment horizontal="center" vertical="top" shrinkToFit="1"/>
    </xf>
    <xf numFmtId="0" fontId="12" fillId="4" borderId="157" xfId="0" applyFont="1" applyFill="1" applyBorder="1" applyAlignment="1">
      <alignment horizontal="center" vertical="top" shrinkToFit="1"/>
    </xf>
    <xf numFmtId="0" fontId="12" fillId="4" borderId="159" xfId="0" applyFont="1" applyFill="1" applyBorder="1" applyAlignment="1">
      <alignment horizontal="center" vertical="top" shrinkToFit="1"/>
    </xf>
    <xf numFmtId="0" fontId="12" fillId="12" borderId="154" xfId="0" applyFont="1" applyFill="1" applyBorder="1" applyAlignment="1">
      <alignment horizontal="left" vertical="top" shrinkToFit="1"/>
    </xf>
    <xf numFmtId="0" fontId="12" fillId="4" borderId="154" xfId="0" applyFont="1" applyFill="1" applyBorder="1" applyAlignment="1">
      <alignment horizontal="left" vertical="center" shrinkToFit="1"/>
    </xf>
    <xf numFmtId="49" fontId="12" fillId="0" borderId="6" xfId="0" applyNumberFormat="1" applyFont="1" applyBorder="1" applyAlignment="1">
      <alignment horizontal="left" vertical="top" wrapText="1" shrinkToFit="1"/>
    </xf>
    <xf numFmtId="49" fontId="12" fillId="0" borderId="7" xfId="0" applyNumberFormat="1" applyFont="1" applyBorder="1" applyAlignment="1">
      <alignment horizontal="left" vertical="top" shrinkToFit="1"/>
    </xf>
    <xf numFmtId="49" fontId="12" fillId="0" borderId="8" xfId="0" applyNumberFormat="1" applyFont="1" applyBorder="1" applyAlignment="1">
      <alignment horizontal="left" vertical="top" shrinkToFit="1"/>
    </xf>
    <xf numFmtId="49" fontId="12" fillId="0" borderId="160" xfId="0" applyNumberFormat="1" applyFont="1" applyBorder="1" applyAlignment="1">
      <alignment horizontal="left" vertical="top" shrinkToFit="1"/>
    </xf>
    <xf numFmtId="49" fontId="12" fillId="0" borderId="2" xfId="0" applyNumberFormat="1" applyFont="1" applyBorder="1" applyAlignment="1">
      <alignment horizontal="left" vertical="top" shrinkToFit="1"/>
    </xf>
    <xf numFmtId="49" fontId="12" fillId="0" borderId="161" xfId="0" applyNumberFormat="1" applyFont="1" applyBorder="1" applyAlignment="1">
      <alignment horizontal="left" vertical="top" shrinkToFit="1"/>
    </xf>
    <xf numFmtId="165" fontId="12" fillId="0" borderId="6" xfId="0" applyNumberFormat="1" applyFont="1" applyBorder="1" applyAlignment="1">
      <alignment horizontal="left" vertical="top" wrapText="1" shrinkToFit="1"/>
    </xf>
    <xf numFmtId="165" fontId="12" fillId="0" borderId="8" xfId="0" applyNumberFormat="1" applyFont="1" applyBorder="1" applyAlignment="1">
      <alignment horizontal="left" vertical="top" shrinkToFit="1"/>
    </xf>
    <xf numFmtId="165" fontId="12" fillId="0" borderId="160" xfId="0" applyNumberFormat="1" applyFont="1" applyBorder="1" applyAlignment="1">
      <alignment horizontal="left" vertical="top" shrinkToFit="1"/>
    </xf>
    <xf numFmtId="165" fontId="12" fillId="0" borderId="161" xfId="0" applyNumberFormat="1" applyFont="1" applyBorder="1" applyAlignment="1">
      <alignment horizontal="left" vertical="top" shrinkToFit="1"/>
    </xf>
    <xf numFmtId="0" fontId="12" fillId="4" borderId="93" xfId="0" applyFont="1" applyFill="1" applyBorder="1" applyAlignment="1">
      <alignment horizontal="center" vertical="top"/>
    </xf>
    <xf numFmtId="0" fontId="12" fillId="4" borderId="96" xfId="0" applyFont="1" applyFill="1" applyBorder="1" applyAlignment="1">
      <alignment horizontal="center" vertical="top"/>
    </xf>
    <xf numFmtId="0" fontId="12" fillId="4" borderId="165" xfId="0" applyFont="1" applyFill="1" applyBorder="1" applyAlignment="1">
      <alignment horizontal="center" vertical="top"/>
    </xf>
    <xf numFmtId="0" fontId="12" fillId="0" borderId="78" xfId="0" quotePrefix="1" applyFont="1" applyBorder="1" applyAlignment="1">
      <alignment horizontal="left" vertical="top" wrapText="1"/>
    </xf>
    <xf numFmtId="0" fontId="12" fillId="0" borderId="78" xfId="0" applyFont="1" applyBorder="1" applyAlignment="1">
      <alignment horizontal="left" vertical="top"/>
    </xf>
    <xf numFmtId="0" fontId="12" fillId="0" borderId="92" xfId="0" applyFont="1" applyBorder="1" applyAlignment="1">
      <alignment horizontal="left" vertical="top"/>
    </xf>
    <xf numFmtId="49" fontId="10" fillId="4" borderId="78" xfId="0" applyNumberFormat="1" applyFont="1" applyFill="1" applyBorder="1" applyAlignment="1">
      <alignment horizontal="left" vertical="top" wrapText="1"/>
    </xf>
    <xf numFmtId="49" fontId="12" fillId="4" borderId="78" xfId="0" applyNumberFormat="1" applyFont="1" applyFill="1" applyBorder="1" applyAlignment="1">
      <alignment horizontal="left" vertical="top"/>
    </xf>
    <xf numFmtId="49" fontId="12" fillId="4" borderId="92" xfId="0" applyNumberFormat="1" applyFont="1" applyFill="1" applyBorder="1" applyAlignment="1">
      <alignment horizontal="left" vertical="top"/>
    </xf>
    <xf numFmtId="174" fontId="10" fillId="4" borderId="101" xfId="0" applyNumberFormat="1" applyFont="1" applyFill="1" applyBorder="1" applyAlignment="1">
      <alignment horizontal="left" vertical="top" wrapText="1"/>
    </xf>
    <xf numFmtId="174" fontId="12" fillId="4" borderId="7" xfId="0" applyNumberFormat="1" applyFont="1" applyFill="1" applyBorder="1" applyAlignment="1">
      <alignment horizontal="left" vertical="top"/>
    </xf>
    <xf numFmtId="174" fontId="12" fillId="4" borderId="166" xfId="0" applyNumberFormat="1" applyFont="1" applyFill="1" applyBorder="1" applyAlignment="1">
      <alignment horizontal="left" vertical="top"/>
    </xf>
    <xf numFmtId="174" fontId="12" fillId="4" borderId="0" xfId="0" applyNumberFormat="1" applyFont="1" applyFill="1" applyAlignment="1">
      <alignment horizontal="left" vertical="top"/>
    </xf>
    <xf numFmtId="49" fontId="10" fillId="2" borderId="78" xfId="0" applyNumberFormat="1" applyFont="1" applyFill="1" applyBorder="1" applyAlignment="1">
      <alignment horizontal="center" vertical="center" wrapText="1"/>
    </xf>
    <xf numFmtId="49" fontId="10" fillId="2" borderId="92" xfId="0" applyNumberFormat="1" applyFont="1" applyFill="1" applyBorder="1" applyAlignment="1">
      <alignment horizontal="center" vertical="center" wrapText="1"/>
    </xf>
    <xf numFmtId="0" fontId="12" fillId="4" borderId="98" xfId="0" applyFont="1" applyFill="1" applyBorder="1" applyAlignment="1">
      <alignment horizontal="center" vertical="top"/>
    </xf>
    <xf numFmtId="164" fontId="10" fillId="2" borderId="78" xfId="1" applyFont="1" applyFill="1" applyBorder="1" applyAlignment="1">
      <alignment horizontal="center" vertical="center" wrapText="1"/>
    </xf>
    <xf numFmtId="164" fontId="10" fillId="2" borderId="92" xfId="1" applyFont="1" applyFill="1" applyBorder="1" applyAlignment="1">
      <alignment horizontal="center" vertical="center" wrapText="1"/>
    </xf>
    <xf numFmtId="49" fontId="12" fillId="4" borderId="78" xfId="0" applyNumberFormat="1" applyFont="1" applyFill="1" applyBorder="1" applyAlignment="1">
      <alignment horizontal="left" vertical="top" wrapText="1"/>
    </xf>
    <xf numFmtId="49" fontId="12" fillId="4" borderId="97" xfId="0" applyNumberFormat="1" applyFont="1" applyFill="1" applyBorder="1" applyAlignment="1">
      <alignment horizontal="left" vertical="top"/>
    </xf>
    <xf numFmtId="49" fontId="12" fillId="4" borderId="99" xfId="0" applyNumberFormat="1" applyFont="1" applyFill="1" applyBorder="1" applyAlignment="1">
      <alignment horizontal="left" vertical="top"/>
    </xf>
    <xf numFmtId="49" fontId="12" fillId="4" borderId="100" xfId="0" applyNumberFormat="1" applyFont="1" applyFill="1" applyBorder="1" applyAlignment="1">
      <alignment horizontal="left" vertical="top"/>
    </xf>
    <xf numFmtId="174" fontId="12" fillId="4" borderId="102" xfId="0" applyNumberFormat="1" applyFont="1" applyFill="1" applyBorder="1" applyAlignment="1">
      <alignment horizontal="left" vertical="top"/>
    </xf>
    <xf numFmtId="174" fontId="12" fillId="4" borderId="89" xfId="0" applyNumberFormat="1" applyFont="1" applyFill="1" applyBorder="1" applyAlignment="1">
      <alignment horizontal="left" vertical="top"/>
    </xf>
    <xf numFmtId="0" fontId="12" fillId="0" borderId="99" xfId="0" applyFont="1" applyBorder="1" applyAlignment="1">
      <alignment horizontal="left" vertical="top"/>
    </xf>
    <xf numFmtId="0" fontId="12" fillId="4" borderId="168" xfId="0" applyFont="1" applyFill="1" applyBorder="1" applyAlignment="1">
      <alignment horizontal="center" vertical="top"/>
    </xf>
    <xf numFmtId="0" fontId="12" fillId="0" borderId="104" xfId="0" applyFont="1" applyBorder="1" applyAlignment="1">
      <alignment horizontal="left" vertical="top"/>
    </xf>
    <xf numFmtId="49" fontId="12" fillId="4" borderId="104" xfId="0" applyNumberFormat="1" applyFont="1" applyFill="1" applyBorder="1" applyAlignment="1">
      <alignment horizontal="left" vertical="top"/>
    </xf>
    <xf numFmtId="49" fontId="10" fillId="4" borderId="111" xfId="0" applyNumberFormat="1" applyFont="1" applyFill="1" applyBorder="1" applyAlignment="1">
      <alignment horizontal="left" vertical="top" wrapText="1"/>
    </xf>
    <xf numFmtId="49" fontId="10" fillId="4" borderId="112" xfId="0" applyNumberFormat="1" applyFont="1" applyFill="1" applyBorder="1" applyAlignment="1">
      <alignment horizontal="left" vertical="top" wrapText="1"/>
    </xf>
    <xf numFmtId="49" fontId="10" fillId="4" borderId="113" xfId="0" applyNumberFormat="1" applyFont="1" applyFill="1" applyBorder="1" applyAlignment="1">
      <alignment horizontal="left" vertical="top" wrapText="1"/>
    </xf>
    <xf numFmtId="49" fontId="10" fillId="4" borderId="102" xfId="0" applyNumberFormat="1" applyFont="1" applyFill="1" applyBorder="1" applyAlignment="1">
      <alignment horizontal="left" vertical="top" wrapText="1"/>
    </xf>
    <xf numFmtId="49" fontId="10" fillId="4" borderId="89" xfId="0" applyNumberFormat="1" applyFont="1" applyFill="1" applyBorder="1" applyAlignment="1">
      <alignment horizontal="left" vertical="top" wrapText="1"/>
    </xf>
    <xf numFmtId="49" fontId="10" fillId="4" borderId="103" xfId="0" applyNumberFormat="1" applyFont="1" applyFill="1" applyBorder="1" applyAlignment="1">
      <alignment horizontal="left" vertical="top" wrapText="1"/>
    </xf>
    <xf numFmtId="49" fontId="12" fillId="4" borderId="172" xfId="0" applyNumberFormat="1" applyFont="1" applyFill="1" applyBorder="1" applyAlignment="1">
      <alignment horizontal="left" vertical="top"/>
    </xf>
    <xf numFmtId="49" fontId="10" fillId="0" borderId="111" xfId="0" applyNumberFormat="1" applyFont="1" applyBorder="1" applyAlignment="1">
      <alignment horizontal="left" vertical="top" wrapText="1"/>
    </xf>
    <xf numFmtId="49" fontId="10" fillId="0" borderId="112" xfId="0" applyNumberFormat="1" applyFont="1" applyBorder="1" applyAlignment="1">
      <alignment horizontal="left" vertical="top" wrapText="1"/>
    </xf>
    <xf numFmtId="49" fontId="10" fillId="0" borderId="113" xfId="0" applyNumberFormat="1" applyFont="1" applyBorder="1" applyAlignment="1">
      <alignment horizontal="left" vertical="top" wrapText="1"/>
    </xf>
    <xf numFmtId="49" fontId="10" fillId="0" borderId="162" xfId="0" applyNumberFormat="1" applyFont="1" applyBorder="1" applyAlignment="1">
      <alignment horizontal="left" vertical="top" wrapText="1"/>
    </xf>
    <xf numFmtId="49" fontId="10" fillId="0" borderId="2" xfId="0" applyNumberFormat="1" applyFont="1" applyBorder="1" applyAlignment="1">
      <alignment horizontal="left" vertical="top" wrapText="1"/>
    </xf>
    <xf numFmtId="49" fontId="10" fillId="0" borderId="163" xfId="0" applyNumberFormat="1" applyFont="1" applyBorder="1" applyAlignment="1">
      <alignment horizontal="left" vertical="top" wrapText="1"/>
    </xf>
    <xf numFmtId="49" fontId="12" fillId="0" borderId="78" xfId="0" applyNumberFormat="1" applyFont="1" applyBorder="1" applyAlignment="1">
      <alignment horizontal="left" vertical="top" wrapText="1"/>
    </xf>
    <xf numFmtId="49" fontId="12" fillId="0" borderId="78" xfId="0" applyNumberFormat="1" applyFont="1" applyBorder="1" applyAlignment="1">
      <alignment horizontal="left" vertical="top"/>
    </xf>
    <xf numFmtId="49" fontId="12" fillId="0" borderId="158" xfId="0" applyNumberFormat="1" applyFont="1" applyBorder="1" applyAlignment="1">
      <alignment horizontal="left" vertical="top"/>
    </xf>
    <xf numFmtId="49" fontId="12" fillId="0" borderId="104" xfId="0" applyNumberFormat="1" applyFont="1" applyBorder="1" applyAlignment="1">
      <alignment horizontal="left" vertical="top"/>
    </xf>
    <xf numFmtId="49" fontId="12" fillId="0" borderId="164" xfId="0" applyNumberFormat="1" applyFont="1" applyBorder="1" applyAlignment="1">
      <alignment horizontal="left" vertical="top"/>
    </xf>
    <xf numFmtId="49" fontId="10" fillId="4" borderId="166" xfId="0" applyNumberFormat="1" applyFont="1" applyFill="1" applyBorder="1" applyAlignment="1">
      <alignment horizontal="left" vertical="top" wrapText="1"/>
    </xf>
    <xf numFmtId="49" fontId="10" fillId="4" borderId="0" xfId="0" applyNumberFormat="1" applyFont="1" applyFill="1" applyAlignment="1">
      <alignment horizontal="left" vertical="top" wrapText="1"/>
    </xf>
    <xf numFmtId="49" fontId="10" fillId="4" borderId="167" xfId="0" applyNumberFormat="1" applyFont="1" applyFill="1" applyBorder="1" applyAlignment="1">
      <alignment horizontal="left" vertical="top" wrapText="1"/>
    </xf>
    <xf numFmtId="49" fontId="12" fillId="4" borderId="111" xfId="0" applyNumberFormat="1" applyFont="1" applyFill="1" applyBorder="1" applyAlignment="1">
      <alignment horizontal="left" vertical="top" wrapText="1"/>
    </xf>
    <xf numFmtId="49" fontId="12" fillId="4" borderId="112" xfId="0" applyNumberFormat="1" applyFont="1" applyFill="1" applyBorder="1" applyAlignment="1">
      <alignment horizontal="left" vertical="top" wrapText="1"/>
    </xf>
    <xf numFmtId="49" fontId="12" fillId="4" borderId="152" xfId="0" applyNumberFormat="1" applyFont="1" applyFill="1" applyBorder="1" applyAlignment="1">
      <alignment horizontal="left" vertical="top" wrapText="1"/>
    </xf>
    <xf numFmtId="49" fontId="12" fillId="4" borderId="166" xfId="0" applyNumberFormat="1" applyFont="1" applyFill="1" applyBorder="1" applyAlignment="1">
      <alignment horizontal="left" vertical="top" wrapText="1"/>
    </xf>
    <xf numFmtId="49" fontId="12" fillId="4" borderId="0" xfId="0" applyNumberFormat="1" applyFont="1" applyFill="1" applyAlignment="1">
      <alignment horizontal="left" vertical="top" wrapText="1"/>
    </xf>
    <xf numFmtId="49" fontId="12" fillId="4" borderId="140" xfId="0" applyNumberFormat="1" applyFont="1" applyFill="1" applyBorder="1" applyAlignment="1">
      <alignment horizontal="left" vertical="top" wrapText="1"/>
    </xf>
    <xf numFmtId="0" fontId="12" fillId="14" borderId="4" xfId="0" applyFont="1" applyFill="1" applyBorder="1" applyAlignment="1">
      <alignment horizontal="left" vertical="top" shrinkToFit="1"/>
    </xf>
    <xf numFmtId="0" fontId="12" fillId="14" borderId="87" xfId="0" applyFont="1" applyFill="1" applyBorder="1" applyAlignment="1">
      <alignment horizontal="left" vertical="top" shrinkToFit="1"/>
    </xf>
    <xf numFmtId="169" fontId="17" fillId="17" borderId="40" xfId="1" applyNumberFormat="1" applyFont="1" applyFill="1" applyBorder="1" applyAlignment="1">
      <alignment horizontal="center" vertical="center" wrapText="1"/>
    </xf>
    <xf numFmtId="169" fontId="17" fillId="17" borderId="29" xfId="1" applyNumberFormat="1" applyFont="1" applyFill="1" applyBorder="1" applyAlignment="1">
      <alignment horizontal="center" vertical="center" wrapText="1"/>
    </xf>
    <xf numFmtId="167" fontId="17" fillId="17" borderId="1" xfId="0" applyNumberFormat="1" applyFont="1" applyFill="1" applyBorder="1" applyAlignment="1">
      <alignment horizontal="center" vertical="center" wrapText="1"/>
    </xf>
    <xf numFmtId="167" fontId="17" fillId="17" borderId="3" xfId="0" applyNumberFormat="1" applyFont="1" applyFill="1" applyBorder="1" applyAlignment="1">
      <alignment horizontal="center" vertical="center" wrapText="1"/>
    </xf>
    <xf numFmtId="175" fontId="17" fillId="17" borderId="38" xfId="0" applyNumberFormat="1" applyFont="1" applyFill="1" applyBorder="1" applyAlignment="1">
      <alignment horizontal="center" vertical="center" wrapText="1"/>
    </xf>
    <xf numFmtId="175" fontId="17" fillId="17" borderId="26" xfId="0" applyNumberFormat="1" applyFont="1" applyFill="1" applyBorder="1" applyAlignment="1">
      <alignment horizontal="center" vertical="center" wrapText="1"/>
    </xf>
    <xf numFmtId="175" fontId="17" fillId="17" borderId="135" xfId="0" applyNumberFormat="1" applyFont="1" applyFill="1" applyBorder="1" applyAlignment="1">
      <alignment horizontal="center" vertical="center" wrapText="1"/>
    </xf>
    <xf numFmtId="0" fontId="17" fillId="17" borderId="38" xfId="0" applyFont="1" applyFill="1" applyBorder="1" applyAlignment="1">
      <alignment horizontal="center" vertical="center" wrapText="1"/>
    </xf>
    <xf numFmtId="0" fontId="17" fillId="17" borderId="26" xfId="0" applyFont="1" applyFill="1" applyBorder="1" applyAlignment="1">
      <alignment horizontal="center" vertical="center" wrapText="1"/>
    </xf>
    <xf numFmtId="168" fontId="18" fillId="17" borderId="38" xfId="0" applyNumberFormat="1" applyFont="1" applyFill="1" applyBorder="1" applyAlignment="1">
      <alignment horizontal="center" vertical="center" wrapText="1"/>
    </xf>
    <xf numFmtId="168" fontId="18" fillId="17" borderId="26" xfId="0" applyNumberFormat="1" applyFont="1" applyFill="1" applyBorder="1" applyAlignment="1">
      <alignment horizontal="center" vertical="center" wrapText="1"/>
    </xf>
    <xf numFmtId="168" fontId="17" fillId="17" borderId="38" xfId="0" applyNumberFormat="1" applyFont="1" applyFill="1" applyBorder="1" applyAlignment="1">
      <alignment horizontal="center" vertical="center" wrapText="1"/>
    </xf>
    <xf numFmtId="168" fontId="17" fillId="17" borderId="26" xfId="0" applyNumberFormat="1" applyFont="1" applyFill="1" applyBorder="1" applyAlignment="1">
      <alignment horizontal="center" vertical="center" wrapText="1"/>
    </xf>
    <xf numFmtId="168" fontId="17" fillId="17" borderId="38" xfId="0" applyNumberFormat="1" applyFont="1" applyFill="1" applyBorder="1" applyAlignment="1">
      <alignment horizontal="right" vertical="center" wrapText="1"/>
    </xf>
    <xf numFmtId="168" fontId="17" fillId="17" borderId="26" xfId="0" applyNumberFormat="1" applyFont="1" applyFill="1" applyBorder="1" applyAlignment="1">
      <alignment horizontal="right" vertical="center" wrapText="1"/>
    </xf>
    <xf numFmtId="9" fontId="17" fillId="17" borderId="39" xfId="0" applyNumberFormat="1" applyFont="1" applyFill="1" applyBorder="1" applyAlignment="1">
      <alignment horizontal="right" vertical="center" wrapText="1"/>
    </xf>
    <xf numFmtId="9" fontId="17" fillId="17" borderId="29" xfId="0" applyNumberFormat="1" applyFont="1" applyFill="1" applyBorder="1" applyAlignment="1">
      <alignment horizontal="right" vertical="center" wrapText="1"/>
    </xf>
    <xf numFmtId="0" fontId="18" fillId="17" borderId="37" xfId="5" applyNumberFormat="1" applyFont="1" applyFill="1" applyBorder="1" applyAlignment="1">
      <alignment horizontal="center" vertical="center"/>
    </xf>
    <xf numFmtId="0" fontId="18" fillId="17" borderId="55" xfId="5" applyNumberFormat="1" applyFont="1" applyFill="1" applyBorder="1" applyAlignment="1">
      <alignment horizontal="center" vertical="center"/>
    </xf>
    <xf numFmtId="169" fontId="17" fillId="17" borderId="39" xfId="1" applyNumberFormat="1" applyFont="1" applyFill="1" applyBorder="1" applyAlignment="1">
      <alignment horizontal="center" vertical="center" wrapText="1"/>
    </xf>
    <xf numFmtId="0" fontId="17" fillId="6" borderId="36" xfId="0" applyFont="1" applyFill="1" applyBorder="1" applyAlignment="1">
      <alignment horizontal="left" vertical="top" wrapText="1"/>
    </xf>
    <xf numFmtId="0" fontId="17" fillId="6" borderId="41" xfId="0" applyFont="1" applyFill="1" applyBorder="1" applyAlignment="1">
      <alignment horizontal="left" vertical="top" wrapText="1"/>
    </xf>
    <xf numFmtId="0" fontId="17" fillId="6" borderId="48" xfId="0" applyFont="1" applyFill="1" applyBorder="1" applyAlignment="1">
      <alignment horizontal="left" vertical="top" wrapText="1"/>
    </xf>
    <xf numFmtId="0" fontId="18" fillId="17" borderId="0" xfId="0" applyFont="1" applyFill="1" applyAlignment="1">
      <alignment horizontal="center" vertical="center"/>
    </xf>
    <xf numFmtId="0" fontId="18" fillId="17" borderId="1" xfId="0" applyFont="1" applyFill="1" applyBorder="1" applyAlignment="1">
      <alignment horizontal="center" vertical="center"/>
    </xf>
    <xf numFmtId="0" fontId="18" fillId="17" borderId="60" xfId="0" applyFont="1" applyFill="1" applyBorder="1" applyAlignment="1">
      <alignment horizontal="center" vertical="center"/>
    </xf>
    <xf numFmtId="0" fontId="18" fillId="17" borderId="45" xfId="0" applyFont="1" applyFill="1" applyBorder="1" applyAlignment="1">
      <alignment horizontal="center" vertical="center"/>
    </xf>
    <xf numFmtId="168" fontId="18" fillId="17" borderId="25" xfId="1" applyNumberFormat="1" applyFont="1" applyFill="1" applyBorder="1" applyAlignment="1">
      <alignment horizontal="center" vertical="center"/>
    </xf>
    <xf numFmtId="168" fontId="18" fillId="17" borderId="43" xfId="1" applyNumberFormat="1" applyFont="1" applyFill="1" applyBorder="1" applyAlignment="1">
      <alignment horizontal="center" vertical="center"/>
    </xf>
    <xf numFmtId="168" fontId="17" fillId="17" borderId="25" xfId="1" applyNumberFormat="1" applyFont="1" applyFill="1" applyBorder="1" applyAlignment="1">
      <alignment horizontal="right" vertical="center"/>
    </xf>
    <xf numFmtId="168" fontId="17" fillId="17" borderId="43" xfId="1" applyNumberFormat="1" applyFont="1" applyFill="1" applyBorder="1" applyAlignment="1">
      <alignment horizontal="right" vertical="center"/>
    </xf>
    <xf numFmtId="9" fontId="17" fillId="17" borderId="28" xfId="1" applyNumberFormat="1" applyFont="1" applyFill="1" applyBorder="1" applyAlignment="1">
      <alignment horizontal="right" vertical="center"/>
    </xf>
    <xf numFmtId="9" fontId="17" fillId="17" borderId="67" xfId="1" applyNumberFormat="1" applyFont="1" applyFill="1" applyBorder="1" applyAlignment="1">
      <alignment horizontal="right" vertical="center"/>
    </xf>
    <xf numFmtId="0" fontId="18" fillId="17" borderId="61" xfId="5" applyNumberFormat="1" applyFont="1" applyFill="1" applyBorder="1" applyAlignment="1">
      <alignment horizontal="center" vertical="center"/>
    </xf>
    <xf numFmtId="0" fontId="18" fillId="17" borderId="68" xfId="5" applyNumberFormat="1" applyFont="1" applyFill="1" applyBorder="1" applyAlignment="1">
      <alignment horizontal="center" vertical="center"/>
    </xf>
    <xf numFmtId="170" fontId="18" fillId="17" borderId="25" xfId="5" applyNumberFormat="1" applyFont="1" applyFill="1" applyBorder="1" applyAlignment="1">
      <alignment horizontal="right" vertical="center"/>
    </xf>
    <xf numFmtId="0" fontId="18" fillId="17" borderId="43" xfId="5" applyNumberFormat="1" applyFont="1" applyFill="1" applyBorder="1" applyAlignment="1">
      <alignment horizontal="right" vertical="center"/>
    </xf>
    <xf numFmtId="170" fontId="18" fillId="17" borderId="40" xfId="5" applyNumberFormat="1" applyFont="1" applyFill="1" applyBorder="1" applyAlignment="1">
      <alignment horizontal="right" vertical="center"/>
    </xf>
    <xf numFmtId="0" fontId="18" fillId="17" borderId="44" xfId="5" applyNumberFormat="1" applyFont="1" applyFill="1" applyBorder="1" applyAlignment="1">
      <alignment horizontal="right" vertical="center"/>
    </xf>
    <xf numFmtId="0" fontId="18" fillId="17" borderId="2" xfId="0" applyFont="1" applyFill="1" applyBorder="1" applyAlignment="1">
      <alignment horizontal="center" vertical="center"/>
    </xf>
    <xf numFmtId="0" fontId="18" fillId="17" borderId="3" xfId="0" applyFont="1" applyFill="1" applyBorder="1" applyAlignment="1">
      <alignment horizontal="center" vertical="center"/>
    </xf>
    <xf numFmtId="14" fontId="18" fillId="9" borderId="63" xfId="0" applyNumberFormat="1" applyFont="1" applyFill="1" applyBorder="1" applyAlignment="1">
      <alignment horizontal="center" vertical="center"/>
    </xf>
    <xf numFmtId="14" fontId="18" fillId="9" borderId="64" xfId="0" applyNumberFormat="1" applyFont="1" applyFill="1" applyBorder="1" applyAlignment="1">
      <alignment horizontal="center" vertical="center"/>
    </xf>
    <xf numFmtId="14" fontId="18" fillId="9" borderId="52" xfId="0" applyNumberFormat="1" applyFont="1" applyFill="1" applyBorder="1" applyAlignment="1">
      <alignment horizontal="center" vertical="center"/>
    </xf>
    <xf numFmtId="0" fontId="18" fillId="17" borderId="70" xfId="0" applyFont="1" applyFill="1" applyBorder="1" applyAlignment="1">
      <alignment horizontal="center" vertical="center"/>
    </xf>
    <xf numFmtId="0" fontId="18" fillId="17" borderId="59" xfId="0" applyFont="1" applyFill="1" applyBorder="1" applyAlignment="1">
      <alignment horizontal="center" vertical="center"/>
    </xf>
    <xf numFmtId="14" fontId="18" fillId="9" borderId="68" xfId="0" applyNumberFormat="1" applyFont="1" applyFill="1" applyBorder="1" applyAlignment="1">
      <alignment horizontal="center" vertical="center"/>
    </xf>
    <xf numFmtId="14" fontId="18" fillId="9" borderId="60" xfId="0" applyNumberFormat="1" applyFont="1" applyFill="1" applyBorder="1" applyAlignment="1">
      <alignment horizontal="center" vertical="center"/>
    </xf>
    <xf numFmtId="14" fontId="18" fillId="9" borderId="45" xfId="0" applyNumberFormat="1" applyFont="1" applyFill="1" applyBorder="1" applyAlignment="1">
      <alignment horizontal="center" vertical="center"/>
    </xf>
    <xf numFmtId="0" fontId="18" fillId="6" borderId="37" xfId="0" applyFont="1" applyFill="1" applyBorder="1" applyAlignment="1">
      <alignment horizontal="center" vertical="center" wrapText="1"/>
    </xf>
    <xf numFmtId="0" fontId="18" fillId="6" borderId="23" xfId="0" applyFont="1" applyFill="1" applyBorder="1" applyAlignment="1">
      <alignment horizontal="center" vertical="center" wrapText="1"/>
    </xf>
    <xf numFmtId="0" fontId="18" fillId="6" borderId="42" xfId="0" applyFont="1" applyFill="1" applyBorder="1" applyAlignment="1">
      <alignment horizontal="center" vertical="center" wrapText="1"/>
    </xf>
    <xf numFmtId="0" fontId="18" fillId="6" borderId="49" xfId="0" applyFont="1" applyFill="1" applyBorder="1" applyAlignment="1">
      <alignment horizontal="center" vertical="center" wrapText="1"/>
    </xf>
    <xf numFmtId="0" fontId="18" fillId="6" borderId="53" xfId="0" applyFont="1" applyFill="1" applyBorder="1" applyAlignment="1">
      <alignment horizontal="center" vertical="center" wrapText="1"/>
    </xf>
    <xf numFmtId="0" fontId="18" fillId="6" borderId="65" xfId="0" applyFont="1" applyFill="1" applyBorder="1" applyAlignment="1">
      <alignment horizontal="center" vertical="center" wrapText="1"/>
    </xf>
    <xf numFmtId="0" fontId="18" fillId="6" borderId="50" xfId="0" applyFont="1" applyFill="1" applyBorder="1" applyAlignment="1">
      <alignment horizontal="center" vertical="center" wrapText="1"/>
    </xf>
    <xf numFmtId="0" fontId="18" fillId="6" borderId="54" xfId="0" applyFont="1" applyFill="1" applyBorder="1" applyAlignment="1">
      <alignment horizontal="center" vertical="center" wrapText="1"/>
    </xf>
    <xf numFmtId="0" fontId="18" fillId="6" borderId="66" xfId="0" applyFont="1" applyFill="1" applyBorder="1" applyAlignment="1">
      <alignment horizontal="center" vertical="center" wrapText="1"/>
    </xf>
    <xf numFmtId="167" fontId="17" fillId="17" borderId="14" xfId="0" applyNumberFormat="1" applyFont="1" applyFill="1" applyBorder="1" applyAlignment="1">
      <alignment horizontal="center" vertical="center" wrapText="1"/>
    </xf>
    <xf numFmtId="9" fontId="17" fillId="17" borderId="40" xfId="0" applyNumberFormat="1" applyFont="1" applyFill="1" applyBorder="1" applyAlignment="1">
      <alignment horizontal="right" vertical="center" wrapText="1"/>
    </xf>
    <xf numFmtId="0" fontId="18" fillId="17" borderId="23" xfId="5" applyNumberFormat="1" applyFont="1" applyFill="1" applyBorder="1" applyAlignment="1">
      <alignment horizontal="center" vertical="center"/>
    </xf>
    <xf numFmtId="168" fontId="17" fillId="17" borderId="25" xfId="0" applyNumberFormat="1" applyFont="1" applyFill="1" applyBorder="1" applyAlignment="1">
      <alignment horizontal="right" vertical="center" wrapText="1"/>
    </xf>
    <xf numFmtId="0" fontId="17" fillId="17" borderId="36" xfId="0" applyFont="1" applyFill="1" applyBorder="1" applyAlignment="1">
      <alignment horizontal="left" vertical="top" wrapText="1"/>
    </xf>
    <xf numFmtId="0" fontId="17" fillId="17" borderId="41" xfId="0" applyFont="1" applyFill="1" applyBorder="1" applyAlignment="1">
      <alignment horizontal="left" vertical="top" wrapText="1"/>
    </xf>
    <xf numFmtId="0" fontId="17" fillId="17" borderId="28" xfId="0" applyFont="1" applyFill="1" applyBorder="1" applyAlignment="1">
      <alignment horizontal="left" vertical="top" wrapText="1"/>
    </xf>
    <xf numFmtId="0" fontId="17" fillId="17" borderId="67" xfId="0" applyFont="1" applyFill="1" applyBorder="1" applyAlignment="1">
      <alignment horizontal="left" vertical="top" wrapText="1"/>
    </xf>
    <xf numFmtId="0" fontId="18" fillId="17" borderId="25" xfId="5" applyNumberFormat="1" applyFont="1" applyFill="1" applyBorder="1" applyAlignment="1">
      <alignment horizontal="right" vertical="center"/>
    </xf>
    <xf numFmtId="0" fontId="18" fillId="17" borderId="62" xfId="0" applyFont="1" applyFill="1" applyBorder="1" applyAlignment="1">
      <alignment horizontal="center" vertical="center"/>
    </xf>
    <xf numFmtId="14" fontId="18" fillId="17" borderId="63" xfId="0" applyNumberFormat="1" applyFont="1" applyFill="1" applyBorder="1" applyAlignment="1">
      <alignment horizontal="center" vertical="center"/>
    </xf>
    <xf numFmtId="14" fontId="18" fillId="17" borderId="64" xfId="0" applyNumberFormat="1" applyFont="1" applyFill="1" applyBorder="1" applyAlignment="1">
      <alignment horizontal="center" vertical="center"/>
    </xf>
    <xf numFmtId="14" fontId="18" fillId="17" borderId="52" xfId="0" applyNumberFormat="1" applyFont="1" applyFill="1" applyBorder="1" applyAlignment="1">
      <alignment horizontal="center" vertical="center"/>
    </xf>
    <xf numFmtId="0" fontId="18" fillId="17" borderId="133" xfId="0" applyFont="1" applyFill="1" applyBorder="1" applyAlignment="1">
      <alignment horizontal="center" vertical="center"/>
    </xf>
    <xf numFmtId="0" fontId="18" fillId="17" borderId="134" xfId="0" applyFont="1" applyFill="1" applyBorder="1" applyAlignment="1">
      <alignment horizontal="center" vertical="center"/>
    </xf>
    <xf numFmtId="0" fontId="18" fillId="17" borderId="129" xfId="0" applyFont="1" applyFill="1" applyBorder="1" applyAlignment="1">
      <alignment horizontal="center" vertical="center"/>
    </xf>
    <xf numFmtId="14" fontId="18" fillId="17" borderId="68" xfId="0" applyNumberFormat="1" applyFont="1" applyFill="1" applyBorder="1" applyAlignment="1">
      <alignment horizontal="center" vertical="center"/>
    </xf>
    <xf numFmtId="14" fontId="18" fillId="17" borderId="60" xfId="0" applyNumberFormat="1" applyFont="1" applyFill="1" applyBorder="1" applyAlignment="1">
      <alignment horizontal="center" vertical="center"/>
    </xf>
    <xf numFmtId="14" fontId="18" fillId="17" borderId="45" xfId="0" applyNumberFormat="1" applyFont="1" applyFill="1" applyBorder="1" applyAlignment="1">
      <alignment horizontal="center" vertical="center"/>
    </xf>
    <xf numFmtId="0" fontId="18" fillId="17" borderId="37" xfId="0" applyFont="1" applyFill="1" applyBorder="1" applyAlignment="1">
      <alignment horizontal="center" vertical="center" wrapText="1"/>
    </xf>
    <xf numFmtId="0" fontId="18" fillId="17" borderId="23" xfId="0" applyFont="1" applyFill="1" applyBorder="1" applyAlignment="1">
      <alignment horizontal="center" vertical="center" wrapText="1"/>
    </xf>
    <xf numFmtId="0" fontId="18" fillId="17" borderId="42" xfId="0" applyFont="1" applyFill="1" applyBorder="1" applyAlignment="1">
      <alignment horizontal="center" vertical="center" wrapText="1"/>
    </xf>
    <xf numFmtId="0" fontId="18" fillId="17" borderId="49" xfId="0" applyFont="1" applyFill="1" applyBorder="1" applyAlignment="1">
      <alignment horizontal="center" vertical="center" wrapText="1"/>
    </xf>
    <xf numFmtId="0" fontId="18" fillId="17" borderId="53" xfId="0" applyFont="1" applyFill="1" applyBorder="1" applyAlignment="1">
      <alignment horizontal="center" vertical="center" wrapText="1"/>
    </xf>
    <xf numFmtId="0" fontId="18" fillId="17" borderId="65" xfId="0" applyFont="1" applyFill="1" applyBorder="1" applyAlignment="1">
      <alignment horizontal="center" vertical="center" wrapText="1"/>
    </xf>
    <xf numFmtId="0" fontId="18" fillId="17" borderId="50" xfId="0" applyFont="1" applyFill="1" applyBorder="1" applyAlignment="1">
      <alignment horizontal="center" vertical="center" wrapText="1"/>
    </xf>
    <xf numFmtId="0" fontId="18" fillId="17" borderId="54" xfId="0" applyFont="1" applyFill="1" applyBorder="1" applyAlignment="1">
      <alignment horizontal="center" vertical="center" wrapText="1"/>
    </xf>
    <xf numFmtId="0" fontId="18" fillId="17" borderId="66" xfId="0" applyFont="1" applyFill="1" applyBorder="1" applyAlignment="1">
      <alignment horizontal="center" vertical="center" wrapText="1"/>
    </xf>
    <xf numFmtId="175" fontId="17" fillId="17" borderId="25" xfId="0" applyNumberFormat="1" applyFont="1" applyFill="1" applyBorder="1" applyAlignment="1">
      <alignment horizontal="center" vertical="center" wrapText="1"/>
    </xf>
    <xf numFmtId="0" fontId="17" fillId="17" borderId="25" xfId="0" applyFont="1" applyFill="1" applyBorder="1" applyAlignment="1">
      <alignment horizontal="center" vertical="center" wrapText="1"/>
    </xf>
    <xf numFmtId="168" fontId="18" fillId="17" borderId="25" xfId="0" applyNumberFormat="1" applyFont="1" applyFill="1" applyBorder="1" applyAlignment="1">
      <alignment horizontal="center" vertical="center" wrapText="1"/>
    </xf>
    <xf numFmtId="168" fontId="17" fillId="17" borderId="25" xfId="0" applyNumberFormat="1" applyFont="1" applyFill="1" applyBorder="1" applyAlignment="1">
      <alignment horizontal="center" vertical="center" wrapText="1"/>
    </xf>
    <xf numFmtId="0" fontId="17" fillId="17" borderId="132" xfId="0" applyFont="1" applyFill="1" applyBorder="1" applyAlignment="1">
      <alignment horizontal="left" vertical="top" wrapText="1"/>
    </xf>
    <xf numFmtId="0" fontId="18" fillId="17" borderId="61" xfId="0" applyFont="1" applyFill="1" applyBorder="1" applyAlignment="1">
      <alignment horizontal="center" vertical="center"/>
    </xf>
    <xf numFmtId="170" fontId="18" fillId="17" borderId="18" xfId="5" applyNumberFormat="1" applyFont="1" applyFill="1" applyBorder="1" applyAlignment="1">
      <alignment horizontal="right" vertical="center"/>
    </xf>
    <xf numFmtId="0" fontId="18" fillId="17" borderId="18" xfId="5" applyNumberFormat="1" applyFont="1" applyFill="1" applyBorder="1" applyAlignment="1">
      <alignment horizontal="right" vertical="center"/>
    </xf>
    <xf numFmtId="0" fontId="18" fillId="17" borderId="130" xfId="0" applyFont="1" applyFill="1" applyBorder="1" applyAlignment="1">
      <alignment horizontal="center" vertical="center"/>
    </xf>
    <xf numFmtId="0" fontId="18" fillId="17" borderId="69" xfId="0" applyFont="1" applyFill="1" applyBorder="1" applyAlignment="1">
      <alignment horizontal="center" vertical="center"/>
    </xf>
    <xf numFmtId="0" fontId="18" fillId="17" borderId="153" xfId="0" applyFont="1" applyFill="1" applyBorder="1" applyAlignment="1">
      <alignment horizontal="center" vertical="center"/>
    </xf>
    <xf numFmtId="14" fontId="18" fillId="17" borderId="2" xfId="0" applyNumberFormat="1" applyFont="1" applyFill="1" applyBorder="1" applyAlignment="1">
      <alignment horizontal="center" vertical="center"/>
    </xf>
    <xf numFmtId="14" fontId="18" fillId="17" borderId="3" xfId="0" applyNumberFormat="1" applyFont="1" applyFill="1" applyBorder="1" applyAlignment="1">
      <alignment horizontal="center" vertical="center"/>
    </xf>
    <xf numFmtId="169" fontId="17" fillId="17" borderId="56" xfId="1" applyNumberFormat="1" applyFont="1" applyFill="1" applyBorder="1" applyAlignment="1">
      <alignment horizontal="center" vertical="center" wrapText="1"/>
    </xf>
    <xf numFmtId="0" fontId="18" fillId="17" borderId="131" xfId="0" applyFont="1" applyFill="1" applyBorder="1" applyAlignment="1">
      <alignment horizontal="center" vertical="center" wrapText="1"/>
    </xf>
    <xf numFmtId="0" fontId="18" fillId="17" borderId="0" xfId="0" applyFont="1" applyFill="1" applyAlignment="1">
      <alignment horizontal="center" vertical="center" wrapText="1"/>
    </xf>
    <xf numFmtId="167" fontId="17" fillId="17" borderId="37" xfId="0" applyNumberFormat="1" applyFont="1" applyFill="1" applyBorder="1" applyAlignment="1">
      <alignment horizontal="center" vertical="center" wrapText="1"/>
    </xf>
    <xf numFmtId="167" fontId="17" fillId="17" borderId="23" xfId="0" applyNumberFormat="1" applyFont="1" applyFill="1" applyBorder="1" applyAlignment="1">
      <alignment horizontal="center" vertical="center" wrapText="1"/>
    </xf>
    <xf numFmtId="167" fontId="17" fillId="17" borderId="19" xfId="0" applyNumberFormat="1" applyFont="1" applyFill="1" applyBorder="1" applyAlignment="1">
      <alignment horizontal="center" vertical="center" wrapText="1"/>
    </xf>
    <xf numFmtId="175" fontId="17" fillId="17" borderId="14" xfId="0" applyNumberFormat="1" applyFont="1" applyFill="1" applyBorder="1" applyAlignment="1">
      <alignment horizontal="center" vertical="center" wrapText="1"/>
    </xf>
    <xf numFmtId="175" fontId="17" fillId="17" borderId="3" xfId="0" applyNumberFormat="1" applyFont="1" applyFill="1" applyBorder="1" applyAlignment="1">
      <alignment horizontal="center" vertical="center" wrapText="1"/>
    </xf>
    <xf numFmtId="0" fontId="18" fillId="17" borderId="68" xfId="0" applyFont="1" applyFill="1" applyBorder="1" applyAlignment="1">
      <alignment horizontal="center" vertical="center"/>
    </xf>
    <xf numFmtId="168" fontId="18" fillId="17" borderId="40" xfId="1" applyNumberFormat="1" applyFont="1" applyFill="1" applyBorder="1" applyAlignment="1">
      <alignment horizontal="center" vertical="center"/>
    </xf>
    <xf numFmtId="168" fontId="18" fillId="17" borderId="44" xfId="1" applyNumberFormat="1" applyFont="1" applyFill="1" applyBorder="1" applyAlignment="1">
      <alignment horizontal="center" vertical="center"/>
    </xf>
    <xf numFmtId="167" fontId="17" fillId="17" borderId="55" xfId="0" applyNumberFormat="1" applyFont="1" applyFill="1" applyBorder="1" applyAlignment="1">
      <alignment horizontal="center" vertical="center" wrapText="1"/>
    </xf>
    <xf numFmtId="0" fontId="18" fillId="6" borderId="0" xfId="0" applyFont="1" applyFill="1" applyAlignment="1">
      <alignment horizontal="center" vertical="center" wrapText="1"/>
    </xf>
    <xf numFmtId="0" fontId="18" fillId="6" borderId="60" xfId="0" applyFont="1" applyFill="1" applyBorder="1" applyAlignment="1">
      <alignment horizontal="center" vertical="center" wrapText="1"/>
    </xf>
    <xf numFmtId="0" fontId="17" fillId="17" borderId="48" xfId="0" applyFont="1" applyFill="1" applyBorder="1" applyAlignment="1">
      <alignment horizontal="left" vertical="top" wrapText="1"/>
    </xf>
    <xf numFmtId="0" fontId="18" fillId="17" borderId="70" xfId="0" applyFont="1" applyFill="1" applyBorder="1" applyAlignment="1">
      <alignment horizontal="center" vertical="center" wrapText="1"/>
    </xf>
    <xf numFmtId="0" fontId="18" fillId="17" borderId="59" xfId="0" applyFont="1" applyFill="1" applyBorder="1" applyAlignment="1">
      <alignment horizontal="center" vertical="center" wrapText="1"/>
    </xf>
    <xf numFmtId="0" fontId="18" fillId="17" borderId="132" xfId="0" applyFont="1" applyFill="1" applyBorder="1" applyAlignment="1">
      <alignment horizontal="center" vertical="center" wrapText="1"/>
    </xf>
    <xf numFmtId="0" fontId="18" fillId="17" borderId="28" xfId="0" applyFont="1" applyFill="1" applyBorder="1" applyAlignment="1">
      <alignment horizontal="center" vertical="center" wrapText="1"/>
    </xf>
    <xf numFmtId="0" fontId="18" fillId="17" borderId="67" xfId="0" applyFont="1" applyFill="1" applyBorder="1" applyAlignment="1">
      <alignment horizontal="center" vertical="center" wrapText="1"/>
    </xf>
    <xf numFmtId="0" fontId="18" fillId="17" borderId="19" xfId="0" applyFont="1" applyFill="1" applyBorder="1" applyAlignment="1">
      <alignment horizontal="center" vertical="center"/>
    </xf>
    <xf numFmtId="0" fontId="18" fillId="17" borderId="46" xfId="0" applyFont="1" applyFill="1" applyBorder="1" applyAlignment="1">
      <alignment horizontal="center" vertical="center"/>
    </xf>
    <xf numFmtId="168" fontId="18" fillId="17" borderId="19" xfId="1" applyNumberFormat="1" applyFont="1" applyFill="1" applyBorder="1" applyAlignment="1">
      <alignment horizontal="center" vertical="center"/>
    </xf>
    <xf numFmtId="168" fontId="18" fillId="17" borderId="46" xfId="1" applyNumberFormat="1" applyFont="1" applyFill="1" applyBorder="1" applyAlignment="1">
      <alignment horizontal="center" vertical="center"/>
    </xf>
    <xf numFmtId="168" fontId="17" fillId="17" borderId="19" xfId="1" applyNumberFormat="1" applyFont="1" applyFill="1" applyBorder="1" applyAlignment="1">
      <alignment horizontal="right" vertical="center"/>
    </xf>
    <xf numFmtId="168" fontId="17" fillId="17" borderId="46" xfId="1" applyNumberFormat="1" applyFont="1" applyFill="1" applyBorder="1" applyAlignment="1">
      <alignment horizontal="right" vertical="center"/>
    </xf>
    <xf numFmtId="9" fontId="17" fillId="17" borderId="30" xfId="1" applyNumberFormat="1" applyFont="1" applyFill="1" applyBorder="1" applyAlignment="1">
      <alignment horizontal="right" vertical="center"/>
    </xf>
    <xf numFmtId="9" fontId="17" fillId="17" borderId="136" xfId="1" applyNumberFormat="1" applyFont="1" applyFill="1" applyBorder="1" applyAlignment="1">
      <alignment horizontal="right" vertical="center"/>
    </xf>
    <xf numFmtId="0" fontId="18" fillId="17" borderId="17" xfId="5" applyNumberFormat="1" applyFont="1" applyFill="1" applyBorder="1" applyAlignment="1">
      <alignment horizontal="center" vertical="center"/>
    </xf>
    <xf numFmtId="0" fontId="18" fillId="17" borderId="58" xfId="5" applyNumberFormat="1" applyFont="1" applyFill="1" applyBorder="1" applyAlignment="1">
      <alignment horizontal="center" vertical="center"/>
    </xf>
    <xf numFmtId="170" fontId="18" fillId="17" borderId="19" xfId="5" applyNumberFormat="1" applyFont="1" applyFill="1" applyBorder="1" applyAlignment="1">
      <alignment horizontal="right" vertical="center"/>
    </xf>
    <xf numFmtId="0" fontId="18" fillId="17" borderId="46" xfId="5" applyNumberFormat="1" applyFont="1" applyFill="1" applyBorder="1" applyAlignment="1">
      <alignment horizontal="right" vertical="center"/>
    </xf>
    <xf numFmtId="170" fontId="18" fillId="17" borderId="20" xfId="5" applyNumberFormat="1" applyFont="1" applyFill="1" applyBorder="1" applyAlignment="1">
      <alignment horizontal="right" vertical="center"/>
    </xf>
    <xf numFmtId="0" fontId="18" fillId="17" borderId="57" xfId="5" applyNumberFormat="1" applyFont="1" applyFill="1" applyBorder="1" applyAlignment="1">
      <alignment horizontal="right" vertical="center"/>
    </xf>
    <xf numFmtId="0" fontId="18" fillId="17" borderId="64" xfId="0" applyFont="1" applyFill="1" applyBorder="1" applyAlignment="1">
      <alignment horizontal="center" vertical="center"/>
    </xf>
    <xf numFmtId="0" fontId="18" fillId="17" borderId="52" xfId="0" applyFont="1" applyFill="1" applyBorder="1" applyAlignment="1">
      <alignment horizontal="center" vertical="center"/>
    </xf>
    <xf numFmtId="9" fontId="17" fillId="17" borderId="51" xfId="0" applyNumberFormat="1" applyFont="1" applyFill="1" applyBorder="1" applyAlignment="1">
      <alignment horizontal="right" vertical="center" wrapText="1"/>
    </xf>
    <xf numFmtId="9" fontId="17" fillId="17" borderId="30" xfId="0" applyNumberFormat="1" applyFont="1" applyFill="1" applyBorder="1" applyAlignment="1">
      <alignment horizontal="right" vertical="center" wrapText="1"/>
    </xf>
    <xf numFmtId="0" fontId="18" fillId="17" borderId="13" xfId="5" applyNumberFormat="1" applyFont="1" applyFill="1" applyBorder="1" applyAlignment="1">
      <alignment horizontal="center" vertical="center"/>
    </xf>
    <xf numFmtId="169" fontId="17" fillId="17" borderId="15" xfId="1" applyNumberFormat="1" applyFont="1" applyFill="1" applyBorder="1" applyAlignment="1">
      <alignment horizontal="center" vertical="center" wrapText="1"/>
    </xf>
    <xf numFmtId="169" fontId="17" fillId="17" borderId="19" xfId="1" applyNumberFormat="1" applyFont="1" applyFill="1" applyBorder="1" applyAlignment="1">
      <alignment horizontal="center" vertical="center" wrapText="1"/>
    </xf>
    <xf numFmtId="175" fontId="17" fillId="17" borderId="15" xfId="0" applyNumberFormat="1" applyFont="1" applyFill="1" applyBorder="1" applyAlignment="1">
      <alignment horizontal="center" vertical="center" wrapText="1"/>
    </xf>
    <xf numFmtId="175" fontId="17" fillId="17" borderId="19" xfId="0" applyNumberFormat="1" applyFont="1" applyFill="1" applyBorder="1" applyAlignment="1">
      <alignment horizontal="center" vertical="center" wrapText="1"/>
    </xf>
    <xf numFmtId="0" fontId="17" fillId="17" borderId="15" xfId="0" applyFont="1" applyFill="1" applyBorder="1" applyAlignment="1">
      <alignment horizontal="center" vertical="center" wrapText="1"/>
    </xf>
    <xf numFmtId="0" fontId="17" fillId="17" borderId="19" xfId="0" applyFont="1" applyFill="1" applyBorder="1" applyAlignment="1">
      <alignment horizontal="center" vertical="center" wrapText="1"/>
    </xf>
    <xf numFmtId="168" fontId="18" fillId="17" borderId="15" xfId="0" applyNumberFormat="1" applyFont="1" applyFill="1" applyBorder="1" applyAlignment="1">
      <alignment horizontal="center" vertical="center" wrapText="1"/>
    </xf>
    <xf numFmtId="168" fontId="18" fillId="17" borderId="19" xfId="0" applyNumberFormat="1" applyFont="1" applyFill="1" applyBorder="1" applyAlignment="1">
      <alignment horizontal="center" vertical="center" wrapText="1"/>
    </xf>
    <xf numFmtId="168" fontId="17" fillId="17" borderId="15" xfId="0" applyNumberFormat="1" applyFont="1" applyFill="1" applyBorder="1" applyAlignment="1">
      <alignment horizontal="center" vertical="center" wrapText="1"/>
    </xf>
    <xf numFmtId="168" fontId="17" fillId="17" borderId="19" xfId="0" applyNumberFormat="1" applyFont="1" applyFill="1" applyBorder="1" applyAlignment="1">
      <alignment horizontal="center" vertical="center" wrapText="1"/>
    </xf>
    <xf numFmtId="168" fontId="17" fillId="17" borderId="15" xfId="0" applyNumberFormat="1" applyFont="1" applyFill="1" applyBorder="1" applyAlignment="1">
      <alignment horizontal="right" vertical="center" wrapText="1"/>
    </xf>
    <xf numFmtId="168" fontId="17" fillId="17" borderId="19" xfId="0" applyNumberFormat="1" applyFont="1" applyFill="1" applyBorder="1" applyAlignment="1">
      <alignment horizontal="right" vertical="center" wrapText="1"/>
    </xf>
    <xf numFmtId="169" fontId="17" fillId="17" borderId="24" xfId="1" applyNumberFormat="1" applyFont="1" applyFill="1" applyBorder="1" applyAlignment="1">
      <alignment horizontal="center" vertical="center" wrapText="1"/>
    </xf>
    <xf numFmtId="0" fontId="18" fillId="17" borderId="13" xfId="0" applyFont="1" applyFill="1" applyBorder="1" applyAlignment="1">
      <alignment horizontal="center" vertical="center" wrapText="1"/>
    </xf>
    <xf numFmtId="0" fontId="18" fillId="17" borderId="17" xfId="0" applyFont="1" applyFill="1" applyBorder="1" applyAlignment="1">
      <alignment horizontal="center" vertical="center" wrapText="1"/>
    </xf>
    <xf numFmtId="0" fontId="18" fillId="17" borderId="22" xfId="0" applyFont="1" applyFill="1" applyBorder="1" applyAlignment="1">
      <alignment horizontal="center" vertical="center" wrapText="1"/>
    </xf>
    <xf numFmtId="0" fontId="18" fillId="17" borderId="15" xfId="0" applyFont="1" applyFill="1" applyBorder="1" applyAlignment="1">
      <alignment horizontal="center" vertical="center" wrapText="1"/>
    </xf>
    <xf numFmtId="0" fontId="18" fillId="17" borderId="19" xfId="0" applyFont="1" applyFill="1" applyBorder="1" applyAlignment="1">
      <alignment horizontal="center" vertical="center" wrapText="1"/>
    </xf>
    <xf numFmtId="0" fontId="18" fillId="17" borderId="24" xfId="0" applyFont="1" applyFill="1" applyBorder="1" applyAlignment="1">
      <alignment horizontal="center" vertical="center" wrapText="1"/>
    </xf>
    <xf numFmtId="167" fontId="17" fillId="17" borderId="15" xfId="0" applyNumberFormat="1" applyFont="1" applyFill="1" applyBorder="1" applyAlignment="1">
      <alignment horizontal="center" vertical="center" wrapText="1"/>
    </xf>
    <xf numFmtId="0" fontId="18" fillId="13" borderId="36" xfId="0" applyFont="1" applyFill="1" applyBorder="1" applyAlignment="1">
      <alignment horizontal="center" vertical="center"/>
    </xf>
    <xf numFmtId="0" fontId="18" fillId="13" borderId="41" xfId="0" applyFont="1" applyFill="1" applyBorder="1" applyAlignment="1">
      <alignment horizontal="center" vertical="center"/>
    </xf>
    <xf numFmtId="0" fontId="18" fillId="13" borderId="48" xfId="0" applyFont="1" applyFill="1" applyBorder="1" applyAlignment="1">
      <alignment horizontal="center" vertical="center"/>
    </xf>
    <xf numFmtId="0" fontId="18" fillId="13" borderId="37" xfId="0" applyFont="1" applyFill="1" applyBorder="1" applyAlignment="1">
      <alignment horizontal="center" vertical="center" wrapText="1"/>
    </xf>
    <xf numFmtId="0" fontId="18" fillId="13" borderId="42" xfId="0" applyFont="1" applyFill="1" applyBorder="1" applyAlignment="1">
      <alignment horizontal="center" vertical="center" wrapText="1"/>
    </xf>
    <xf numFmtId="0" fontId="18" fillId="13" borderId="38" xfId="0" applyFont="1" applyFill="1" applyBorder="1" applyAlignment="1">
      <alignment horizontal="center" vertical="center" wrapText="1"/>
    </xf>
    <xf numFmtId="0" fontId="18" fillId="13" borderId="43" xfId="0" applyFont="1" applyFill="1" applyBorder="1" applyAlignment="1">
      <alignment horizontal="center" vertical="center" wrapText="1"/>
    </xf>
    <xf numFmtId="167" fontId="18" fillId="13" borderId="38" xfId="0" applyNumberFormat="1" applyFont="1" applyFill="1" applyBorder="1" applyAlignment="1">
      <alignment horizontal="center" vertical="center" wrapText="1"/>
    </xf>
    <xf numFmtId="167" fontId="18" fillId="13" borderId="43" xfId="0" applyNumberFormat="1" applyFont="1" applyFill="1" applyBorder="1" applyAlignment="1">
      <alignment horizontal="center" vertical="center" wrapText="1"/>
    </xf>
    <xf numFmtId="14" fontId="18" fillId="13" borderId="38" xfId="0" applyNumberFormat="1" applyFont="1" applyFill="1" applyBorder="1" applyAlignment="1">
      <alignment horizontal="center" vertical="center"/>
    </xf>
    <xf numFmtId="14" fontId="18" fillId="13" borderId="43" xfId="0" applyNumberFormat="1" applyFont="1" applyFill="1" applyBorder="1" applyAlignment="1">
      <alignment horizontal="center" vertical="center"/>
    </xf>
    <xf numFmtId="14" fontId="18" fillId="13" borderId="38" xfId="0" applyNumberFormat="1" applyFont="1" applyFill="1" applyBorder="1" applyAlignment="1">
      <alignment horizontal="center" vertical="center" wrapText="1"/>
    </xf>
    <xf numFmtId="14" fontId="18" fillId="13" borderId="43" xfId="0" applyNumberFormat="1" applyFont="1" applyFill="1" applyBorder="1" applyAlignment="1">
      <alignment horizontal="center" vertical="center" wrapText="1"/>
    </xf>
    <xf numFmtId="0" fontId="18" fillId="5" borderId="26" xfId="0" applyFont="1" applyFill="1" applyBorder="1" applyAlignment="1">
      <alignment horizontal="center" vertical="center"/>
    </xf>
    <xf numFmtId="164" fontId="18" fillId="13" borderId="36" xfId="1" applyFont="1" applyFill="1" applyBorder="1" applyAlignment="1">
      <alignment horizontal="center" vertical="center" wrapText="1"/>
    </xf>
    <xf numFmtId="164" fontId="18" fillId="13" borderId="48" xfId="1" applyFont="1" applyFill="1" applyBorder="1" applyAlignment="1">
      <alignment horizontal="center" vertical="center" wrapText="1"/>
    </xf>
    <xf numFmtId="14" fontId="18" fillId="13" borderId="18" xfId="0" applyNumberFormat="1" applyFont="1" applyFill="1" applyBorder="1" applyAlignment="1">
      <alignment horizontal="center" vertical="center" wrapText="1"/>
    </xf>
    <xf numFmtId="14" fontId="18" fillId="13" borderId="47" xfId="0" applyNumberFormat="1" applyFont="1" applyFill="1" applyBorder="1" applyAlignment="1">
      <alignment horizontal="center" vertical="center" wrapText="1"/>
    </xf>
    <xf numFmtId="14" fontId="18" fillId="13" borderId="40" xfId="0" applyNumberFormat="1" applyFont="1" applyFill="1" applyBorder="1" applyAlignment="1">
      <alignment horizontal="center" vertical="center" wrapText="1"/>
    </xf>
    <xf numFmtId="14" fontId="18" fillId="13" borderId="44" xfId="0" applyNumberFormat="1" applyFont="1" applyFill="1" applyBorder="1" applyAlignment="1">
      <alignment horizontal="center" vertical="center" wrapText="1"/>
    </xf>
    <xf numFmtId="0" fontId="18" fillId="13" borderId="37" xfId="1" applyNumberFormat="1" applyFont="1" applyFill="1" applyBorder="1" applyAlignment="1">
      <alignment horizontal="center" vertical="center" wrapText="1"/>
    </xf>
    <xf numFmtId="0" fontId="18" fillId="13" borderId="42" xfId="1" applyNumberFormat="1" applyFont="1" applyFill="1" applyBorder="1" applyAlignment="1">
      <alignment horizontal="center" vertical="center" wrapText="1"/>
    </xf>
    <xf numFmtId="164" fontId="18" fillId="13" borderId="38" xfId="1" applyFont="1" applyFill="1" applyBorder="1" applyAlignment="1">
      <alignment horizontal="center" vertical="center" wrapText="1"/>
    </xf>
    <xf numFmtId="164" fontId="18" fillId="13" borderId="43" xfId="1" applyFont="1" applyFill="1" applyBorder="1" applyAlignment="1">
      <alignment horizontal="center" vertical="center" wrapText="1"/>
    </xf>
    <xf numFmtId="0" fontId="18" fillId="13" borderId="33" xfId="0" applyFont="1" applyFill="1" applyBorder="1" applyAlignment="1">
      <alignment horizontal="center" vertical="center"/>
    </xf>
    <xf numFmtId="0" fontId="18" fillId="13" borderId="34" xfId="0" applyFont="1" applyFill="1" applyBorder="1" applyAlignment="1">
      <alignment horizontal="center" vertical="center"/>
    </xf>
    <xf numFmtId="0" fontId="18" fillId="13" borderId="35" xfId="0" applyFont="1" applyFill="1" applyBorder="1" applyAlignment="1">
      <alignment horizontal="center" vertical="center"/>
    </xf>
    <xf numFmtId="0" fontId="18" fillId="13" borderId="39" xfId="0" applyFont="1" applyFill="1" applyBorder="1" applyAlignment="1">
      <alignment horizontal="center" vertical="center" wrapText="1"/>
    </xf>
    <xf numFmtId="0" fontId="18" fillId="13" borderId="44" xfId="0" applyFont="1" applyFill="1" applyBorder="1" applyAlignment="1">
      <alignment horizontal="center" vertical="center" wrapText="1"/>
    </xf>
    <xf numFmtId="0" fontId="18" fillId="13" borderId="14" xfId="0" applyFont="1" applyFill="1" applyBorder="1" applyAlignment="1">
      <alignment horizontal="center" vertical="center" wrapText="1"/>
    </xf>
    <xf numFmtId="0" fontId="18" fillId="13" borderId="45" xfId="0" applyFont="1" applyFill="1" applyBorder="1" applyAlignment="1">
      <alignment horizontal="center" vertical="center" wrapText="1"/>
    </xf>
    <xf numFmtId="14" fontId="18" fillId="13" borderId="37" xfId="0" applyNumberFormat="1" applyFont="1" applyFill="1" applyBorder="1" applyAlignment="1">
      <alignment horizontal="center" vertical="center" wrapText="1"/>
    </xf>
    <xf numFmtId="14" fontId="18" fillId="13" borderId="42" xfId="0" applyNumberFormat="1" applyFont="1" applyFill="1" applyBorder="1" applyAlignment="1">
      <alignment horizontal="center" vertical="center" wrapText="1"/>
    </xf>
    <xf numFmtId="0" fontId="18" fillId="13" borderId="38" xfId="0" applyFont="1" applyFill="1" applyBorder="1" applyAlignment="1">
      <alignment horizontal="center" vertical="center"/>
    </xf>
    <xf numFmtId="0" fontId="18" fillId="13" borderId="43" xfId="0" applyFont="1" applyFill="1" applyBorder="1" applyAlignment="1">
      <alignment horizontal="center" vertical="center"/>
    </xf>
    <xf numFmtId="0" fontId="17" fillId="13" borderId="38" xfId="0" applyFont="1" applyFill="1" applyBorder="1" applyAlignment="1">
      <alignment horizontal="center" vertical="center" wrapText="1"/>
    </xf>
    <xf numFmtId="0" fontId="17" fillId="13" borderId="43" xfId="0" applyFont="1" applyFill="1" applyBorder="1" applyAlignment="1">
      <alignment horizontal="center" vertical="center" wrapText="1"/>
    </xf>
    <xf numFmtId="0" fontId="17" fillId="13" borderId="38" xfId="0" applyFont="1" applyFill="1" applyBorder="1" applyAlignment="1">
      <alignment horizontal="center" vertical="center"/>
    </xf>
    <xf numFmtId="0" fontId="17" fillId="13" borderId="43" xfId="0" applyFont="1" applyFill="1" applyBorder="1" applyAlignment="1">
      <alignment horizontal="center" vertical="center"/>
    </xf>
    <xf numFmtId="169" fontId="17" fillId="22" borderId="39" xfId="1" applyNumberFormat="1" applyFont="1" applyFill="1" applyBorder="1" applyAlignment="1">
      <alignment horizontal="center" vertical="center" wrapText="1"/>
    </xf>
    <xf numFmtId="169" fontId="17" fillId="22" borderId="40" xfId="1" applyNumberFormat="1" applyFont="1" applyFill="1" applyBorder="1" applyAlignment="1">
      <alignment horizontal="center" vertical="center" wrapText="1"/>
    </xf>
    <xf numFmtId="175" fontId="17" fillId="22" borderId="1" xfId="0" applyNumberFormat="1" applyFont="1" applyFill="1" applyBorder="1" applyAlignment="1">
      <alignment horizontal="center" vertical="center" wrapText="1"/>
    </xf>
    <xf numFmtId="175" fontId="17" fillId="22" borderId="3" xfId="0" applyNumberFormat="1" applyFont="1" applyFill="1" applyBorder="1" applyAlignment="1">
      <alignment horizontal="center" vertical="center" wrapText="1"/>
    </xf>
    <xf numFmtId="0" fontId="17" fillId="22" borderId="25" xfId="0" applyFont="1" applyFill="1" applyBorder="1" applyAlignment="1">
      <alignment horizontal="center" vertical="center" wrapText="1"/>
    </xf>
    <xf numFmtId="0" fontId="17" fillId="22" borderId="26" xfId="0" applyFont="1" applyFill="1" applyBorder="1" applyAlignment="1">
      <alignment horizontal="center" vertical="center" wrapText="1"/>
    </xf>
    <xf numFmtId="168" fontId="18" fillId="22" borderId="24" xfId="0" applyNumberFormat="1" applyFont="1" applyFill="1" applyBorder="1" applyAlignment="1">
      <alignment horizontal="center" vertical="center" wrapText="1"/>
    </xf>
    <xf numFmtId="168" fontId="18" fillId="22" borderId="26" xfId="0" applyNumberFormat="1" applyFont="1" applyFill="1" applyBorder="1" applyAlignment="1">
      <alignment horizontal="center" vertical="center" wrapText="1"/>
    </xf>
    <xf numFmtId="168" fontId="17" fillId="22" borderId="25" xfId="0" applyNumberFormat="1" applyFont="1" applyFill="1" applyBorder="1" applyAlignment="1">
      <alignment horizontal="center" vertical="center" wrapText="1"/>
    </xf>
    <xf numFmtId="168" fontId="17" fillId="22" borderId="26" xfId="0" applyNumberFormat="1" applyFont="1" applyFill="1" applyBorder="1" applyAlignment="1">
      <alignment horizontal="center" vertical="center" wrapText="1"/>
    </xf>
    <xf numFmtId="168" fontId="17" fillId="22" borderId="25" xfId="0" applyNumberFormat="1" applyFont="1" applyFill="1" applyBorder="1" applyAlignment="1">
      <alignment horizontal="right" vertical="center" wrapText="1"/>
    </xf>
    <xf numFmtId="168" fontId="17" fillId="22" borderId="26" xfId="0" applyNumberFormat="1" applyFont="1" applyFill="1" applyBorder="1" applyAlignment="1">
      <alignment horizontal="right" vertical="center" wrapText="1"/>
    </xf>
    <xf numFmtId="9" fontId="17" fillId="22" borderId="40" xfId="0" applyNumberFormat="1" applyFont="1" applyFill="1" applyBorder="1" applyAlignment="1">
      <alignment horizontal="right" vertical="center" wrapText="1"/>
    </xf>
    <xf numFmtId="9" fontId="17" fillId="22" borderId="29" xfId="0" applyNumberFormat="1" applyFont="1" applyFill="1" applyBorder="1" applyAlignment="1">
      <alignment horizontal="right" vertical="center" wrapText="1"/>
    </xf>
    <xf numFmtId="0" fontId="18" fillId="22" borderId="22" xfId="5" applyNumberFormat="1" applyFont="1" applyFill="1" applyBorder="1" applyAlignment="1">
      <alignment horizontal="center" vertical="center"/>
    </xf>
    <xf numFmtId="0" fontId="18" fillId="22" borderId="55" xfId="5" applyNumberFormat="1" applyFont="1" applyFill="1" applyBorder="1" applyAlignment="1">
      <alignment horizontal="center" vertical="center"/>
    </xf>
    <xf numFmtId="0" fontId="17" fillId="22" borderId="38" xfId="0" applyFont="1" applyFill="1" applyBorder="1" applyAlignment="1">
      <alignment horizontal="center" vertical="center" wrapText="1"/>
    </xf>
    <xf numFmtId="168" fontId="18" fillId="22" borderId="38" xfId="0" applyNumberFormat="1" applyFont="1" applyFill="1" applyBorder="1" applyAlignment="1">
      <alignment horizontal="center" vertical="center" wrapText="1"/>
    </xf>
    <xf numFmtId="168" fontId="17" fillId="22" borderId="38" xfId="0" applyNumberFormat="1" applyFont="1" applyFill="1" applyBorder="1" applyAlignment="1">
      <alignment horizontal="center" vertical="center" wrapText="1"/>
    </xf>
    <xf numFmtId="168" fontId="17" fillId="22" borderId="38" xfId="0" applyNumberFormat="1" applyFont="1" applyFill="1" applyBorder="1" applyAlignment="1">
      <alignment horizontal="right" vertical="center" wrapText="1"/>
    </xf>
    <xf numFmtId="9" fontId="17" fillId="22" borderId="39" xfId="0" applyNumberFormat="1" applyFont="1" applyFill="1" applyBorder="1" applyAlignment="1">
      <alignment horizontal="right" vertical="center" wrapText="1"/>
    </xf>
    <xf numFmtId="0" fontId="18" fillId="7" borderId="0" xfId="0" applyFont="1" applyFill="1" applyAlignment="1">
      <alignment horizontal="center" vertical="center"/>
    </xf>
    <xf numFmtId="0" fontId="18" fillId="7" borderId="1" xfId="0" applyFont="1" applyFill="1" applyBorder="1" applyAlignment="1">
      <alignment horizontal="center" vertical="center"/>
    </xf>
    <xf numFmtId="170" fontId="18" fillId="7" borderId="25" xfId="5" applyNumberFormat="1" applyFont="1" applyFill="1" applyBorder="1" applyAlignment="1">
      <alignment horizontal="right" vertical="center"/>
    </xf>
    <xf numFmtId="0" fontId="18" fillId="7" borderId="25" xfId="5" applyNumberFormat="1" applyFont="1" applyFill="1" applyBorder="1" applyAlignment="1">
      <alignment horizontal="right" vertical="center"/>
    </xf>
    <xf numFmtId="0" fontId="18" fillId="8" borderId="62" xfId="0" applyFont="1" applyFill="1" applyBorder="1" applyAlignment="1">
      <alignment horizontal="center" vertical="center"/>
    </xf>
    <xf numFmtId="0" fontId="18" fillId="8" borderId="2" xfId="0" applyFont="1" applyFill="1" applyBorder="1" applyAlignment="1">
      <alignment horizontal="center" vertical="center"/>
    </xf>
    <xf numFmtId="0" fontId="18" fillId="8" borderId="3" xfId="0" applyFont="1" applyFill="1" applyBorder="1" applyAlignment="1">
      <alignment horizontal="center" vertical="center"/>
    </xf>
    <xf numFmtId="175" fontId="17" fillId="22" borderId="38" xfId="0" applyNumberFormat="1" applyFont="1" applyFill="1" applyBorder="1" applyAlignment="1">
      <alignment horizontal="center" vertical="center" wrapText="1"/>
    </xf>
    <xf numFmtId="175" fontId="17" fillId="22" borderId="26" xfId="0" applyNumberFormat="1" applyFont="1" applyFill="1" applyBorder="1" applyAlignment="1">
      <alignment horizontal="center" vertical="center" wrapText="1"/>
    </xf>
    <xf numFmtId="169" fontId="17" fillId="22" borderId="56" xfId="1" applyNumberFormat="1" applyFont="1" applyFill="1" applyBorder="1" applyAlignment="1">
      <alignment horizontal="center" vertical="center" wrapText="1"/>
    </xf>
    <xf numFmtId="169" fontId="17" fillId="22" borderId="29" xfId="1" applyNumberFormat="1" applyFont="1" applyFill="1" applyBorder="1" applyAlignment="1">
      <alignment horizontal="center" vertical="center" wrapText="1"/>
    </xf>
    <xf numFmtId="0" fontId="18" fillId="22" borderId="37" xfId="5" applyNumberFormat="1" applyFont="1" applyFill="1" applyBorder="1" applyAlignment="1">
      <alignment horizontal="center" vertical="center"/>
    </xf>
    <xf numFmtId="0" fontId="18" fillId="8" borderId="133" xfId="0" applyFont="1" applyFill="1" applyBorder="1" applyAlignment="1">
      <alignment horizontal="center" vertical="center"/>
    </xf>
    <xf numFmtId="0" fontId="18" fillId="8" borderId="134" xfId="0" applyFont="1" applyFill="1" applyBorder="1" applyAlignment="1">
      <alignment horizontal="center" vertical="center"/>
    </xf>
    <xf numFmtId="0" fontId="18" fillId="8" borderId="129" xfId="0" applyFont="1" applyFill="1" applyBorder="1" applyAlignment="1">
      <alignment horizontal="center" vertical="center"/>
    </xf>
    <xf numFmtId="14" fontId="18" fillId="9" borderId="61" xfId="0" applyNumberFormat="1" applyFont="1" applyFill="1" applyBorder="1" applyAlignment="1">
      <alignment horizontal="center" vertical="center"/>
    </xf>
    <xf numFmtId="14" fontId="18" fillId="9" borderId="0" xfId="0" applyNumberFormat="1" applyFont="1" applyFill="1" applyAlignment="1">
      <alignment horizontal="center" vertical="center"/>
    </xf>
    <xf numFmtId="14" fontId="18" fillId="9" borderId="1" xfId="0" applyNumberFormat="1" applyFont="1" applyFill="1" applyBorder="1" applyAlignment="1">
      <alignment horizontal="center" vertical="center"/>
    </xf>
    <xf numFmtId="168" fontId="18" fillId="7" borderId="25" xfId="1" applyNumberFormat="1" applyFont="1" applyFill="1" applyBorder="1" applyAlignment="1">
      <alignment horizontal="center" vertical="center"/>
    </xf>
    <xf numFmtId="168" fontId="17" fillId="7" borderId="25" xfId="1" applyNumberFormat="1" applyFont="1" applyFill="1" applyBorder="1" applyAlignment="1">
      <alignment horizontal="right" vertical="center"/>
    </xf>
    <xf numFmtId="9" fontId="17" fillId="7" borderId="28" xfId="1" applyNumberFormat="1" applyFont="1" applyFill="1" applyBorder="1" applyAlignment="1">
      <alignment horizontal="right" vertical="center"/>
    </xf>
    <xf numFmtId="0" fontId="18" fillId="7" borderId="61" xfId="5" applyNumberFormat="1" applyFont="1" applyFill="1" applyBorder="1" applyAlignment="1">
      <alignment horizontal="center" vertical="center"/>
    </xf>
    <xf numFmtId="167" fontId="17" fillId="22" borderId="150" xfId="0" applyNumberFormat="1" applyFont="1" applyFill="1" applyBorder="1" applyAlignment="1">
      <alignment horizontal="center" vertical="center" wrapText="1"/>
    </xf>
    <xf numFmtId="167" fontId="17" fillId="22" borderId="151" xfId="0" applyNumberFormat="1" applyFont="1" applyFill="1" applyBorder="1" applyAlignment="1">
      <alignment horizontal="center" vertical="center" wrapText="1"/>
    </xf>
    <xf numFmtId="0" fontId="18" fillId="17" borderId="55" xfId="0" applyFont="1" applyFill="1" applyBorder="1" applyAlignment="1">
      <alignment horizontal="center" vertical="center" wrapText="1"/>
    </xf>
    <xf numFmtId="0" fontId="18" fillId="17" borderId="58" xfId="0" applyFont="1" applyFill="1" applyBorder="1" applyAlignment="1">
      <alignment horizontal="center" vertical="center" wrapText="1"/>
    </xf>
    <xf numFmtId="0" fontId="18" fillId="17" borderId="26" xfId="0" applyFont="1" applyFill="1" applyBorder="1" applyAlignment="1">
      <alignment horizontal="center" vertical="center" wrapText="1"/>
    </xf>
    <xf numFmtId="0" fontId="18" fillId="17" borderId="46" xfId="0" applyFont="1" applyFill="1" applyBorder="1" applyAlignment="1">
      <alignment horizontal="center" vertical="center" wrapText="1"/>
    </xf>
    <xf numFmtId="0" fontId="18" fillId="17" borderId="29" xfId="0" applyFont="1" applyFill="1" applyBorder="1" applyAlignment="1">
      <alignment horizontal="center" vertical="center" wrapText="1"/>
    </xf>
    <xf numFmtId="0" fontId="18" fillId="17" borderId="20" xfId="0" applyFont="1" applyFill="1" applyBorder="1" applyAlignment="1">
      <alignment horizontal="center" vertical="center" wrapText="1"/>
    </xf>
    <xf numFmtId="0" fontId="18" fillId="17" borderId="57" xfId="0" applyFont="1" applyFill="1" applyBorder="1" applyAlignment="1">
      <alignment horizontal="center" vertical="center" wrapText="1"/>
    </xf>
    <xf numFmtId="175" fontId="17" fillId="17" borderId="21" xfId="0" applyNumberFormat="1" applyFont="1" applyFill="1" applyBorder="1" applyAlignment="1">
      <alignment horizontal="center" vertical="center" wrapText="1"/>
    </xf>
    <xf numFmtId="167" fontId="17" fillId="22" borderId="19" xfId="0" applyNumberFormat="1" applyFont="1" applyFill="1" applyBorder="1" applyAlignment="1">
      <alignment horizontal="center" vertical="center" wrapText="1"/>
    </xf>
    <xf numFmtId="167" fontId="17" fillId="22" borderId="24" xfId="0" applyNumberFormat="1" applyFont="1" applyFill="1" applyBorder="1" applyAlignment="1">
      <alignment horizontal="center" vertical="center" wrapText="1"/>
    </xf>
    <xf numFmtId="169" fontId="17" fillId="0" borderId="56" xfId="1" applyNumberFormat="1" applyFont="1" applyBorder="1" applyAlignment="1">
      <alignment horizontal="center" vertical="center" wrapText="1"/>
    </xf>
    <xf numFmtId="169" fontId="17" fillId="0" borderId="29" xfId="1" applyNumberFormat="1" applyFont="1" applyBorder="1" applyAlignment="1">
      <alignment horizontal="center" vertical="center" wrapText="1"/>
    </xf>
    <xf numFmtId="167" fontId="17" fillId="0" borderId="19" xfId="0" applyNumberFormat="1" applyFont="1" applyBorder="1" applyAlignment="1">
      <alignment horizontal="center" vertical="center" wrapText="1"/>
    </xf>
    <xf numFmtId="175" fontId="17" fillId="0" borderId="1" xfId="0" applyNumberFormat="1" applyFont="1" applyBorder="1" applyAlignment="1">
      <alignment horizontal="center" vertical="center" wrapText="1"/>
    </xf>
    <xf numFmtId="175" fontId="17" fillId="0" borderId="3" xfId="0" applyNumberFormat="1" applyFont="1" applyBorder="1" applyAlignment="1">
      <alignment horizontal="center" vertical="center" wrapText="1"/>
    </xf>
    <xf numFmtId="0" fontId="17" fillId="0" borderId="25" xfId="0" applyFont="1" applyBorder="1" applyAlignment="1">
      <alignment horizontal="center" vertical="center" wrapText="1"/>
    </xf>
    <xf numFmtId="0" fontId="17" fillId="0" borderId="26" xfId="0" applyFont="1" applyBorder="1" applyAlignment="1">
      <alignment horizontal="center" vertical="center" wrapText="1"/>
    </xf>
    <xf numFmtId="168" fontId="18" fillId="0" borderId="24" xfId="0" applyNumberFormat="1" applyFont="1" applyBorder="1" applyAlignment="1">
      <alignment horizontal="center" vertical="center" wrapText="1"/>
    </xf>
    <xf numFmtId="168" fontId="18" fillId="0" borderId="26" xfId="0" applyNumberFormat="1" applyFont="1" applyBorder="1" applyAlignment="1">
      <alignment horizontal="center" vertical="center" wrapText="1"/>
    </xf>
    <xf numFmtId="168" fontId="17" fillId="0" borderId="25" xfId="0" applyNumberFormat="1" applyFont="1" applyBorder="1" applyAlignment="1">
      <alignment horizontal="center" vertical="center" wrapText="1"/>
    </xf>
    <xf numFmtId="168" fontId="17" fillId="0" borderId="26" xfId="0" applyNumberFormat="1" applyFont="1" applyBorder="1" applyAlignment="1">
      <alignment horizontal="center" vertical="center" wrapText="1"/>
    </xf>
    <xf numFmtId="168" fontId="17" fillId="0" borderId="25" xfId="0" applyNumberFormat="1" applyFont="1" applyBorder="1" applyAlignment="1">
      <alignment horizontal="right" vertical="center" wrapText="1"/>
    </xf>
    <xf numFmtId="168" fontId="17" fillId="0" borderId="26" xfId="0" applyNumberFormat="1" applyFont="1" applyBorder="1" applyAlignment="1">
      <alignment horizontal="right" vertical="center" wrapText="1"/>
    </xf>
    <xf numFmtId="9" fontId="17" fillId="0" borderId="40" xfId="0" applyNumberFormat="1" applyFont="1" applyBorder="1" applyAlignment="1">
      <alignment horizontal="right" vertical="center" wrapText="1"/>
    </xf>
    <xf numFmtId="9" fontId="17" fillId="0" borderId="29" xfId="0" applyNumberFormat="1" applyFont="1" applyBorder="1" applyAlignment="1">
      <alignment horizontal="right" vertical="center" wrapText="1"/>
    </xf>
    <xf numFmtId="0" fontId="18" fillId="0" borderId="22" xfId="5" applyNumberFormat="1" applyFont="1" applyBorder="1" applyAlignment="1">
      <alignment horizontal="center" vertical="center"/>
    </xf>
    <xf numFmtId="0" fontId="18" fillId="0" borderId="55" xfId="5" applyNumberFormat="1" applyFont="1" applyBorder="1" applyAlignment="1">
      <alignment horizontal="center" vertical="center"/>
    </xf>
    <xf numFmtId="169" fontId="17" fillId="17" borderId="20" xfId="1" applyNumberFormat="1" applyFont="1" applyFill="1" applyBorder="1" applyAlignment="1">
      <alignment horizontal="center" vertical="center" wrapText="1"/>
    </xf>
    <xf numFmtId="0" fontId="18" fillId="17" borderId="123" xfId="5" applyNumberFormat="1" applyFont="1" applyFill="1" applyBorder="1" applyAlignment="1">
      <alignment horizontal="center" vertical="center"/>
    </xf>
    <xf numFmtId="0" fontId="18" fillId="17" borderId="62" xfId="5" applyNumberFormat="1" applyFont="1" applyFill="1" applyBorder="1" applyAlignment="1">
      <alignment horizontal="center" vertical="center"/>
    </xf>
    <xf numFmtId="167" fontId="17" fillId="6" borderId="1" xfId="0" applyNumberFormat="1" applyFont="1" applyFill="1" applyBorder="1" applyAlignment="1">
      <alignment horizontal="center" vertical="center" wrapText="1"/>
    </xf>
    <xf numFmtId="167" fontId="17" fillId="6" borderId="3" xfId="0" applyNumberFormat="1" applyFont="1" applyFill="1" applyBorder="1" applyAlignment="1">
      <alignment horizontal="center" vertical="center" wrapText="1"/>
    </xf>
    <xf numFmtId="175" fontId="17" fillId="6" borderId="38" xfId="0" applyNumberFormat="1" applyFont="1" applyFill="1" applyBorder="1" applyAlignment="1">
      <alignment horizontal="center" vertical="center" wrapText="1"/>
    </xf>
    <xf numFmtId="175" fontId="17" fillId="6" borderId="26" xfId="0" applyNumberFormat="1" applyFont="1" applyFill="1" applyBorder="1" applyAlignment="1">
      <alignment horizontal="center" vertical="center" wrapText="1"/>
    </xf>
    <xf numFmtId="0" fontId="17" fillId="6" borderId="38" xfId="0" applyFont="1" applyFill="1" applyBorder="1" applyAlignment="1">
      <alignment horizontal="center" vertical="center" wrapText="1"/>
    </xf>
    <xf numFmtId="0" fontId="17" fillId="6" borderId="26" xfId="0" applyFont="1" applyFill="1" applyBorder="1" applyAlignment="1">
      <alignment horizontal="center" vertical="center" wrapText="1"/>
    </xf>
    <xf numFmtId="168" fontId="18" fillId="12" borderId="38" xfId="0" applyNumberFormat="1" applyFont="1" applyFill="1" applyBorder="1" applyAlignment="1">
      <alignment horizontal="center" vertical="center" wrapText="1"/>
    </xf>
    <xf numFmtId="168" fontId="18" fillId="12" borderId="26" xfId="0" applyNumberFormat="1" applyFont="1" applyFill="1" applyBorder="1" applyAlignment="1">
      <alignment horizontal="center" vertical="center" wrapText="1"/>
    </xf>
    <xf numFmtId="168" fontId="17" fillId="6" borderId="38" xfId="0" applyNumberFormat="1" applyFont="1" applyFill="1" applyBorder="1" applyAlignment="1">
      <alignment horizontal="center" vertical="center" wrapText="1"/>
    </xf>
    <xf numFmtId="168" fontId="17" fillId="6" borderId="26" xfId="0" applyNumberFormat="1" applyFont="1" applyFill="1" applyBorder="1" applyAlignment="1">
      <alignment horizontal="center" vertical="center" wrapText="1"/>
    </xf>
    <xf numFmtId="168" fontId="17" fillId="6" borderId="38" xfId="0" applyNumberFormat="1" applyFont="1" applyFill="1" applyBorder="1" applyAlignment="1">
      <alignment horizontal="right" vertical="center" wrapText="1"/>
    </xf>
    <xf numFmtId="168" fontId="17" fillId="6" borderId="26" xfId="0" applyNumberFormat="1" applyFont="1" applyFill="1" applyBorder="1" applyAlignment="1">
      <alignment horizontal="right" vertical="center" wrapText="1"/>
    </xf>
    <xf numFmtId="9" fontId="17" fillId="6" borderId="39" xfId="0" applyNumberFormat="1" applyFont="1" applyFill="1" applyBorder="1" applyAlignment="1">
      <alignment horizontal="right" vertical="center" wrapText="1"/>
    </xf>
    <xf numFmtId="9" fontId="17" fillId="6" borderId="29" xfId="0" applyNumberFormat="1" applyFont="1" applyFill="1" applyBorder="1" applyAlignment="1">
      <alignment horizontal="right" vertical="center" wrapText="1"/>
    </xf>
    <xf numFmtId="0" fontId="18" fillId="6" borderId="37" xfId="5" applyNumberFormat="1" applyFont="1" applyFill="1" applyBorder="1" applyAlignment="1">
      <alignment horizontal="center" vertical="center"/>
    </xf>
    <xf numFmtId="0" fontId="18" fillId="6" borderId="55" xfId="5" applyNumberFormat="1" applyFont="1" applyFill="1" applyBorder="1" applyAlignment="1">
      <alignment horizontal="center" vertical="center"/>
    </xf>
    <xf numFmtId="168" fontId="17" fillId="17" borderId="148" xfId="0" applyNumberFormat="1" applyFont="1" applyFill="1" applyBorder="1" applyAlignment="1">
      <alignment horizontal="right" vertical="center" wrapText="1"/>
    </xf>
    <xf numFmtId="168" fontId="17" fillId="17" borderId="118" xfId="0" applyNumberFormat="1" applyFont="1" applyFill="1" applyBorder="1" applyAlignment="1">
      <alignment horizontal="right" vertical="center" wrapText="1"/>
    </xf>
    <xf numFmtId="9" fontId="17" fillId="17" borderId="146" xfId="0" applyNumberFormat="1" applyFont="1" applyFill="1" applyBorder="1" applyAlignment="1">
      <alignment horizontal="right" vertical="center" wrapText="1"/>
    </xf>
    <xf numFmtId="9" fontId="17" fillId="17" borderId="119" xfId="0" applyNumberFormat="1" applyFont="1" applyFill="1" applyBorder="1" applyAlignment="1">
      <alignment horizontal="right" vertical="center" wrapText="1"/>
    </xf>
    <xf numFmtId="0" fontId="18" fillId="17" borderId="147" xfId="5" applyNumberFormat="1" applyFont="1" applyFill="1" applyBorder="1" applyAlignment="1">
      <alignment horizontal="center" vertical="center"/>
    </xf>
    <xf numFmtId="0" fontId="18" fillId="17" borderId="120" xfId="5" applyNumberFormat="1" applyFont="1" applyFill="1" applyBorder="1" applyAlignment="1">
      <alignment horizontal="center" vertical="center"/>
    </xf>
    <xf numFmtId="175" fontId="17" fillId="17" borderId="148" xfId="0" applyNumberFormat="1" applyFont="1" applyFill="1" applyBorder="1" applyAlignment="1">
      <alignment horizontal="center" vertical="center" wrapText="1"/>
    </xf>
    <xf numFmtId="175" fontId="17" fillId="17" borderId="118" xfId="0" applyNumberFormat="1" applyFont="1" applyFill="1" applyBorder="1" applyAlignment="1">
      <alignment horizontal="center" vertical="center" wrapText="1"/>
    </xf>
    <xf numFmtId="0" fontId="17" fillId="17" borderId="148" xfId="0" applyFont="1" applyFill="1" applyBorder="1" applyAlignment="1">
      <alignment horizontal="center" vertical="center" wrapText="1"/>
    </xf>
    <xf numFmtId="0" fontId="17" fillId="17" borderId="118" xfId="0" applyFont="1" applyFill="1" applyBorder="1" applyAlignment="1">
      <alignment horizontal="center" vertical="center" wrapText="1"/>
    </xf>
    <xf numFmtId="168" fontId="18" fillId="17" borderId="148" xfId="0" applyNumberFormat="1" applyFont="1" applyFill="1" applyBorder="1" applyAlignment="1">
      <alignment horizontal="center" vertical="center" wrapText="1"/>
    </xf>
    <xf numFmtId="168" fontId="18" fillId="17" borderId="118" xfId="0" applyNumberFormat="1" applyFont="1" applyFill="1" applyBorder="1" applyAlignment="1">
      <alignment horizontal="center" vertical="center" wrapText="1"/>
    </xf>
    <xf numFmtId="169" fontId="17" fillId="17" borderId="146" xfId="1" applyNumberFormat="1" applyFont="1" applyFill="1" applyBorder="1" applyAlignment="1">
      <alignment horizontal="center" vertical="center" wrapText="1"/>
    </xf>
    <xf numFmtId="169" fontId="17" fillId="17" borderId="119" xfId="1" applyNumberFormat="1" applyFont="1" applyFill="1" applyBorder="1" applyAlignment="1">
      <alignment horizontal="center" vertical="center" wrapText="1"/>
    </xf>
    <xf numFmtId="167" fontId="17" fillId="17" borderId="149" xfId="0" applyNumberFormat="1" applyFont="1" applyFill="1" applyBorder="1" applyAlignment="1">
      <alignment horizontal="center" vertical="center" wrapText="1"/>
    </xf>
    <xf numFmtId="167" fontId="17" fillId="17" borderId="117" xfId="0" applyNumberFormat="1" applyFont="1" applyFill="1" applyBorder="1" applyAlignment="1">
      <alignment horizontal="center" vertical="center" wrapText="1"/>
    </xf>
    <xf numFmtId="0" fontId="18" fillId="17" borderId="114" xfId="0" applyFont="1" applyFill="1" applyBorder="1" applyAlignment="1">
      <alignment horizontal="center" vertical="center" wrapText="1"/>
    </xf>
    <xf numFmtId="0" fontId="18" fillId="17" borderId="115" xfId="0" applyFont="1" applyFill="1" applyBorder="1" applyAlignment="1">
      <alignment horizontal="center" vertical="center" wrapText="1"/>
    </xf>
    <xf numFmtId="0" fontId="18" fillId="17" borderId="116" xfId="0" applyFont="1" applyFill="1" applyBorder="1" applyAlignment="1">
      <alignment horizontal="center" vertical="center" wrapText="1"/>
    </xf>
    <xf numFmtId="167" fontId="17" fillId="6" borderId="14" xfId="0" applyNumberFormat="1" applyFont="1" applyFill="1" applyBorder="1" applyAlignment="1">
      <alignment horizontal="center" vertical="center" wrapText="1"/>
    </xf>
    <xf numFmtId="0" fontId="18" fillId="7" borderId="60" xfId="0" applyFont="1" applyFill="1" applyBorder="1" applyAlignment="1">
      <alignment horizontal="center" vertical="center"/>
    </xf>
    <xf numFmtId="0" fontId="18" fillId="7" borderId="45" xfId="0" applyFont="1" applyFill="1" applyBorder="1" applyAlignment="1">
      <alignment horizontal="center" vertical="center"/>
    </xf>
    <xf numFmtId="168" fontId="18" fillId="7" borderId="43" xfId="1" applyNumberFormat="1" applyFont="1" applyFill="1" applyBorder="1" applyAlignment="1">
      <alignment horizontal="center" vertical="center"/>
    </xf>
    <xf numFmtId="168" fontId="17" fillId="7" borderId="43" xfId="1" applyNumberFormat="1" applyFont="1" applyFill="1" applyBorder="1" applyAlignment="1">
      <alignment horizontal="right" vertical="center"/>
    </xf>
    <xf numFmtId="0" fontId="18" fillId="7" borderId="43" xfId="5" applyNumberFormat="1" applyFont="1" applyFill="1" applyBorder="1" applyAlignment="1">
      <alignment horizontal="right" vertical="center"/>
    </xf>
    <xf numFmtId="9" fontId="17" fillId="7" borderId="67" xfId="1" applyNumberFormat="1" applyFont="1" applyFill="1" applyBorder="1" applyAlignment="1">
      <alignment horizontal="right" vertical="center"/>
    </xf>
    <xf numFmtId="0" fontId="18" fillId="7" borderId="68" xfId="5" applyNumberFormat="1" applyFont="1" applyFill="1" applyBorder="1" applyAlignment="1">
      <alignment horizontal="center" vertical="center"/>
    </xf>
    <xf numFmtId="169" fontId="12" fillId="17" borderId="40" xfId="1" applyNumberFormat="1" applyFont="1" applyFill="1" applyBorder="1" applyAlignment="1">
      <alignment horizontal="center" vertical="center" wrapText="1"/>
    </xf>
    <xf numFmtId="169" fontId="12" fillId="17" borderId="29" xfId="1" applyNumberFormat="1" applyFont="1" applyFill="1" applyBorder="1" applyAlignment="1">
      <alignment horizontal="center" vertical="center" wrapText="1"/>
    </xf>
    <xf numFmtId="0" fontId="18" fillId="8" borderId="69" xfId="0" applyFont="1" applyFill="1" applyBorder="1" applyAlignment="1">
      <alignment horizontal="center" vertical="center"/>
    </xf>
    <xf numFmtId="0" fontId="18" fillId="8" borderId="70" xfId="0" applyFont="1" applyFill="1" applyBorder="1" applyAlignment="1">
      <alignment horizontal="center" vertical="center"/>
    </xf>
    <xf numFmtId="0" fontId="18" fillId="8" borderId="59" xfId="0" applyFont="1" applyFill="1" applyBorder="1" applyAlignment="1">
      <alignment horizontal="center" vertical="center"/>
    </xf>
    <xf numFmtId="169" fontId="17" fillId="6" borderId="40" xfId="1" applyNumberFormat="1" applyFont="1" applyFill="1" applyBorder="1" applyAlignment="1">
      <alignment horizontal="center" vertical="center" wrapText="1"/>
    </xf>
    <xf numFmtId="169" fontId="17" fillId="6" borderId="29" xfId="1" applyNumberFormat="1" applyFont="1" applyFill="1" applyBorder="1" applyAlignment="1">
      <alignment horizontal="center" vertical="center" wrapText="1"/>
    </xf>
    <xf numFmtId="0" fontId="18" fillId="0" borderId="37" xfId="0" applyFont="1" applyBorder="1" applyAlignment="1">
      <alignment horizontal="center" vertical="center" wrapText="1"/>
    </xf>
    <xf numFmtId="0" fontId="18" fillId="0" borderId="23" xfId="0" applyFont="1" applyBorder="1" applyAlignment="1">
      <alignment horizontal="center" vertical="center" wrapText="1"/>
    </xf>
    <xf numFmtId="0" fontId="18" fillId="0" borderId="42" xfId="0" applyFont="1" applyBorder="1" applyAlignment="1">
      <alignment horizontal="center" vertical="center" wrapText="1"/>
    </xf>
    <xf numFmtId="0" fontId="18" fillId="0" borderId="49" xfId="0" applyFont="1" applyBorder="1" applyAlignment="1">
      <alignment horizontal="center" vertical="center" wrapText="1"/>
    </xf>
    <xf numFmtId="0" fontId="18" fillId="0" borderId="53" xfId="0" applyFont="1" applyBorder="1" applyAlignment="1">
      <alignment horizontal="center" vertical="center" wrapText="1"/>
    </xf>
    <xf numFmtId="0" fontId="18" fillId="0" borderId="65" xfId="0" applyFont="1" applyBorder="1" applyAlignment="1">
      <alignment horizontal="center" vertical="center" wrapText="1"/>
    </xf>
    <xf numFmtId="0" fontId="18" fillId="0" borderId="50" xfId="0" applyFont="1" applyBorder="1" applyAlignment="1">
      <alignment horizontal="center" vertical="center" wrapText="1"/>
    </xf>
    <xf numFmtId="0" fontId="18" fillId="0" borderId="54" xfId="0" applyFont="1" applyBorder="1" applyAlignment="1">
      <alignment horizontal="center" vertical="center" wrapText="1"/>
    </xf>
    <xf numFmtId="0" fontId="18" fillId="0" borderId="66" xfId="0" applyFont="1" applyBorder="1" applyAlignment="1">
      <alignment horizontal="center" vertical="center" wrapText="1"/>
    </xf>
    <xf numFmtId="9" fontId="12" fillId="17" borderId="39" xfId="0" applyNumberFormat="1" applyFont="1" applyFill="1" applyBorder="1" applyAlignment="1">
      <alignment horizontal="right" vertical="center" wrapText="1"/>
    </xf>
    <xf numFmtId="9" fontId="12" fillId="17" borderId="29" xfId="0" applyNumberFormat="1" applyFont="1" applyFill="1" applyBorder="1" applyAlignment="1">
      <alignment horizontal="right" vertical="center" wrapText="1"/>
    </xf>
    <xf numFmtId="0" fontId="10" fillId="17" borderId="37" xfId="5" applyNumberFormat="1" applyFont="1" applyFill="1" applyBorder="1" applyAlignment="1">
      <alignment horizontal="center" vertical="center"/>
    </xf>
    <xf numFmtId="0" fontId="10" fillId="17" borderId="55" xfId="5" applyNumberFormat="1" applyFont="1" applyFill="1" applyBorder="1" applyAlignment="1">
      <alignment horizontal="center" vertical="center"/>
    </xf>
    <xf numFmtId="175" fontId="12" fillId="17" borderId="38" xfId="0" applyNumberFormat="1" applyFont="1" applyFill="1" applyBorder="1" applyAlignment="1">
      <alignment horizontal="center" vertical="center" wrapText="1"/>
    </xf>
    <xf numFmtId="175" fontId="12" fillId="17" borderId="26" xfId="0" applyNumberFormat="1" applyFont="1" applyFill="1" applyBorder="1" applyAlignment="1">
      <alignment horizontal="center" vertical="center" wrapText="1"/>
    </xf>
    <xf numFmtId="0" fontId="12" fillId="17" borderId="38" xfId="0" applyFont="1" applyFill="1" applyBorder="1" applyAlignment="1">
      <alignment horizontal="center" vertical="center" wrapText="1"/>
    </xf>
    <xf numFmtId="0" fontId="12" fillId="17" borderId="26" xfId="0" applyFont="1" applyFill="1" applyBorder="1" applyAlignment="1">
      <alignment horizontal="center" vertical="center" wrapText="1"/>
    </xf>
    <xf numFmtId="168" fontId="10" fillId="17" borderId="38" xfId="0" applyNumberFormat="1" applyFont="1" applyFill="1" applyBorder="1" applyAlignment="1">
      <alignment horizontal="center" vertical="center" wrapText="1"/>
    </xf>
    <xf numFmtId="168" fontId="10" fillId="17" borderId="26" xfId="0" applyNumberFormat="1" applyFont="1" applyFill="1" applyBorder="1" applyAlignment="1">
      <alignment horizontal="center" vertical="center" wrapText="1"/>
    </xf>
    <xf numFmtId="168" fontId="12" fillId="17" borderId="38" xfId="0" applyNumberFormat="1" applyFont="1" applyFill="1" applyBorder="1" applyAlignment="1">
      <alignment horizontal="center" vertical="center" wrapText="1"/>
    </xf>
    <xf numFmtId="168" fontId="12" fillId="17" borderId="26" xfId="0" applyNumberFormat="1" applyFont="1" applyFill="1" applyBorder="1" applyAlignment="1">
      <alignment horizontal="center" vertical="center" wrapText="1"/>
    </xf>
    <xf numFmtId="168" fontId="12" fillId="17" borderId="38" xfId="0" applyNumberFormat="1" applyFont="1" applyFill="1" applyBorder="1" applyAlignment="1">
      <alignment horizontal="right" vertical="center" wrapText="1"/>
    </xf>
    <xf numFmtId="168" fontId="12" fillId="17" borderId="26" xfId="0" applyNumberFormat="1" applyFont="1" applyFill="1" applyBorder="1" applyAlignment="1">
      <alignment horizontal="right" vertical="center" wrapText="1"/>
    </xf>
    <xf numFmtId="167" fontId="12" fillId="17" borderId="14" xfId="0" applyNumberFormat="1" applyFont="1" applyFill="1" applyBorder="1" applyAlignment="1">
      <alignment horizontal="center" vertical="center" wrapText="1"/>
    </xf>
    <xf numFmtId="167" fontId="12" fillId="17" borderId="3" xfId="0" applyNumberFormat="1" applyFont="1" applyFill="1" applyBorder="1" applyAlignment="1">
      <alignment horizontal="center" vertical="center" wrapText="1"/>
    </xf>
    <xf numFmtId="169" fontId="17" fillId="17" borderId="16" xfId="1" applyNumberFormat="1" applyFont="1" applyFill="1" applyBorder="1" applyAlignment="1">
      <alignment horizontal="center" vertical="center" wrapText="1"/>
    </xf>
    <xf numFmtId="0" fontId="17" fillId="0" borderId="132" xfId="0" applyFont="1" applyBorder="1" applyAlignment="1">
      <alignment horizontal="left" vertical="top" wrapText="1"/>
    </xf>
    <xf numFmtId="0" fontId="17" fillId="0" borderId="28" xfId="0" applyFont="1" applyBorder="1" applyAlignment="1">
      <alignment horizontal="left" vertical="top" wrapText="1"/>
    </xf>
    <xf numFmtId="0" fontId="17" fillId="0" borderId="67" xfId="0" applyFont="1" applyBorder="1" applyAlignment="1">
      <alignment horizontal="left" vertical="top" wrapText="1"/>
    </xf>
    <xf numFmtId="0" fontId="18" fillId="17" borderId="47" xfId="5" applyNumberFormat="1" applyFont="1" applyFill="1" applyBorder="1" applyAlignment="1">
      <alignment horizontal="right" vertical="center"/>
    </xf>
    <xf numFmtId="0" fontId="18" fillId="17" borderId="17" xfId="0" applyFont="1" applyFill="1" applyBorder="1" applyAlignment="1">
      <alignment horizontal="center" vertical="center"/>
    </xf>
    <xf numFmtId="0" fontId="18" fillId="17" borderId="58" xfId="0" applyFont="1" applyFill="1" applyBorder="1" applyAlignment="1">
      <alignment horizontal="center" vertical="center"/>
    </xf>
    <xf numFmtId="0" fontId="18" fillId="13" borderId="135" xfId="0" applyFont="1" applyFill="1" applyBorder="1" applyAlignment="1">
      <alignment horizontal="center" vertical="center" wrapText="1"/>
    </xf>
    <xf numFmtId="0" fontId="18" fillId="13" borderId="47" xfId="0" applyFont="1" applyFill="1" applyBorder="1" applyAlignment="1">
      <alignment horizontal="center" vertical="center" wrapText="1"/>
    </xf>
    <xf numFmtId="0" fontId="18" fillId="5" borderId="29" xfId="0" applyFont="1" applyFill="1" applyBorder="1" applyAlignment="1">
      <alignment horizontal="center" vertical="center"/>
    </xf>
    <xf numFmtId="14" fontId="18" fillId="13" borderId="14" xfId="0" applyNumberFormat="1" applyFont="1" applyFill="1" applyBorder="1" applyAlignment="1">
      <alignment horizontal="center" vertical="center" wrapText="1"/>
    </xf>
    <xf numFmtId="14" fontId="18" fillId="13" borderId="45" xfId="0" applyNumberFormat="1" applyFont="1" applyFill="1" applyBorder="1" applyAlignment="1">
      <alignment horizontal="center" vertical="center" wrapText="1"/>
    </xf>
    <xf numFmtId="0" fontId="18" fillId="13" borderId="28" xfId="0" applyFont="1" applyFill="1" applyBorder="1" applyAlignment="1">
      <alignment horizontal="center" vertical="center"/>
    </xf>
    <xf numFmtId="0" fontId="18" fillId="13" borderId="67" xfId="0" applyFont="1" applyFill="1" applyBorder="1" applyAlignment="1">
      <alignment horizontal="center" vertical="center"/>
    </xf>
    <xf numFmtId="0" fontId="18" fillId="5" borderId="15" xfId="0" applyFont="1" applyFill="1" applyBorder="1" applyAlignment="1">
      <alignment horizontal="center" vertical="center"/>
    </xf>
    <xf numFmtId="14" fontId="18" fillId="13" borderId="135" xfId="0" applyNumberFormat="1" applyFont="1" applyFill="1" applyBorder="1" applyAlignment="1">
      <alignment horizontal="center" vertical="center" wrapText="1"/>
    </xf>
    <xf numFmtId="14" fontId="18" fillId="13" borderId="39" xfId="0" applyNumberFormat="1" applyFont="1" applyFill="1" applyBorder="1" applyAlignment="1">
      <alignment horizontal="center" vertical="center" wrapText="1"/>
    </xf>
    <xf numFmtId="0" fontId="18" fillId="13" borderId="131" xfId="0" applyFont="1" applyFill="1" applyBorder="1" applyAlignment="1">
      <alignment horizontal="center" vertical="center"/>
    </xf>
    <xf numFmtId="169" fontId="17" fillId="6" borderId="39" xfId="1" applyNumberFormat="1" applyFont="1" applyFill="1" applyBorder="1" applyAlignment="1">
      <alignment horizontal="center" vertical="center" wrapText="1"/>
    </xf>
    <xf numFmtId="0" fontId="17" fillId="0" borderId="36" xfId="0" applyFont="1" applyBorder="1" applyAlignment="1">
      <alignment horizontal="left" vertical="top" wrapText="1"/>
    </xf>
    <xf numFmtId="0" fontId="17" fillId="0" borderId="41" xfId="0" applyFont="1" applyBorder="1" applyAlignment="1">
      <alignment horizontal="left" vertical="top" wrapText="1"/>
    </xf>
    <xf numFmtId="0" fontId="17" fillId="0" borderId="48" xfId="0" applyFont="1" applyBorder="1" applyAlignment="1">
      <alignment horizontal="left" vertical="top" wrapText="1"/>
    </xf>
    <xf numFmtId="168" fontId="17" fillId="17" borderId="148" xfId="0" applyNumberFormat="1" applyFont="1" applyFill="1" applyBorder="1" applyAlignment="1">
      <alignment horizontal="center" vertical="center" wrapText="1"/>
    </xf>
    <xf numFmtId="168" fontId="17" fillId="17" borderId="118" xfId="0" applyNumberFormat="1" applyFont="1" applyFill="1" applyBorder="1" applyAlignment="1">
      <alignment horizontal="center" vertical="center" wrapText="1"/>
    </xf>
    <xf numFmtId="0" fontId="42" fillId="6" borderId="15" xfId="8" applyFont="1" applyFill="1" applyBorder="1" applyAlignment="1">
      <alignment horizontal="center" vertical="top"/>
    </xf>
    <xf numFmtId="0" fontId="42" fillId="6" borderId="19" xfId="8" applyFont="1" applyFill="1" applyBorder="1" applyAlignment="1">
      <alignment horizontal="center" vertical="top"/>
    </xf>
    <xf numFmtId="0" fontId="42" fillId="6" borderId="24" xfId="8" applyFont="1" applyFill="1" applyBorder="1" applyAlignment="1">
      <alignment horizontal="center" vertical="top"/>
    </xf>
    <xf numFmtId="0" fontId="42" fillId="6" borderId="46" xfId="8" applyFont="1" applyFill="1" applyBorder="1" applyAlignment="1">
      <alignment horizontal="center" vertical="top"/>
    </xf>
    <xf numFmtId="0" fontId="42" fillId="0" borderId="38" xfId="8" applyFont="1" applyBorder="1" applyAlignment="1">
      <alignment horizontal="center" vertical="top"/>
    </xf>
    <xf numFmtId="0" fontId="42" fillId="0" borderId="25" xfId="8" applyFont="1" applyBorder="1" applyAlignment="1">
      <alignment horizontal="center" vertical="top"/>
    </xf>
    <xf numFmtId="0" fontId="42" fillId="0" borderId="43" xfId="8" applyFont="1" applyBorder="1" applyAlignment="1">
      <alignment horizontal="center" vertical="top"/>
    </xf>
    <xf numFmtId="175" fontId="42" fillId="6" borderId="15" xfId="8" applyNumberFormat="1" applyFont="1" applyFill="1" applyBorder="1" applyAlignment="1">
      <alignment horizontal="center" vertical="top"/>
    </xf>
    <xf numFmtId="175" fontId="42" fillId="6" borderId="19" xfId="8" applyNumberFormat="1" applyFont="1" applyFill="1" applyBorder="1" applyAlignment="1">
      <alignment horizontal="center" vertical="top"/>
    </xf>
    <xf numFmtId="175" fontId="42" fillId="6" borderId="24" xfId="8" applyNumberFormat="1" applyFont="1" applyFill="1" applyBorder="1" applyAlignment="1">
      <alignment horizontal="center" vertical="top"/>
    </xf>
    <xf numFmtId="175" fontId="42" fillId="6" borderId="46" xfId="8" applyNumberFormat="1" applyFont="1" applyFill="1" applyBorder="1" applyAlignment="1">
      <alignment horizontal="center" vertical="top"/>
    </xf>
    <xf numFmtId="16" fontId="42" fillId="0" borderId="15" xfId="8" applyNumberFormat="1" applyFont="1" applyBorder="1" applyAlignment="1">
      <alignment horizontal="left" vertical="top" wrapText="1"/>
    </xf>
    <xf numFmtId="0" fontId="42" fillId="0" borderId="19" xfId="8" applyFont="1" applyBorder="1" applyAlignment="1">
      <alignment horizontal="left" vertical="top"/>
    </xf>
    <xf numFmtId="0" fontId="42" fillId="0" borderId="24" xfId="8" applyFont="1" applyBorder="1" applyAlignment="1">
      <alignment horizontal="left" vertical="top"/>
    </xf>
    <xf numFmtId="0" fontId="42" fillId="0" borderId="46" xfId="8" applyFont="1" applyBorder="1" applyAlignment="1">
      <alignment horizontal="left" vertical="top"/>
    </xf>
    <xf numFmtId="0" fontId="42" fillId="0" borderId="15" xfId="8" applyFont="1" applyBorder="1" applyAlignment="1">
      <alignment horizontal="left" vertical="top" wrapText="1"/>
    </xf>
    <xf numFmtId="0" fontId="42" fillId="0" borderId="19" xfId="8" applyFont="1" applyBorder="1" applyAlignment="1">
      <alignment horizontal="left" vertical="top" wrapText="1"/>
    </xf>
    <xf numFmtId="0" fontId="42" fillId="0" borderId="24" xfId="8" applyFont="1" applyBorder="1" applyAlignment="1">
      <alignment horizontal="left" vertical="top" wrapText="1"/>
    </xf>
    <xf numFmtId="0" fontId="42" fillId="0" borderId="46" xfId="8" applyFont="1" applyBorder="1" applyAlignment="1">
      <alignment horizontal="left" vertical="top" wrapText="1"/>
    </xf>
    <xf numFmtId="0" fontId="42" fillId="0" borderId="16" xfId="8" applyFont="1" applyBorder="1" applyAlignment="1">
      <alignment horizontal="left" vertical="top" wrapText="1"/>
    </xf>
    <xf numFmtId="0" fontId="42" fillId="0" borderId="20" xfId="8" applyFont="1" applyBorder="1" applyAlignment="1">
      <alignment horizontal="left" vertical="top"/>
    </xf>
    <xf numFmtId="0" fontId="42" fillId="0" borderId="56" xfId="8" applyFont="1" applyBorder="1" applyAlignment="1">
      <alignment horizontal="left" vertical="top"/>
    </xf>
    <xf numFmtId="0" fontId="42" fillId="0" borderId="57" xfId="8" applyFont="1" applyBorder="1" applyAlignment="1">
      <alignment horizontal="left" vertical="top"/>
    </xf>
    <xf numFmtId="0" fontId="42" fillId="11" borderId="13" xfId="8" applyFont="1" applyFill="1" applyBorder="1" applyAlignment="1">
      <alignment horizontal="center" vertical="top"/>
    </xf>
    <xf numFmtId="0" fontId="42" fillId="11" borderId="17" xfId="8" applyFont="1" applyFill="1" applyBorder="1" applyAlignment="1">
      <alignment horizontal="center" vertical="top"/>
    </xf>
    <xf numFmtId="0" fontId="42" fillId="11" borderId="22" xfId="8" applyFont="1" applyFill="1" applyBorder="1" applyAlignment="1">
      <alignment horizontal="center" vertical="top"/>
    </xf>
    <xf numFmtId="0" fontId="42" fillId="11" borderId="58" xfId="8" applyFont="1" applyFill="1" applyBorder="1" applyAlignment="1">
      <alignment horizontal="center" vertical="top"/>
    </xf>
    <xf numFmtId="0" fontId="42" fillId="11" borderId="15" xfId="8" applyFont="1" applyFill="1" applyBorder="1" applyAlignment="1">
      <alignment horizontal="center" vertical="top"/>
    </xf>
    <xf numFmtId="0" fontId="42" fillId="11" borderId="19" xfId="8" applyFont="1" applyFill="1" applyBorder="1" applyAlignment="1">
      <alignment horizontal="center" vertical="top"/>
    </xf>
    <xf numFmtId="0" fontId="42" fillId="11" borderId="24" xfId="8" applyFont="1" applyFill="1" applyBorder="1" applyAlignment="1">
      <alignment horizontal="center" vertical="top"/>
    </xf>
    <xf numFmtId="0" fontId="42" fillId="11" borderId="46" xfId="8" applyFont="1" applyFill="1" applyBorder="1" applyAlignment="1">
      <alignment horizontal="center" vertical="top"/>
    </xf>
    <xf numFmtId="0" fontId="42" fillId="6" borderId="15" xfId="8" applyFont="1" applyFill="1" applyBorder="1" applyAlignment="1">
      <alignment horizontal="center" vertical="top" wrapText="1"/>
    </xf>
    <xf numFmtId="0" fontId="42" fillId="6" borderId="15" xfId="8" applyFont="1" applyFill="1" applyBorder="1" applyAlignment="1">
      <alignment horizontal="left" vertical="top" wrapText="1"/>
    </xf>
    <xf numFmtId="0" fontId="42" fillId="6" borderId="19" xfId="8" applyFont="1" applyFill="1" applyBorder="1" applyAlignment="1">
      <alignment horizontal="left" vertical="top" wrapText="1"/>
    </xf>
    <xf numFmtId="0" fontId="42" fillId="6" borderId="24" xfId="8" applyFont="1" applyFill="1" applyBorder="1" applyAlignment="1">
      <alignment horizontal="left" vertical="top" wrapText="1"/>
    </xf>
    <xf numFmtId="0" fontId="42" fillId="6" borderId="46" xfId="8" applyFont="1" applyFill="1" applyBorder="1" applyAlignment="1">
      <alignment horizontal="left" vertical="top" wrapText="1"/>
    </xf>
    <xf numFmtId="0" fontId="12" fillId="4" borderId="38" xfId="8" applyFont="1" applyFill="1" applyBorder="1" applyAlignment="1">
      <alignment horizontal="center" vertical="top"/>
    </xf>
    <xf numFmtId="0" fontId="12" fillId="4" borderId="25" xfId="8" applyFont="1" applyFill="1" applyBorder="1" applyAlignment="1">
      <alignment horizontal="center" vertical="top"/>
    </xf>
    <xf numFmtId="0" fontId="12" fillId="4" borderId="43" xfId="8" applyFont="1" applyFill="1" applyBorder="1" applyAlignment="1">
      <alignment horizontal="center" vertical="top"/>
    </xf>
    <xf numFmtId="0" fontId="12" fillId="6" borderId="15" xfId="8" applyFont="1" applyFill="1" applyBorder="1" applyAlignment="1">
      <alignment horizontal="center" vertical="top"/>
    </xf>
    <xf numFmtId="0" fontId="12" fillId="6" borderId="19" xfId="8" applyFont="1" applyFill="1" applyBorder="1" applyAlignment="1">
      <alignment horizontal="center" vertical="top"/>
    </xf>
    <xf numFmtId="0" fontId="12" fillId="6" borderId="46" xfId="8" applyFont="1" applyFill="1" applyBorder="1" applyAlignment="1">
      <alignment horizontal="center" vertical="top"/>
    </xf>
    <xf numFmtId="0" fontId="12" fillId="0" borderId="38" xfId="8" applyFont="1" applyBorder="1" applyAlignment="1">
      <alignment horizontal="center" vertical="top"/>
    </xf>
    <xf numFmtId="0" fontId="12" fillId="0" borderId="25" xfId="8" applyFont="1" applyBorder="1" applyAlignment="1">
      <alignment horizontal="center" vertical="top"/>
    </xf>
    <xf numFmtId="0" fontId="12" fillId="0" borderId="43" xfId="8" applyFont="1" applyBorder="1" applyAlignment="1">
      <alignment horizontal="center" vertical="top"/>
    </xf>
    <xf numFmtId="175" fontId="12" fillId="6" borderId="15" xfId="8" applyNumberFormat="1" applyFont="1" applyFill="1" applyBorder="1" applyAlignment="1">
      <alignment horizontal="center" vertical="top" wrapText="1"/>
    </xf>
    <xf numFmtId="175" fontId="12" fillId="6" borderId="19" xfId="8" applyNumberFormat="1" applyFont="1" applyFill="1" applyBorder="1" applyAlignment="1">
      <alignment horizontal="center" vertical="top"/>
    </xf>
    <xf numFmtId="175" fontId="12" fillId="6" borderId="46" xfId="8" applyNumberFormat="1" applyFont="1" applyFill="1" applyBorder="1" applyAlignment="1">
      <alignment horizontal="center" vertical="top"/>
    </xf>
    <xf numFmtId="0" fontId="12" fillId="0" borderId="15" xfId="8" applyFont="1" applyBorder="1" applyAlignment="1">
      <alignment horizontal="left" vertical="top" wrapText="1"/>
    </xf>
    <xf numFmtId="0" fontId="12" fillId="0" borderId="19" xfId="8" applyFont="1" applyBorder="1" applyAlignment="1">
      <alignment horizontal="left" vertical="top" wrapText="1"/>
    </xf>
    <xf numFmtId="0" fontId="12" fillId="0" borderId="46" xfId="8" applyFont="1" applyBorder="1" applyAlignment="1">
      <alignment horizontal="left" vertical="top" wrapText="1"/>
    </xf>
    <xf numFmtId="0" fontId="12" fillId="0" borderId="16" xfId="8" applyFont="1" applyBorder="1" applyAlignment="1">
      <alignment horizontal="left" vertical="top" wrapText="1"/>
    </xf>
    <xf numFmtId="0" fontId="12" fillId="0" borderId="20" xfId="8" applyFont="1" applyBorder="1" applyAlignment="1">
      <alignment horizontal="left" vertical="top"/>
    </xf>
    <xf numFmtId="0" fontId="12" fillId="0" borderId="57" xfId="8" applyFont="1" applyBorder="1" applyAlignment="1">
      <alignment horizontal="left" vertical="top"/>
    </xf>
    <xf numFmtId="0" fontId="12" fillId="11" borderId="13" xfId="8" applyFont="1" applyFill="1" applyBorder="1" applyAlignment="1">
      <alignment horizontal="center" vertical="top"/>
    </xf>
    <xf numFmtId="0" fontId="12" fillId="11" borderId="17" xfId="8" applyFont="1" applyFill="1" applyBorder="1" applyAlignment="1">
      <alignment horizontal="center" vertical="top"/>
    </xf>
    <xf numFmtId="0" fontId="12" fillId="11" borderId="58" xfId="8" applyFont="1" applyFill="1" applyBorder="1" applyAlignment="1">
      <alignment horizontal="center" vertical="top"/>
    </xf>
    <xf numFmtId="0" fontId="12" fillId="11" borderId="15" xfId="8" applyFont="1" applyFill="1" applyBorder="1" applyAlignment="1">
      <alignment horizontal="center" vertical="top"/>
    </xf>
    <xf numFmtId="0" fontId="12" fillId="11" borderId="19" xfId="8" applyFont="1" applyFill="1" applyBorder="1" applyAlignment="1">
      <alignment horizontal="center" vertical="top"/>
    </xf>
    <xf numFmtId="0" fontId="12" fillId="11" borderId="46" xfId="8" applyFont="1" applyFill="1" applyBorder="1" applyAlignment="1">
      <alignment horizontal="center" vertical="top"/>
    </xf>
    <xf numFmtId="0" fontId="12" fillId="6" borderId="15" xfId="8" applyFont="1" applyFill="1" applyBorder="1" applyAlignment="1">
      <alignment horizontal="center" vertical="top" wrapText="1"/>
    </xf>
    <xf numFmtId="0" fontId="12" fillId="6" borderId="15" xfId="8" applyFont="1" applyFill="1" applyBorder="1" applyAlignment="1">
      <alignment horizontal="left" vertical="top" wrapText="1"/>
    </xf>
    <xf numFmtId="0" fontId="12" fillId="6" borderId="19" xfId="8" applyFont="1" applyFill="1" applyBorder="1" applyAlignment="1">
      <alignment horizontal="left" vertical="top" wrapText="1"/>
    </xf>
    <xf numFmtId="0" fontId="12" fillId="6" borderId="46" xfId="8" applyFont="1" applyFill="1" applyBorder="1" applyAlignment="1">
      <alignment horizontal="left" vertical="top" wrapText="1"/>
    </xf>
    <xf numFmtId="0" fontId="12" fillId="17" borderId="130" xfId="8" applyFont="1" applyFill="1" applyBorder="1" applyAlignment="1">
      <alignment horizontal="left" vertical="top" wrapText="1"/>
    </xf>
    <xf numFmtId="0" fontId="12" fillId="17" borderId="127" xfId="8" applyFont="1" applyFill="1" applyBorder="1" applyAlignment="1">
      <alignment horizontal="left" vertical="top"/>
    </xf>
    <xf numFmtId="0" fontId="12" fillId="17" borderId="128" xfId="8" applyFont="1" applyFill="1" applyBorder="1" applyAlignment="1">
      <alignment horizontal="left" vertical="top"/>
    </xf>
    <xf numFmtId="16" fontId="12" fillId="17" borderId="26" xfId="8" applyNumberFormat="1" applyFont="1" applyFill="1" applyBorder="1" applyAlignment="1">
      <alignment horizontal="left" vertical="top" wrapText="1"/>
    </xf>
    <xf numFmtId="0" fontId="12" fillId="17" borderId="19" xfId="8" applyFont="1" applyFill="1" applyBorder="1" applyAlignment="1">
      <alignment horizontal="left" vertical="top"/>
    </xf>
    <xf numFmtId="0" fontId="12" fillId="17" borderId="24" xfId="8" applyFont="1" applyFill="1" applyBorder="1" applyAlignment="1">
      <alignment horizontal="left" vertical="top"/>
    </xf>
    <xf numFmtId="0" fontId="12" fillId="17" borderId="38" xfId="8" applyFont="1" applyFill="1" applyBorder="1" applyAlignment="1">
      <alignment horizontal="left" vertical="top"/>
    </xf>
    <xf numFmtId="0" fontId="12" fillId="17" borderId="26" xfId="8" applyFont="1" applyFill="1" applyBorder="1" applyAlignment="1">
      <alignment horizontal="left" vertical="top"/>
    </xf>
    <xf numFmtId="0" fontId="12" fillId="17" borderId="26" xfId="8" applyFont="1" applyFill="1" applyBorder="1" applyAlignment="1">
      <alignment horizontal="left" vertical="top" wrapText="1"/>
    </xf>
    <xf numFmtId="0" fontId="12" fillId="17" borderId="19" xfId="8" applyFont="1" applyFill="1" applyBorder="1" applyAlignment="1">
      <alignment horizontal="left" vertical="top" wrapText="1"/>
    </xf>
    <xf numFmtId="0" fontId="12" fillId="17" borderId="24" xfId="8" applyFont="1" applyFill="1" applyBorder="1" applyAlignment="1">
      <alignment horizontal="left" vertical="top" wrapText="1"/>
    </xf>
    <xf numFmtId="0" fontId="42" fillId="0" borderId="38" xfId="8" quotePrefix="1" applyFont="1" applyBorder="1" applyAlignment="1">
      <alignment horizontal="left" vertical="top" wrapText="1"/>
    </xf>
    <xf numFmtId="0" fontId="42" fillId="0" borderId="25" xfId="8" quotePrefix="1" applyFont="1" applyBorder="1" applyAlignment="1">
      <alignment horizontal="left" vertical="top" wrapText="1"/>
    </xf>
    <xf numFmtId="0" fontId="42" fillId="0" borderId="43" xfId="8" quotePrefix="1" applyFont="1" applyBorder="1" applyAlignment="1">
      <alignment horizontal="left" vertical="top" wrapText="1"/>
    </xf>
    <xf numFmtId="0" fontId="12" fillId="0" borderId="38" xfId="8" quotePrefix="1" applyFont="1" applyBorder="1" applyAlignment="1">
      <alignment horizontal="left" vertical="center" wrapText="1"/>
    </xf>
    <xf numFmtId="0" fontId="12" fillId="0" borderId="25" xfId="8" quotePrefix="1" applyFont="1" applyBorder="1" applyAlignment="1">
      <alignment horizontal="left" vertical="center" wrapText="1"/>
    </xf>
    <xf numFmtId="0" fontId="12" fillId="0" borderId="43" xfId="8" quotePrefix="1" applyFont="1" applyBorder="1" applyAlignment="1">
      <alignment horizontal="left" vertical="center" wrapText="1"/>
    </xf>
    <xf numFmtId="0" fontId="12" fillId="0" borderId="39" xfId="8" quotePrefix="1" applyFont="1" applyBorder="1" applyAlignment="1">
      <alignment horizontal="left" vertical="center" wrapText="1"/>
    </xf>
    <xf numFmtId="0" fontId="12" fillId="0" borderId="40" xfId="8" quotePrefix="1" applyFont="1" applyBorder="1" applyAlignment="1">
      <alignment horizontal="left" vertical="center" wrapText="1"/>
    </xf>
    <xf numFmtId="0" fontId="12" fillId="0" borderId="44" xfId="8" quotePrefix="1" applyFont="1" applyBorder="1" applyAlignment="1">
      <alignment horizontal="left" vertical="center" wrapText="1"/>
    </xf>
    <xf numFmtId="14" fontId="12" fillId="17" borderId="24" xfId="8" applyNumberFormat="1" applyFont="1" applyFill="1" applyBorder="1" applyAlignment="1">
      <alignment horizontal="center" vertical="center"/>
    </xf>
    <xf numFmtId="14" fontId="12" fillId="17" borderId="26" xfId="8" applyNumberFormat="1" applyFont="1" applyFill="1" applyBorder="1" applyAlignment="1">
      <alignment horizontal="center" vertical="center"/>
    </xf>
    <xf numFmtId="14" fontId="12" fillId="17" borderId="24" xfId="8" quotePrefix="1" applyNumberFormat="1" applyFont="1" applyFill="1" applyBorder="1" applyAlignment="1">
      <alignment horizontal="center" vertical="center"/>
    </xf>
    <xf numFmtId="0" fontId="12" fillId="0" borderId="56" xfId="8" applyFont="1" applyBorder="1" applyAlignment="1">
      <alignment horizontal="left" vertical="top"/>
    </xf>
    <xf numFmtId="175" fontId="12" fillId="6" borderId="15" xfId="8" applyNumberFormat="1" applyFont="1" applyFill="1" applyBorder="1" applyAlignment="1">
      <alignment horizontal="center" vertical="top"/>
    </xf>
    <xf numFmtId="175" fontId="12" fillId="6" borderId="24" xfId="8" applyNumberFormat="1" applyFont="1" applyFill="1" applyBorder="1" applyAlignment="1">
      <alignment horizontal="center" vertical="top"/>
    </xf>
    <xf numFmtId="0" fontId="12" fillId="6" borderId="24" xfId="8" applyFont="1" applyFill="1" applyBorder="1" applyAlignment="1">
      <alignment horizontal="center" vertical="top"/>
    </xf>
    <xf numFmtId="0" fontId="12" fillId="0" borderId="24" xfId="8" applyFont="1" applyBorder="1" applyAlignment="1">
      <alignment horizontal="left" vertical="top" wrapText="1"/>
    </xf>
    <xf numFmtId="0" fontId="12" fillId="6" borderId="24" xfId="8" applyFont="1" applyFill="1" applyBorder="1" applyAlignment="1">
      <alignment horizontal="left" vertical="top" wrapText="1"/>
    </xf>
    <xf numFmtId="172" fontId="12" fillId="0" borderId="19" xfId="8" applyNumberFormat="1" applyFont="1" applyBorder="1" applyAlignment="1">
      <alignment horizontal="right" vertical="center"/>
    </xf>
    <xf numFmtId="0" fontId="12" fillId="0" borderId="19" xfId="8" applyFont="1" applyBorder="1" applyAlignment="1">
      <alignment horizontal="right" vertical="center"/>
    </xf>
    <xf numFmtId="0" fontId="12" fillId="11" borderId="22" xfId="8" applyFont="1" applyFill="1" applyBorder="1" applyAlignment="1">
      <alignment horizontal="center" vertical="top"/>
    </xf>
    <xf numFmtId="0" fontId="12" fillId="11" borderId="24" xfId="8" applyFont="1" applyFill="1" applyBorder="1" applyAlignment="1">
      <alignment horizontal="center" vertical="top"/>
    </xf>
    <xf numFmtId="0" fontId="12" fillId="17" borderId="15" xfId="8" applyFont="1" applyFill="1" applyBorder="1" applyAlignment="1">
      <alignment horizontal="left" vertical="top"/>
    </xf>
    <xf numFmtId="0" fontId="12" fillId="4" borderId="38" xfId="8" applyFont="1" applyFill="1" applyBorder="1" applyAlignment="1">
      <alignment horizontal="left" vertical="top"/>
    </xf>
    <xf numFmtId="0" fontId="12" fillId="4" borderId="25" xfId="8" applyFont="1" applyFill="1" applyBorder="1" applyAlignment="1">
      <alignment horizontal="left" vertical="top"/>
    </xf>
    <xf numFmtId="0" fontId="12" fillId="17" borderId="26" xfId="8" applyFont="1" applyFill="1" applyBorder="1" applyAlignment="1">
      <alignment horizontal="center" vertical="top"/>
    </xf>
    <xf numFmtId="0" fontId="12" fillId="17" borderId="19" xfId="8" applyFont="1" applyFill="1" applyBorder="1" applyAlignment="1">
      <alignment horizontal="center" vertical="top"/>
    </xf>
    <xf numFmtId="0" fontId="12" fillId="17" borderId="24" xfId="8" applyFont="1" applyFill="1" applyBorder="1" applyAlignment="1">
      <alignment horizontal="center" vertical="top"/>
    </xf>
    <xf numFmtId="0" fontId="12" fillId="17" borderId="26" xfId="8" applyFont="1" applyFill="1" applyBorder="1" applyAlignment="1">
      <alignment horizontal="center" vertical="top" wrapText="1"/>
    </xf>
    <xf numFmtId="0" fontId="12" fillId="11" borderId="37" xfId="8" applyFont="1" applyFill="1" applyBorder="1" applyAlignment="1">
      <alignment horizontal="center" vertical="top" wrapText="1"/>
    </xf>
    <xf numFmtId="0" fontId="12" fillId="11" borderId="23" xfId="8" applyFont="1" applyFill="1" applyBorder="1" applyAlignment="1">
      <alignment horizontal="center" vertical="top" wrapText="1"/>
    </xf>
    <xf numFmtId="0" fontId="12" fillId="11" borderId="42" xfId="8" applyFont="1" applyFill="1" applyBorder="1" applyAlignment="1">
      <alignment horizontal="center" vertical="top" wrapText="1"/>
    </xf>
    <xf numFmtId="0" fontId="12" fillId="11" borderId="38" xfId="8" applyFont="1" applyFill="1" applyBorder="1" applyAlignment="1">
      <alignment horizontal="center" vertical="top"/>
    </xf>
    <xf numFmtId="0" fontId="12" fillId="11" borderId="25" xfId="8" applyFont="1" applyFill="1" applyBorder="1" applyAlignment="1">
      <alignment horizontal="center" vertical="top"/>
    </xf>
    <xf numFmtId="0" fontId="12" fillId="11" borderId="43" xfId="8" applyFont="1" applyFill="1" applyBorder="1" applyAlignment="1">
      <alignment horizontal="center" vertical="top"/>
    </xf>
    <xf numFmtId="175" fontId="12" fillId="17" borderId="26" xfId="8" applyNumberFormat="1" applyFont="1" applyFill="1" applyBorder="1" applyAlignment="1">
      <alignment horizontal="center" vertical="top"/>
    </xf>
    <xf numFmtId="175" fontId="12" fillId="17" borderId="19" xfId="8" applyNumberFormat="1" applyFont="1" applyFill="1" applyBorder="1" applyAlignment="1">
      <alignment horizontal="center" vertical="top"/>
    </xf>
    <xf numFmtId="175" fontId="12" fillId="17" borderId="24" xfId="8" applyNumberFormat="1" applyFont="1" applyFill="1" applyBorder="1" applyAlignment="1">
      <alignment horizontal="center" vertical="top"/>
    </xf>
    <xf numFmtId="49" fontId="12" fillId="4" borderId="38" xfId="8" applyNumberFormat="1" applyFont="1" applyFill="1" applyBorder="1" applyAlignment="1">
      <alignment horizontal="center" vertical="top" wrapText="1"/>
    </xf>
    <xf numFmtId="49" fontId="12" fillId="4" borderId="25" xfId="8" applyNumberFormat="1" applyFont="1" applyFill="1" applyBorder="1" applyAlignment="1">
      <alignment horizontal="center" vertical="top" wrapText="1"/>
    </xf>
    <xf numFmtId="49" fontId="12" fillId="4" borderId="43" xfId="8" applyNumberFormat="1" applyFont="1" applyFill="1" applyBorder="1" applyAlignment="1">
      <alignment horizontal="center" vertical="top" wrapText="1"/>
    </xf>
    <xf numFmtId="49" fontId="10" fillId="10" borderId="19" xfId="8" applyNumberFormat="1" applyFont="1" applyFill="1" applyBorder="1" applyAlignment="1">
      <alignment horizontal="center" vertical="center"/>
    </xf>
    <xf numFmtId="49" fontId="10" fillId="10" borderId="24" xfId="8" applyNumberFormat="1" applyFont="1" applyFill="1" applyBorder="1" applyAlignment="1">
      <alignment horizontal="center" vertical="center"/>
    </xf>
    <xf numFmtId="49" fontId="10" fillId="10" borderId="19" xfId="8" applyNumberFormat="1" applyFont="1" applyFill="1" applyBorder="1" applyAlignment="1">
      <alignment horizontal="left" vertical="center"/>
    </xf>
    <xf numFmtId="49" fontId="10" fillId="10" borderId="24" xfId="8" applyNumberFormat="1" applyFont="1" applyFill="1" applyBorder="1" applyAlignment="1">
      <alignment horizontal="left" vertical="center"/>
    </xf>
    <xf numFmtId="172" fontId="12" fillId="17" borderId="15" xfId="8" applyNumberFormat="1" applyFont="1" applyFill="1" applyBorder="1" applyAlignment="1">
      <alignment horizontal="center" vertical="top"/>
    </xf>
    <xf numFmtId="172" fontId="12" fillId="17" borderId="19" xfId="8" applyNumberFormat="1" applyFont="1" applyFill="1" applyBorder="1" applyAlignment="1">
      <alignment horizontal="center" vertical="top"/>
    </xf>
    <xf numFmtId="0" fontId="12" fillId="17" borderId="14" xfId="8" applyFont="1" applyFill="1" applyBorder="1" applyAlignment="1">
      <alignment horizontal="center" vertical="top"/>
    </xf>
    <xf numFmtId="0" fontId="12" fillId="17" borderId="3" xfId="8" applyFont="1" applyFill="1" applyBorder="1" applyAlignment="1">
      <alignment horizontal="center" vertical="top"/>
    </xf>
    <xf numFmtId="172" fontId="12" fillId="17" borderId="38" xfId="8" applyNumberFormat="1" applyFont="1" applyFill="1" applyBorder="1" applyAlignment="1">
      <alignment horizontal="center" vertical="top"/>
    </xf>
    <xf numFmtId="172" fontId="12" fillId="17" borderId="26" xfId="8" applyNumberFormat="1" applyFont="1" applyFill="1" applyBorder="1" applyAlignment="1">
      <alignment horizontal="center" vertical="top"/>
    </xf>
    <xf numFmtId="0" fontId="12" fillId="17" borderId="38" xfId="8" applyFont="1" applyFill="1" applyBorder="1" applyAlignment="1">
      <alignment horizontal="center" vertical="top"/>
    </xf>
    <xf numFmtId="0" fontId="12" fillId="0" borderId="38" xfId="8" applyFont="1" applyBorder="1" applyAlignment="1">
      <alignment horizontal="center" vertical="top" wrapText="1"/>
    </xf>
    <xf numFmtId="0" fontId="12" fillId="0" borderId="25" xfId="8" applyFont="1" applyBorder="1" applyAlignment="1">
      <alignment horizontal="center" vertical="top" wrapText="1"/>
    </xf>
    <xf numFmtId="0" fontId="12" fillId="0" borderId="43" xfId="8" applyFont="1" applyBorder="1" applyAlignment="1">
      <alignment horizontal="center" vertical="top" wrapText="1"/>
    </xf>
    <xf numFmtId="49" fontId="10" fillId="11" borderId="30" xfId="8" applyNumberFormat="1" applyFont="1" applyFill="1" applyBorder="1" applyAlignment="1">
      <alignment horizontal="center" vertical="top"/>
    </xf>
    <xf numFmtId="49" fontId="10" fillId="11" borderId="31" xfId="8" applyNumberFormat="1" applyFont="1" applyFill="1" applyBorder="1" applyAlignment="1">
      <alignment horizontal="center" vertical="top"/>
    </xf>
    <xf numFmtId="49" fontId="10" fillId="11" borderId="32" xfId="8" applyNumberFormat="1" applyFont="1" applyFill="1" applyBorder="1" applyAlignment="1">
      <alignment horizontal="center" vertical="top"/>
    </xf>
    <xf numFmtId="49" fontId="10" fillId="10" borderId="15" xfId="8" applyNumberFormat="1" applyFont="1" applyFill="1" applyBorder="1" applyAlignment="1">
      <alignment horizontal="center" vertical="center"/>
    </xf>
    <xf numFmtId="49" fontId="10" fillId="10" borderId="30" xfId="8" applyNumberFormat="1" applyFont="1" applyFill="1" applyBorder="1" applyAlignment="1">
      <alignment horizontal="center" vertical="center"/>
    </xf>
    <xf numFmtId="49" fontId="10" fillId="10" borderId="27" xfId="8" applyNumberFormat="1" applyFont="1" applyFill="1" applyBorder="1" applyAlignment="1">
      <alignment horizontal="center" vertical="center"/>
    </xf>
    <xf numFmtId="49" fontId="10" fillId="10" borderId="51" xfId="8" applyNumberFormat="1" applyFont="1" applyFill="1" applyBorder="1" applyAlignment="1">
      <alignment horizontal="center" vertical="center"/>
    </xf>
    <xf numFmtId="49" fontId="10" fillId="10" borderId="64" xfId="8" applyNumberFormat="1" applyFont="1" applyFill="1" applyBorder="1" applyAlignment="1">
      <alignment horizontal="center" vertical="center"/>
    </xf>
    <xf numFmtId="49" fontId="10" fillId="10" borderId="52" xfId="8" applyNumberFormat="1" applyFont="1" applyFill="1" applyBorder="1" applyAlignment="1">
      <alignment horizontal="center" vertical="center"/>
    </xf>
    <xf numFmtId="49" fontId="10" fillId="11" borderId="19" xfId="8" applyNumberFormat="1" applyFont="1" applyFill="1" applyBorder="1" applyAlignment="1">
      <alignment horizontal="center" vertical="center"/>
    </xf>
    <xf numFmtId="49" fontId="10" fillId="10" borderId="39" xfId="8" applyNumberFormat="1" applyFont="1" applyFill="1" applyBorder="1" applyAlignment="1">
      <alignment horizontal="center" vertical="center"/>
    </xf>
    <xf numFmtId="49" fontId="10" fillId="10" borderId="40" xfId="8" applyNumberFormat="1" applyFont="1" applyFill="1" applyBorder="1" applyAlignment="1">
      <alignment horizontal="center" vertical="center"/>
    </xf>
    <xf numFmtId="49" fontId="10" fillId="10" borderId="77" xfId="8" applyNumberFormat="1" applyFont="1" applyFill="1" applyBorder="1" applyAlignment="1">
      <alignment horizontal="center" vertical="center"/>
    </xf>
    <xf numFmtId="49" fontId="10" fillId="10" borderId="74" xfId="8" applyNumberFormat="1" applyFont="1" applyFill="1" applyBorder="1" applyAlignment="1">
      <alignment horizontal="center" vertical="center"/>
    </xf>
    <xf numFmtId="49" fontId="10" fillId="10" borderId="76" xfId="8" applyNumberFormat="1" applyFont="1" applyFill="1" applyBorder="1" applyAlignment="1">
      <alignment horizontal="center" vertical="center"/>
    </xf>
    <xf numFmtId="49" fontId="10" fillId="10" borderId="19" xfId="8" applyNumberFormat="1" applyFont="1" applyFill="1" applyBorder="1" applyAlignment="1">
      <alignment horizontal="center" vertical="center" wrapText="1"/>
    </xf>
    <xf numFmtId="49" fontId="10" fillId="10" borderId="24" xfId="8" applyNumberFormat="1" applyFont="1" applyFill="1" applyBorder="1" applyAlignment="1">
      <alignment horizontal="center" vertical="center" wrapText="1"/>
    </xf>
    <xf numFmtId="0" fontId="12" fillId="0" borderId="15" xfId="8" applyFont="1" applyBorder="1" applyAlignment="1">
      <alignment horizontal="center" vertical="top"/>
    </xf>
    <xf numFmtId="0" fontId="12" fillId="0" borderId="19" xfId="8" applyFont="1" applyBorder="1" applyAlignment="1">
      <alignment horizontal="center" vertical="top"/>
    </xf>
    <xf numFmtId="0" fontId="12" fillId="0" borderId="24" xfId="8" applyFont="1" applyBorder="1" applyAlignment="1">
      <alignment horizontal="center" vertical="top"/>
    </xf>
    <xf numFmtId="0" fontId="12" fillId="0" borderId="46" xfId="8" applyFont="1" applyBorder="1" applyAlignment="1">
      <alignment horizontal="center" vertical="top"/>
    </xf>
    <xf numFmtId="16" fontId="12" fillId="0" borderId="15" xfId="8" applyNumberFormat="1" applyFont="1" applyBorder="1" applyAlignment="1">
      <alignment horizontal="left" vertical="top" wrapText="1"/>
    </xf>
    <xf numFmtId="0" fontId="12" fillId="0" borderId="19" xfId="8" applyFont="1" applyBorder="1" applyAlignment="1">
      <alignment horizontal="left" vertical="top"/>
    </xf>
    <xf numFmtId="0" fontId="12" fillId="0" borderId="24" xfId="8" applyFont="1" applyBorder="1" applyAlignment="1">
      <alignment horizontal="left" vertical="top"/>
    </xf>
    <xf numFmtId="0" fontId="12" fillId="0" borderId="46" xfId="8" applyFont="1" applyBorder="1" applyAlignment="1">
      <alignment horizontal="left" vertical="top"/>
    </xf>
    <xf numFmtId="0" fontId="12" fillId="0" borderId="20" xfId="8" applyFont="1" applyBorder="1" applyAlignment="1">
      <alignment horizontal="left" vertical="top" wrapText="1"/>
    </xf>
    <xf numFmtId="0" fontId="12" fillId="0" borderId="56" xfId="8" applyFont="1" applyBorder="1" applyAlignment="1">
      <alignment horizontal="left" vertical="top" wrapText="1"/>
    </xf>
    <xf numFmtId="0" fontId="12" fillId="0" borderId="57" xfId="8" applyFont="1" applyBorder="1" applyAlignment="1">
      <alignment horizontal="left" vertical="top" wrapText="1"/>
    </xf>
    <xf numFmtId="0" fontId="12" fillId="0" borderId="126" xfId="8" applyFont="1" applyBorder="1" applyAlignment="1">
      <alignment horizontal="left" vertical="top" wrapText="1"/>
    </xf>
    <xf numFmtId="0" fontId="12" fillId="0" borderId="127" xfId="8" applyFont="1" applyBorder="1" applyAlignment="1">
      <alignment horizontal="left" vertical="top"/>
    </xf>
    <xf numFmtId="0" fontId="12" fillId="0" borderId="128" xfId="8" applyFont="1" applyBorder="1" applyAlignment="1">
      <alignment horizontal="left" vertical="top"/>
    </xf>
    <xf numFmtId="0" fontId="12" fillId="6" borderId="26" xfId="8" applyFont="1" applyFill="1" applyBorder="1" applyAlignment="1">
      <alignment horizontal="center" vertical="top"/>
    </xf>
    <xf numFmtId="0" fontId="12" fillId="6" borderId="26" xfId="8" applyFont="1" applyFill="1" applyBorder="1" applyAlignment="1">
      <alignment horizontal="center" vertical="top" wrapText="1"/>
    </xf>
    <xf numFmtId="0" fontId="12" fillId="6" borderId="26" xfId="8" applyFont="1" applyFill="1" applyBorder="1" applyAlignment="1">
      <alignment horizontal="left" vertical="top" wrapText="1"/>
    </xf>
    <xf numFmtId="175" fontId="12" fillId="6" borderId="26" xfId="8" applyNumberFormat="1" applyFont="1" applyFill="1" applyBorder="1" applyAlignment="1">
      <alignment horizontal="center" vertical="top"/>
    </xf>
    <xf numFmtId="16" fontId="12" fillId="0" borderId="26" xfId="8" applyNumberFormat="1" applyFont="1" applyBorder="1" applyAlignment="1">
      <alignment horizontal="left" vertical="top" wrapText="1"/>
    </xf>
    <xf numFmtId="0" fontId="12" fillId="0" borderId="26" xfId="8" applyFont="1" applyBorder="1" applyAlignment="1">
      <alignment horizontal="left" vertical="top" wrapText="1"/>
    </xf>
    <xf numFmtId="0" fontId="12" fillId="11" borderId="55" xfId="8" applyFont="1" applyFill="1" applyBorder="1" applyAlignment="1">
      <alignment horizontal="center" vertical="top"/>
    </xf>
    <xf numFmtId="0" fontId="12" fillId="11" borderId="26" xfId="8" applyFont="1" applyFill="1" applyBorder="1" applyAlignment="1">
      <alignment horizontal="center" vertical="top"/>
    </xf>
    <xf numFmtId="0" fontId="12" fillId="17" borderId="15" xfId="8" applyFont="1" applyFill="1" applyBorder="1" applyAlignment="1">
      <alignment horizontal="center" vertical="top"/>
    </xf>
    <xf numFmtId="0" fontId="12" fillId="17" borderId="46" xfId="8" applyFont="1" applyFill="1" applyBorder="1" applyAlignment="1">
      <alignment horizontal="center" vertical="top"/>
    </xf>
    <xf numFmtId="0" fontId="12" fillId="17" borderId="25" xfId="8" applyFont="1" applyFill="1" applyBorder="1" applyAlignment="1">
      <alignment horizontal="center" vertical="top"/>
    </xf>
    <xf numFmtId="0" fontId="12" fillId="17" borderId="43" xfId="8" applyFont="1" applyFill="1" applyBorder="1" applyAlignment="1">
      <alignment horizontal="center" vertical="top"/>
    </xf>
    <xf numFmtId="175" fontId="12" fillId="17" borderId="15" xfId="8" applyNumberFormat="1" applyFont="1" applyFill="1" applyBorder="1" applyAlignment="1">
      <alignment horizontal="center" vertical="top"/>
    </xf>
    <xf numFmtId="175" fontId="12" fillId="17" borderId="46" xfId="8" applyNumberFormat="1" applyFont="1" applyFill="1" applyBorder="1" applyAlignment="1">
      <alignment horizontal="center" vertical="top"/>
    </xf>
    <xf numFmtId="16" fontId="12" fillId="17" borderId="15" xfId="8" applyNumberFormat="1" applyFont="1" applyFill="1" applyBorder="1" applyAlignment="1">
      <alignment horizontal="left" vertical="top" wrapText="1"/>
    </xf>
    <xf numFmtId="0" fontId="12" fillId="17" borderId="46" xfId="8" applyFont="1" applyFill="1" applyBorder="1" applyAlignment="1">
      <alignment horizontal="left" vertical="top"/>
    </xf>
    <xf numFmtId="0" fontId="12" fillId="17" borderId="15" xfId="8" applyFont="1" applyFill="1" applyBorder="1" applyAlignment="1">
      <alignment horizontal="left" vertical="top" wrapText="1"/>
    </xf>
    <xf numFmtId="0" fontId="12" fillId="17" borderId="46" xfId="8" applyFont="1" applyFill="1" applyBorder="1" applyAlignment="1">
      <alignment horizontal="left" vertical="top" wrapText="1"/>
    </xf>
    <xf numFmtId="0" fontId="12" fillId="17" borderId="16" xfId="8" applyFont="1" applyFill="1" applyBorder="1" applyAlignment="1">
      <alignment horizontal="left" vertical="top" wrapText="1"/>
    </xf>
    <xf numFmtId="0" fontId="12" fillId="17" borderId="20" xfId="8" applyFont="1" applyFill="1" applyBorder="1" applyAlignment="1">
      <alignment horizontal="left" vertical="top"/>
    </xf>
    <xf numFmtId="0" fontId="12" fillId="17" borderId="57" xfId="8" applyFont="1" applyFill="1" applyBorder="1" applyAlignment="1">
      <alignment horizontal="left" vertical="top"/>
    </xf>
    <xf numFmtId="0" fontId="12" fillId="17" borderId="13" xfId="8" applyFont="1" applyFill="1" applyBorder="1" applyAlignment="1">
      <alignment horizontal="center" vertical="top"/>
    </xf>
    <xf numFmtId="0" fontId="12" fillId="17" borderId="17" xfId="8" applyFont="1" applyFill="1" applyBorder="1" applyAlignment="1">
      <alignment horizontal="center" vertical="top"/>
    </xf>
    <xf numFmtId="0" fontId="12" fillId="17" borderId="58" xfId="8" applyFont="1" applyFill="1" applyBorder="1" applyAlignment="1">
      <alignment horizontal="center" vertical="top"/>
    </xf>
    <xf numFmtId="0" fontId="12" fillId="17" borderId="15" xfId="8" applyFont="1" applyFill="1" applyBorder="1" applyAlignment="1">
      <alignment horizontal="center" vertical="top" wrapText="1"/>
    </xf>
    <xf numFmtId="0" fontId="12" fillId="6" borderId="15" xfId="10" applyFont="1" applyFill="1" applyBorder="1" applyAlignment="1">
      <alignment horizontal="center" vertical="top" wrapText="1"/>
    </xf>
    <xf numFmtId="0" fontId="12" fillId="6" borderId="19" xfId="10" applyFont="1" applyFill="1" applyBorder="1" applyAlignment="1">
      <alignment horizontal="center" vertical="top" wrapText="1"/>
    </xf>
    <xf numFmtId="0" fontId="12" fillId="6" borderId="46" xfId="10" applyFont="1" applyFill="1" applyBorder="1" applyAlignment="1">
      <alignment horizontal="center" vertical="top" wrapText="1"/>
    </xf>
    <xf numFmtId="16" fontId="42" fillId="0" borderId="38" xfId="10" applyNumberFormat="1" applyFont="1" applyBorder="1" applyAlignment="1">
      <alignment horizontal="left" vertical="top" wrapText="1"/>
    </xf>
    <xf numFmtId="16" fontId="42" fillId="0" borderId="25" xfId="10" applyNumberFormat="1" applyFont="1" applyBorder="1" applyAlignment="1">
      <alignment horizontal="left" vertical="top" wrapText="1"/>
    </xf>
    <xf numFmtId="16" fontId="42" fillId="0" borderId="43" xfId="10" applyNumberFormat="1" applyFont="1" applyBorder="1" applyAlignment="1">
      <alignment horizontal="left" vertical="top" wrapText="1"/>
    </xf>
    <xf numFmtId="16" fontId="12" fillId="0" borderId="38" xfId="10" applyNumberFormat="1" applyFont="1" applyBorder="1" applyAlignment="1">
      <alignment horizontal="left" vertical="top" wrapText="1"/>
    </xf>
    <xf numFmtId="16" fontId="12" fillId="0" borderId="25" xfId="10" applyNumberFormat="1" applyFont="1" applyBorder="1" applyAlignment="1">
      <alignment horizontal="left" vertical="top" wrapText="1"/>
    </xf>
    <xf numFmtId="16" fontId="12" fillId="0" borderId="43" xfId="10" applyNumberFormat="1" applyFont="1" applyBorder="1" applyAlignment="1">
      <alignment horizontal="left" vertical="top" wrapText="1"/>
    </xf>
    <xf numFmtId="16" fontId="12" fillId="0" borderId="39" xfId="10" applyNumberFormat="1" applyFont="1" applyBorder="1" applyAlignment="1">
      <alignment horizontal="left" vertical="top" wrapText="1"/>
    </xf>
    <xf numFmtId="16" fontId="12" fillId="0" borderId="40" xfId="10" applyNumberFormat="1" applyFont="1" applyBorder="1" applyAlignment="1">
      <alignment horizontal="left" vertical="top" wrapText="1"/>
    </xf>
    <xf numFmtId="16" fontId="12" fillId="0" borderId="44" xfId="10" applyNumberFormat="1" applyFont="1" applyBorder="1" applyAlignment="1">
      <alignment horizontal="left" vertical="top" wrapText="1"/>
    </xf>
    <xf numFmtId="0" fontId="12" fillId="6" borderId="13" xfId="10" applyFont="1" applyFill="1" applyBorder="1" applyAlignment="1">
      <alignment horizontal="center" vertical="top" wrapText="1"/>
    </xf>
    <xf numFmtId="0" fontId="12" fillId="6" borderId="17" xfId="10" applyFont="1" applyFill="1" applyBorder="1" applyAlignment="1">
      <alignment horizontal="center" vertical="top" wrapText="1"/>
    </xf>
    <xf numFmtId="0" fontId="12" fillId="6" borderId="58" xfId="10" applyFont="1" applyFill="1" applyBorder="1" applyAlignment="1">
      <alignment horizontal="center" vertical="top" wrapText="1"/>
    </xf>
    <xf numFmtId="175" fontId="12" fillId="6" borderId="15" xfId="10" applyNumberFormat="1" applyFont="1" applyFill="1" applyBorder="1" applyAlignment="1">
      <alignment horizontal="center" vertical="top" wrapText="1"/>
    </xf>
    <xf numFmtId="175" fontId="12" fillId="6" borderId="19" xfId="10" applyNumberFormat="1" applyFont="1" applyFill="1" applyBorder="1" applyAlignment="1">
      <alignment horizontal="center" vertical="top"/>
    </xf>
    <xf numFmtId="175" fontId="12" fillId="6" borderId="24" xfId="10" applyNumberFormat="1" applyFont="1" applyFill="1" applyBorder="1" applyAlignment="1">
      <alignment horizontal="center" vertical="top"/>
    </xf>
    <xf numFmtId="175" fontId="12" fillId="6" borderId="46" xfId="10" applyNumberFormat="1" applyFont="1" applyFill="1" applyBorder="1" applyAlignment="1">
      <alignment horizontal="center" vertical="top"/>
    </xf>
    <xf numFmtId="0" fontId="12" fillId="0" borderId="15" xfId="7" applyFont="1" applyBorder="1" applyAlignment="1">
      <alignment horizontal="center" vertical="top"/>
    </xf>
    <xf numFmtId="0" fontId="12" fillId="0" borderId="19" xfId="7" applyFont="1" applyBorder="1" applyAlignment="1">
      <alignment horizontal="center" vertical="top"/>
    </xf>
    <xf numFmtId="0" fontId="12" fillId="0" borderId="24" xfId="7" applyFont="1" applyBorder="1" applyAlignment="1">
      <alignment horizontal="center" vertical="top"/>
    </xf>
    <xf numFmtId="0" fontId="12" fillId="0" borderId="46" xfId="7" applyFont="1" applyBorder="1" applyAlignment="1">
      <alignment horizontal="center" vertical="top"/>
    </xf>
    <xf numFmtId="16" fontId="42" fillId="0" borderId="15" xfId="10" applyNumberFormat="1" applyFont="1" applyBorder="1" applyAlignment="1">
      <alignment horizontal="left" vertical="top" wrapText="1"/>
    </xf>
    <xf numFmtId="0" fontId="42" fillId="0" borderId="19" xfId="10" applyFont="1" applyBorder="1" applyAlignment="1">
      <alignment horizontal="left" vertical="top" wrapText="1"/>
    </xf>
    <xf numFmtId="0" fontId="42" fillId="0" borderId="24" xfId="10" applyFont="1" applyBorder="1" applyAlignment="1">
      <alignment horizontal="left" vertical="top" wrapText="1"/>
    </xf>
    <xf numFmtId="0" fontId="42" fillId="0" borderId="46" xfId="10" applyFont="1" applyBorder="1" applyAlignment="1">
      <alignment horizontal="left" vertical="top" wrapText="1"/>
    </xf>
    <xf numFmtId="0" fontId="12" fillId="0" borderId="15" xfId="7" applyFont="1" applyBorder="1" applyAlignment="1">
      <alignment horizontal="center" vertical="center"/>
    </xf>
    <xf numFmtId="0" fontId="12" fillId="0" borderId="19" xfId="7" applyFont="1" applyBorder="1" applyAlignment="1">
      <alignment horizontal="center" vertical="center"/>
    </xf>
    <xf numFmtId="0" fontId="12" fillId="0" borderId="24" xfId="7" applyFont="1" applyBorder="1" applyAlignment="1">
      <alignment horizontal="center" vertical="center"/>
    </xf>
    <xf numFmtId="0" fontId="12" fillId="0" borderId="46" xfId="7" applyFont="1" applyBorder="1" applyAlignment="1">
      <alignment horizontal="center" vertical="center"/>
    </xf>
    <xf numFmtId="0" fontId="12" fillId="6" borderId="16" xfId="10" applyFont="1" applyFill="1" applyBorder="1" applyAlignment="1">
      <alignment horizontal="left" vertical="top" wrapText="1"/>
    </xf>
    <xf numFmtId="0" fontId="12" fillId="6" borderId="20" xfId="10" applyFont="1" applyFill="1" applyBorder="1" applyAlignment="1">
      <alignment horizontal="left" vertical="top" wrapText="1"/>
    </xf>
    <xf numFmtId="0" fontId="12" fillId="6" borderId="56" xfId="10" applyFont="1" applyFill="1" applyBorder="1" applyAlignment="1">
      <alignment horizontal="left" vertical="top" wrapText="1"/>
    </xf>
    <xf numFmtId="0" fontId="12" fillId="6" borderId="57" xfId="10" applyFont="1" applyFill="1" applyBorder="1" applyAlignment="1">
      <alignment horizontal="left" vertical="top" wrapText="1"/>
    </xf>
    <xf numFmtId="49" fontId="12" fillId="6" borderId="13" xfId="10" applyNumberFormat="1" applyFont="1" applyFill="1" applyBorder="1" applyAlignment="1">
      <alignment horizontal="center" vertical="top" wrapText="1"/>
    </xf>
    <xf numFmtId="49" fontId="12" fillId="6" borderId="17" xfId="10" applyNumberFormat="1" applyFont="1" applyFill="1" applyBorder="1" applyAlignment="1">
      <alignment horizontal="center" vertical="top" wrapText="1"/>
    </xf>
    <xf numFmtId="49" fontId="12" fillId="6" borderId="22" xfId="10" applyNumberFormat="1" applyFont="1" applyFill="1" applyBorder="1" applyAlignment="1">
      <alignment horizontal="center" vertical="top" wrapText="1"/>
    </xf>
    <xf numFmtId="49" fontId="12" fillId="6" borderId="58" xfId="10" applyNumberFormat="1" applyFont="1" applyFill="1" applyBorder="1" applyAlignment="1">
      <alignment horizontal="center" vertical="top" wrapText="1"/>
    </xf>
    <xf numFmtId="0" fontId="12" fillId="6" borderId="24" xfId="10" applyFont="1" applyFill="1" applyBorder="1" applyAlignment="1">
      <alignment horizontal="center" vertical="top" wrapText="1"/>
    </xf>
    <xf numFmtId="175" fontId="12" fillId="6" borderId="19" xfId="10" applyNumberFormat="1" applyFont="1" applyFill="1" applyBorder="1" applyAlignment="1">
      <alignment horizontal="center" vertical="top" wrapText="1"/>
    </xf>
    <xf numFmtId="175" fontId="12" fillId="6" borderId="24" xfId="10" applyNumberFormat="1" applyFont="1" applyFill="1" applyBorder="1" applyAlignment="1">
      <alignment horizontal="center" vertical="top" wrapText="1"/>
    </xf>
    <xf numFmtId="175" fontId="12" fillId="6" borderId="46" xfId="10" applyNumberFormat="1" applyFont="1" applyFill="1" applyBorder="1" applyAlignment="1">
      <alignment horizontal="center" vertical="top" wrapText="1"/>
    </xf>
    <xf numFmtId="175" fontId="12" fillId="6" borderId="26" xfId="10" applyNumberFormat="1" applyFont="1" applyFill="1" applyBorder="1" applyAlignment="1">
      <alignment horizontal="center" vertical="top" wrapText="1"/>
    </xf>
    <xf numFmtId="0" fontId="12" fillId="0" borderId="26" xfId="7" applyFont="1" applyBorder="1" applyAlignment="1">
      <alignment horizontal="center" vertical="top"/>
    </xf>
    <xf numFmtId="16" fontId="12" fillId="0" borderId="26" xfId="10" applyNumberFormat="1" applyFont="1" applyBorder="1" applyAlignment="1">
      <alignment horizontal="left" vertical="top" wrapText="1"/>
    </xf>
    <xf numFmtId="0" fontId="12" fillId="0" borderId="19" xfId="10" applyFont="1" applyBorder="1" applyAlignment="1">
      <alignment horizontal="left" vertical="top" wrapText="1"/>
    </xf>
    <xf numFmtId="0" fontId="12" fillId="0" borderId="24" xfId="10" applyFont="1" applyBorder="1" applyAlignment="1">
      <alignment horizontal="left" vertical="top" wrapText="1"/>
    </xf>
    <xf numFmtId="0" fontId="12" fillId="0" borderId="46" xfId="10" applyFont="1" applyBorder="1" applyAlignment="1">
      <alignment horizontal="left" vertical="top" wrapText="1"/>
    </xf>
    <xf numFmtId="0" fontId="12" fillId="0" borderId="26" xfId="7" applyFont="1" applyBorder="1" applyAlignment="1">
      <alignment horizontal="center" vertical="center"/>
    </xf>
    <xf numFmtId="0" fontId="12" fillId="6" borderId="29" xfId="10" applyFont="1" applyFill="1" applyBorder="1" applyAlignment="1">
      <alignment horizontal="left" vertical="top" wrapText="1"/>
    </xf>
    <xf numFmtId="0" fontId="12" fillId="6" borderId="55" xfId="10" applyFont="1" applyFill="1" applyBorder="1" applyAlignment="1">
      <alignment horizontal="center" vertical="top" wrapText="1"/>
    </xf>
    <xf numFmtId="0" fontId="12" fillId="6" borderId="22" xfId="10" applyFont="1" applyFill="1" applyBorder="1" applyAlignment="1">
      <alignment horizontal="center" vertical="top" wrapText="1"/>
    </xf>
    <xf numFmtId="0" fontId="12" fillId="6" borderId="26" xfId="10" applyFont="1" applyFill="1" applyBorder="1" applyAlignment="1">
      <alignment horizontal="center" vertical="top" wrapText="1"/>
    </xf>
    <xf numFmtId="0" fontId="12" fillId="0" borderId="25" xfId="7" applyFont="1" applyBorder="1" applyAlignment="1">
      <alignment horizontal="center" vertical="top"/>
    </xf>
    <xf numFmtId="0" fontId="12" fillId="0" borderId="25" xfId="7" applyFont="1" applyBorder="1" applyAlignment="1">
      <alignment horizontal="left" vertical="top" wrapText="1"/>
    </xf>
    <xf numFmtId="0" fontId="12" fillId="0" borderId="25" xfId="7" applyFont="1" applyBorder="1" applyAlignment="1">
      <alignment horizontal="left" vertical="top"/>
    </xf>
    <xf numFmtId="14" fontId="12" fillId="6" borderId="38" xfId="10" applyNumberFormat="1" applyFont="1" applyFill="1" applyBorder="1" applyAlignment="1">
      <alignment horizontal="center" vertical="top" wrapText="1"/>
    </xf>
    <xf numFmtId="14" fontId="12" fillId="6" borderId="25" xfId="10" applyNumberFormat="1" applyFont="1" applyFill="1" applyBorder="1" applyAlignment="1">
      <alignment horizontal="center" vertical="top" wrapText="1"/>
    </xf>
    <xf numFmtId="14" fontId="12" fillId="6" borderId="43" xfId="10" applyNumberFormat="1" applyFont="1" applyFill="1" applyBorder="1" applyAlignment="1">
      <alignment horizontal="center" vertical="top" wrapText="1"/>
    </xf>
    <xf numFmtId="0" fontId="12" fillId="0" borderId="38" xfId="7" applyFont="1" applyBorder="1" applyAlignment="1">
      <alignment horizontal="center" vertical="top"/>
    </xf>
    <xf numFmtId="0" fontId="12" fillId="0" borderId="18" xfId="7" applyFont="1" applyBorder="1" applyAlignment="1">
      <alignment horizontal="center" vertical="top"/>
    </xf>
    <xf numFmtId="0" fontId="12" fillId="0" borderId="47" xfId="7" applyFont="1" applyBorder="1" applyAlignment="1">
      <alignment horizontal="center" vertical="top"/>
    </xf>
    <xf numFmtId="0" fontId="12" fillId="0" borderId="38" xfId="7" applyFont="1" applyBorder="1" applyAlignment="1">
      <alignment horizontal="left" vertical="top" wrapText="1"/>
    </xf>
    <xf numFmtId="0" fontId="12" fillId="0" borderId="43" xfId="7" applyFont="1" applyBorder="1" applyAlignment="1">
      <alignment horizontal="left" vertical="top" wrapText="1"/>
    </xf>
    <xf numFmtId="0" fontId="12" fillId="6" borderId="39" xfId="10" applyFont="1" applyFill="1" applyBorder="1" applyAlignment="1">
      <alignment horizontal="left" vertical="top" wrapText="1"/>
    </xf>
    <xf numFmtId="0" fontId="12" fillId="6" borderId="40" xfId="10" applyFont="1" applyFill="1" applyBorder="1" applyAlignment="1">
      <alignment horizontal="left" vertical="top" wrapText="1"/>
    </xf>
    <xf numFmtId="0" fontId="12" fillId="6" borderId="44" xfId="10" applyFont="1" applyFill="1" applyBorder="1" applyAlignment="1">
      <alignment horizontal="left" vertical="top" wrapText="1"/>
    </xf>
    <xf numFmtId="0" fontId="12" fillId="6" borderId="37" xfId="10" applyFont="1" applyFill="1" applyBorder="1" applyAlignment="1">
      <alignment horizontal="center" vertical="top" wrapText="1"/>
    </xf>
    <xf numFmtId="0" fontId="12" fillId="6" borderId="23" xfId="10" applyFont="1" applyFill="1" applyBorder="1" applyAlignment="1">
      <alignment horizontal="center" vertical="top" wrapText="1"/>
    </xf>
    <xf numFmtId="0" fontId="12" fillId="6" borderId="42" xfId="10" applyFont="1" applyFill="1" applyBorder="1" applyAlignment="1">
      <alignment horizontal="center" vertical="top" wrapText="1"/>
    </xf>
    <xf numFmtId="0" fontId="12" fillId="6" borderId="38" xfId="10" applyFont="1" applyFill="1" applyBorder="1" applyAlignment="1">
      <alignment horizontal="center" vertical="top" wrapText="1"/>
    </xf>
    <xf numFmtId="0" fontId="12" fillId="6" borderId="25" xfId="10" applyFont="1" applyFill="1" applyBorder="1" applyAlignment="1">
      <alignment horizontal="center" vertical="top" wrapText="1"/>
    </xf>
    <xf numFmtId="0" fontId="12" fillId="6" borderId="43" xfId="10" applyFont="1" applyFill="1" applyBorder="1" applyAlignment="1">
      <alignment horizontal="center" vertical="top" wrapText="1"/>
    </xf>
    <xf numFmtId="0" fontId="12" fillId="0" borderId="43" xfId="7" applyFont="1" applyBorder="1" applyAlignment="1">
      <alignment horizontal="center" vertical="top"/>
    </xf>
    <xf numFmtId="175" fontId="12" fillId="6" borderId="15" xfId="10" applyNumberFormat="1" applyFont="1" applyFill="1" applyBorder="1" applyAlignment="1">
      <alignment horizontal="center" vertical="top"/>
    </xf>
    <xf numFmtId="14" fontId="12" fillId="6" borderId="38" xfId="10" applyNumberFormat="1" applyFont="1" applyFill="1" applyBorder="1" applyAlignment="1">
      <alignment horizontal="center" vertical="top"/>
    </xf>
    <xf numFmtId="14" fontId="12" fillId="6" borderId="25" xfId="10" applyNumberFormat="1" applyFont="1" applyFill="1" applyBorder="1" applyAlignment="1">
      <alignment horizontal="center" vertical="top"/>
    </xf>
    <xf numFmtId="14" fontId="12" fillId="6" borderId="43" xfId="10" applyNumberFormat="1" applyFont="1" applyFill="1" applyBorder="1" applyAlignment="1">
      <alignment horizontal="center" vertical="top"/>
    </xf>
    <xf numFmtId="0" fontId="12" fillId="17" borderId="13" xfId="10" applyFont="1" applyFill="1" applyBorder="1" applyAlignment="1">
      <alignment horizontal="center" vertical="top" wrapText="1"/>
    </xf>
    <xf numFmtId="0" fontId="12" fillId="17" borderId="17" xfId="10" applyFont="1" applyFill="1" applyBorder="1" applyAlignment="1">
      <alignment horizontal="center" vertical="top" wrapText="1"/>
    </xf>
    <xf numFmtId="0" fontId="12" fillId="17" borderId="22" xfId="10" applyFont="1" applyFill="1" applyBorder="1" applyAlignment="1">
      <alignment horizontal="center" vertical="top" wrapText="1"/>
    </xf>
    <xf numFmtId="0" fontId="12" fillId="17" borderId="15" xfId="10" applyFont="1" applyFill="1" applyBorder="1" applyAlignment="1">
      <alignment horizontal="center" vertical="top" wrapText="1"/>
    </xf>
    <xf numFmtId="0" fontId="12" fillId="17" borderId="19" xfId="10" applyFont="1" applyFill="1" applyBorder="1" applyAlignment="1">
      <alignment horizontal="center" vertical="top" wrapText="1"/>
    </xf>
    <xf numFmtId="0" fontId="12" fillId="17" borderId="24" xfId="10" applyFont="1" applyFill="1" applyBorder="1" applyAlignment="1">
      <alignment horizontal="center" vertical="top" wrapText="1"/>
    </xf>
    <xf numFmtId="16" fontId="12" fillId="0" borderId="15" xfId="10" applyNumberFormat="1" applyFont="1" applyBorder="1" applyAlignment="1">
      <alignment horizontal="left" vertical="top" wrapText="1"/>
    </xf>
    <xf numFmtId="0" fontId="12" fillId="0" borderId="15" xfId="7" applyFont="1" applyBorder="1" applyAlignment="1">
      <alignment horizontal="left" vertical="top" wrapText="1"/>
    </xf>
    <xf numFmtId="0" fontId="12" fillId="0" borderId="19" xfId="7" applyFont="1" applyBorder="1" applyAlignment="1">
      <alignment horizontal="left" vertical="top"/>
    </xf>
    <xf numFmtId="0" fontId="12" fillId="0" borderId="24" xfId="7" applyFont="1" applyBorder="1" applyAlignment="1">
      <alignment horizontal="left" vertical="top"/>
    </xf>
    <xf numFmtId="0" fontId="12" fillId="17" borderId="15" xfId="7" applyFont="1" applyFill="1" applyBorder="1" applyAlignment="1">
      <alignment horizontal="center" vertical="top"/>
    </xf>
    <xf numFmtId="0" fontId="12" fillId="17" borderId="19" xfId="7" applyFont="1" applyFill="1" applyBorder="1" applyAlignment="1">
      <alignment horizontal="center" vertical="top"/>
    </xf>
    <xf numFmtId="0" fontId="12" fillId="17" borderId="24" xfId="7" applyFont="1" applyFill="1" applyBorder="1" applyAlignment="1">
      <alignment horizontal="center" vertical="top"/>
    </xf>
    <xf numFmtId="175" fontId="12" fillId="17" borderId="38" xfId="10" applyNumberFormat="1" applyFont="1" applyFill="1" applyBorder="1" applyAlignment="1">
      <alignment horizontal="center" vertical="top"/>
    </xf>
    <xf numFmtId="175" fontId="12" fillId="17" borderId="25" xfId="10" applyNumberFormat="1" applyFont="1" applyFill="1" applyBorder="1" applyAlignment="1">
      <alignment horizontal="center" vertical="top"/>
    </xf>
    <xf numFmtId="175" fontId="12" fillId="17" borderId="15" xfId="10" applyNumberFormat="1" applyFont="1" applyFill="1" applyBorder="1" applyAlignment="1">
      <alignment horizontal="center" vertical="top" wrapText="1"/>
    </xf>
    <xf numFmtId="175" fontId="12" fillId="17" borderId="19" xfId="10" applyNumberFormat="1" applyFont="1" applyFill="1" applyBorder="1" applyAlignment="1">
      <alignment horizontal="center" vertical="top" wrapText="1"/>
    </xf>
    <xf numFmtId="175" fontId="12" fillId="17" borderId="24" xfId="10" applyNumberFormat="1" applyFont="1" applyFill="1" applyBorder="1" applyAlignment="1">
      <alignment horizontal="center" vertical="top" wrapText="1"/>
    </xf>
    <xf numFmtId="172" fontId="12" fillId="17" borderId="30" xfId="7" applyNumberFormat="1" applyFont="1" applyFill="1" applyBorder="1" applyAlignment="1">
      <alignment horizontal="center" vertical="center"/>
    </xf>
    <xf numFmtId="172" fontId="12" fillId="17" borderId="31" xfId="7" applyNumberFormat="1" applyFont="1" applyFill="1" applyBorder="1" applyAlignment="1">
      <alignment horizontal="center" vertical="center"/>
    </xf>
    <xf numFmtId="172" fontId="12" fillId="17" borderId="32" xfId="7" applyNumberFormat="1" applyFont="1" applyFill="1" applyBorder="1" applyAlignment="1">
      <alignment horizontal="center" vertical="center"/>
    </xf>
    <xf numFmtId="0" fontId="12" fillId="17" borderId="38" xfId="7" applyFont="1" applyFill="1" applyBorder="1" applyAlignment="1">
      <alignment horizontal="center" vertical="top"/>
    </xf>
    <xf numFmtId="0" fontId="12" fillId="17" borderId="1" xfId="7" applyFont="1" applyFill="1" applyBorder="1" applyAlignment="1">
      <alignment horizontal="center" vertical="top"/>
    </xf>
    <xf numFmtId="0" fontId="12" fillId="17" borderId="3" xfId="7" applyFont="1" applyFill="1" applyBorder="1" applyAlignment="1">
      <alignment horizontal="center" vertical="top"/>
    </xf>
    <xf numFmtId="49" fontId="10" fillId="2" borderId="5" xfId="7" applyNumberFormat="1" applyFont="1" applyFill="1" applyBorder="1" applyAlignment="1">
      <alignment horizontal="center" vertical="center" wrapText="1"/>
    </xf>
    <xf numFmtId="49" fontId="10" fillId="2" borderId="144" xfId="7" applyNumberFormat="1" applyFont="1" applyFill="1" applyBorder="1" applyAlignment="1">
      <alignment horizontal="center" vertical="center" wrapText="1"/>
    </xf>
    <xf numFmtId="49" fontId="10" fillId="10" borderId="25" xfId="8" applyNumberFormat="1" applyFont="1" applyFill="1" applyBorder="1" applyAlignment="1">
      <alignment horizontal="center" vertical="center"/>
    </xf>
    <xf numFmtId="49" fontId="10" fillId="10" borderId="43" xfId="8" applyNumberFormat="1" applyFont="1" applyFill="1" applyBorder="1" applyAlignment="1">
      <alignment horizontal="center" vertical="center"/>
    </xf>
    <xf numFmtId="49" fontId="10" fillId="11" borderId="5" xfId="7" applyNumberFormat="1" applyFont="1" applyFill="1" applyBorder="1" applyAlignment="1">
      <alignment horizontal="center" vertical="center" wrapText="1"/>
    </xf>
    <xf numFmtId="49" fontId="10" fillId="2" borderId="71" xfId="7" applyNumberFormat="1" applyFont="1" applyFill="1" applyBorder="1" applyAlignment="1">
      <alignment horizontal="center" vertical="center" wrapText="1"/>
    </xf>
    <xf numFmtId="49" fontId="10" fillId="2" borderId="72" xfId="7" applyNumberFormat="1" applyFont="1" applyFill="1" applyBorder="1" applyAlignment="1">
      <alignment horizontal="center" vertical="center" wrapText="1"/>
    </xf>
    <xf numFmtId="49" fontId="10" fillId="2" borderId="73" xfId="7" applyNumberFormat="1" applyFont="1" applyFill="1" applyBorder="1" applyAlignment="1">
      <alignment horizontal="center" vertical="center" wrapText="1"/>
    </xf>
    <xf numFmtId="49" fontId="10" fillId="11" borderId="144" xfId="7" applyNumberFormat="1" applyFont="1" applyFill="1" applyBorder="1" applyAlignment="1">
      <alignment horizontal="center" vertical="center" wrapText="1"/>
    </xf>
    <xf numFmtId="49" fontId="10" fillId="11" borderId="6" xfId="7" applyNumberFormat="1" applyFont="1" applyFill="1" applyBorder="1" applyAlignment="1">
      <alignment horizontal="center" vertical="center" wrapText="1"/>
    </xf>
    <xf numFmtId="49" fontId="10" fillId="11" borderId="7" xfId="7" applyNumberFormat="1" applyFont="1" applyFill="1" applyBorder="1" applyAlignment="1">
      <alignment horizontal="center" vertical="center" wrapText="1"/>
    </xf>
    <xf numFmtId="49" fontId="10" fillId="11" borderId="8" xfId="7" applyNumberFormat="1" applyFont="1" applyFill="1" applyBorder="1" applyAlignment="1">
      <alignment horizontal="center" vertical="center" wrapText="1"/>
    </xf>
    <xf numFmtId="49" fontId="10" fillId="11" borderId="71" xfId="7" applyNumberFormat="1" applyFont="1" applyFill="1" applyBorder="1" applyAlignment="1">
      <alignment horizontal="center" vertical="center" wrapText="1"/>
    </xf>
    <xf numFmtId="49" fontId="10" fillId="11" borderId="72" xfId="7" applyNumberFormat="1" applyFont="1" applyFill="1" applyBorder="1" applyAlignment="1">
      <alignment horizontal="center" vertical="center" wrapText="1"/>
    </xf>
    <xf numFmtId="49" fontId="10" fillId="11" borderId="73" xfId="7" applyNumberFormat="1" applyFont="1" applyFill="1" applyBorder="1" applyAlignment="1">
      <alignment horizontal="center" vertical="center" wrapText="1"/>
    </xf>
    <xf numFmtId="49" fontId="10" fillId="11" borderId="4" xfId="7" applyNumberFormat="1" applyFont="1" applyFill="1" applyBorder="1" applyAlignment="1">
      <alignment horizontal="center" vertical="center" wrapText="1"/>
    </xf>
    <xf numFmtId="49" fontId="10" fillId="11" borderId="145" xfId="7" applyNumberFormat="1" applyFont="1" applyFill="1" applyBorder="1" applyAlignment="1">
      <alignment horizontal="center" vertical="center" wrapText="1"/>
    </xf>
    <xf numFmtId="14" fontId="10" fillId="11" borderId="5" xfId="7" applyNumberFormat="1" applyFont="1" applyFill="1" applyBorder="1" applyAlignment="1">
      <alignment horizontal="center" vertical="center" wrapText="1"/>
    </xf>
    <xf numFmtId="14" fontId="10" fillId="11" borderId="144" xfId="7" applyNumberFormat="1" applyFont="1" applyFill="1" applyBorder="1" applyAlignment="1">
      <alignment horizontal="center" vertical="center" wrapText="1"/>
    </xf>
    <xf numFmtId="175" fontId="12" fillId="0" borderId="19" xfId="7" applyNumberFormat="1" applyFont="1" applyBorder="1" applyAlignment="1">
      <alignment horizontal="center" vertical="center"/>
    </xf>
    <xf numFmtId="175" fontId="12" fillId="0" borderId="129" xfId="7" applyNumberFormat="1" applyFont="1" applyBorder="1" applyAlignment="1">
      <alignment horizontal="center" vertical="center" wrapText="1"/>
    </xf>
    <xf numFmtId="175" fontId="12" fillId="0" borderId="3" xfId="7" applyNumberFormat="1" applyFont="1" applyBorder="1" applyAlignment="1">
      <alignment horizontal="center" vertical="center"/>
    </xf>
    <xf numFmtId="16" fontId="42" fillId="0" borderId="26" xfId="10" applyNumberFormat="1" applyFont="1" applyBorder="1" applyAlignment="1">
      <alignment horizontal="left" vertical="top" wrapText="1"/>
    </xf>
    <xf numFmtId="175" fontId="12" fillId="6" borderId="38" xfId="10" applyNumberFormat="1" applyFont="1" applyFill="1" applyBorder="1" applyAlignment="1">
      <alignment horizontal="center" vertical="top" wrapText="1"/>
    </xf>
    <xf numFmtId="175" fontId="12" fillId="6" borderId="25" xfId="10" applyNumberFormat="1" applyFont="1" applyFill="1" applyBorder="1" applyAlignment="1">
      <alignment horizontal="center" vertical="top" wrapText="1"/>
    </xf>
    <xf numFmtId="175" fontId="12" fillId="6" borderId="43" xfId="10" applyNumberFormat="1" applyFont="1" applyFill="1" applyBorder="1" applyAlignment="1">
      <alignment horizontal="center" vertical="top" wrapText="1"/>
    </xf>
    <xf numFmtId="0" fontId="12" fillId="0" borderId="38" xfId="7" applyFont="1" applyBorder="1" applyAlignment="1">
      <alignment horizontal="center" vertical="center"/>
    </xf>
    <xf numFmtId="0" fontId="12" fillId="0" borderId="25" xfId="7" applyFont="1" applyBorder="1" applyAlignment="1">
      <alignment horizontal="center" vertical="center"/>
    </xf>
    <xf numFmtId="0" fontId="12" fillId="0" borderId="43" xfId="7" applyFont="1" applyBorder="1" applyAlignment="1">
      <alignment horizontal="center" vertical="center"/>
    </xf>
    <xf numFmtId="0" fontId="12" fillId="17" borderId="26" xfId="7" applyFont="1" applyFill="1" applyBorder="1" applyAlignment="1">
      <alignment horizontal="center" vertical="center"/>
    </xf>
    <xf numFmtId="0" fontId="12" fillId="17" borderId="19" xfId="7" applyFont="1" applyFill="1" applyBorder="1" applyAlignment="1">
      <alignment horizontal="center" vertical="center"/>
    </xf>
    <xf numFmtId="175" fontId="12" fillId="17" borderId="19" xfId="7" applyNumberFormat="1" applyFont="1" applyFill="1" applyBorder="1" applyAlignment="1">
      <alignment horizontal="center" vertical="center"/>
    </xf>
    <xf numFmtId="0" fontId="12" fillId="0" borderId="19" xfId="7" applyFont="1" applyBorder="1" applyAlignment="1">
      <alignment horizontal="center" vertical="center" wrapText="1"/>
    </xf>
    <xf numFmtId="0" fontId="21" fillId="5" borderId="15" xfId="15" applyFont="1" applyFill="1" applyBorder="1" applyAlignment="1">
      <alignment horizontal="center" vertical="center"/>
    </xf>
    <xf numFmtId="0" fontId="21" fillId="5" borderId="24" xfId="15" applyFont="1" applyFill="1" applyBorder="1" applyAlignment="1">
      <alignment horizontal="center" vertical="center"/>
    </xf>
    <xf numFmtId="0" fontId="21" fillId="5" borderId="13" xfId="15" applyFont="1" applyFill="1" applyBorder="1" applyAlignment="1">
      <alignment horizontal="center" vertical="center"/>
    </xf>
    <xf numFmtId="0" fontId="21" fillId="5" borderId="22" xfId="15" applyFont="1" applyFill="1" applyBorder="1" applyAlignment="1">
      <alignment horizontal="center" vertical="center"/>
    </xf>
    <xf numFmtId="0" fontId="21" fillId="5" borderId="15" xfId="15" applyFont="1" applyFill="1" applyBorder="1" applyAlignment="1">
      <alignment horizontal="center" vertical="center" wrapText="1"/>
    </xf>
    <xf numFmtId="0" fontId="21" fillId="5" borderId="24" xfId="15" applyFont="1" applyFill="1" applyBorder="1" applyAlignment="1">
      <alignment horizontal="center" vertical="center" wrapText="1"/>
    </xf>
    <xf numFmtId="0" fontId="21" fillId="5" borderId="38" xfId="15" applyFont="1" applyFill="1" applyBorder="1" applyAlignment="1">
      <alignment horizontal="center" vertical="center"/>
    </xf>
    <xf numFmtId="0" fontId="21" fillId="5" borderId="25" xfId="15" applyFont="1" applyFill="1" applyBorder="1" applyAlignment="1">
      <alignment horizontal="center" vertical="center"/>
    </xf>
    <xf numFmtId="0" fontId="21" fillId="5" borderId="19" xfId="15" applyFont="1" applyFill="1" applyBorder="1" applyAlignment="1">
      <alignment horizontal="center" vertical="center" wrapText="1"/>
    </xf>
    <xf numFmtId="0" fontId="21" fillId="0" borderId="19" xfId="15" applyFont="1" applyBorder="1" applyAlignment="1">
      <alignment horizontal="center" vertical="center"/>
    </xf>
    <xf numFmtId="0" fontId="21" fillId="0" borderId="19" xfId="15" applyFont="1" applyBorder="1" applyAlignment="1">
      <alignment horizontal="center" vertical="center" wrapText="1"/>
    </xf>
    <xf numFmtId="0" fontId="21" fillId="5" borderId="38" xfId="15" applyFont="1" applyFill="1" applyBorder="1" applyAlignment="1">
      <alignment horizontal="center" vertical="center" wrapText="1"/>
    </xf>
    <xf numFmtId="0" fontId="21" fillId="5" borderId="26" xfId="15" applyFont="1" applyFill="1" applyBorder="1" applyAlignment="1">
      <alignment horizontal="center" vertical="center"/>
    </xf>
    <xf numFmtId="0" fontId="29" fillId="5" borderId="38" xfId="15" applyFont="1" applyFill="1" applyBorder="1" applyAlignment="1">
      <alignment horizontal="center" vertical="center" wrapText="1"/>
    </xf>
    <xf numFmtId="0" fontId="29" fillId="5" borderId="26" xfId="15" applyFont="1" applyFill="1" applyBorder="1" applyAlignment="1">
      <alignment horizontal="center" vertical="center" wrapText="1"/>
    </xf>
    <xf numFmtId="175" fontId="42" fillId="18" borderId="5" xfId="0" applyNumberFormat="1" applyFont="1" applyFill="1" applyBorder="1" applyAlignment="1">
      <alignment horizontal="center" vertical="center" wrapText="1" shrinkToFit="1"/>
    </xf>
    <xf numFmtId="49" fontId="42" fillId="18" borderId="5" xfId="0" applyNumberFormat="1" applyFont="1" applyFill="1" applyBorder="1" applyAlignment="1">
      <alignment horizontal="center" vertical="center" shrinkToFit="1"/>
    </xf>
    <xf numFmtId="175" fontId="42" fillId="0" borderId="78" xfId="0" applyNumberFormat="1" applyFont="1" applyBorder="1" applyAlignment="1">
      <alignment horizontal="center" vertical="center"/>
    </xf>
    <xf numFmtId="174" fontId="22" fillId="0" borderId="79" xfId="0" applyNumberFormat="1" applyFont="1" applyBorder="1" applyAlignment="1">
      <alignment vertical="center"/>
    </xf>
    <xf numFmtId="174" fontId="22" fillId="0" borderId="103" xfId="0" applyNumberFormat="1" applyFont="1" applyBorder="1" applyAlignment="1">
      <alignment vertical="center"/>
    </xf>
    <xf numFmtId="174" fontId="22" fillId="0" borderId="167" xfId="0" applyNumberFormat="1" applyFont="1" applyBorder="1" applyAlignment="1">
      <alignment vertical="center"/>
    </xf>
  </cellXfs>
  <cellStyles count="17">
    <cellStyle name="Comma [0]" xfId="1" builtinId="6"/>
    <cellStyle name="Hyperlink 3" xfId="13" xr:uid="{BCE5DD7E-6CB5-4044-9535-E5543A57B69D}"/>
    <cellStyle name="Normal" xfId="0" builtinId="0"/>
    <cellStyle name="Normal 2" xfId="14" xr:uid="{167B3E48-2831-4B96-A5F5-181CAEE94EC9}"/>
    <cellStyle name="Percent" xfId="5" builtinId="5"/>
    <cellStyle name="쉼표 [0] 2" xfId="2" xr:uid="{00000000-0005-0000-0000-000001000000}"/>
    <cellStyle name="쉼표 [0] 2 2" xfId="4" xr:uid="{00000000-0005-0000-0000-000002000000}"/>
    <cellStyle name="쉼표 [0] 3" xfId="3" xr:uid="{00000000-0005-0000-0000-000003000000}"/>
    <cellStyle name="표준 10" xfId="12" xr:uid="{A0B19734-5E42-4F32-AF9B-D9C37469D685}"/>
    <cellStyle name="표준 10 2" xfId="8" xr:uid="{AEF945D4-B40A-4731-9BFC-0B4EA5C45297}"/>
    <cellStyle name="표준 2" xfId="7" xr:uid="{4B169FE7-412C-47C9-8326-B463BC552A8F}"/>
    <cellStyle name="표준 2 2 2" xfId="10" xr:uid="{C8232B74-F4FE-4915-A481-24C674739588}"/>
    <cellStyle name="표준 3" xfId="11" xr:uid="{86DE19C3-7B88-494D-98CB-5390FDCEB3CF}"/>
    <cellStyle name="표준 4 2" xfId="6" xr:uid="{EDF355ED-5697-4F36-9E87-1328B1F9B7DB}"/>
    <cellStyle name="一般 2" xfId="9" xr:uid="{96F824E9-39C7-462A-BFBF-761BDC363AF4}"/>
    <cellStyle name="一般 3" xfId="15" xr:uid="{513D7F48-4DE7-4B76-ACFF-4A68406A7C86}"/>
    <cellStyle name="一般 4" xfId="16" xr:uid="{6BBC6FEC-A51A-451C-A26F-801A1763DC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theme" Target="theme/theme1.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51060;&#49345;&#51068;-pc\&#44204;&#51201;&#44288;&#47532;-2017\My%20Documents\Jebel%20Ali%20KII\MOBI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rva020\atyrau$\Documents%20and%20Settings\A0731\Desktop\Jacob\Haradh\PlanData\Planning&amp;reporti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pulau%20final\WINDOWS\Desktop\New%20Folder\Qo-158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1060;&#49345;&#51068;-pc\&#44204;&#51201;&#44288;&#47532;-2017\pulau%20final\WINDOWS\Desktop\New%20Folder\Qo-158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26358(&#48149;&#52380;&#50864;)\&#44032;BTIP\My%20Documents\SKKIM\Work1999\&#54840;&#45224;&#49437;&#50976;\&#49892;&#54665;BM\YUKONG\PROPOSAL\SEOUL\PROPOS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CHINA\PROJECT\CONTROL\CST_STA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stimated%20boqs\2013\SWCC%20-JUBAIL\Sec%20site%20offices\pricelist\MAJOR%20FAS%20EQUIPMENT%20LIST.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stimated%20boqs\2012\Sec%20site%20offices\pricelist\MAJOR%20FAS%20EQUIPMENT%20LIST.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66.5.51.66\MC%20Share\YEAR\Material%20Master%20Control%20Sheet_ORIGINAL(PIPING).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USER/Desktop/APOC&#49828;&#54168;&#49500;&#53076;&#46300;220928/SC6677_H0_Special%20Description_20220928_COLD%20SUPPOR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rsel4ws00008\&#54540;&#47004;&#53944;&#50689;&#50629;&#54016;\PROJECT\CN9642B\BACK-UP\01GENERL\EXL-SHET\EXL-WORK\KJ-KIM\PROJECTS\CYPRUS\PROJ-C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TL"/>
      <sheetName val="기능공"/>
      <sheetName val="기능공 (3)"/>
      <sheetName val="연도별 자금"/>
      <sheetName val="월별자금"/>
      <sheetName val="기능공 (2)"/>
      <sheetName val="LOAD"/>
    </sheetNames>
    <sheetDataSet>
      <sheetData sheetId="0" refreshError="1">
        <row r="6">
          <cell r="G6">
            <v>1</v>
          </cell>
          <cell r="H6">
            <v>2</v>
          </cell>
          <cell r="I6">
            <v>3</v>
          </cell>
          <cell r="J6">
            <v>4</v>
          </cell>
          <cell r="K6">
            <v>5</v>
          </cell>
          <cell r="L6">
            <v>6</v>
          </cell>
          <cell r="M6">
            <v>7</v>
          </cell>
          <cell r="N6">
            <v>8</v>
          </cell>
          <cell r="O6">
            <v>9</v>
          </cell>
          <cell r="P6">
            <v>10</v>
          </cell>
          <cell r="Q6">
            <v>11</v>
          </cell>
          <cell r="R6">
            <v>12</v>
          </cell>
          <cell r="S6">
            <v>13</v>
          </cell>
          <cell r="T6">
            <v>14</v>
          </cell>
          <cell r="U6">
            <v>15</v>
          </cell>
          <cell r="V6">
            <v>16</v>
          </cell>
          <cell r="W6">
            <v>17</v>
          </cell>
          <cell r="X6">
            <v>18</v>
          </cell>
          <cell r="Y6">
            <v>19</v>
          </cell>
          <cell r="Z6">
            <v>20</v>
          </cell>
          <cell r="AA6">
            <v>21</v>
          </cell>
          <cell r="AB6">
            <v>22</v>
          </cell>
          <cell r="AC6">
            <v>23</v>
          </cell>
          <cell r="AD6">
            <v>24</v>
          </cell>
          <cell r="AE6">
            <v>25</v>
          </cell>
          <cell r="AF6">
            <v>26</v>
          </cell>
          <cell r="AG6">
            <v>27</v>
          </cell>
          <cell r="AH6">
            <v>28</v>
          </cell>
          <cell r="AI6">
            <v>29</v>
          </cell>
          <cell r="AJ6">
            <v>30</v>
          </cell>
          <cell r="AK6">
            <v>31</v>
          </cell>
          <cell r="AL6">
            <v>32</v>
          </cell>
          <cell r="AM6">
            <v>33</v>
          </cell>
          <cell r="AN6">
            <v>34</v>
          </cell>
          <cell r="AO6">
            <v>35</v>
          </cell>
          <cell r="AP6">
            <v>36</v>
          </cell>
          <cell r="AQ6">
            <v>37</v>
          </cell>
          <cell r="AR6">
            <v>38</v>
          </cell>
          <cell r="AS6">
            <v>39</v>
          </cell>
          <cell r="AT6">
            <v>40</v>
          </cell>
          <cell r="AU6">
            <v>41</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SUMMARY"/>
      <sheetName val="3000-A"/>
      <sheetName val="5000-A"/>
      <sheetName val="6000-A"/>
      <sheetName val="9000-A"/>
      <sheetName val="管道资料"/>
      <sheetName val="9DATA"/>
      <sheetName val="A000-A"/>
      <sheetName val="0DATA"/>
      <sheetName val="9管道资料"/>
      <sheetName val="FWBS 9000"/>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A000"/>
      <sheetName val="FWBS A000"/>
      <sheetName val="B000"/>
      <sheetName val="FWBS B000"/>
      <sheetName val="Z000"/>
      <sheetName val="FWBS Z000"/>
      <sheetName val="TYPE-A"/>
      <sheetName val="12CGOU"/>
      <sheetName val="Final(1)summary"/>
      <sheetName val="Chart"/>
      <sheetName val="B"/>
      <sheetName val="95신규호표"/>
      <sheetName val="COA-17"/>
      <sheetName val="C-18"/>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Planning&amp;reporting"/>
      <sheetName val="A"/>
      <sheetName val="DRUM"/>
      <sheetName val="PNTEXT"/>
      <sheetName val="Cash2"/>
      <sheetName val="Z"/>
      <sheetName val="산근"/>
      <sheetName val="EE-PROP"/>
      <sheetName val="Onerous Terms"/>
      <sheetName val="집계표"/>
      <sheetName val="INVOICE_CERT EIV'S"/>
      <sheetName val="0000"/>
      <sheetName val="EQUIPMENT"/>
      <sheetName val="자금운영"/>
      <sheetName val="도"/>
      <sheetName val="Basic"/>
      <sheetName val="Building BD"/>
      <sheetName val="jobhist"/>
      <sheetName val=" Sum"/>
      <sheetName val="TTL"/>
      <sheetName val="MTP"/>
      <sheetName val="INSTR"/>
      <sheetName val="실제 도면출도"/>
      <sheetName val="SOHAR(2nd)"/>
      <sheetName val="공사비 내역 (가)"/>
      <sheetName val="嗔5喸5"/>
      <sheetName val="ENE-CAL"/>
      <sheetName val="plan&amp;section of foundation"/>
      <sheetName val="design criteria"/>
      <sheetName val="CAL"/>
      <sheetName val="#REF"/>
      <sheetName val="대비표"/>
      <sheetName val="w't table"/>
      <sheetName val="BQMP"/>
      <sheetName val="DESCRIPTION"/>
      <sheetName val="BM DATA SHEET"/>
      <sheetName val="Eq. Mobilization"/>
      <sheetName val="당초"/>
      <sheetName val="표지"/>
      <sheetName val="D-623D"/>
      <sheetName val="33628-Rev. A"/>
      <sheetName val="Progress Tab"/>
      <sheetName val="BATCH"/>
      <sheetName val="具志川H社"/>
      <sheetName val="ORIGINAL"/>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
      <sheetName val="Running compatibility check _x0000_A_x0000_"/>
      <sheetName val="CASH"/>
      <sheetName val="상반기손익차2총괄"/>
      <sheetName val="입찰내역 발주처 양식"/>
      <sheetName val="집계표(OPTION)"/>
      <sheetName val="BM"/>
      <sheetName val="기계내역서"/>
      <sheetName val="Sheet1"/>
      <sheetName val="Kuan&amp;Har(PT)"/>
      <sheetName val="Alat"/>
      <sheetName val="공사비SUM"/>
      <sheetName val="PRO_DCI"/>
      <sheetName val="INST_DCI"/>
      <sheetName val="HVAC_DCI"/>
      <sheetName val="PIPE_DCI"/>
      <sheetName val="合成単価作成表-BLDG"/>
      <sheetName val="LinerWt"/>
      <sheetName val="Sheet4"/>
      <sheetName val="M 11"/>
      <sheetName val="PIPING"/>
      <sheetName val="EQT-ESTN"/>
      <sheetName val="WIP"/>
      <sheetName val="기성내역"/>
      <sheetName val="INVOICE_CERT_EIV'S"/>
      <sheetName val="Sheet13"/>
      <sheetName val="Sheet14"/>
      <sheetName val="REINF."/>
      <sheetName val="SKETCH"/>
      <sheetName val="AC"/>
      <sheetName val="목표세부명세"/>
      <sheetName val="기둥(원형)"/>
      <sheetName val="member design"/>
      <sheetName val="List"/>
      <sheetName val="Concept Offshore"/>
      <sheetName val="working load at the btm ft."/>
      <sheetName val="soil bearing check"/>
      <sheetName val="3. GROUNDING SYSTEM"/>
      <sheetName val="PC CATCH PIT 1X1X1.2M"/>
      <sheetName val="PC CATCH PIT .6X.6X1.0M"/>
      <sheetName val="PC COVER 100MM THK .95x.3"/>
      <sheetName val="PC COVER 250MM THK 2.2x.3"/>
      <sheetName val="7102"/>
      <sheetName val="Adjusted Bids"/>
      <sheetName val="Running compatibility check "/>
      <sheetName val="Chiet tinh dz35"/>
      <sheetName val="SUM_FSBLT2"/>
      <sheetName val="FWBS_90002"/>
      <sheetName val="Overall_Project2"/>
      <sheetName val="Overall_Process2"/>
      <sheetName val="Overall_Utility2"/>
      <sheetName val="FWBS_10002"/>
      <sheetName val="FWBS_20002"/>
      <sheetName val="FWBS_30002"/>
      <sheetName val="FWBS_50002"/>
      <sheetName val="FWBS_60002"/>
      <sheetName val="FWBS_70002"/>
      <sheetName val="FWBS_80002"/>
      <sheetName val="FWBS_A0002"/>
      <sheetName val="FWBS_B0002"/>
      <sheetName val="FWBS_Z0002"/>
      <sheetName val="INVOICE_CERT_EIV'S1"/>
      <sheetName val="Onerous_Terms"/>
      <sheetName val="Building_BD"/>
      <sheetName val="_Sum"/>
      <sheetName val="실제_도면출도"/>
      <sheetName val="공사비_내역_(가)"/>
      <sheetName val="plan&amp;section_of_foundation"/>
      <sheetName val="design_criteria"/>
      <sheetName val="w't_table"/>
      <sheetName val="Eq__Mobilization"/>
      <sheetName val="BM_DATA_SHEET"/>
      <sheetName val="33628-Rev__A"/>
      <sheetName val="Progress_Tab"/>
      <sheetName val="입찰내역_발주처_양식"/>
      <sheetName val="M_11"/>
      <sheetName val="REINF_"/>
      <sheetName val="뜃맟뭁돽띿맟?-BLDG"/>
      <sheetName val="A(Rev.3)"/>
      <sheetName val="Hoja1"/>
      <sheetName val="Auxi"/>
      <sheetName val="Running_compatibility_check_A"/>
      <sheetName val="3__GROUNDING_SYSTEM"/>
      <sheetName val="Building_BD1"/>
      <sheetName val="Onerous_Terms1"/>
      <sheetName val="_Sum1"/>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설비"/>
      <sheetName val="공문"/>
      <sheetName val="Breakdown-1"/>
      <sheetName val="Pipe"/>
      <sheetName val="Add"/>
      <sheetName val="FitOutConfCentre"/>
      <sheetName val="RFP002"/>
      <sheetName val="코드"/>
      <sheetName val="자바라1"/>
      <sheetName val="基数"/>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Planning&amp;reporting.xlsM9000-A"/>
      <sheetName val="Running compatibility check _x0"/>
      <sheetName val="A (2)"/>
      <sheetName val="1100"/>
      <sheetName val="datasheet"/>
      <sheetName val="C,E"/>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Running compatibility check ?A?"/>
      <sheetName val="salary"/>
      <sheetName val="Cashflow Analysis"/>
      <sheetName val="Running compatibility check _A_"/>
      <sheetName val="Sheet"/>
      <sheetName val="Backup"/>
      <sheetName val="MTO"/>
      <sheetName val="Direct Prices"/>
      <sheetName val="Лист1"/>
      <sheetName val="뜃맟뭁돽띿맟_-BLDG"/>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00-Summary Information-ABB"/>
      <sheetName val="DO NOT Delete"/>
      <sheetName val="WORKSHEET CS"/>
      <sheetName val="DATA"/>
      <sheetName val="Petty"/>
      <sheetName val="page 6"/>
      <sheetName val="_Planning&amp;reporting.xlsM9000-A"/>
      <sheetName val="CODE"/>
      <sheetName val="J"/>
      <sheetName val="DATOS"/>
      <sheetName val="BAG-2"/>
      <sheetName val="[Planning&amp;reporting_xlsM9000-A"/>
      <sheetName val="Running_compatibility_check__x0"/>
      <sheetName val="Running_compatibility_check_?A?"/>
      <sheetName val="Running_compatibility_check__A_"/>
      <sheetName val="Civil Weekly"/>
      <sheetName val="Cashflow_Analysis"/>
      <sheetName val="List_of_WorkPacks"/>
      <sheetName val="List_of_Dates"/>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A_(2)"/>
      <sheetName val="BID"/>
      <sheetName val="P-Ins &amp; Bonds"/>
      <sheetName val="P-Site fac"/>
      <sheetName val="P-Clients fac"/>
      <sheetName val="P Staff fac"/>
      <sheetName val="factor "/>
      <sheetName val="CASHFLOWS"/>
      <sheetName val="Structural Comp"/>
      <sheetName val="차액보증"/>
      <sheetName val="19.05.2010"/>
      <sheetName val="Earthworks ERP"/>
      <sheetName val="24.06.2010"/>
      <sheetName val="Small Structures ERP"/>
      <sheetName val="Large Structures ERP"/>
      <sheetName val="Tunnelling ERP"/>
      <sheetName val="0124"/>
      <sheetName val="Structural_Comp"/>
      <sheetName val="vlookup - do not print"/>
      <sheetName val="Rate Analysis"/>
      <sheetName val="Depreciation"/>
      <sheetName val="실제_도면출도6"/>
      <sheetName val="공사비_내역_(가)6"/>
      <sheetName val="plan&amp;section_of_foundation6"/>
      <sheetName val="design_criteria6"/>
      <sheetName val="w't_table6"/>
      <sheetName val="BM_DATA_SHEET6"/>
      <sheetName val="Progress_Tab6"/>
      <sheetName val="Eq__Mobilization6"/>
      <sheetName val="33628-Rev__A6"/>
      <sheetName val="입찰내역_발주처_양식6"/>
      <sheetName val="M_116"/>
      <sheetName val=" N Finansal Eğri"/>
      <sheetName val="1"/>
      <sheetName val="손익차9월2"/>
      <sheetName val="Notes"/>
      <sheetName val="Orçamento"/>
      <sheetName val="Lists"/>
      <sheetName val="Time Rates "/>
      <sheetName val="COMPLEXALL"/>
      <sheetName val="EmpList"/>
      <sheetName val="Personnel"/>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INVOICE_CERT_EIV'S7"/>
      <sheetName val="Onerous_Terms7"/>
      <sheetName val="Building_BD7"/>
      <sheetName val="_Sum7"/>
      <sheetName val="REINF_6"/>
      <sheetName val="3__GROUNDING_SYSTEM6"/>
      <sheetName val="member_design5"/>
      <sheetName val="PC_CATCH_PIT_1X1X1_2M5"/>
      <sheetName val="PC_CATCH_PIT__6X_6X1_0M5"/>
      <sheetName val="PC_COVER_100MM_THK__95x_35"/>
      <sheetName val="PC_COVER_250MM_THK_2_2x_35"/>
      <sheetName val="Adjusted_Bids5"/>
      <sheetName val="working_load_at_the_btm_ft_5"/>
      <sheetName val="soil_bearing_check5"/>
      <sheetName val="Concept_Offshore5"/>
      <sheetName val="Chiet_tinh_dz355"/>
      <sheetName val="Running_compatibility_check_5"/>
      <sheetName val="A(Rev_3)5"/>
      <sheetName val="inter"/>
      <sheetName val="유림골조"/>
      <sheetName val="FAB별"/>
      <sheetName val="유림콘도"/>
      <sheetName val="Pricing Summary"/>
      <sheetName val="Net Cost - Final Base"/>
      <sheetName val="7.6Net Cost Agreed on Dec-04 R1"/>
      <sheetName val="Net Cost Agreed on Dec-04 Rev1"/>
      <sheetName val="7.6 Net Cost Agreed on Dec-04"/>
      <sheetName val="Net Cost Agreed on Dec-04"/>
      <sheetName val="Total for Check"/>
      <sheetName val="ITB COST"/>
      <sheetName val="_Planning&amp;reporting_xlsM9000-A"/>
      <sheetName val="Calendar"/>
      <sheetName val="Settings"/>
      <sheetName val="견적서표지0204-2 (2)"/>
      <sheetName val="Piping Spool"/>
      <sheetName val="Cost Definition"/>
      <sheetName val="견적 원가 "/>
      <sheetName val="총괄"/>
      <sheetName val="예산M11A"/>
      <sheetName val="PERHITUNGAN  KEEKONOMIAN"/>
      <sheetName val="SENSITIVITAS"/>
      <sheetName val="Drop Down"/>
      <sheetName val="Source Data"/>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부산제일극장"/>
      <sheetName val="RFP003_Building - B"/>
      <sheetName val="RFP005"/>
      <sheetName val="RFP006"/>
      <sheetName val="RFP012"/>
      <sheetName val="RFP009"/>
      <sheetName val="RFP004"/>
      <sheetName val="WORKSHEET_CS"/>
      <sheetName val="MOS"/>
      <sheetName val="Salary 2013"/>
      <sheetName val="EQUI"/>
      <sheetName val="CAPEX Categories"/>
      <sheetName val="목록박스"/>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sum"/>
      <sheetName val="97 사업추정(WEKI)"/>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Benchmark"/>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Direct_Prices"/>
      <sheetName val="page_6"/>
      <sheetName val="DO_NOT_Delete"/>
      <sheetName val="00-Summary_Information-ABB"/>
      <sheetName val="Sand"/>
      <sheetName val="Geotextile for geotube"/>
      <sheetName val="Geotube"/>
      <sheetName val="Hohlquader"/>
      <sheetName val="RD01"/>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0.0 Cover"/>
      <sheetName val="Hoja 3"/>
      <sheetName val="Cutoff"/>
      <sheetName val="INDIRECT OH&amp;P "/>
      <sheetName val="Hoja2"/>
      <sheetName val="Horas"/>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Menu"/>
      <sheetName val="PROGRAM"/>
      <sheetName val="CASHFLOW"/>
      <sheetName val="Summary (3)"/>
      <sheetName val="RRW Scaff"/>
      <sheetName val="RRW Oct-2019-1st Lot-13-10-19"/>
      <sheetName val="RRW Oct-2019-2st Lot-15-10-19"/>
      <sheetName val="Sheet16"/>
      <sheetName val="배5월출고"/>
      <sheetName val="회사99"/>
      <sheetName val="Cable Schedule"/>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tructural_Comp1"/>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Planning&amp;reporting_xlsM9000-A1"/>
      <sheetName val="Cashflow_Analysis1"/>
      <sheetName val="Time_Rates_"/>
      <sheetName val="GRAPH_DATA"/>
      <sheetName val="Report Wizard"/>
      <sheetName val="Initial Plan"/>
      <sheetName val="Progress"/>
      <sheetName val="S3-Costing"/>
      <sheetName val="S4-Costing"/>
      <sheetName val="ABBR"/>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개시대사 (2)"/>
      <sheetName val="BLDG_DCI"/>
      <sheetName val="BLDG_MCI"/>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7422CW00"/>
      <sheetName val="P-산#1-1(WOWA1)"/>
      <sheetName val="부하계산서"/>
      <sheetName val="LOADDAT"/>
      <sheetName val="sheet6"/>
      <sheetName val="DATA-DEP.(13-17)"/>
      <sheetName val="DATA-KBPL(17-25)"/>
      <sheetName val="DATA-GCC(25-34.7)"/>
      <sheetName val="St.-Con(0-17)"/>
      <sheetName val="St.-Con.(17-34)"/>
      <sheetName val="BQ-E20-02(Rp)"/>
      <sheetName val="DIV-03"/>
      <sheetName val="Sal"/>
      <sheetName val="Harsat"/>
      <sheetName val="Equiv.Length"/>
      <sheetName val="S-Curve (Weekly)"/>
      <sheetName val="MIBK원단위"/>
      <sheetName val="BAND(200)"/>
      <sheetName val="OUTER AREA(겹침없음)"/>
      <sheetName val="EG-09"/>
      <sheetName val="conta_rapor"/>
      <sheetName val="sonuç"/>
      <sheetName val="Follow-up"/>
      <sheetName val="Sayfa1"/>
      <sheetName val="Insulatıon_status"/>
      <sheetName val="INSULATION R1"/>
      <sheetName val="L V Separator"/>
      <sheetName val="TACE"/>
      <sheetName val="合成単価作成表_BLDG"/>
      <sheetName val="Prec.OTS"/>
      <sheetName val="Inert Balls"/>
      <sheetName val="Manpower List-1"/>
      <sheetName val="DAILY"/>
      <sheetName val="SUMMARY FOR DPR"/>
      <sheetName val="Index Daily Alloaction"/>
      <sheetName val="Manpower List"/>
      <sheetName val="A &amp; B"/>
      <sheetName val="P-Ins_&amp;_Bonds"/>
      <sheetName val="P-Site_fac"/>
      <sheetName val="P-Clients_fac"/>
      <sheetName val="P_Staff_fac"/>
      <sheetName val="factor_"/>
      <sheetName val="vlookup_-_do_not_print"/>
      <sheetName val="19_05_2010"/>
      <sheetName val="Earthworks_ERP"/>
      <sheetName val="24_06_2010"/>
      <sheetName val="Small_Structures_ERP"/>
      <sheetName val="Large_Structures_ERP"/>
      <sheetName val="Tunnelling_ERP"/>
      <sheetName val="Pricing_Summary"/>
      <sheetName val="Net_Cost_-_Final_Base"/>
      <sheetName val="7_6Net_Cost_Agreed_on_Dec-04_R1"/>
      <sheetName val="Net_Cost_Agreed_on_Dec-04_Rev1"/>
      <sheetName val="7_6_Net_Cost_Agreed_on_Dec-04"/>
      <sheetName val="Net_Cost_Agreed_on_Dec-04"/>
      <sheetName val="Total_for_Check"/>
      <sheetName val="Rate_Analysis"/>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APP-9"/>
      <sheetName val="MAPP"/>
      <sheetName val="rek det 1-3"/>
      <sheetName val="BP"/>
      <sheetName val="SPT vs PHI"/>
      <sheetName val="01-D.PERS"/>
      <sheetName val="breakdown"/>
      <sheetName val="Fig 4-14"/>
      <sheetName val="Fig 5-17"/>
      <sheetName val="전체계좌"/>
      <sheetName val="8104"/>
      <sheetName val="1771"/>
      <sheetName val="IMPULSE"/>
      <sheetName val="CASH-FLOW"/>
      <sheetName val="Table_Rates Data"/>
      <sheetName val="SOS_PLC &amp; Panel"/>
      <sheetName val="2000년_#1_HB"/>
      <sheetName val="BOQ LIST"/>
      <sheetName val="17安"/>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Part"/>
      <sheetName val="Setup"/>
      <sheetName val="Planilla CND"/>
      <sheetName val="Restricted"/>
      <sheetName val="노임단가"/>
      <sheetName val="교량대비"/>
      <sheetName val="내역서"/>
      <sheetName val="PDS U-1400"/>
      <sheetName val="SUM_FSBLT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900010"/>
      <sheetName val="FWBS_A00010"/>
      <sheetName val="FWBS_B00010"/>
      <sheetName val="FWBS_Z00010"/>
      <sheetName val="member_design7"/>
      <sheetName val="Onerous_Terms9"/>
      <sheetName val="Building_BD9"/>
      <sheetName val="INVOICE_CERT_EIV'S9"/>
      <sheetName val="실제_도면출도8"/>
      <sheetName val="_Sum9"/>
      <sheetName val="plan&amp;section_of_foundation8"/>
      <sheetName val="design_criteria8"/>
      <sheetName val="공사비_내역_(가)8"/>
      <sheetName val="33628-Rev__A8"/>
      <sheetName val="w't_table8"/>
      <sheetName val="Eq__Mobilization8"/>
      <sheetName val="BM_DATA_SHEET8"/>
      <sheetName val="Progress_Tab8"/>
      <sheetName val="입찰내역_발주처_양식8"/>
      <sheetName val="REINF_8"/>
      <sheetName val="working_load_at_the_btm_ft_7"/>
      <sheetName val="soil_bearing_check7"/>
      <sheetName val="M_118"/>
      <sheetName val="PC_CATCH_PIT_1X1X1_2M7"/>
      <sheetName val="PC_CATCH_PIT__6X_6X1_0M7"/>
      <sheetName val="PC_COVER_100MM_THK__95x_37"/>
      <sheetName val="PC_COVER_250MM_THK_2_2x_37"/>
      <sheetName val="Adjusted_Bids7"/>
      <sheetName val="Running_compatibility_check_7"/>
      <sheetName val="Concept_Offshore7"/>
      <sheetName val="3__GROUNDING_SYSTEM8"/>
      <sheetName val="Chiet_tinh_dz357"/>
      <sheetName val="A(Rev_3)7"/>
      <sheetName val="[Planning&amp;reporting_xlsM9000-A3"/>
      <sheetName val="Running_compatibility_check__x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Running_compatibility_check_?A2"/>
      <sheetName val="Cashflow_Analysis3"/>
      <sheetName val="A_(2)2"/>
      <sheetName val="Running_compatibility_check__A2"/>
      <sheetName val="_Planning&amp;reporting_xlsM9000-A2"/>
      <sheetName val="WORKSHEET_CS2"/>
      <sheetName val="Direct_Prices2"/>
      <sheetName val="00-Summary_Information-ABB2"/>
      <sheetName val="page_61"/>
      <sheetName val="Structural_Comp3"/>
      <sheetName val="Time_Rates_2"/>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Comp equip"/>
      <sheetName val="Mach &amp; equip"/>
      <sheetName val="95삼성급(본사)"/>
      <sheetName val="마감물량"/>
      <sheetName val="Substation Column"/>
      <sheetName val="laborrates"/>
      <sheetName val="100(4)"/>
      <sheetName val="RefG"/>
      <sheetName val="IRR sponsor"/>
      <sheetName val="SG"/>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Drop_Down1"/>
      <sheetName val="Source_Data1"/>
      <sheetName val="Drop_Down2"/>
      <sheetName val="Source_Data2"/>
      <sheetName val="tifico"/>
      <sheetName val="Vaccari  EST INQ-Stat. Summ "/>
      <sheetName val="COLUMNS"/>
      <sheetName val="VESSELS "/>
      <sheetName val="BILL"/>
      <sheetName val="STR"/>
      <sheetName val="NP"/>
      <sheetName val="견적의뢰"/>
      <sheetName val="4 Annex 1 Basic rate"/>
      <sheetName val="Intro"/>
      <sheetName val="TOTAL SCHEDULE"/>
      <sheetName val="SALES"/>
      <sheetName val="WKFRM"/>
      <sheetName val="PLSt 03  "/>
      <sheetName val="П 7 курс аванса"/>
      <sheetName val="ANX3A65"/>
      <sheetName val="Table"/>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ocess"/>
      <sheetName val="Manpower_List-1"/>
      <sheetName val="SUMMARY_FOR_DPR"/>
      <sheetName val="Index_Daily_Alloaction"/>
      <sheetName val="Manpower_List"/>
      <sheetName val="A_&amp;_B"/>
      <sheetName val="Running_compatibility_check_?A3"/>
      <sheetName val="Running_compatibility_check__A3"/>
      <sheetName val="Running_compatibility_check__x3"/>
      <sheetName val="List_of_WorkPacks3"/>
      <sheetName val="List_of_Dates3"/>
      <sheetName val="A_(2)3"/>
      <sheetName val="page_62"/>
      <sheetName val="P-Ins_&amp;_Bonds1"/>
      <sheetName val="P-Site_fac1"/>
      <sheetName val="P-Clients_fac1"/>
      <sheetName val="P_Staff_fac1"/>
      <sheetName val="factor_1"/>
      <sheetName val="Rate_Analysis1"/>
      <sheetName val="ITB_COST1"/>
      <sheetName val="19_05_20101"/>
      <sheetName val="Earthworks_ERP1"/>
      <sheetName val="24_06_20101"/>
      <sheetName val="Small_Structures_ERP1"/>
      <sheetName val="Large_Structures_ERP1"/>
      <sheetName val="Tunnelling_ERP1"/>
      <sheetName val="vlookup_-_do_not_print1"/>
      <sheetName val="Civil_Weekly1"/>
      <sheetName val="_N_Finansal_Eğri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0_0_Cover1"/>
      <sheetName val="Hoja_31"/>
      <sheetName val="CAPEX_Categories1"/>
      <sheetName val="Summary_(3)1"/>
      <sheetName val="RRW_Scaff1"/>
      <sheetName val="RRW_Oct-2019-1st_Lot-13-10-191"/>
      <sheetName val="RRW_Oct-2019-2st_Lot-15-10-19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pg_43"/>
      <sheetName val="Subcon_A3"/>
      <sheetName val="bill_22"/>
      <sheetName val="MATERIAL'S_PRICE2"/>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견적서표지0204-2_(2)1"/>
      <sheetName val="Piping_Spool1"/>
      <sheetName val="Cost_Definition1"/>
      <sheetName val="견적_원가_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RFP003_Building_-_B1"/>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Manpower_List-11"/>
      <sheetName val="SUMMARY_FOR_DPR1"/>
      <sheetName val="Index_Daily_Alloaction1"/>
      <sheetName val="Manpower_List1"/>
      <sheetName val="A_&amp;_B1"/>
      <sheetName val="Raw Data"/>
      <sheetName val="GeneralFeedDevices_Labels"/>
      <sheetName val="CalmingSection_Labels"/>
      <sheetName val="Welcome"/>
      <sheetName val="DO_NOT_Delete2"/>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실제_도면출도9"/>
      <sheetName val="공사비_내역_(가)9"/>
      <sheetName val="plan&amp;section_of_foundation9"/>
      <sheetName val="design_criteria9"/>
      <sheetName val="w't_table9"/>
      <sheetName val="33628-Rev__A9"/>
      <sheetName val="Progress_Tab9"/>
      <sheetName val="BM_DATA_SHEET9"/>
      <sheetName val="Eq__Mobilization9"/>
      <sheetName val="입찰내역_발주처_양식9"/>
      <sheetName val="M_119"/>
      <sheetName val="REINF_9"/>
      <sheetName val="PC_CATCH_PIT_1X1X1_2M8"/>
      <sheetName val="PC_CATCH_PIT__6X_6X1_0M8"/>
      <sheetName val="PC_COVER_100MM_THK__95x_38"/>
      <sheetName val="PC_COVER_250MM_THK_2_2x_38"/>
      <sheetName val="Chiet_tinh_dz358"/>
      <sheetName val="member_design8"/>
      <sheetName val="3__GROUNDING_SYSTEM9"/>
      <sheetName val="working_load_at_the_btm_ft_8"/>
      <sheetName val="soil_bearing_check8"/>
      <sheetName val="Adjusted_Bids8"/>
      <sheetName val="Concept_Offshore8"/>
      <sheetName val="A(Rev_3)8"/>
      <sheetName val="Running_compatibility_check_8"/>
      <sheetName val="WORKSHEET_CS3"/>
      <sheetName val="DO_NOT_Delete3"/>
      <sheetName val="00-Summary_Information-ABB3"/>
      <sheetName val="Direct_Prices3"/>
      <sheetName val="_Planning&amp;reporting_xlsM9000-A3"/>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Planning&amp;reporting_xlsM9000-A4"/>
      <sheetName val="Cashflow_Analysis4"/>
      <sheetName val="Running_compatibility_check__x4"/>
      <sheetName val="Running_compatibility_check_?A4"/>
      <sheetName val="Running_compatibility_check__A4"/>
      <sheetName val="List_of_WorkPacks4"/>
      <sheetName val="List_of_Dates4"/>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Structural_Comp4"/>
      <sheetName val="Time_Rates_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INDIRECT_OH&amp;P_1"/>
      <sheetName val="Salary_20131"/>
      <sheetName val="Cable_Schedule1"/>
      <sheetName val="Report_Wizard1"/>
      <sheetName val="Initial_Plan1"/>
      <sheetName val="QMS Rev 3"/>
      <sheetName val="QMS Rev 2"/>
      <sheetName val="Rebar Assembly Progress"/>
      <sheetName val="GI Steps Progress Final"/>
      <sheetName val="QW Trench"/>
      <sheetName val="AOP Summary-2"/>
      <sheetName val="Riesgos y Oportunidades"/>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뜃맟뭁돽띿맟_r_x0000_蠀擿㤁"/>
      <sheetName val="뜃맟뭁돽띿맟_r_x0000_蠀䛿㤂"/>
      <sheetName val="Fig_4-14"/>
      <sheetName val="Fig_5-17"/>
      <sheetName val="Rekapitulasi"/>
      <sheetName val="Working Materials"/>
      <sheetName val="Working sheet"/>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운반"/>
      <sheetName val="301A"/>
      <sheetName val="301B"/>
      <sheetName val="301C"/>
      <sheetName val="VS P-Q"/>
      <sheetName val="VS curve"/>
      <sheetName val="CS P_Q"/>
      <sheetName val="ENE-SAV"/>
      <sheetName val="PAYBACK"/>
      <sheetName val="ga801abd"/>
      <sheetName val="절감"/>
      <sheetName val="효율표"/>
      <sheetName val="절감식"/>
      <sheetName val="페인트"/>
      <sheetName val="을"/>
      <sheetName val="Foglio_Lavoro"/>
      <sheetName val="Table_Rates_Data"/>
      <sheetName val="6PILE  (돌출)"/>
      <sheetName val="0.품의서(전체)"/>
      <sheetName val="LAST UPDATE"/>
      <sheetName val="CIM"/>
      <sheetName val="Retaining wall &amp; Top Up"/>
      <sheetName val="매립"/>
      <sheetName val="MC-1"/>
      <sheetName val="U_A Input"/>
      <sheetName val="Equipt Rental"/>
      <sheetName val="personnel loading"/>
      <sheetName val="MAY 00-Bobbins"/>
      <sheetName val="Activity(new)"/>
      <sheetName val="Total(new)"/>
      <sheetName val="UPA(Part C,D,E,G,H)"/>
      <sheetName val="UPA(Part F)"/>
      <sheetName val="Materials"/>
      <sheetName val="일위대가 (Part C,D,E,G,H)"/>
      <sheetName val="실행철강하도"/>
      <sheetName val="손익차총괄2"/>
      <sheetName val="BOQ건축"/>
      <sheetName val="Parameters"/>
      <sheetName val="h-013211-2"/>
      <sheetName val="단면가정"/>
      <sheetName val="CABLE DATA"/>
      <sheetName val="설계조건"/>
      <sheetName val="Price Schedule"/>
      <sheetName val="Task Force Coding Abbreviations"/>
      <sheetName val="[Planning&amp;reporting_xlsM9000-A5"/>
      <sheetName val="Running_compatibility_check_?A5"/>
      <sheetName val="Running_compatibility_check__A5"/>
      <sheetName val="Running_compatibility_check__x5"/>
      <sheetName val="List_of_WorkPacks5"/>
      <sheetName val="List_of_Dates5"/>
      <sheetName val="FWBS_codes5"/>
      <sheetName val="STANDARD_DESCRIPTION5"/>
      <sheetName val="STANDARD_DESCRIPTION_-_20150515"/>
      <sheetName val="Drawings_Summary5"/>
      <sheetName val="Instr_Drawing_List5"/>
      <sheetName val="INDEX-Areas_B000,C000,D000,E005"/>
      <sheetName val="STANDARD_DESCRIPTION_201507155"/>
      <sheetName val="DropDown_Selections5"/>
      <sheetName val="A_(2)5"/>
      <sheetName val="Cashflow_Analysis5"/>
      <sheetName val="Structural_Comp5"/>
      <sheetName val="Time_Rates_4"/>
      <sheetName val="Summary_(3)3"/>
      <sheetName val="RRW_Scaff3"/>
      <sheetName val="RRW_Oct-2019-1st_Lot-13-10-193"/>
      <sheetName val="RRW_Oct-2019-2st_Lot-15-10-193"/>
      <sheetName val="JK_Price_sheet3"/>
      <sheetName val="TP_Price_sheet3"/>
      <sheetName val="Phase_1_JK_UTSE3"/>
      <sheetName val="Phase_2_JK_UTSE3"/>
      <sheetName val="Phase_1_and_2_JK_UTSE3"/>
      <sheetName val="Phase_1_TP_UTSE3"/>
      <sheetName val="Phase_2_TP_UTSE3"/>
      <sheetName val="Phase_1_and_2_TP_UTSE3"/>
      <sheetName val="Cash_Flow_(BL)3"/>
      <sheetName val="Cash_Flow_(UTSE)3"/>
      <sheetName val="2_043"/>
      <sheetName val="2_053"/>
      <sheetName val="2_07_&amp;_2_083"/>
      <sheetName val="3_013"/>
      <sheetName val="3_023"/>
      <sheetName val="3_033"/>
      <sheetName val="ecart_Personnel3"/>
      <sheetName val="Ecart_Others3"/>
      <sheetName val="Other_costs3"/>
      <sheetName val="3000_Steel_str3"/>
      <sheetName val="5000_Equipments3"/>
      <sheetName val="6000_Piping3"/>
      <sheetName val="7000_Instrumentation3"/>
      <sheetName val="8000_Electrical3"/>
      <sheetName val="per_supplier3"/>
      <sheetName val="Pivot_ledger3"/>
      <sheetName val="Pivot_ENT3"/>
      <sheetName val="Pivot_MAD3"/>
      <sheetName val="PERHITUNGAN__KEEKONOMIAN3"/>
      <sheetName val="Total_Staff3"/>
      <sheetName val="0__SUMMARY3"/>
      <sheetName val="1__Engineering3"/>
      <sheetName val="2__Check_point3"/>
      <sheetName val="II_Changes_13"/>
      <sheetName val="III_Changes_23"/>
      <sheetName val="Qty_3"/>
      <sheetName val="OQC_Summary3"/>
      <sheetName val="6_Unit_Rates3"/>
      <sheetName val="AEROGEL_CAL3"/>
      <sheetName val="CRYG_THKMM3"/>
      <sheetName val="ITB_REVIEW3"/>
      <sheetName val="SPCS_SUMM_3"/>
      <sheetName val="ESTI__SUMM_3"/>
      <sheetName val="Price_Summary3"/>
      <sheetName val="Acc_Stock-INSUL3"/>
      <sheetName val="97_사업추정(WEKI)3"/>
      <sheetName val="Overall_MTO_-_20191001_(old)3"/>
      <sheetName val="MTO_for_BMBQ3"/>
      <sheetName val="BQ_Reff3"/>
      <sheetName val="Sum_of_Comparison-201910073"/>
      <sheetName val="Joint_No_3"/>
      <sheetName val="Unit_Weight3"/>
      <sheetName val="Detail_PMC3"/>
      <sheetName val="Detail_PMC_(for_full_desc)3"/>
      <sheetName val="Bolt_Size3"/>
      <sheetName val="NDE_Req3"/>
      <sheetName val="Tgh_JGC-Inv_I_clp3"/>
      <sheetName val="PCS_3"/>
      <sheetName val="Progress_Statement-SI3"/>
      <sheetName val="Progress_Payment-31103"/>
      <sheetName val="Manpower_List-13"/>
      <sheetName val="SUMMARY_FOR_DPR3"/>
      <sheetName val="Index_Daily_Alloaction3"/>
      <sheetName val="Manpower_List3"/>
      <sheetName val="A_&amp;_B3"/>
      <sheetName val="Salary_20132"/>
      <sheetName val="INDIRECT_OH&amp;P_2"/>
      <sheetName val="Cable_Schedule2"/>
      <sheetName val="Report_Wizard2"/>
      <sheetName val="Initial_Plan2"/>
      <sheetName val="1_INV1"/>
      <sheetName val="2_Calculation_Sheet1"/>
      <sheetName val="Price_Sheet1"/>
      <sheetName val="3__Progress1"/>
      <sheetName val="4__EDR1"/>
      <sheetName val="DATA-DEP_(13-17)1"/>
      <sheetName val="DATA-GCC(25-34_7)1"/>
      <sheetName val="St_-Con(0-17)1"/>
      <sheetName val="St_-Con_(17-34)1"/>
      <sheetName val="Finansal_tamamlanma_Eğrisi1"/>
      <sheetName val="BOM_SUM1"/>
      <sheetName val="Eng__Boq_-11"/>
      <sheetName val="PFP,TIE_COAT_&amp;_TOP_FLG_PAINTED1"/>
      <sheetName val="Shop_Modifications1"/>
      <sheetName val="JI-2036_-_Preservation1"/>
      <sheetName val="Re-Application_1"/>
      <sheetName val="OLD_(2)1"/>
      <sheetName val="Geotextile_for_geotube1"/>
      <sheetName val="DB-BOLT_SIZE1"/>
      <sheetName val="REQ_LIST1"/>
      <sheetName val="DESC_NEW_PMC1"/>
      <sheetName val="MTO_2020_03_111"/>
      <sheetName val="BQ_2020_03_031"/>
      <sheetName val="MTO_2020_03_03_(VDR)1"/>
      <sheetName val="BQ_2020_03_03_(VDR)1"/>
      <sheetName val="WEIGHT_&amp;_PAINT1"/>
      <sheetName val="FW_JGC1"/>
      <sheetName val="FW_VENDOR1"/>
      <sheetName val="BQ_2020_02_251"/>
      <sheetName val="BM_BOLT_&amp;_NUT1"/>
      <sheetName val="RT_TABLE1"/>
      <sheetName val="BRANCH_&amp;_REDUCING_TABLE1"/>
      <sheetName val="DESC_OLD_PMC1"/>
      <sheetName val="SHORT_CODE_LIST1"/>
      <sheetName val="12_-_MAT'L_CLASSIFIC__FACTORS"/>
      <sheetName val="1_-_PREFAB_STR_STEEL"/>
      <sheetName val="8_-_SKIDS,_VESSELS_&amp;_EQPT"/>
      <sheetName val="5_-_STG_PLANT_-_MISC__ITEMS"/>
      <sheetName val="14_-_HEIGHT_FACTORS"/>
      <sheetName val="10_-_STEAM_TURBINE_PUMPS"/>
      <sheetName val="16_-_ASTM_CS_PIPE_ERECT"/>
      <sheetName val="15_-_ASTM_CS_PIPE_FAB"/>
      <sheetName val="7_-_SAND_BLAST_&amp;_PAINT"/>
      <sheetName val="BOQ_LIST"/>
      <sheetName val="SPT_vs_PHI"/>
      <sheetName val="01-D_PERS"/>
      <sheetName val="VESSELS_"/>
      <sheetName val="L_V_Separator"/>
      <sheetName val="SUM_FSBLT13"/>
      <sheetName val="Overall_Project13"/>
      <sheetName val="Overall_Process13"/>
      <sheetName val="Overall_Utility13"/>
      <sheetName val="FWBS_100013"/>
      <sheetName val="FWBS_200013"/>
      <sheetName val="FWBS_300013"/>
      <sheetName val="FWBS_500013"/>
      <sheetName val="FWBS_600013"/>
      <sheetName val="FWBS_700013"/>
      <sheetName val="FWBS_800013"/>
      <sheetName val="FWBS_900013"/>
      <sheetName val="FWBS_A00013"/>
      <sheetName val="FWBS_B00013"/>
      <sheetName val="FWBS_Z00013"/>
      <sheetName val="Onerous_Terms12"/>
      <sheetName val="INVOICE_CERT_EIV'S12"/>
      <sheetName val="Building_BD12"/>
      <sheetName val="_Sum12"/>
      <sheetName val="실제_도면출도11"/>
      <sheetName val="공사비_내역_(가)11"/>
      <sheetName val="33628-Rev__A11"/>
      <sheetName val="plan&amp;section_of_foundation11"/>
      <sheetName val="design_criteria11"/>
      <sheetName val="w't_table11"/>
      <sheetName val="Progress_Tab11"/>
      <sheetName val="BM_DATA_SHEET11"/>
      <sheetName val="Eq__Mobilization11"/>
      <sheetName val="입찰내역_발주처_양식11"/>
      <sheetName val="REINF_11"/>
      <sheetName val="M_1111"/>
      <sheetName val="PC_CATCH_PIT_1X1X1_2M10"/>
      <sheetName val="PC_CATCH_PIT__6X_6X1_0M10"/>
      <sheetName val="PC_COVER_100MM_THK__95x_310"/>
      <sheetName val="PC_COVER_250MM_THK_2_2x_310"/>
      <sheetName val="member_design10"/>
      <sheetName val="working_load_at_the_btm_ft_10"/>
      <sheetName val="soil_bearing_check10"/>
      <sheetName val="3__GROUNDING_SYSTEM11"/>
      <sheetName val="Concept_Offshore10"/>
      <sheetName val="Chiet_tinh_dz3510"/>
      <sheetName val="Adjusted_Bids10"/>
      <sheetName val="A(Rev_3)10"/>
      <sheetName val="Running_compatibility_check_10"/>
      <sheetName val="[Planning&amp;reporting_xlsM9000-A6"/>
      <sheetName val="Running_compatibility_check_?A6"/>
      <sheetName val="Running_compatibility_check__A6"/>
      <sheetName val="Running_compatibility_check__x6"/>
      <sheetName val="List_of_WorkPacks6"/>
      <sheetName val="List_of_Dates6"/>
      <sheetName val="FWBS_codes6"/>
      <sheetName val="STANDARD_DESCRIPTION6"/>
      <sheetName val="STANDARD_DESCRIPTION_-_20150516"/>
      <sheetName val="Drawings_Summary6"/>
      <sheetName val="Instr_Drawing_List6"/>
      <sheetName val="INDEX-Areas_B000,C000,D000,E006"/>
      <sheetName val="STANDARD_DESCRIPTION_201507156"/>
      <sheetName val="DropDown_Selections6"/>
      <sheetName val="A_(2)6"/>
      <sheetName val="Cashflow_Analysis6"/>
      <sheetName val="WORKSHEET_CS5"/>
      <sheetName val="00-Summary_Information-ABB5"/>
      <sheetName val="Direct_Prices5"/>
      <sheetName val="_Planning&amp;reporting_xlsM9000-A5"/>
      <sheetName val="page_65"/>
      <sheetName val="P-Ins_&amp;_Bonds4"/>
      <sheetName val="P-Site_fac4"/>
      <sheetName val="P-Clients_fac4"/>
      <sheetName val="P_Staff_fac4"/>
      <sheetName val="factor_4"/>
      <sheetName val="Structural_Comp6"/>
      <sheetName val="Rate_Analysis4"/>
      <sheetName val="ITB_COST4"/>
      <sheetName val="19_05_20104"/>
      <sheetName val="Earthworks_ERP4"/>
      <sheetName val="24_06_20104"/>
      <sheetName val="Small_Structures_ERP4"/>
      <sheetName val="Large_Structures_ERP4"/>
      <sheetName val="Tunnelling_ERP4"/>
      <sheetName val="vlookup_-_do_not_print4"/>
      <sheetName val="Civil_Weekly4"/>
      <sheetName val="Time_Rates_5"/>
      <sheetName val="_N_Finansal_Eğri4"/>
      <sheetName val="Pricing_Summary4"/>
      <sheetName val="Net_Cost_-_Final_Base4"/>
      <sheetName val="7_6Net_Cost_Agreed_on_Dec-04_R5"/>
      <sheetName val="Net_Cost_Agreed_on_Dec-04_Rev14"/>
      <sheetName val="7_6_Net_Cost_Agreed_on_Dec-044"/>
      <sheetName val="Net_Cost_Agreed_on_Dec-044"/>
      <sheetName val="Total_for_Check4"/>
      <sheetName val="0_0_Cover4"/>
      <sheetName val="Hoja_34"/>
      <sheetName val="Drop_Down4"/>
      <sheetName val="Source_Data4"/>
      <sheetName val="CAPEX_Categories4"/>
      <sheetName val="Summary_(3)4"/>
      <sheetName val="RRW_Scaff4"/>
      <sheetName val="RRW_Oct-2019-1st_Lot-13-10-194"/>
      <sheetName val="RRW_Oct-2019-2st_Lot-15-10-19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pg_46"/>
      <sheetName val="Subcon_A6"/>
      <sheetName val="bill_25"/>
      <sheetName val="MATERIAL'S_PRICE5"/>
      <sheetName val="JK_Price_sheet4"/>
      <sheetName val="TP_Price_sheet4"/>
      <sheetName val="Phase_1_JK_UTSE4"/>
      <sheetName val="Phase_2_JK_UTSE4"/>
      <sheetName val="Phase_1_and_2_JK_UTSE4"/>
      <sheetName val="Phase_1_TP_UTSE4"/>
      <sheetName val="Phase_2_TP_UTSE4"/>
      <sheetName val="Phase_1_and_2_TP_UTSE4"/>
      <sheetName val="Cash_Flow_(BL)4"/>
      <sheetName val="Cash_Flow_(UTSE)4"/>
      <sheetName val="견적서표지0204-2_(2)4"/>
      <sheetName val="Piping_Spool4"/>
      <sheetName val="Cost_Definition4"/>
      <sheetName val="견적_원가_4"/>
      <sheetName val="2_044"/>
      <sheetName val="2_054"/>
      <sheetName val="2_07_&amp;_2_084"/>
      <sheetName val="3_014"/>
      <sheetName val="3_024"/>
      <sheetName val="3_034"/>
      <sheetName val="ecart_Personnel4"/>
      <sheetName val="Ecart_Others4"/>
      <sheetName val="Other_costs4"/>
      <sheetName val="3000_Steel_str4"/>
      <sheetName val="5000_Equipments4"/>
      <sheetName val="6000_Piping4"/>
      <sheetName val="7000_Instrumentation4"/>
      <sheetName val="8000_Electrical4"/>
      <sheetName val="per_supplier4"/>
      <sheetName val="Pivot_ledger4"/>
      <sheetName val="Pivot_ENT4"/>
      <sheetName val="Pivot_MAD4"/>
      <sheetName val="RFP003_Building_-_B4"/>
      <sheetName val="PERHITUNGAN__KEEKONOMIAN4"/>
      <sheetName val="Total_Staff4"/>
      <sheetName val="0__SUMMARY4"/>
      <sheetName val="1__Engineering4"/>
      <sheetName val="2__Check_point4"/>
      <sheetName val="II_Changes_14"/>
      <sheetName val="III_Changes_24"/>
      <sheetName val="Qty_4"/>
      <sheetName val="OQC_Summary4"/>
      <sheetName val="6_Unit_Rates4"/>
      <sheetName val="AEROGEL_CAL4"/>
      <sheetName val="CRYG_THKMM4"/>
      <sheetName val="ITB_REVIEW4"/>
      <sheetName val="SPCS_SUMM_4"/>
      <sheetName val="ESTI__SUMM_4"/>
      <sheetName val="Price_Summary4"/>
      <sheetName val="Acc_Stock-INSUL4"/>
      <sheetName val="97_사업추정(WEKI)4"/>
      <sheetName val="Overall_MTO_-_20191001_(old)4"/>
      <sheetName val="MTO_for_BMBQ4"/>
      <sheetName val="BQ_Reff4"/>
      <sheetName val="Sum_of_Comparison-201910074"/>
      <sheetName val="Joint_No_4"/>
      <sheetName val="Unit_Weight4"/>
      <sheetName val="Detail_PMC4"/>
      <sheetName val="Detail_PMC_(for_full_desc)4"/>
      <sheetName val="Bolt_Size4"/>
      <sheetName val="NDE_Req4"/>
      <sheetName val="Tgh_JGC-Inv_I_clp4"/>
      <sheetName val="PCS_4"/>
      <sheetName val="Progress_Statement-SI4"/>
      <sheetName val="Progress_Payment-31104"/>
      <sheetName val="Manpower_List-14"/>
      <sheetName val="SUMMARY_FOR_DPR4"/>
      <sheetName val="Index_Daily_Alloaction4"/>
      <sheetName val="Manpower_List4"/>
      <sheetName val="A_&amp;_B4"/>
      <sheetName val="Salary_20133"/>
      <sheetName val="INDIRECT_OH&amp;P_3"/>
      <sheetName val="Cable_Schedule3"/>
      <sheetName val="Report_Wizard3"/>
      <sheetName val="Initial_Plan3"/>
      <sheetName val="1_INV2"/>
      <sheetName val="2_Calculation_Sheet2"/>
      <sheetName val="Price_Sheet2"/>
      <sheetName val="3__Progress2"/>
      <sheetName val="4__EDR2"/>
      <sheetName val="DATA-DEP_(13-17)2"/>
      <sheetName val="DATA-GCC(25-34_7)2"/>
      <sheetName val="St_-Con(0-17)2"/>
      <sheetName val="St_-Con_(17-34)2"/>
      <sheetName val="Finansal_tamamlanma_Eğrisi2"/>
      <sheetName val="BOM_SUM2"/>
      <sheetName val="Eng__Boq_-12"/>
      <sheetName val="PFP,TIE_COAT_&amp;_TOP_FLG_PAINTED2"/>
      <sheetName val="Shop_Modifications2"/>
      <sheetName val="JI-2036_-_Preservation2"/>
      <sheetName val="Re-Application_2"/>
      <sheetName val="OLD_(2)2"/>
      <sheetName val="Geotextile_for_geotube2"/>
      <sheetName val="DB-BOLT_SIZE2"/>
      <sheetName val="REQ_LIST2"/>
      <sheetName val="DESC_NEW_PMC2"/>
      <sheetName val="MTO_2020_03_112"/>
      <sheetName val="BQ_2020_03_032"/>
      <sheetName val="MTO_2020_03_03_(VDR)2"/>
      <sheetName val="BQ_2020_03_03_(VDR)2"/>
      <sheetName val="WEIGHT_&amp;_PAINT2"/>
      <sheetName val="FW_JGC2"/>
      <sheetName val="FW_VENDOR2"/>
      <sheetName val="BQ_2020_02_252"/>
      <sheetName val="BM_BOLT_&amp;_NUT2"/>
      <sheetName val="RT_TABLE2"/>
      <sheetName val="BRANCH_&amp;_REDUCING_TABLE2"/>
      <sheetName val="DESC_OLD_PMC2"/>
      <sheetName val="SHORT_CODE_LIST2"/>
      <sheetName val="개시대사_(2)1"/>
      <sheetName val="Equiv_Length1"/>
      <sheetName val="S-Curve_(Weekly)1"/>
      <sheetName val="Price_Summary_(1)1"/>
      <sheetName val="Price_Summary_(2)1"/>
      <sheetName val="Item#9_31"/>
      <sheetName val="Item#1_91"/>
      <sheetName val="Item#2_61"/>
      <sheetName val="Item#3_81"/>
      <sheetName val="Item#4_101"/>
      <sheetName val="Item#5_81"/>
      <sheetName val="Item#6_71"/>
      <sheetName val="Item#7_211"/>
      <sheetName val="Item#8_71"/>
      <sheetName val="worksheet_inchican1"/>
      <sheetName val="2_2_띠장의_설계1"/>
      <sheetName val="2_223M_due_to_adj_profit1"/>
      <sheetName val="Land_Dev't__Ph-11"/>
      <sheetName val="INTERIOR_WALLS1"/>
      <sheetName val="Material_Price1"/>
      <sheetName val="combined_9-301"/>
      <sheetName val="GESTION_FICHE1"/>
      <sheetName val="TRADUCTION_LISTES1"/>
      <sheetName val="12_-_MAT'L_CLASSIFIC__FACTORS1"/>
      <sheetName val="1_-_PREFAB_STR_STEEL1"/>
      <sheetName val="8_-_SKIDS,_VESSELS_&amp;_EQPT1"/>
      <sheetName val="5_-_STG_PLANT_-_MISC__ITEMS1"/>
      <sheetName val="14_-_HEIGHT_FACTORS1"/>
      <sheetName val="10_-_STEAM_TURBINE_PUMPS1"/>
      <sheetName val="16_-_ASTM_CS_PIPE_ERECT1"/>
      <sheetName val="15_-_ASTM_CS_PIPE_FAB1"/>
      <sheetName val="7_-_SAND_BLAST_&amp;_PAINT1"/>
      <sheetName val="BOQ_LIST1"/>
      <sheetName val="INSULATION_R11"/>
      <sheetName val="SPT_vs_PHI1"/>
      <sheetName val="01-D_PERS1"/>
      <sheetName val="Fig_4-141"/>
      <sheetName val="Fig_5-171"/>
      <sheetName val="OUTER_AREA(겹침없음)1"/>
      <sheetName val="VESSELS_1"/>
      <sheetName val="Table_Rates_Data1"/>
      <sheetName val="L_V_Separator1"/>
      <sheetName val="Prec_OTS1"/>
      <sheetName val="Inert_Balls1"/>
      <sheetName val="Substation_Column"/>
      <sheetName val="IRR_sponsor"/>
      <sheetName val="SOS_PLC_&amp;_Panel"/>
      <sheetName val="Raw_Data"/>
      <sheetName val="HRG BAHAN &amp; UPAH okk"/>
      <sheetName val="Analis Kusen okk"/>
      <sheetName val="Inputs_Sens"/>
      <sheetName val="IS_Sum_CM"/>
      <sheetName val="RAB"/>
      <sheetName val="Bahan"/>
      <sheetName val="BUL"/>
      <sheetName val="INFO UMUM"/>
      <sheetName val="DET 1"/>
      <sheetName val="DET 2"/>
      <sheetName val="BASIC PRICE"/>
      <sheetName val="QUARRY"/>
      <sheetName val=" GULF"/>
      <sheetName val="ENG-101"/>
      <sheetName val="DIV.1"/>
      <sheetName val="F1.4"/>
      <sheetName val="MAT&amp;LABOR"/>
      <sheetName val="Section_by_layers_old"/>
      <sheetName val="Iuran Nopember 2002"/>
      <sheetName val="H.Satuan"/>
      <sheetName val="ocean voyage"/>
      <sheetName val="SAT-BHN"/>
      <sheetName val="SAP"/>
      <sheetName val="Perm. Test"/>
      <sheetName val="Cash Flow bulanan"/>
      <sheetName val="VA_code"/>
      <sheetName val="7. Comparison of Asphalt etc"/>
      <sheetName val="Du_lieu"/>
      <sheetName val="石炭性状"/>
      <sheetName val="MEASURE LIST"/>
      <sheetName val="PTR-Consolidated"/>
      <sheetName val="실행"/>
      <sheetName val="BOQ for HRSG &amp; BOP-mech."/>
      <sheetName val="7-2"/>
      <sheetName val="CTEMCOST"/>
      <sheetName val="토목주소"/>
      <sheetName val="프랜트면허"/>
      <sheetName val="은행"/>
      <sheetName val="Register"/>
      <sheetName val="DOCSTAT"/>
      <sheetName val="Detail Eng"/>
      <sheetName val="Factor"/>
      <sheetName val="MPR"/>
      <sheetName val="Titles"/>
      <sheetName val="Legend"/>
      <sheetName val="뜃맟뭁돽띿맟_ఀ⻵렀♈$"/>
      <sheetName val="Coversheet"/>
      <sheetName val="Sumption Summary"/>
      <sheetName val="Cost Summary"/>
      <sheetName val="A-1Construction Breakdown"/>
      <sheetName val="A-2 Equipment Breakdown"/>
      <sheetName val="1-HVAC Sumption"/>
      <sheetName val="2-Fire&amp; Plumb Sumption"/>
      <sheetName val="3-Utility Sumption"/>
      <sheetName val="4-Engineering Sumption"/>
      <sheetName val="B2 Project Mangement"/>
      <sheetName val="B8 Permitting"/>
      <sheetName val="(1)Internal Cost Report"/>
      <sheetName val="2007"/>
      <sheetName val="Proforma"/>
      <sheetName val="OIL SYST DATA SHTS"/>
      <sheetName val="Tut 1"/>
      <sheetName val="C1 (calcolo)"/>
      <sheetName val="AnalInfo"/>
      <sheetName val="FlujoTJ"/>
      <sheetName val="BD_LL"/>
      <sheetName val="Daily Forwards"/>
      <sheetName val="调价系数"/>
      <sheetName val="Condicion"/>
      <sheetName val="13-List"/>
      <sheetName val="total1"/>
      <sheetName val="sis.xlm"/>
      <sheetName val="Tipo de Cambio"/>
      <sheetName val="Scope"/>
      <sheetName val="Rates"/>
      <sheetName val="PDS_U-1400"/>
      <sheetName val="Task_Force_Coding_Abbreviations"/>
      <sheetName val="Planilla_CND"/>
      <sheetName val="rek_det_1-3"/>
      <sheetName val="Comp_equip"/>
      <sheetName val="Mach_&amp;_equip"/>
      <sheetName val="SUM_FSBLT14"/>
      <sheetName val="FWBS_900014"/>
      <sheetName val="Overall_Project14"/>
      <sheetName val="Overall_Process14"/>
      <sheetName val="Overall_Utility14"/>
      <sheetName val="FWBS_100014"/>
      <sheetName val="FWBS_200014"/>
      <sheetName val="FWBS_300014"/>
      <sheetName val="FWBS_500014"/>
      <sheetName val="FWBS_600014"/>
      <sheetName val="FWBS_700014"/>
      <sheetName val="FWBS_800014"/>
      <sheetName val="FWBS_A00014"/>
      <sheetName val="FWBS_B00014"/>
      <sheetName val="FWBS_Z00014"/>
      <sheetName val="실제_도면출도12"/>
      <sheetName val="INVOICE_CERT_EIV'S13"/>
      <sheetName val="Building_BD13"/>
      <sheetName val="Onerous_Terms13"/>
      <sheetName val="_Sum13"/>
      <sheetName val="공사비_내역_(가)12"/>
      <sheetName val="plan&amp;section_of_foundation12"/>
      <sheetName val="design_criteria12"/>
      <sheetName val="BM_DATA_SHEET12"/>
      <sheetName val="Progress_Tab12"/>
      <sheetName val="w't_table12"/>
      <sheetName val="33628-Rev__A12"/>
      <sheetName val="Eq__Mobilization12"/>
      <sheetName val="입찰내역_발주처_양식12"/>
      <sheetName val="REINF_12"/>
      <sheetName val="M_1112"/>
      <sheetName val="PC_CATCH_PIT_1X1X1_2M11"/>
      <sheetName val="PC_CATCH_PIT__6X_6X1_0M11"/>
      <sheetName val="PC_COVER_100MM_THK__95x_311"/>
      <sheetName val="PC_COVER_250MM_THK_2_2x_311"/>
      <sheetName val="Chiet_tinh_dz3511"/>
      <sheetName val="member_design11"/>
      <sheetName val="working_load_at_the_btm_ft_11"/>
      <sheetName val="soil_bearing_check11"/>
      <sheetName val="3__GROUNDING_SYSTEM12"/>
      <sheetName val="Adjusted_Bids11"/>
      <sheetName val="Concept_Offshore11"/>
      <sheetName val="Running_compatibility_check_11"/>
      <sheetName val="A(Rev_3)11"/>
      <sheetName val="Direct_Prices6"/>
      <sheetName val="WORKSHEET_CS6"/>
      <sheetName val="_Planning&amp;reporting_xlsM9000-A6"/>
      <sheetName val="00-Summary_Information-ABB6"/>
      <sheetName val="page_66"/>
      <sheetName val="P-Ins_&amp;_Bonds5"/>
      <sheetName val="P-Site_fac5"/>
      <sheetName val="P-Clients_fac5"/>
      <sheetName val="P_Staff_fac5"/>
      <sheetName val="factor_5"/>
      <sheetName val="vlookup_-_do_not_print5"/>
      <sheetName val="19_05_20105"/>
      <sheetName val="Earthworks_ERP5"/>
      <sheetName val="24_06_20105"/>
      <sheetName val="Small_Structures_ERP5"/>
      <sheetName val="Large_Structures_ERP5"/>
      <sheetName val="Tunnelling_ERP5"/>
      <sheetName val="Rate_Analysis5"/>
      <sheetName val="pg_47"/>
      <sheetName val="Subcon_A7"/>
      <sheetName val="bill_26"/>
      <sheetName val="MATERIAL'S_PRICE6"/>
      <sheetName val="Pricing_Summary5"/>
      <sheetName val="Net_Cost_-_Final_Base5"/>
      <sheetName val="7_6Net_Cost_Agreed_on_Dec-04_R6"/>
      <sheetName val="Net_Cost_Agreed_on_Dec-04_Rev15"/>
      <sheetName val="7_6_Net_Cost_Agreed_on_Dec-045"/>
      <sheetName val="Net_Cost_Agreed_on_Dec-045"/>
      <sheetName val="Total_for_Check5"/>
      <sheetName val="ITB_COST5"/>
      <sheetName val="Civil_Weekly5"/>
      <sheetName val="PDS_U-14001"/>
      <sheetName val="Inert_Balls2"/>
      <sheetName val="0_0_Cover5"/>
      <sheetName val="Hoja_35"/>
      <sheetName val="_N_Finansal_Eğri5"/>
      <sheetName val="Drop_Down5"/>
      <sheetName val="Source_Data5"/>
      <sheetName val="CAPEX_Categories5"/>
      <sheetName val="RFP003_Building_-_B5"/>
      <sheetName val="견적서표지0204-2_(2)5"/>
      <sheetName val="Piping_Spool5"/>
      <sheetName val="Cost_Definition5"/>
      <sheetName val="견적_원가_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개시대사_(2)2"/>
      <sheetName val="Equiv_Length2"/>
      <sheetName val="S-Curve_(Weekly)2"/>
      <sheetName val="Price_Summary_(1)2"/>
      <sheetName val="Price_Summary_(2)2"/>
      <sheetName val="Item#9_32"/>
      <sheetName val="Item#1_92"/>
      <sheetName val="Item#2_62"/>
      <sheetName val="Item#3_82"/>
      <sheetName val="Item#4_102"/>
      <sheetName val="Item#5_82"/>
      <sheetName val="Item#6_72"/>
      <sheetName val="Item#7_212"/>
      <sheetName val="Item#8_72"/>
      <sheetName val="worksheet_inchican2"/>
      <sheetName val="2_2_띠장의_설계2"/>
      <sheetName val="2_223M_due_to_adj_profit2"/>
      <sheetName val="Land_Dev't__Ph-12"/>
      <sheetName val="INTERIOR_WALLS2"/>
      <sheetName val="Material_Price2"/>
      <sheetName val="combined_9-302"/>
      <sheetName val="GESTION_FICHE2"/>
      <sheetName val="TRADUCTION_LISTES2"/>
      <sheetName val="INSULATION_R12"/>
      <sheetName val="Prec_OTS2"/>
      <sheetName val="Task_Force_Coding_Abbreviation1"/>
      <sheetName val="SOS_PLC_&amp;_Panel1"/>
      <sheetName val="Planilla_CND1"/>
      <sheetName val="rek_det_1-31"/>
      <sheetName val="Comp_equip1"/>
      <sheetName val="Mach_&amp;_equip1"/>
      <sheetName val="Substation_Column1"/>
      <sheetName val="IRR_sponsor1"/>
      <sheetName val="뜃맟뭁돽띿맟_怀ᭋက얀ం"/>
      <sheetName val="뜃맟뭁돽띿맟_ꀀ땏ကం"/>
      <sheetName val="hrg_sat"/>
      <sheetName val="Har-mat"/>
      <sheetName val="Jadwal"/>
      <sheetName val="4-Basic Price"/>
      <sheetName val="Material"/>
      <sheetName val="Kuantitas &amp; Harga"/>
      <sheetName val="L-4a,b"/>
      <sheetName val="DIV.3"/>
      <sheetName val="BoQ"/>
      <sheetName val="HARGA DASAR"/>
      <sheetName val="Rekap"/>
      <sheetName val="hrg sat1"/>
      <sheetName val="Data basic price jgan diprint"/>
      <sheetName val="PPC"/>
      <sheetName val="Urai _Resap pengikat"/>
      <sheetName val="15100"/>
      <sheetName val="Analisa Upah &amp; Bahan Plum"/>
      <sheetName val="Sch"/>
      <sheetName val="Daftar Sewa"/>
      <sheetName val="Peralatan"/>
      <sheetName val="Peralatan (2)"/>
      <sheetName val="Analisa Alat"/>
      <sheetName val="Analisa SNI STANDART "/>
      <sheetName val="PAD-F"/>
      <sheetName val="NozzleData"/>
      <sheetName val="DAFTAR ISI"/>
      <sheetName val="인사자료총집계"/>
      <sheetName val="UNIT 3"/>
      <sheetName val="DATASHT"/>
      <sheetName val="1.2"/>
      <sheetName val="HARGA-UPAH"/>
      <sheetName val="Conveyors"/>
      <sheetName val="INPUT"/>
      <sheetName val="5-ALAT(1)"/>
      <sheetName val="磨煤加压"/>
      <sheetName val="空分"/>
      <sheetName val="List - Components"/>
      <sheetName val="List - Equipment"/>
      <sheetName val="G2TempSheet"/>
      <sheetName val="PSM Monthly"/>
      <sheetName val="Memb Schd"/>
      <sheetName val="材料基价"/>
      <sheetName val="机械台时"/>
      <sheetName val="方案1表二"/>
      <sheetName val="HIOS 93 thru 96"/>
      <sheetName val="Assumptions"/>
      <sheetName val="LTM"/>
      <sheetName val="CREDIT STATS"/>
      <sheetName val="DropZone"/>
      <sheetName val="MAIN"/>
      <sheetName val="CAP-120mm2"/>
      <sheetName val="EXTRA"/>
      <sheetName val="1999 BUDGET"/>
      <sheetName val="Por"/>
      <sheetName val=" "/>
      <sheetName val="Rekap Addendum"/>
      <sheetName val="FIT-AREA"/>
      <sheetName val="[Planning&amp;reporting_xlsM9000-A7"/>
      <sheetName val="Running_compatibility_check_?A7"/>
      <sheetName val="Running_compatibility_check__A7"/>
      <sheetName val="Running_compatibility_check__x7"/>
      <sheetName val="List_of_WorkPacks7"/>
      <sheetName val="List_of_Dates7"/>
      <sheetName val="FWBS_codes7"/>
      <sheetName val="STANDARD_DESCRIPTION7"/>
      <sheetName val="STANDARD_DESCRIPTION_-_20150517"/>
      <sheetName val="Drawings_Summary7"/>
      <sheetName val="Instr_Drawing_List7"/>
      <sheetName val="INDEX-Areas_B000,C000,D000,E007"/>
      <sheetName val="STANDARD_DESCRIPTION_201507157"/>
      <sheetName val="DropDown_Selections7"/>
      <sheetName val="A_(2)7"/>
      <sheetName val="Cashflow_Analysis7"/>
      <sheetName val="Structural_Comp7"/>
      <sheetName val="Time_Rates_6"/>
      <sheetName val="Summary_(3)5"/>
      <sheetName val="RRW_Scaff5"/>
      <sheetName val="RRW_Oct-2019-1st_Lot-13-10-195"/>
      <sheetName val="RRW_Oct-2019-2st_Lot-15-10-195"/>
      <sheetName val="JK_Price_sheet5"/>
      <sheetName val="TP_Price_sheet5"/>
      <sheetName val="Phase_1_JK_UTSE5"/>
      <sheetName val="Phase_2_JK_UTSE5"/>
      <sheetName val="Phase_1_and_2_JK_UTSE5"/>
      <sheetName val="Phase_1_TP_UTSE5"/>
      <sheetName val="Phase_2_TP_UTSE5"/>
      <sheetName val="Phase_1_and_2_TP_UTSE5"/>
      <sheetName val="Cash_Flow_(BL)5"/>
      <sheetName val="Cash_Flow_(UTSE)5"/>
      <sheetName val="2_045"/>
      <sheetName val="2_055"/>
      <sheetName val="2_07_&amp;_2_085"/>
      <sheetName val="3_015"/>
      <sheetName val="3_025"/>
      <sheetName val="3_035"/>
      <sheetName val="ecart_Personnel5"/>
      <sheetName val="Ecart_Others5"/>
      <sheetName val="Other_costs5"/>
      <sheetName val="3000_Steel_str5"/>
      <sheetName val="5000_Equipments5"/>
      <sheetName val="6000_Piping5"/>
      <sheetName val="7000_Instrumentation5"/>
      <sheetName val="8000_Electrical5"/>
      <sheetName val="per_supplier5"/>
      <sheetName val="Pivot_ledger5"/>
      <sheetName val="Pivot_ENT5"/>
      <sheetName val="Pivot_MAD5"/>
      <sheetName val="PERHITUNGAN__KEEKONOMIAN5"/>
      <sheetName val="Total_Staff5"/>
      <sheetName val="0__SUMMARY5"/>
      <sheetName val="1__Engineering5"/>
      <sheetName val="2__Check_point5"/>
      <sheetName val="II_Changes_15"/>
      <sheetName val="III_Changes_25"/>
      <sheetName val="Qty_5"/>
      <sheetName val="OQC_Summary5"/>
      <sheetName val="6_Unit_Rates5"/>
      <sheetName val="AEROGEL_CAL5"/>
      <sheetName val="CRYG_THKMM5"/>
      <sheetName val="ITB_REVIEW5"/>
      <sheetName val="SPCS_SUMM_5"/>
      <sheetName val="ESTI__SUMM_5"/>
      <sheetName val="Price_Summary5"/>
      <sheetName val="Acc_Stock-INSUL5"/>
      <sheetName val="97_사업추정(WEKI)5"/>
      <sheetName val="Overall_MTO_-_20191001_(old)5"/>
      <sheetName val="MTO_for_BMBQ5"/>
      <sheetName val="BQ_Reff5"/>
      <sheetName val="Sum_of_Comparison-201910075"/>
      <sheetName val="Joint_No_5"/>
      <sheetName val="Unit_Weight5"/>
      <sheetName val="Detail_PMC5"/>
      <sheetName val="Detail_PMC_(for_full_desc)5"/>
      <sheetName val="Bolt_Size5"/>
      <sheetName val="NDE_Req5"/>
      <sheetName val="Tgh_JGC-Inv_I_clp5"/>
      <sheetName val="PCS_5"/>
      <sheetName val="Progress_Statement-SI5"/>
      <sheetName val="Progress_Payment-31105"/>
      <sheetName val="Manpower_List-15"/>
      <sheetName val="SUMMARY_FOR_DPR5"/>
      <sheetName val="Index_Daily_Alloaction5"/>
      <sheetName val="Manpower_List5"/>
      <sheetName val="A_&amp;_B5"/>
      <sheetName val="Salary_20134"/>
      <sheetName val="INDIRECT_OH&amp;P_4"/>
      <sheetName val="Cable_Schedule4"/>
      <sheetName val="Report_Wizard4"/>
      <sheetName val="Initial_Plan4"/>
      <sheetName val="1_INV3"/>
      <sheetName val="2_Calculation_Sheet3"/>
      <sheetName val="Price_Sheet3"/>
      <sheetName val="3__Progress3"/>
      <sheetName val="4__EDR3"/>
      <sheetName val="DATA-DEP_(13-17)3"/>
      <sheetName val="DATA-GCC(25-34_7)3"/>
      <sheetName val="St_-Con(0-17)3"/>
      <sheetName val="St_-Con_(17-34)3"/>
      <sheetName val="Finansal_tamamlanma_Eğrisi3"/>
      <sheetName val="BOM_SUM3"/>
      <sheetName val="Eng__Boq_-13"/>
      <sheetName val="PFP,TIE_COAT_&amp;_TOP_FLG_PAINTED3"/>
      <sheetName val="Shop_Modifications3"/>
      <sheetName val="JI-2036_-_Preservation3"/>
      <sheetName val="Re-Application_3"/>
      <sheetName val="OLD_(2)3"/>
      <sheetName val="Geotextile_for_geotube3"/>
      <sheetName val="DB-BOLT_SIZE3"/>
      <sheetName val="REQ_LIST3"/>
      <sheetName val="DESC_NEW_PMC3"/>
      <sheetName val="MTO_2020_03_113"/>
      <sheetName val="BQ_2020_03_033"/>
      <sheetName val="MTO_2020_03_03_(VDR)3"/>
      <sheetName val="BQ_2020_03_03_(VDR)3"/>
      <sheetName val="WEIGHT_&amp;_PAINT3"/>
      <sheetName val="FW_JGC3"/>
      <sheetName val="FW_VENDOR3"/>
      <sheetName val="BQ_2020_02_253"/>
      <sheetName val="BM_BOLT_&amp;_NUT3"/>
      <sheetName val="RT_TABLE3"/>
      <sheetName val="BRANCH_&amp;_REDUCING_TABLE3"/>
      <sheetName val="DESC_OLD_PMC3"/>
      <sheetName val="SHORT_CODE_LIST3"/>
      <sheetName val="12_-_MAT'L_CLASSIFIC__FACTORS2"/>
      <sheetName val="1_-_PREFAB_STR_STEEL2"/>
      <sheetName val="8_-_SKIDS,_VESSELS_&amp;_EQPT2"/>
      <sheetName val="5_-_STG_PLANT_-_MISC__ITEMS2"/>
      <sheetName val="14_-_HEIGHT_FACTORS2"/>
      <sheetName val="10_-_STEAM_TURBINE_PUMPS2"/>
      <sheetName val="16_-_ASTM_CS_PIPE_ERECT2"/>
      <sheetName val="15_-_ASTM_CS_PIPE_FAB2"/>
      <sheetName val="7_-_SAND_BLAST_&amp;_PAINT2"/>
      <sheetName val="BOQ_LIST2"/>
      <sheetName val="SPT_vs_PHI2"/>
      <sheetName val="01-D_PERS2"/>
      <sheetName val="Fig_4-142"/>
      <sheetName val="Fig_5-172"/>
      <sheetName val="OUTER_AREA(겹침없음)2"/>
      <sheetName val="VESSELS_2"/>
      <sheetName val="Table_Rates_Data2"/>
      <sheetName val="L_V_Separator2"/>
      <sheetName val="Raw_Data1"/>
      <sheetName val="QMS_Rev_3"/>
      <sheetName val="QMS_Rev_2"/>
      <sheetName val="Rebar_Assembly_Progress"/>
      <sheetName val="GI_Steps_Progress_Final"/>
      <sheetName val="QW_Trench"/>
      <sheetName val="Riesgos_y_Oportunidades"/>
      <sheetName val="Hrg_Satuan"/>
      <sheetName val="Bill_rekap"/>
      <sheetName val="ANALIS_2"/>
      <sheetName val="ANALIS_1"/>
      <sheetName val="Harga_Satuan"/>
      <sheetName val="analis_standar(8m)"/>
      <sheetName val="bhn_"/>
      <sheetName val="6PILE__(돌출)"/>
      <sheetName val="0_품의서(전체)"/>
      <sheetName val="LAST_UPDATE"/>
      <sheetName val="Financ__Overview"/>
      <sheetName val="4_代码列表"/>
      <sheetName val="人工SDP_2"/>
      <sheetName val="材料SDP_1"/>
      <sheetName val="Vaccari__EST_INQ-Stat__Summ_"/>
      <sheetName val="TOTAL_SCHEDULE"/>
      <sheetName val="AOP_Summary-2"/>
      <sheetName val="SUM_FSBLT15"/>
      <sheetName val="Overall_Project15"/>
      <sheetName val="Overall_Process15"/>
      <sheetName val="Overall_Utility15"/>
      <sheetName val="FWBS_100015"/>
      <sheetName val="FWBS_200015"/>
      <sheetName val="FWBS_300015"/>
      <sheetName val="FWBS_500015"/>
      <sheetName val="FWBS_600015"/>
      <sheetName val="FWBS_700015"/>
      <sheetName val="FWBS_800015"/>
      <sheetName val="FWBS_900015"/>
      <sheetName val="FWBS_A00015"/>
      <sheetName val="FWBS_B00015"/>
      <sheetName val="FWBS_Z00015"/>
      <sheetName val="Onerous_Terms14"/>
      <sheetName val="INVOICE_CERT_EIV'S14"/>
      <sheetName val="Building_BD14"/>
      <sheetName val="_Sum14"/>
      <sheetName val="실제_도면출도13"/>
      <sheetName val="공사비_내역_(가)13"/>
      <sheetName val="33628-Rev__A13"/>
      <sheetName val="plan&amp;section_of_foundation13"/>
      <sheetName val="design_criteria13"/>
      <sheetName val="w't_table13"/>
      <sheetName val="Progress_Tab13"/>
      <sheetName val="BM_DATA_SHEET13"/>
      <sheetName val="Eq__Mobilization13"/>
      <sheetName val="입찰내역_발주처_양식13"/>
      <sheetName val="REINF_13"/>
      <sheetName val="M_1113"/>
      <sheetName val="PC_CATCH_PIT_1X1X1_2M12"/>
      <sheetName val="PC_CATCH_PIT__6X_6X1_0M12"/>
      <sheetName val="PC_COVER_100MM_THK__95x_312"/>
      <sheetName val="PC_COVER_250MM_THK_2_2x_312"/>
      <sheetName val="member_design12"/>
      <sheetName val="working_load_at_the_btm_ft_12"/>
      <sheetName val="soil_bearing_check12"/>
      <sheetName val="3__GROUNDING_SYSTEM13"/>
      <sheetName val="Concept_Offshore12"/>
      <sheetName val="Chiet_tinh_dz3512"/>
      <sheetName val="Adjusted_Bids12"/>
      <sheetName val="A(Rev_3)12"/>
      <sheetName val="Running_compatibility_check_12"/>
      <sheetName val="[Planning&amp;reporting_xlsM9000-A8"/>
      <sheetName val="Running_compatibility_check_?A8"/>
      <sheetName val="Running_compatibility_check__A8"/>
      <sheetName val="Running_compatibility_check__x8"/>
      <sheetName val="List_of_WorkPacks8"/>
      <sheetName val="List_of_Dates8"/>
      <sheetName val="FWBS_codes8"/>
      <sheetName val="STANDARD_DESCRIPTION8"/>
      <sheetName val="STANDARD_DESCRIPTION_-_20150518"/>
      <sheetName val="Drawings_Summary8"/>
      <sheetName val="Instr_Drawing_List8"/>
      <sheetName val="INDEX-Areas_B000,C000,D000,E008"/>
      <sheetName val="STANDARD_DESCRIPTION_201507158"/>
      <sheetName val="DropDown_Selections8"/>
      <sheetName val="A_(2)8"/>
      <sheetName val="Cashflow_Analysis8"/>
      <sheetName val="WORKSHEET_CS7"/>
      <sheetName val="00-Summary_Information-ABB7"/>
      <sheetName val="Direct_Prices7"/>
      <sheetName val="_Planning&amp;reporting_xlsM9000-A7"/>
      <sheetName val="page_67"/>
      <sheetName val="P-Ins_&amp;_Bonds6"/>
      <sheetName val="P-Site_fac6"/>
      <sheetName val="P-Clients_fac6"/>
      <sheetName val="P_Staff_fac6"/>
      <sheetName val="factor_6"/>
      <sheetName val="Structural_Comp8"/>
      <sheetName val="Rate_Analysis6"/>
      <sheetName val="ITB_COST6"/>
      <sheetName val="19_05_20106"/>
      <sheetName val="Earthworks_ERP6"/>
      <sheetName val="24_06_20106"/>
      <sheetName val="Small_Structures_ERP6"/>
      <sheetName val="Large_Structures_ERP6"/>
      <sheetName val="Tunnelling_ERP6"/>
      <sheetName val="vlookup_-_do_not_print6"/>
      <sheetName val="Civil_Weekly6"/>
      <sheetName val="Time_Rates_7"/>
      <sheetName val="_N_Finansal_Eğri6"/>
      <sheetName val="Pricing_Summary6"/>
      <sheetName val="Net_Cost_-_Final_Base6"/>
      <sheetName val="7_6Net_Cost_Agreed_on_Dec-04_R7"/>
      <sheetName val="Net_Cost_Agreed_on_Dec-04_Rev16"/>
      <sheetName val="7_6_Net_Cost_Agreed_on_Dec-046"/>
      <sheetName val="Net_Cost_Agreed_on_Dec-046"/>
      <sheetName val="Total_for_Check6"/>
      <sheetName val="0_0_Cover6"/>
      <sheetName val="Hoja_36"/>
      <sheetName val="Drop_Down6"/>
      <sheetName val="Source_Data6"/>
      <sheetName val="CAPEX_Categories6"/>
      <sheetName val="Summary_(3)6"/>
      <sheetName val="RRW_Scaff6"/>
      <sheetName val="RRW_Oct-2019-1st_Lot-13-10-196"/>
      <sheetName val="RRW_Oct-2019-2st_Lot-15-10-19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g_48"/>
      <sheetName val="Subcon_A8"/>
      <sheetName val="bill_27"/>
      <sheetName val="MATERIAL'S_PRICE7"/>
      <sheetName val="JK_Price_sheet6"/>
      <sheetName val="TP_Price_sheet6"/>
      <sheetName val="Phase_1_JK_UTSE6"/>
      <sheetName val="Phase_2_JK_UTSE6"/>
      <sheetName val="Phase_1_and_2_JK_UTSE6"/>
      <sheetName val="Phase_1_TP_UTSE6"/>
      <sheetName val="Phase_2_TP_UTSE6"/>
      <sheetName val="Phase_1_and_2_TP_UTSE6"/>
      <sheetName val="Cash_Flow_(BL)6"/>
      <sheetName val="Cash_Flow_(UTSE)6"/>
      <sheetName val="견적서표지0204-2_(2)6"/>
      <sheetName val="Piping_Spool6"/>
      <sheetName val="Cost_Definition6"/>
      <sheetName val="견적_원가_6"/>
      <sheetName val="2_046"/>
      <sheetName val="2_056"/>
      <sheetName val="2_07_&amp;_2_086"/>
      <sheetName val="3_016"/>
      <sheetName val="3_026"/>
      <sheetName val="3_036"/>
      <sheetName val="ecart_Personnel6"/>
      <sheetName val="Ecart_Others6"/>
      <sheetName val="Other_costs6"/>
      <sheetName val="3000_Steel_str6"/>
      <sheetName val="5000_Equipments6"/>
      <sheetName val="6000_Piping6"/>
      <sheetName val="7000_Instrumentation6"/>
      <sheetName val="8000_Electrical6"/>
      <sheetName val="per_supplier6"/>
      <sheetName val="Pivot_ledger6"/>
      <sheetName val="Pivot_ENT6"/>
      <sheetName val="Pivot_MAD6"/>
      <sheetName val="RFP003_Building_-_B6"/>
      <sheetName val="PERHITUNGAN__KEEKONOMIAN6"/>
      <sheetName val="Total_Staff6"/>
      <sheetName val="0__SUMMARY6"/>
      <sheetName val="1__Engineering6"/>
      <sheetName val="2__Check_point6"/>
      <sheetName val="II_Changes_16"/>
      <sheetName val="III_Changes_26"/>
      <sheetName val="Qty_6"/>
      <sheetName val="OQC_Summary6"/>
      <sheetName val="6_Unit_Rates6"/>
      <sheetName val="AEROGEL_CAL6"/>
      <sheetName val="CRYG_THKMM6"/>
      <sheetName val="ITB_REVIEW6"/>
      <sheetName val="SPCS_SUMM_6"/>
      <sheetName val="ESTI__SUMM_6"/>
      <sheetName val="Price_Summary6"/>
      <sheetName val="Acc_Stock-INSUL6"/>
      <sheetName val="97_사업추정(WEKI)6"/>
      <sheetName val="Overall_MTO_-_20191001_(old)6"/>
      <sheetName val="MTO_for_BMBQ6"/>
      <sheetName val="BQ_Reff6"/>
      <sheetName val="Sum_of_Comparison-201910076"/>
      <sheetName val="Joint_No_6"/>
      <sheetName val="Unit_Weight6"/>
      <sheetName val="Detail_PMC6"/>
      <sheetName val="Detail_PMC_(for_full_desc)6"/>
      <sheetName val="Bolt_Size6"/>
      <sheetName val="NDE_Req6"/>
      <sheetName val="Tgh_JGC-Inv_I_clp6"/>
      <sheetName val="PCS_6"/>
      <sheetName val="Progress_Statement-SI6"/>
      <sheetName val="Progress_Payment-31106"/>
      <sheetName val="Manpower_List-16"/>
      <sheetName val="SUMMARY_FOR_DPR6"/>
      <sheetName val="Index_Daily_Alloaction6"/>
      <sheetName val="Manpower_List6"/>
      <sheetName val="A_&amp;_B6"/>
      <sheetName val="Salary_20135"/>
      <sheetName val="INDIRECT_OH&amp;P_5"/>
      <sheetName val="Cable_Schedule5"/>
      <sheetName val="Report_Wizard5"/>
      <sheetName val="Initial_Plan5"/>
      <sheetName val="1_INV4"/>
      <sheetName val="2_Calculation_Sheet4"/>
      <sheetName val="Price_Sheet4"/>
      <sheetName val="3__Progress4"/>
      <sheetName val="4__EDR4"/>
      <sheetName val="DATA-DEP_(13-17)4"/>
      <sheetName val="DATA-GCC(25-34_7)4"/>
      <sheetName val="St_-Con(0-17)4"/>
      <sheetName val="St_-Con_(17-34)4"/>
      <sheetName val="Finansal_tamamlanma_Eğrisi4"/>
      <sheetName val="BOM_SUM4"/>
      <sheetName val="Eng__Boq_-14"/>
      <sheetName val="PFP,TIE_COAT_&amp;_TOP_FLG_PAINTED4"/>
      <sheetName val="Shop_Modifications4"/>
      <sheetName val="JI-2036_-_Preservation4"/>
      <sheetName val="Re-Application_4"/>
      <sheetName val="OLD_(2)4"/>
      <sheetName val="Geotextile_for_geotube4"/>
      <sheetName val="DB-BOLT_SIZE4"/>
      <sheetName val="REQ_LIST4"/>
      <sheetName val="DESC_NEW_PMC4"/>
      <sheetName val="MTO_2020_03_114"/>
      <sheetName val="BQ_2020_03_034"/>
      <sheetName val="MTO_2020_03_03_(VDR)4"/>
      <sheetName val="BQ_2020_03_03_(VDR)4"/>
      <sheetName val="WEIGHT_&amp;_PAINT4"/>
      <sheetName val="FW_JGC4"/>
      <sheetName val="FW_VENDOR4"/>
      <sheetName val="BQ_2020_02_254"/>
      <sheetName val="BM_BOLT_&amp;_NUT4"/>
      <sheetName val="RT_TABLE4"/>
      <sheetName val="BRANCH_&amp;_REDUCING_TABLE4"/>
      <sheetName val="DESC_OLD_PMC4"/>
      <sheetName val="SHORT_CODE_LIST4"/>
      <sheetName val="개시대사_(2)3"/>
      <sheetName val="Equiv_Length3"/>
      <sheetName val="S-Curve_(Weekly)3"/>
      <sheetName val="Price_Summary_(1)3"/>
      <sheetName val="Price_Summary_(2)3"/>
      <sheetName val="Item#9_33"/>
      <sheetName val="Item#1_93"/>
      <sheetName val="Item#2_63"/>
      <sheetName val="Item#3_83"/>
      <sheetName val="Item#4_103"/>
      <sheetName val="Item#5_83"/>
      <sheetName val="Item#6_73"/>
      <sheetName val="Item#7_213"/>
      <sheetName val="Item#8_73"/>
      <sheetName val="worksheet_inchican3"/>
      <sheetName val="2_2_띠장의_설계3"/>
      <sheetName val="2_223M_due_to_adj_profit3"/>
      <sheetName val="Land_Dev't__Ph-13"/>
      <sheetName val="INTERIOR_WALLS3"/>
      <sheetName val="Material_Price3"/>
      <sheetName val="combined_9-303"/>
      <sheetName val="GESTION_FICHE3"/>
      <sheetName val="TRADUCTION_LISTES3"/>
      <sheetName val="12_-_MAT'L_CLASSIFIC__FACTORS3"/>
      <sheetName val="1_-_PREFAB_STR_STEEL3"/>
      <sheetName val="8_-_SKIDS,_VESSELS_&amp;_EQPT3"/>
      <sheetName val="5_-_STG_PLANT_-_MISC__ITEMS3"/>
      <sheetName val="14_-_HEIGHT_FACTORS3"/>
      <sheetName val="10_-_STEAM_TURBINE_PUMPS3"/>
      <sheetName val="16_-_ASTM_CS_PIPE_ERECT3"/>
      <sheetName val="15_-_ASTM_CS_PIPE_FAB3"/>
      <sheetName val="7_-_SAND_BLAST_&amp;_PAINT3"/>
      <sheetName val="BOQ_LIST3"/>
      <sheetName val="INSULATION_R13"/>
      <sheetName val="SPT_vs_PHI3"/>
      <sheetName val="01-D_PERS3"/>
      <sheetName val="Fig_4-143"/>
      <sheetName val="Fig_5-173"/>
      <sheetName val="OUTER_AREA(겹침없음)3"/>
      <sheetName val="VESSELS_3"/>
      <sheetName val="Table_Rates_Data3"/>
      <sheetName val="L_V_Separator3"/>
      <sheetName val="Prec_OTS3"/>
      <sheetName val="Inert_Balls3"/>
      <sheetName val="Substation_Column2"/>
      <sheetName val="IRR_sponsor2"/>
      <sheetName val="SOS_PLC_&amp;_Panel2"/>
      <sheetName val="Raw_Data2"/>
      <sheetName val="QMS_Rev_31"/>
      <sheetName val="QMS_Rev_21"/>
      <sheetName val="Rebar_Assembly_Progress1"/>
      <sheetName val="GI_Steps_Progress_Final1"/>
      <sheetName val="QW_Trench1"/>
      <sheetName val="Riesgos_y_Oportunidades1"/>
      <sheetName val="Hrg_Satuan1"/>
      <sheetName val="Bill_rekap1"/>
      <sheetName val="ANALIS_21"/>
      <sheetName val="ANALIS_11"/>
      <sheetName val="Harga_Satuan1"/>
      <sheetName val="analis_standar(8m)1"/>
      <sheetName val="bhn_1"/>
      <sheetName val="6PILE__(돌출)1"/>
      <sheetName val="0_품의서(전체)1"/>
      <sheetName val="LAST_UPDATE1"/>
      <sheetName val="Financ__Overview1"/>
      <sheetName val="4_代码列表1"/>
      <sheetName val="人工SDP_21"/>
      <sheetName val="材料SDP_11"/>
      <sheetName val="Vaccari__EST_INQ-Stat__Summ_1"/>
      <sheetName val="TOTAL_SCHEDULE1"/>
      <sheetName val="AOP_Summary-21"/>
      <sheetName val="SC Cost FEB 03"/>
      <sheetName val="CONTROL"/>
      <sheetName val="POM"/>
      <sheetName val="Drilling sequence"/>
      <sheetName val="Wells"/>
      <sheetName val="Active Wells"/>
      <sheetName val="String time"/>
      <sheetName val="Type curves (bbl)"/>
      <sheetName val="Well fcst."/>
      <sheetName val="Oil prod"/>
      <sheetName val="Water prod"/>
      <sheetName val="Water inj"/>
      <sheetName val="Liquid prod"/>
      <sheetName val="Gas prod"/>
      <sheetName val="Ullage check"/>
      <sheetName val="Well CAPEX"/>
      <sheetName val="Hook Up"/>
      <sheetName val="WRM"/>
      <sheetName val="Subsurface Studies"/>
      <sheetName val="Facilities"/>
      <sheetName val="Pipelines"/>
      <sheetName val="OHL"/>
      <sheetName val="Maintenance"/>
      <sheetName val="Operations"/>
      <sheetName val="Trucking"/>
      <sheetName val="Power"/>
      <sheetName val="Fuel"/>
      <sheetName val="Camp operation"/>
      <sheetName val="Software &amp; IT"/>
      <sheetName val="Coastal Overheads"/>
      <sheetName val="Actuals"/>
      <sheetName val="2019 budget"/>
      <sheetName val="Assumptions monthly"/>
      <sheetName val="Assumptions comparison"/>
      <sheetName val="Rewards"/>
      <sheetName val="Economics (monhtly)"/>
      <sheetName val="Economics Summary"/>
      <sheetName val="Budget DELTA"/>
      <sheetName val="2019-20 Budget "/>
      <sheetName val="Budget Overview"/>
      <sheetName val="Reserves"/>
      <sheetName val="WU"/>
      <sheetName val="DTI"/>
      <sheetName val="ICV"/>
      <sheetName val="OUTPUT"/>
      <sheetName val="0.INDIRECTS"/>
      <sheetName val="1. Civil Works"/>
      <sheetName val="2. Struct. Steel_SST"/>
      <sheetName val="3. Fireproofing_SST"/>
      <sheetName val="4.2. Fireproofing_EQU"/>
      <sheetName val="4.1. Equipment"/>
      <sheetName val="4.1. Equipment (Tag)"/>
      <sheetName val="BoQ Equipment"/>
      <sheetName val="4.3. Insulation for Equip"/>
      <sheetName val="4.4. Structural Steel_EQU"/>
      <sheetName val="4.5. Heavy Lifting"/>
      <sheetName val="5.1. AG PIPING"/>
      <sheetName val="1A.AG PIPING_PREFABRICATION"/>
      <sheetName val="5.2.UG PIPING"/>
      <sheetName val="5.3a.VALVES"/>
      <sheetName val="5.3b.INLINE INST."/>
      <sheetName val="5.3c.FLANGE BOLTED JOINTS"/>
      <sheetName val="5.4. SUPPORTS"/>
      <sheetName val="5.5. WRAPPING"/>
      <sheetName val="5.6. PAINT"/>
      <sheetName val="5.7. INSULATION"/>
      <sheetName val="5.8. NDT"/>
      <sheetName val="5.9. PWHT"/>
      <sheetName val="5.10.TIE-INS"/>
      <sheetName val="6. Pipeline Works"/>
      <sheetName val="7.1. Cathodic Protection Erec"/>
      <sheetName val="7.2. CP Auxiliary Prices"/>
      <sheetName val="8.1. Electrical Erection"/>
      <sheetName val="8.2. Instruments Erection"/>
      <sheetName val="8.3. Telecom Erection"/>
      <sheetName val="9.1. HSE - Inside Bldg"/>
      <sheetName val="9.2. HSE - Outside Bldg"/>
      <sheetName val="21. MODIFICATION PRICES"/>
      <sheetName val="2. CHANGES-1"/>
      <sheetName val="3. CHANGES-2"/>
      <sheetName val="5. CHANGES-4"/>
      <sheetName val="Sheet9"/>
      <sheetName val="전기자료"/>
      <sheetName val="Sheet10"/>
      <sheetName val="0226"/>
      <sheetName val="List of WorkPack_x0000_"/>
      <sheetName val="独资部分-10-12"/>
      <sheetName val="BREAKDOWN(철거설치)"/>
      <sheetName val="Dynamic Query"/>
      <sheetName val="非金属管道"/>
      <sheetName val="PNT-QUOT-#3"/>
      <sheetName val="COAT&amp;WRAP-QIOT-#3"/>
      <sheetName val="ALLOWANCE"/>
      <sheetName val="MH RATE"/>
      <sheetName val="Foglio1"/>
      <sheetName val="PROJECT TITLE"/>
      <sheetName val="SC_Cost_FEB_03"/>
      <sheetName val="Working_Materials"/>
      <sheetName val="Working_sheet"/>
      <sheetName val="TABLA"/>
      <sheetName val="조명시설"/>
      <sheetName val="II손익관리"/>
      <sheetName val="COSTOMAT.XLS"/>
      <sheetName val="COSTOMAT_XLS"/>
      <sheetName val="Limit_ACC_A"/>
      <sheetName val="07"/>
      <sheetName val="Carat"/>
      <sheetName val="PK1-1630"/>
      <sheetName val="PK2-1630"/>
      <sheetName val="PROG."/>
      <sheetName val="P2A Execute Detailed Profile"/>
      <sheetName val="TPAD"/>
      <sheetName val="GAEYO"/>
      <sheetName val="음료실행"/>
      <sheetName val="Komponen_Upah"/>
      <sheetName val="Inkindo_2015"/>
      <sheetName val="SCHEDULE"/>
      <sheetName val="HD ALAT"/>
      <sheetName val="HD BAHAN"/>
      <sheetName val="HD UPAH"/>
      <sheetName val="DWTables"/>
      <sheetName val="Calc"/>
      <sheetName val="1062-X방향 "/>
      <sheetName val="Galian 1"/>
      <sheetName val="Rencana Anggaran Biaya"/>
      <sheetName val="Vibro_Roller"/>
      <sheetName val="IPL_SCHEDULE"/>
      <sheetName val="Daf Harga"/>
      <sheetName val="Rekap Bill"/>
      <sheetName val="An_ Harga"/>
      <sheetName val="EQUIPOS"/>
      <sheetName val="CAPEX"/>
      <sheetName val="PV.00001"/>
      <sheetName val="U.S ILD"/>
      <sheetName val="Projekt4"/>
      <sheetName val="Period -Worksheet"/>
      <sheetName val="Section"/>
      <sheetName val="Page_1"/>
      <sheetName val="PLSt_03__"/>
      <sheetName val="П_7_курс_аванса"/>
      <sheetName val="INFO_UMUM"/>
      <sheetName val="DET_1"/>
      <sheetName val="DET_2"/>
      <sheetName val="BASIC_PRICE"/>
      <sheetName val="_GULF"/>
      <sheetName val="DIV_1"/>
      <sheetName val="PLSt_03__1"/>
      <sheetName val="П_7_курс_аванса1"/>
      <sheetName val="Komponen_Upah1"/>
      <sheetName val="Inkindo_20151"/>
      <sheetName val="Page_11"/>
      <sheetName val="INFO_UMUM1"/>
      <sheetName val="DET_11"/>
      <sheetName val="DET_21"/>
      <sheetName val="BASIC_PRICE1"/>
      <sheetName val="_GULF1"/>
      <sheetName val="DIV_11"/>
      <sheetName val="Retaining_wall_&amp;_Top_Up"/>
      <sheetName val="U_A_Input"/>
      <sheetName val="Equipt_Rental"/>
      <sheetName val="personnel_loading"/>
      <sheetName val="MAY_00-Bobbins"/>
      <sheetName val="UPA(Part_C,D,E,G,H)"/>
      <sheetName val="UPA(Part_F)"/>
      <sheetName val="일위대가_(Part_C,D,E,G,H)"/>
      <sheetName val="CABLE_DATA"/>
      <sheetName val="Price_Schedule"/>
      <sheetName val="VS_P-Q"/>
      <sheetName val="VS_curve"/>
      <sheetName val="CS_P_Q"/>
      <sheetName val="HRG_BAHAN_&amp;_UPAH_okk"/>
      <sheetName val="Analis_Kusen_okk"/>
      <sheetName val="4_Annex_1_Basic_rate"/>
      <sheetName val="F1_4"/>
      <sheetName val="Iuran_Nopember_2002"/>
      <sheetName val="H_Satuan"/>
      <sheetName val="ocean_voyage"/>
      <sheetName val="Perm__Test"/>
      <sheetName val="Cash_Flow_bulanan"/>
      <sheetName val="7__Comparison_of_Asphalt_etc"/>
      <sheetName val="MEASURE_LIST"/>
      <sheetName val="OIL_SYST_DATA_SHTS"/>
      <sheetName val="List_-_Components"/>
      <sheetName val="List_-_Equipment"/>
      <sheetName val="BOQ_for_HRSG_&amp;_BOP-mech_"/>
      <sheetName val="Detail_Eng"/>
      <sheetName val="0_INDIRECTS"/>
      <sheetName val="1__Civil_Works"/>
      <sheetName val="2__Struct__Steel_SST"/>
      <sheetName val="3__Fireproofing_SST"/>
      <sheetName val="4_2__Fireproofing_EQU"/>
      <sheetName val="4_1__Equipment"/>
      <sheetName val="4_1__Equipment_(Tag)"/>
      <sheetName val="BoQ_Equipment"/>
      <sheetName val="4_3__Insulation_for_Equip"/>
      <sheetName val="4_4__Structural_Steel_EQU"/>
      <sheetName val="4_5__Heavy_Lifting"/>
      <sheetName val="5_1__AG_PIPING"/>
      <sheetName val="1A_AG_PIPING_PREFABRICATION"/>
      <sheetName val="5_2_UG_PIPING"/>
      <sheetName val="5_3a_VALVES"/>
      <sheetName val="5_3b_INLINE_INST_"/>
      <sheetName val="5_3c_FLANGE_BOLTED_JOINTS"/>
      <sheetName val="5_4__SUPPORTS"/>
      <sheetName val="5_5__WRAPPING"/>
      <sheetName val="5_6__PAINT"/>
      <sheetName val="5_7__INSULATION"/>
      <sheetName val="5_8__NDT"/>
      <sheetName val="5_9__PWHT"/>
      <sheetName val="5_10_TIE-INS"/>
      <sheetName val="6__Pipeline_Works"/>
      <sheetName val="7_1__Cathodic_Protection_Erec"/>
      <sheetName val="7_2__CP_Auxiliary_Prices"/>
      <sheetName val="8_1__Electrical_Erection"/>
      <sheetName val="8_2__Instruments_Erection"/>
      <sheetName val="8_3__Telecom_Erection"/>
      <sheetName val="9_1__HSE_-_Inside_Bldg"/>
      <sheetName val="9_2__HSE_-_Outside_Bldg"/>
      <sheetName val="21__MODIFICATION_PRICES"/>
      <sheetName val="2__CHANGES-1"/>
      <sheetName val="3__CHANGES-2"/>
      <sheetName val="5__CHANGES-4"/>
      <sheetName val="4-Basic_Price"/>
      <sheetName val="Kuantitas_&amp;_Harga"/>
      <sheetName val="DIV_3"/>
      <sheetName val="HARGA_DASAR"/>
      <sheetName val="hrg_sat1"/>
      <sheetName val="Data_basic_price_jgan_diprint"/>
      <sheetName val="Urai__Resap_pengikat"/>
      <sheetName val="Daily_Forwards"/>
      <sheetName val="sis_xlm"/>
      <sheetName val="Tipo_de_Cambio"/>
      <sheetName val="Analisa_Upah_&amp;_Bahan_Plum"/>
      <sheetName val="Daftar_Sewa"/>
      <sheetName val="Peralatan_(2)"/>
      <sheetName val="Analisa_Alat"/>
      <sheetName val="Analisa_SNI_STANDART_"/>
      <sheetName val="DAFTAR_ISI"/>
      <sheetName val="UNIT_3"/>
      <sheetName val="1_2"/>
      <sheetName val="(1)Internal_Cost_Report"/>
      <sheetName val="PSM_Monthly"/>
      <sheetName val="Memb_Schd"/>
      <sheetName val="제출계산서"/>
      <sheetName val="PointNo.5"/>
      <sheetName val="PCV"/>
      <sheetName val="analis standar(20m)"/>
      <sheetName val="ANAL BETON"/>
      <sheetName val="품셈표"/>
      <sheetName val="단중"/>
      <sheetName val="SCHE"/>
      <sheetName val="UPRI"/>
      <sheetName val="TPS Performance Model"/>
      <sheetName val="PI"/>
      <sheetName val="부대내역"/>
      <sheetName val="GEN"/>
      <sheetName val="임차보증금"/>
      <sheetName val="가공사"/>
      <sheetName val="의왕F사"/>
      <sheetName val="견적대비표"/>
      <sheetName val="XZLC003_PART1"/>
      <sheetName val="XZLC004_PART2"/>
      <sheetName val="BQ"/>
      <sheetName val="CAT_5"/>
      <sheetName val="AILC004"/>
      <sheetName val="PBS"/>
      <sheetName val="간접비내역-1"/>
      <sheetName val="예산M12A"/>
      <sheetName val="Graph (LGEN)"/>
      <sheetName val="out_prog"/>
      <sheetName val="Piping Design Data"/>
      <sheetName val="선적schedule (2)"/>
      <sheetName val="X17-TOTAL"/>
      <sheetName val="견적을지"/>
      <sheetName val=" 갑지"/>
      <sheetName val="SHL"/>
      <sheetName val="spc 배관견적"/>
      <sheetName val="热力"/>
      <sheetName val="Shut down"/>
      <sheetName val="Building"/>
      <sheetName val="Basic Rate"/>
      <sheetName val="derive"/>
      <sheetName val="VC2 10.99"/>
      <sheetName val="UC"/>
      <sheetName val="COMPARATIVE SUMMARY"/>
      <sheetName val="BOQ (typ-accent)"/>
      <sheetName val="RecoveredExternalLink1"/>
      <sheetName val="float&amp;bear"/>
      <sheetName val="Kfracture"/>
      <sheetName val="Named Range"/>
      <sheetName val="RFP Codes"/>
      <sheetName val="Other"/>
      <sheetName val="Dico"/>
      <sheetName val="co-no.2"/>
      <sheetName val="TOSHIBA-Structure"/>
      <sheetName val="BOQp4"/>
      <sheetName val="SOBRETIEMPO"/>
      <sheetName val="HaulingLine hardware"/>
      <sheetName val="Direct Cost Summary"/>
      <sheetName val="일위대가"/>
      <sheetName val="MTO REV.2(ARMOR)"/>
      <sheetName val="4-Lane bridge"/>
      <sheetName val="Hac.Lots"/>
      <sheetName val="Res.Lots"/>
      <sheetName val="Spine Road"/>
      <sheetName val="Inputs"/>
      <sheetName val="BD"/>
      <sheetName val="다이꾸"/>
      <sheetName val="tabulation of deductions"/>
      <sheetName val="DUPA-22-NAGSAAG SS"/>
      <sheetName val="Résultats"/>
      <sheetName val="Code 07"/>
      <sheetName val="Schedule 2 and 3"/>
      <sheetName val="DATE"/>
      <sheetName val="비품"/>
      <sheetName val="choose"/>
      <sheetName val="Detail"/>
      <sheetName val="THISWORKSHEET"/>
      <sheetName val="struktur tdk dipakai"/>
      <sheetName val="sumoflaborates"/>
      <sheetName val="Proj Cost Sumry"/>
      <sheetName val="물량 집계표"/>
      <sheetName val="비계수정작업집계"/>
      <sheetName val="안전감시자공수집계"/>
      <sheetName val="Angkatan Mewah"/>
      <sheetName val="081387T_BoM_detail "/>
      <sheetName val="Administrative Prices"/>
      <sheetName val="비계 수량산출서"/>
      <sheetName val="Ragama"/>
      <sheetName val="mplpro"/>
      <sheetName val="C.ALS-STR-PDS"/>
      <sheetName val="analisa GRC"/>
      <sheetName val="Q.ALS-saluran+BK"/>
      <sheetName val="금융비용"/>
      <sheetName val="뜃맟뭁돽띿맟-BLDG"/>
      <sheetName val="Planning&amp;reporting.xlsM9000-A"/>
      <sheetName val="Planning&amp;reporting_xlsM9000-A"/>
      <sheetName val="Planning&amp;reporting_xlsM9000-A1"/>
      <sheetName val="Running_compatibility_check_A1"/>
      <sheetName val="Planning&amp;reporting_xlsM9000-A2"/>
      <sheetName val="Working_Materials1"/>
      <sheetName val="Working_sheet1"/>
      <sheetName val="SC_Cost_FEB_031"/>
      <sheetName val="Drilling_sequence"/>
      <sheetName val="Active_Wells"/>
      <sheetName val="String_time"/>
      <sheetName val="Type_curves_(bbl)"/>
      <sheetName val="Well_fcst_"/>
      <sheetName val="Oil_prod"/>
      <sheetName val="Water_prod"/>
      <sheetName val="Water_inj"/>
      <sheetName val="Liquid_prod"/>
      <sheetName val="Gas_prod"/>
      <sheetName val="Ullage_check"/>
      <sheetName val="Well_CAPEX"/>
      <sheetName val="Hook_Up"/>
      <sheetName val="Subsurface_Studies"/>
      <sheetName val="Camp_operation"/>
      <sheetName val="Software_&amp;_IT"/>
      <sheetName val="Coastal_Overheads"/>
      <sheetName val="2019_budget"/>
      <sheetName val="Assumptions_monthly"/>
      <sheetName val="Assumptions_comparison"/>
      <sheetName val="Economics_(monhtly)"/>
      <sheetName val="Economics_Summary"/>
      <sheetName val="Budget_DELTA"/>
      <sheetName val="2019-20_Budget_"/>
      <sheetName val="Budget_Overview"/>
      <sheetName val="Sumption_Summary"/>
      <sheetName val="Cost_Summary"/>
      <sheetName val="A-1Construction_Breakdown"/>
      <sheetName val="A-2_Equipment_Breakdown"/>
      <sheetName val="1-HVAC_Sumption"/>
      <sheetName val="2-Fire&amp;_Plumb_Sumption"/>
      <sheetName val="3-Utility_Sumption"/>
      <sheetName val="4-Engineering_Sumption"/>
      <sheetName val="B2_Project_Mangement"/>
      <sheetName val="B8_Permitting"/>
      <sheetName val="HIOS_93_thru_96"/>
      <sheetName val="CREDIT_STATS"/>
      <sheetName val="1999_BUDGET"/>
      <sheetName val="Rekap_Addendum"/>
      <sheetName val="Dynamic_Query"/>
      <sheetName val="Pump"/>
      <sheetName val="AN-01"/>
      <sheetName val="Sheet5"/>
      <sheetName val="BMS 제어공사 (금회계약분)"/>
      <sheetName val="01"/>
      <sheetName val="02"/>
      <sheetName val="03"/>
      <sheetName val="04"/>
      <sheetName val="Sum-Solvay DOW-AIE "/>
      <sheetName val="ใบนำส่งเอกสาร ออก Invoiced"/>
      <sheetName val="SMY PG"/>
      <sheetName val="รอ"/>
      <sheetName val="PO Blanket Status"/>
      <sheetName val="UnitRate"/>
      <sheetName val="New Rate"/>
      <sheetName val=" 배관자재비-SKEC구매분"/>
      <sheetName val="보온자재단가표"/>
      <sheetName val="FLANGE"/>
      <sheetName val="steam table"/>
      <sheetName val="INSTLIST 1"/>
      <sheetName val="VUOTO"/>
      <sheetName val="studbolt no."/>
      <sheetName val="studbolt size"/>
      <sheetName val="item sort no"/>
      <sheetName val="Price Schedule(Piping)"/>
      <sheetName val="General Data"/>
      <sheetName val="금융"/>
      <sheetName val="Curves"/>
      <sheetName val="Tables"/>
      <sheetName val="IMPEADENCE MAP 취수장"/>
      <sheetName val="CB"/>
      <sheetName val="기기리스트"/>
      <sheetName val="LINE_LIST"/>
      <sheetName val="Takeoff"/>
      <sheetName val="BQ List"/>
      <sheetName val="QT003-SSY-철골3"/>
      <sheetName val="CAST INT T-S"/>
      <sheetName val="매출 현황 (본사)"/>
      <sheetName val="기타"/>
      <sheetName val="U.D.电槽运行状况 "/>
      <sheetName val="生产现况(总累计)"/>
      <sheetName val="原材料单耗(现状况)"/>
      <sheetName val="BJ电解槽运行状况 "/>
      <sheetName val="울산이전 Schedule(초안)"/>
      <sheetName val="LOADS"/>
      <sheetName val="trf(36%)"/>
      <sheetName val="Report_OOK"/>
      <sheetName val="Att1.Home Office Cost"/>
      <sheetName val="EQUIP"/>
      <sheetName val="토목 Utility Schedule (2)"/>
      <sheetName val="1. 총괄"/>
      <sheetName val="E 3367 Estimate"/>
      <sheetName val="2-Conc"/>
      <sheetName val="85m3 bulk 비교"/>
      <sheetName val="120m3 bulk 비교"/>
      <sheetName val="Ni BJ bulk 비교"/>
      <sheetName val="Back Data"/>
      <sheetName val="_배관자재비-SKEC구매분"/>
      <sheetName val="INSTLIST_1"/>
      <sheetName val="steam_table"/>
      <sheetName val="Price_Schedule(Piping)"/>
      <sheetName val="studbolt_no_"/>
      <sheetName val="studbolt_size"/>
      <sheetName val="item_sort_no"/>
      <sheetName val="TABLE-A"/>
      <sheetName val="General_Data"/>
      <sheetName val="BQ_List"/>
      <sheetName val="Project MP Plan (Home Office)"/>
      <sheetName val="CAST_INT_T-S"/>
      <sheetName val="IMPEADENCE_MAP_취수장"/>
      <sheetName val="보고서용"/>
      <sheetName val="CAL1"/>
      <sheetName val="Preise"/>
      <sheetName val="공사내역"/>
      <sheetName val="찍기"/>
      <sheetName val="토목_Utility_Schedule_(2)"/>
      <sheetName val="1__총괄"/>
      <sheetName val="매출_현황_(본사)"/>
      <sheetName val="_배관자재비-SKEC구매분1"/>
      <sheetName val="INSTLIST_11"/>
      <sheetName val="steam_table1"/>
      <sheetName val="studbolt_no_1"/>
      <sheetName val="studbolt_size1"/>
      <sheetName val="item_sort_no1"/>
      <sheetName val="Price_Schedule(Piping)1"/>
      <sheetName val="General_Data1"/>
      <sheetName val="BQ_List1"/>
      <sheetName val="CAST_INT_T-S1"/>
      <sheetName val="IMPEADENCE_MAP_취수장1"/>
      <sheetName val="E_3367_Estimate"/>
      <sheetName val="U_D_电槽运行状况_"/>
      <sheetName val="BJ电解槽运行状况_"/>
      <sheetName val="울산이전_Schedule(초안)"/>
      <sheetName val="Project_MP_Plan_(Home_Office)"/>
      <sheetName val="Att1_Home_Office_Cost"/>
      <sheetName val="_배관자재비-SKEC구매분2"/>
      <sheetName val="studbolt_no_2"/>
      <sheetName val="studbolt_size2"/>
      <sheetName val="item_sort_no2"/>
      <sheetName val="INSTLIST_12"/>
      <sheetName val="steam_table2"/>
      <sheetName val="Price_Schedule(Piping)2"/>
      <sheetName val="General_Data2"/>
      <sheetName val="매출_현황_(본사)1"/>
      <sheetName val="BQ_List2"/>
      <sheetName val="U_D_电槽运行状况_1"/>
      <sheetName val="BJ电解槽运行状况_1"/>
      <sheetName val="울산이전_Schedule(초안)1"/>
      <sheetName val="CAST_INT_T-S2"/>
      <sheetName val="IMPEADENCE_MAP_취수장2"/>
      <sheetName val="1__총괄1"/>
      <sheetName val="토목_Utility_Schedule_(2)1"/>
      <sheetName val="E_3367_Estimate1"/>
      <sheetName val="Project_MP_Plan_(Home_Office)1"/>
      <sheetName val="Att1_Home_Office_Cost1"/>
      <sheetName val="HO ENG MH CAL"/>
      <sheetName val="Schedule S-Curve Revision#3"/>
      <sheetName val="HO_ENG_MH_CAL"/>
      <sheetName val="Schedule_S-Curve_Revision#3"/>
      <sheetName val="MC-01"/>
      <sheetName val="90EL JACKET"/>
      <sheetName val="보온재"/>
      <sheetName val="Y-WORK"/>
      <sheetName val="품의"/>
      <sheetName val="TESİSAT"/>
      <sheetName val="Graph.Data"/>
      <sheetName val="G.G"/>
      <sheetName val="산출근거#2-3"/>
      <sheetName val="1062-X방향_"/>
      <sheetName val="KA6"/>
      <sheetName val="Previous Week"/>
      <sheetName val="Loop Test"/>
      <sheetName val="Weekly Quantity"/>
      <sheetName val="Static Equipment"/>
      <sheetName val="Solo Run"/>
      <sheetName val="name"/>
      <sheetName val="Insts"/>
      <sheetName val="M-EQPT-Z"/>
      <sheetName val="설계예산서"/>
      <sheetName val="조건표"/>
      <sheetName val="결과조달"/>
      <sheetName val="3.공통공사대비"/>
      <sheetName val="금액내역서"/>
      <sheetName val="장비"/>
      <sheetName val="대비"/>
      <sheetName val="전기"/>
      <sheetName val="약품공급2"/>
      <sheetName val="서∼군(2)"/>
      <sheetName val="입찰안"/>
      <sheetName val="간선계산"/>
      <sheetName val="1단계"/>
      <sheetName val="수량집계표"/>
      <sheetName val="일반공사"/>
      <sheetName val="MOTOR"/>
      <sheetName val="노무"/>
      <sheetName val="자압"/>
      <sheetName val="5.전사투자계획종함안"/>
      <sheetName val="자재"/>
      <sheetName val="2000전체분"/>
      <sheetName val="현장관리비 산출내역"/>
      <sheetName val="실행대비"/>
      <sheetName val="청천내"/>
      <sheetName val="요율"/>
      <sheetName val="노임"/>
      <sheetName val="연결임시"/>
      <sheetName val="구조물공"/>
      <sheetName val="내역"/>
      <sheetName val="2000년1차"/>
      <sheetName val="노무비"/>
      <sheetName val="산근1"/>
      <sheetName val="부대공"/>
      <sheetName val="★도급내역"/>
      <sheetName val="설계"/>
      <sheetName val="저"/>
      <sheetName val="45,46"/>
      <sheetName val="지급자재"/>
      <sheetName val="단가"/>
      <sheetName val="배수공"/>
      <sheetName val="관리,공감"/>
      <sheetName val="입찰"/>
      <sheetName val="토목"/>
      <sheetName val="원가계산서"/>
      <sheetName val="자재대"/>
      <sheetName val="200"/>
      <sheetName val="토공"/>
      <sheetName val="도급"/>
      <sheetName val="포장공"/>
      <sheetName val="현경"/>
      <sheetName val="소야공정계획표"/>
      <sheetName val=" X-2 PJT 기성내역서.xlsx"/>
      <sheetName val="TOWER 12TON"/>
      <sheetName val="TOWER 10TON"/>
      <sheetName val="_배관자재비-SKEC구매분3"/>
      <sheetName val="INSTLIST_13"/>
      <sheetName val="steam_table3"/>
      <sheetName val="studbolt_no_3"/>
      <sheetName val="studbolt_size3"/>
      <sheetName val="item_sort_no3"/>
      <sheetName val="Price_Schedule(Piping)3"/>
      <sheetName val="General_Data3"/>
      <sheetName val="BQ_List3"/>
      <sheetName val="CAST_INT_T-S3"/>
      <sheetName val="IMPEADENCE_MAP_취수장3"/>
      <sheetName val="토목_Utility_Schedule_(2)2"/>
      <sheetName val="1__총괄2"/>
      <sheetName val="E_3367_Estimate2"/>
      <sheetName val="매출_현황_(본사)2"/>
      <sheetName val="U_D_电槽运行状况_2"/>
      <sheetName val="BJ电解槽运行状况_2"/>
      <sheetName val="울산이전_Schedule(초안)2"/>
      <sheetName val="Project_MP_Plan_(Home_Office)2"/>
      <sheetName val="Att1_Home_Office_Cost2"/>
      <sheetName val="85m3_bulk_비교"/>
      <sheetName val="120m3_bulk_비교"/>
      <sheetName val="Ni_BJ_bulk_비교"/>
      <sheetName val="Back_Data"/>
      <sheetName val="90EL_JACKET"/>
      <sheetName val="HO_ENG_MH_CAL1"/>
      <sheetName val="Schedule_S-Curve_Revision#31"/>
      <sheetName val="G_G"/>
      <sheetName val="TAB &amp; Exch Rate"/>
      <sheetName val="References"/>
      <sheetName val="Vessel"/>
      <sheetName val="Exchanger"/>
      <sheetName val="Fired Heaters"/>
      <sheetName val="Air Cooler"/>
      <sheetName val="Compressors"/>
      <sheetName val="Pumps"/>
      <sheetName val="Fans"/>
      <sheetName val="Desuperheaters &amp; Silencers"/>
      <sheetName val="Packages"/>
      <sheetName val="Miscellanea"/>
      <sheetName val="_REF"/>
      <sheetName val="영동(D)"/>
      <sheetName val="수입"/>
      <sheetName val="영업소실적"/>
      <sheetName val="수주현황2월"/>
      <sheetName val="예총"/>
      <sheetName val="10현장조직"/>
      <sheetName val="인원계획"/>
      <sheetName val="할증 "/>
      <sheetName val="연돌일위집계"/>
      <sheetName val="TRNS-C1"/>
      <sheetName val="PROCURE"/>
      <sheetName val="lookup"/>
      <sheetName val="사업인력(프로포잘)"/>
      <sheetName val="물가정보"/>
      <sheetName val="정부노임"/>
      <sheetName val="9609추"/>
      <sheetName val="F4-F7"/>
      <sheetName val="COST"/>
      <sheetName val="Recovered_Sheet3"/>
      <sheetName val="Recovered_Sheet2"/>
      <sheetName val="Recovered_Sheet7"/>
      <sheetName val="Recovered_Sheet4"/>
      <sheetName val="Recovered_Sheet9"/>
      <sheetName val="Recovered_Sheet14"/>
      <sheetName val="Recovered_Sheet5"/>
      <sheetName val="Recovered_Sheet10"/>
      <sheetName val="Recovered_Sheet8"/>
      <sheetName val="Recovered_Sheet11"/>
      <sheetName val="#3_일위대가목록"/>
      <sheetName val="FM"/>
      <sheetName val="당진1,2호기전선관설치및접지4차공사내역서-을지"/>
      <sheetName val="월별생산"/>
      <sheetName val="실행(1)"/>
      <sheetName val="입상내역"/>
      <sheetName val="FC-101"/>
      <sheetName val="11월내역"/>
      <sheetName val="데이타"/>
      <sheetName val="수량산출서"/>
      <sheetName val="조명율표"/>
      <sheetName val="원가"/>
      <sheetName val="#2_일위대가목록"/>
      <sheetName val="물량입력"/>
      <sheetName val="CM 1"/>
      <sheetName val="영창26"/>
      <sheetName val="기계공사비집계(원안)"/>
      <sheetName val="2.대외공문"/>
      <sheetName val="연봉표"/>
      <sheetName val="판매브리핑"/>
      <sheetName val="LD TX"/>
      <sheetName val="조경일람"/>
      <sheetName val="101동"/>
      <sheetName val="증감내역서"/>
      <sheetName val="기준정보"/>
      <sheetName val="도기류"/>
      <sheetName val="빌딩 안내"/>
      <sheetName val="주beam"/>
      <sheetName val="계측기"/>
      <sheetName val="실행내역서(DCU)"/>
      <sheetName val="경상"/>
      <sheetName val="투입실적"/>
      <sheetName val="가설"/>
      <sheetName val="주_부자재"/>
      <sheetName val="용선 C.L"/>
      <sheetName val="실행내역서 "/>
      <sheetName val="발주내역"/>
      <sheetName val="내역_ver1.0"/>
      <sheetName val="controll"/>
      <sheetName val="기준원단위"/>
      <sheetName val="1996"/>
      <sheetName val="공량예산"/>
      <sheetName val="내역전기"/>
      <sheetName val="Weld, NDE (Pipe)"/>
      <sheetName val="附表6"/>
      <sheetName val="图形"/>
      <sheetName val="敏感性"/>
      <sheetName val="config"/>
      <sheetName val="分析"/>
      <sheetName val="综合表"/>
      <sheetName val="土建"/>
      <sheetName val="Precios"/>
      <sheetName val="Note"/>
      <sheetName val="Activity Form"/>
      <sheetName val="Physical % (By Phase)"/>
      <sheetName val="Physical (by Portion)"/>
      <sheetName val="Level-1"/>
      <sheetName val="Level-2"/>
      <sheetName val="Level-3"/>
      <sheetName val="Level-4"/>
      <sheetName val="Overall"/>
      <sheetName val="Construction"/>
      <sheetName val="Procurement"/>
      <sheetName val="Welding-Curve"/>
      <sheetName val="Welding"/>
      <sheetName val="Corr-Pit"/>
      <sheetName val="SVS"/>
      <sheetName val="Pipeline"/>
      <sheetName val="CP"/>
      <sheetName val="Trenchless-Addl"/>
      <sheetName val="Trenchless"/>
      <sheetName val="Open Cut"/>
      <sheetName val="SVS-Conc."/>
      <sheetName val="SVS-Curve"/>
      <sheetName val="SVS-%"/>
      <sheetName val="Coating"/>
      <sheetName val="SVS-Summary"/>
      <sheetName val="Road-X'sing"/>
      <sheetName val="SVS-Breakdown"/>
      <sheetName val="Sheet1 (2)"/>
      <sheetName val="FOC"/>
      <sheetName val="Budgeted Cost -Orig"/>
      <sheetName val="PIPING LINE LIST"/>
      <sheetName val="coastal"/>
      <sheetName val="합벽,옹벽"/>
      <sheetName val="Day work"/>
      <sheetName val="New Rates"/>
      <sheetName val="Mobilisasi div-1"/>
      <sheetName val="Utility and Fire flange"/>
      <sheetName val="수량산출"/>
      <sheetName val="PID"/>
      <sheetName val="배수내역"/>
      <sheetName val="ANX3A11"/>
      <sheetName val="Weight"/>
      <sheetName val="RFP007"/>
      <sheetName val="Log-Log"/>
      <sheetName val="SAT-DAS"/>
      <sheetName val="HRG BHN"/>
      <sheetName val="struktur"/>
      <sheetName val="Rates Increase &amp; Loading"/>
      <sheetName val="REKAP A BESAR"/>
      <sheetName val="MTL$-INTER"/>
      <sheetName val="tabel berat"/>
      <sheetName val="L 1"/>
      <sheetName val="_Planning&amp;reporting_xlsM9000-A8"/>
      <sheetName val="ETHYLENE-Production"/>
      <sheetName val="budget summary"/>
      <sheetName val="BS"/>
      <sheetName val="ELM"/>
      <sheetName val="CSR Regions"/>
      <sheetName val="transf"/>
      <sheetName val="RATE TABLE"/>
      <sheetName val="giathanh1"/>
      <sheetName val="Basicrates"/>
      <sheetName val="Electrikal"/>
      <sheetName val="Elektronik"/>
      <sheetName val="Plumbing"/>
      <sheetName val="Fire_Fighting"/>
      <sheetName val="Fire Fighting"/>
      <sheetName val="Item_Kompensasi"/>
      <sheetName val="Item Kompensasi"/>
      <sheetName val="UP_an"/>
      <sheetName val="Tunnel ( 8,0 x 4,6 )"/>
      <sheetName val="Div 9 - Harian"/>
      <sheetName val="ah sanitary"/>
      <sheetName val="harga"/>
      <sheetName val="upah"/>
      <sheetName val="Cash Flow"/>
      <sheetName val="JAD-PEL"/>
      <sheetName val="PkRp"/>
      <sheetName val="PESANTREN"/>
      <sheetName val="G"/>
      <sheetName val="Analisa Gabungan"/>
      <sheetName val="Sat Bah &amp; Up"/>
      <sheetName val="MU"/>
      <sheetName val="I-KAMAR"/>
      <sheetName val="ARSITEKTUR"/>
      <sheetName val="Curup"/>
      <sheetName val="Prabu"/>
      <sheetName val="TABEL BAJA"/>
      <sheetName val="PE-F-33 Rev 02 Basic Proj.Info"/>
      <sheetName val="PE-F-31 Rev 01 Coversheet"/>
      <sheetName val=" PE-F-42 MR 9 Manpower"/>
      <sheetName val="Koordinat"/>
      <sheetName val="10"/>
      <sheetName val="5"/>
      <sheetName val="Earthwork"/>
      <sheetName val="TRAFFIC"/>
      <sheetName val="Contingency"/>
      <sheetName val="Details"/>
      <sheetName val="Cash Flow Data"/>
      <sheetName val="Cover (sh 1)"/>
      <sheetName val="Units"/>
      <sheetName val="Instructions"/>
      <sheetName val="Daftar BOQ"/>
      <sheetName val="Reference"/>
      <sheetName val="Met_Pas Batu"/>
      <sheetName val="Met_ Minor"/>
      <sheetName val="USGC"/>
      <sheetName val="1-G1"/>
      <sheetName val="Calc A"/>
      <sheetName val="Duties Code"/>
      <sheetName val="EL"/>
      <sheetName val="HYDROTEST DIAGRAM"/>
      <sheetName val="REQ_REMARKS"/>
      <sheetName val="Project data"/>
      <sheetName val="PriceSummary"/>
      <sheetName val="TIE-INS"/>
      <sheetName val="经评"/>
      <sheetName val="COSTOMAT_XLS1"/>
      <sheetName val="QMS_Rev_32"/>
      <sheetName val="QMS_Rev_22"/>
      <sheetName val="Rebar_Assembly_Progress2"/>
      <sheetName val="GI_Steps_Progress_Final2"/>
      <sheetName val="QW_Trench2"/>
      <sheetName val="HRG_BAHAN_&amp;_UPAH_okk1"/>
      <sheetName val="Analis_Kusen_okk1"/>
      <sheetName val="4_Annex_1_Basic_rate1"/>
      <sheetName val="VS_P-Q1"/>
      <sheetName val="VS_curve1"/>
      <sheetName val="CS_P_Q1"/>
      <sheetName val="Retaining_wall_&amp;_Top_Up1"/>
      <sheetName val="personnel_loading1"/>
      <sheetName val="MAY_00-Bobbins1"/>
      <sheetName val="U_A_Input1"/>
      <sheetName val="Equipt_Rental1"/>
      <sheetName val="UPA(Part_C,D,E,G,H)1"/>
      <sheetName val="UPA(Part_F)1"/>
      <sheetName val="일위대가_(Part_C,D,E,G,H)1"/>
      <sheetName val="AOP_Summary-22"/>
      <sheetName val="Price_Schedule1"/>
      <sheetName val="OIL_SYST_DATA_SHTS1"/>
      <sheetName val="Working_Materials2"/>
      <sheetName val="Working_sheet2"/>
      <sheetName val="MEASURE_LIST1"/>
      <sheetName val="CABLE_DATA1"/>
      <sheetName val="F1_41"/>
      <sheetName val="Iuran_Nopember_20021"/>
      <sheetName val="H_Satuan1"/>
      <sheetName val="ocean_voyage1"/>
      <sheetName val="Perm__Test1"/>
      <sheetName val="Cash_Flow_bulanan1"/>
      <sheetName val="7__Comparison_of_Asphalt_etc1"/>
      <sheetName val="List_-_Components1"/>
      <sheetName val="List_-_Equipment1"/>
      <sheetName val="0_INDIRECTS1"/>
      <sheetName val="1__Civil_Works1"/>
      <sheetName val="2__Struct__Steel_SST1"/>
      <sheetName val="3__Fireproofing_SST1"/>
      <sheetName val="4_2__Fireproofing_EQU1"/>
      <sheetName val="4_1__Equipment1"/>
      <sheetName val="4_1__Equipment_(Tag)1"/>
      <sheetName val="BoQ_Equipment1"/>
      <sheetName val="4_3__Insulation_for_Equip1"/>
      <sheetName val="4_4__Structural_Steel_EQU1"/>
      <sheetName val="4_5__Heavy_Lifting1"/>
      <sheetName val="5_1__AG_PIPING1"/>
      <sheetName val="1A_AG_PIPING_PREFABRICATION1"/>
      <sheetName val="5_2_UG_PIPING1"/>
      <sheetName val="5_3a_VALVES1"/>
      <sheetName val="5_3b_INLINE_INST_1"/>
      <sheetName val="5_3c_FLANGE_BOLTED_JOINTS1"/>
      <sheetName val="5_4__SUPPORTS1"/>
      <sheetName val="5_5__WRAPPING1"/>
      <sheetName val="5_6__PAINT1"/>
      <sheetName val="5_7__INSULATION1"/>
      <sheetName val="5_8__NDT1"/>
      <sheetName val="5_9__PWHT1"/>
      <sheetName val="5_10_TIE-INS1"/>
      <sheetName val="6__Pipeline_Works1"/>
      <sheetName val="7_1__Cathodic_Protection_Erec1"/>
      <sheetName val="7_2__CP_Auxiliary_Prices1"/>
      <sheetName val="8_1__Electrical_Erection1"/>
      <sheetName val="8_2__Instruments_Erection1"/>
      <sheetName val="8_3__Telecom_Erection1"/>
      <sheetName val="9_1__HSE_-_Inside_Bldg1"/>
      <sheetName val="9_2__HSE_-_Outside_Bldg1"/>
      <sheetName val="21__MODIFICATION_PRICES1"/>
      <sheetName val="2__CHANGES-11"/>
      <sheetName val="3__CHANGES-21"/>
      <sheetName val="5__CHANGES-41"/>
      <sheetName val="BOQ_for_HRSG_&amp;_BOP-mech_1"/>
      <sheetName val="COSTOMAT_XLS2"/>
      <sheetName val="Tipo_de_Cambio1"/>
      <sheetName val="Detail_Eng1"/>
      <sheetName val="SC_Cost_FEB_032"/>
      <sheetName val="Dynamic_Query1"/>
      <sheetName val="4-Basic_Price1"/>
      <sheetName val="Kuantitas_&amp;_Harga1"/>
      <sheetName val="DIV_31"/>
      <sheetName val="HARGA_DASAR1"/>
      <sheetName val="hrg_sat11"/>
      <sheetName val="Data_basic_price_jgan_diprint1"/>
      <sheetName val="Urai__Resap_pengikat1"/>
      <sheetName val="Daily_Forwards1"/>
      <sheetName val="sis_xlm1"/>
      <sheetName val="Analisa_Upah_&amp;_Bahan_Plum1"/>
      <sheetName val="Daftar_Sewa1"/>
      <sheetName val="Peralatan_(2)1"/>
      <sheetName val="Analisa_Alat1"/>
      <sheetName val="Analisa_SNI_STANDART_1"/>
      <sheetName val="DAFTAR_ISI1"/>
      <sheetName val="UNIT_31"/>
      <sheetName val="1_21"/>
      <sheetName val="(1)Internal_Cost_Report1"/>
      <sheetName val="PSM_Monthly1"/>
      <sheetName val="HIOS_93_thru_961"/>
      <sheetName val="CREDIT_STATS1"/>
      <sheetName val="1999_BUDGET1"/>
      <sheetName val="GRSummary"/>
      <sheetName val="DC MATRIX"/>
      <sheetName val="TASK"/>
      <sheetName val="USERDATA"/>
      <sheetName val="Piping Spool "/>
      <sheetName val="listes"/>
      <sheetName val="三材价差限额"/>
      <sheetName val="Sheet168"/>
      <sheetName val="SUM_FSBLT16"/>
      <sheetName val="Overall_Project16"/>
      <sheetName val="Overall_Process16"/>
      <sheetName val="Overall_Utility16"/>
      <sheetName val="FWBS_100016"/>
      <sheetName val="FWBS_200016"/>
      <sheetName val="FWBS_300016"/>
      <sheetName val="FWBS_500016"/>
      <sheetName val="FWBS_600016"/>
      <sheetName val="FWBS_700016"/>
      <sheetName val="FWBS_800016"/>
      <sheetName val="FWBS_900016"/>
      <sheetName val="FWBS_A00016"/>
      <sheetName val="FWBS_B00016"/>
      <sheetName val="FWBS_Z00016"/>
      <sheetName val="Onerous_Terms15"/>
      <sheetName val="INVOICE_CERT_EIV'S15"/>
      <sheetName val="Building_BD15"/>
      <sheetName val="_Sum15"/>
      <sheetName val="실제_도면출도14"/>
      <sheetName val="공사비_내역_(가)14"/>
      <sheetName val="33628-Rev__A14"/>
      <sheetName val="plan&amp;section_of_foundation14"/>
      <sheetName val="design_criteria14"/>
      <sheetName val="w't_table14"/>
      <sheetName val="BM_DATA_SHEET14"/>
      <sheetName val="Eq__Mobilization14"/>
      <sheetName val="Progress_Tab14"/>
      <sheetName val="입찰내역_발주처_양식14"/>
      <sheetName val="M_1114"/>
      <sheetName val="PC_CATCH_PIT_1X1X1_2M13"/>
      <sheetName val="PC_CATCH_PIT__6X_6X1_0M13"/>
      <sheetName val="PC_COVER_100MM_THK__95x_313"/>
      <sheetName val="PC_COVER_250MM_THK_2_2x_313"/>
      <sheetName val="REINF_14"/>
      <sheetName val="Adjusted_Bids13"/>
      <sheetName val="member_design13"/>
      <sheetName val="working_load_at_the_btm_ft_13"/>
      <sheetName val="soil_bearing_check13"/>
      <sheetName val="3__GROUNDING_SYSTEM14"/>
      <sheetName val="Chiet_tinh_dz3513"/>
      <sheetName val="Concept_Offshore13"/>
      <sheetName val="A(Rev_3)13"/>
      <sheetName val="Running_compatibility_check_13"/>
      <sheetName val="[Planning&amp;reporting_xlsM9000-A9"/>
      <sheetName val="Running_compatibility_check__x9"/>
      <sheetName val="List_of_WorkPacks9"/>
      <sheetName val="List_of_Dates9"/>
      <sheetName val="FWBS_codes9"/>
      <sheetName val="STANDARD_DESCRIPTION9"/>
      <sheetName val="STANDARD_DESCRIPTION_-_20150510"/>
      <sheetName val="Drawings_Summary9"/>
      <sheetName val="Instr_Drawing_List9"/>
      <sheetName val="INDEX-Areas_B000,C000,D000,E009"/>
      <sheetName val="STANDARD_DESCRIPTION_201507159"/>
      <sheetName val="DropDown_Selections9"/>
      <sheetName val="Running_compatibility_check_?A9"/>
      <sheetName val="Cashflow_Analysis9"/>
      <sheetName val="A_(2)9"/>
      <sheetName val="Running_compatibility_check__A9"/>
      <sheetName val="Structural_Comp9"/>
      <sheetName val="WORKSHEET_CS8"/>
      <sheetName val="Direct_Prices8"/>
      <sheetName val="00-Summary_Information-ABB8"/>
      <sheetName val="page_68"/>
      <sheetName val="P-Ins_&amp;_Bonds7"/>
      <sheetName val="P-Site_fac7"/>
      <sheetName val="P-Clients_fac7"/>
      <sheetName val="P_Staff_fac7"/>
      <sheetName val="factor_7"/>
      <sheetName val="vlookup_-_do_not_print7"/>
      <sheetName val="Acc_Stock-INSUL7"/>
      <sheetName val="AEROGEL_CAL7"/>
      <sheetName val="CRYG_THKMM7"/>
      <sheetName val="ITB_REVIEW7"/>
      <sheetName val="SPCS_SUMM_7"/>
      <sheetName val="ESTI__SUMM_7"/>
      <sheetName val="Price_Summary7"/>
      <sheetName val="Rate_Analysis7"/>
      <sheetName val="19_05_20107"/>
      <sheetName val="Earthworks_ERP7"/>
      <sheetName val="24_06_20107"/>
      <sheetName val="Small_Structures_ERP7"/>
      <sheetName val="Large_Structures_ERP7"/>
      <sheetName val="Tunnelling_ERP7"/>
      <sheetName val="Pricing_Summary7"/>
      <sheetName val="Net_Cost_-_Final_Base7"/>
      <sheetName val="7_6Net_Cost_Agreed_on_Dec-04_R8"/>
      <sheetName val="Net_Cost_Agreed_on_Dec-04_Rev17"/>
      <sheetName val="7_6_Net_Cost_Agreed_on_Dec-047"/>
      <sheetName val="Net_Cost_Agreed_on_Dec-047"/>
      <sheetName val="Total_for_Check7"/>
      <sheetName val="Time_Rates_8"/>
      <sheetName val="ITB_COST7"/>
      <sheetName val="Civil_Weekly7"/>
      <sheetName val="_N_Finansal_Eğri7"/>
      <sheetName val="Cable_Schedule6"/>
      <sheetName val="견적서표지0204-2_(2)7"/>
      <sheetName val="Piping_Spool7"/>
      <sheetName val="Cost_Definition7"/>
      <sheetName val="견적_원가_7"/>
      <sheetName val="Geotextile_for_geotube5"/>
      <sheetName val="JK_Price_sheet7"/>
      <sheetName val="TP_Price_sheet7"/>
      <sheetName val="Phase_1_JK_UTSE7"/>
      <sheetName val="Phase_2_JK_UTSE7"/>
      <sheetName val="Phase_1_and_2_JK_UTSE7"/>
      <sheetName val="Phase_1_TP_UTSE7"/>
      <sheetName val="Phase_2_TP_UTSE7"/>
      <sheetName val="Phase_1_and_2_TP_UTSE7"/>
      <sheetName val="Cash_Flow_(BL)7"/>
      <sheetName val="Cash_Flow_(UTSE)7"/>
      <sheetName val="0_0_Cover7"/>
      <sheetName val="Hoja_3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pg_49"/>
      <sheetName val="Subcon_A9"/>
      <sheetName val="bill_28"/>
      <sheetName val="MATERIAL'S_PRICE8"/>
      <sheetName val="RFP003_Building_-_B7"/>
      <sheetName val="Drop_Down7"/>
      <sheetName val="Source_Data7"/>
      <sheetName val="Total_Staff7"/>
      <sheetName val="0__SUMMARY7"/>
      <sheetName val="1__Engineering7"/>
      <sheetName val="2__Check_point7"/>
      <sheetName val="II_Changes_17"/>
      <sheetName val="III_Changes_27"/>
      <sheetName val="Qty_7"/>
      <sheetName val="OQC_Summary7"/>
      <sheetName val="6_Unit_Rates7"/>
      <sheetName val="INDIRECT_OH&amp;P_6"/>
      <sheetName val="2_047"/>
      <sheetName val="2_057"/>
      <sheetName val="2_07_&amp;_2_087"/>
      <sheetName val="3_017"/>
      <sheetName val="3_027"/>
      <sheetName val="3_037"/>
      <sheetName val="ecart_Personnel7"/>
      <sheetName val="Ecart_Others7"/>
      <sheetName val="Other_costs7"/>
      <sheetName val="3000_Steel_str7"/>
      <sheetName val="5000_Equipments7"/>
      <sheetName val="6000_Piping7"/>
      <sheetName val="7000_Instrumentation7"/>
      <sheetName val="8000_Electrical7"/>
      <sheetName val="per_supplier7"/>
      <sheetName val="Pivot_ledger7"/>
      <sheetName val="Pivot_ENT7"/>
      <sheetName val="Pivot_MAD7"/>
      <sheetName val="Salary_20136"/>
      <sheetName val="CAPEX_Categories7"/>
      <sheetName val="PERHITUNGAN__KEEKONOMIAN7"/>
      <sheetName val="97_사업추정(WEKI)7"/>
      <sheetName val="Overall_MTO_-_20191001_(old)7"/>
      <sheetName val="MTO_for_BMBQ7"/>
      <sheetName val="BQ_Reff7"/>
      <sheetName val="Sum_of_Comparison-201910077"/>
      <sheetName val="Joint_No_7"/>
      <sheetName val="Unit_Weight7"/>
      <sheetName val="Detail_PMC7"/>
      <sheetName val="Detail_PMC_(for_full_desc)7"/>
      <sheetName val="Bolt_Size7"/>
      <sheetName val="NDE_Req7"/>
      <sheetName val="Tgh_JGC-Inv_I_clp7"/>
      <sheetName val="PCS_7"/>
      <sheetName val="Progress_Statement-SI7"/>
      <sheetName val="Progress_Payment-31107"/>
      <sheetName val="Summary_(3)7"/>
      <sheetName val="RRW_Scaff7"/>
      <sheetName val="RRW_Oct-2019-1st_Lot-13-10-197"/>
      <sheetName val="RRW_Oct-2019-2st_Lot-15-10-197"/>
      <sheetName val="Report_Wizard6"/>
      <sheetName val="Initial_Plan6"/>
      <sheetName val="Finansal_tamamlanma_Eğrisi5"/>
      <sheetName val="1_INV5"/>
      <sheetName val="2_Calculation_Sheet5"/>
      <sheetName val="Price_Sheet5"/>
      <sheetName val="3__Progress5"/>
      <sheetName val="4__EDR5"/>
      <sheetName val="BOM_SUM5"/>
      <sheetName val="Eng__Boq_-15"/>
      <sheetName val="PFP,TIE_COAT_&amp;_TOP_FLG_PAINTED5"/>
      <sheetName val="Shop_Modifications5"/>
      <sheetName val="JI-2036_-_Preservation5"/>
      <sheetName val="Re-Application_5"/>
      <sheetName val="OLD_(2)5"/>
      <sheetName val="DB-BOLT_SIZE5"/>
      <sheetName val="REQ_LIST5"/>
      <sheetName val="DESC_NEW_PMC5"/>
      <sheetName val="MTO_2020_03_115"/>
      <sheetName val="BQ_2020_03_035"/>
      <sheetName val="MTO_2020_03_03_(VDR)5"/>
      <sheetName val="BQ_2020_03_03_(VDR)5"/>
      <sheetName val="WEIGHT_&amp;_PAINT5"/>
      <sheetName val="FW_JGC5"/>
      <sheetName val="FW_VENDOR5"/>
      <sheetName val="BQ_2020_02_255"/>
      <sheetName val="BM_BOLT_&amp;_NUT5"/>
      <sheetName val="RT_TABLE5"/>
      <sheetName val="BRANCH_&amp;_REDUCING_TABLE5"/>
      <sheetName val="DESC_OLD_PMC5"/>
      <sheetName val="SHORT_CODE_LIST5"/>
      <sheetName val="Inert_Balls4"/>
      <sheetName val="OUTER_AREA(겹침없음)4"/>
      <sheetName val="DATA-DEP_(13-17)5"/>
      <sheetName val="DATA-GCC(25-34_7)5"/>
      <sheetName val="St_-Con(0-17)5"/>
      <sheetName val="St_-Con_(17-34)5"/>
      <sheetName val="개시대사_(2)4"/>
      <sheetName val="Equiv_Length4"/>
      <sheetName val="S-Curve_(Weekly)4"/>
      <sheetName val="Price_Summary_(1)4"/>
      <sheetName val="Price_Summary_(2)4"/>
      <sheetName val="Item#9_34"/>
      <sheetName val="Item#1_94"/>
      <sheetName val="Item#2_64"/>
      <sheetName val="Item#3_84"/>
      <sheetName val="Item#4_104"/>
      <sheetName val="Item#5_84"/>
      <sheetName val="Item#6_74"/>
      <sheetName val="Item#7_214"/>
      <sheetName val="Item#8_74"/>
      <sheetName val="worksheet_inchican4"/>
      <sheetName val="2_2_띠장의_설계4"/>
      <sheetName val="2_223M_due_to_adj_profit4"/>
      <sheetName val="Land_Dev't__Ph-14"/>
      <sheetName val="INTERIOR_WALLS4"/>
      <sheetName val="Material_Price4"/>
      <sheetName val="combined_9-304"/>
      <sheetName val="GESTION_FICHE4"/>
      <sheetName val="TRADUCTION_LISTES4"/>
      <sheetName val="L_V_Separator4"/>
      <sheetName val="BOQ_LIST4"/>
      <sheetName val="12_-_MAT'L_CLASSIFIC__FACTORS4"/>
      <sheetName val="1_-_PREFAB_STR_STEEL4"/>
      <sheetName val="8_-_SKIDS,_VESSELS_&amp;_EQPT4"/>
      <sheetName val="5_-_STG_PLANT_-_MISC__ITEMS4"/>
      <sheetName val="14_-_HEIGHT_FACTORS4"/>
      <sheetName val="10_-_STEAM_TURBINE_PUMPS4"/>
      <sheetName val="16_-_ASTM_CS_PIPE_ERECT4"/>
      <sheetName val="15_-_ASTM_CS_PIPE_FAB4"/>
      <sheetName val="7_-_SAND_BLAST_&amp;_PAINT4"/>
      <sheetName val="Manpower_List-17"/>
      <sheetName val="SUMMARY_FOR_DPR7"/>
      <sheetName val="Index_Daily_Alloaction7"/>
      <sheetName val="Manpower_List7"/>
      <sheetName val="A_&amp;_B7"/>
      <sheetName val="Table_Rates_Data4"/>
      <sheetName val="INSULATION_R14"/>
      <sheetName val="SOS_PLC_&amp;_Panel3"/>
      <sheetName val="Planilla_CND2"/>
      <sheetName val="Fig_4-144"/>
      <sheetName val="Fig_5-174"/>
      <sheetName val="SPT_vs_PHI4"/>
      <sheetName val="01-D_PERS4"/>
      <sheetName val="PDS_U-14002"/>
      <sheetName val="VESSELS_4"/>
      <sheetName val="Prec_OTS4"/>
      <sheetName val="Financ__Overview2"/>
      <sheetName val="4_代码列表2"/>
      <sheetName val="人工SDP_22"/>
      <sheetName val="材料SDP_12"/>
      <sheetName val="rek_det_1-32"/>
      <sheetName val="Comp_equip2"/>
      <sheetName val="Mach_&amp;_equip2"/>
      <sheetName val="TOTAL_SCHEDULE2"/>
      <sheetName val="Substation_Column3"/>
      <sheetName val="IRR_sponsor3"/>
      <sheetName val="Hrg_Satuan2"/>
      <sheetName val="Bill_rekap2"/>
      <sheetName val="ANALIS_22"/>
      <sheetName val="ANALIS_12"/>
      <sheetName val="Harga_Satuan2"/>
      <sheetName val="analis_standar(8m)2"/>
      <sheetName val="bhn_2"/>
      <sheetName val="6PILE__(돌출)2"/>
      <sheetName val="0_품의서(전체)2"/>
      <sheetName val="LAST_UPDATE2"/>
      <sheetName val="Vaccari__EST_INQ-Stat__Summ_2"/>
      <sheetName val="Riesgos_y_Oportunidades2"/>
      <sheetName val="Raw_Data3"/>
      <sheetName val="Task_Force_Coding_Abbreviation2"/>
      <sheetName val="_"/>
      <sheetName val="Tut_1"/>
      <sheetName val="C1_(calcolo)"/>
      <sheetName val="HD_ALAT"/>
      <sheetName val="HD_BAHAN"/>
      <sheetName val="HD_UPAH"/>
      <sheetName val="MH_RATE"/>
      <sheetName val="List_of_WorkPack"/>
      <sheetName val="analis_standar(20m)"/>
      <sheetName val="ANAL_BETON"/>
      <sheetName val="Galian_1"/>
      <sheetName val="Rencana_Anggaran_Biaya"/>
      <sheetName val="Daf_Harga"/>
      <sheetName val="Rekap_Bill"/>
      <sheetName val="An__Harga"/>
      <sheetName val="DRILLING ONLY"/>
      <sheetName val="CONSOLIDATED FULL REPORT"/>
      <sheetName val="Relief Well Shallow Hazard Stud"/>
      <sheetName val="Page 1 of 5"/>
      <sheetName val="Sheet 14"/>
      <sheetName val="Joints"/>
      <sheetName val="UNIT"/>
      <sheetName val="CASE 10"/>
      <sheetName val="CASE 11"/>
      <sheetName val="CASE 9"/>
      <sheetName val="Machine Data"/>
      <sheetName val="Data Iranian"/>
      <sheetName val="Misc Data"/>
      <sheetName val="Frederick&amp;ENKA Partner"/>
      <sheetName val="SUM_FSBLT17"/>
      <sheetName val="FWBS_900017"/>
      <sheetName val="Overall_Project17"/>
      <sheetName val="Overall_Process17"/>
      <sheetName val="Overall_Utility17"/>
      <sheetName val="FWBS_100017"/>
      <sheetName val="FWBS_200017"/>
      <sheetName val="FWBS_300017"/>
      <sheetName val="FWBS_500017"/>
      <sheetName val="FWBS_600017"/>
      <sheetName val="FWBS_700017"/>
      <sheetName val="FWBS_800017"/>
      <sheetName val="FWBS_A00017"/>
      <sheetName val="FWBS_B00017"/>
      <sheetName val="FWBS_Z00017"/>
      <sheetName val="INVOICE_CERT_EIV'S16"/>
      <sheetName val="Onerous_Terms16"/>
      <sheetName val="w't_table15"/>
      <sheetName val="실제_도면출도15"/>
      <sheetName val="plan&amp;section_of_foundation15"/>
      <sheetName val="design_criteria15"/>
      <sheetName val="Building_BD16"/>
      <sheetName val="_Sum16"/>
      <sheetName val="공사비_내역_(가)15"/>
      <sheetName val="입찰내역_발주처_양식15"/>
      <sheetName val="BM_DATA_SHEET15"/>
      <sheetName val="33628-Rev__A15"/>
      <sheetName val="Eq__Mobilization15"/>
      <sheetName val="M_1115"/>
      <sheetName val="Progress_Tab15"/>
      <sheetName val="member_design14"/>
      <sheetName val="PC_CATCH_PIT_1X1X1_2M14"/>
      <sheetName val="PC_CATCH_PIT__6X_6X1_0M14"/>
      <sheetName val="PC_COVER_100MM_THK__95x_314"/>
      <sheetName val="PC_COVER_250MM_THK_2_2x_314"/>
      <sheetName val="REINF_15"/>
      <sheetName val="working_load_at_the_btm_ft_14"/>
      <sheetName val="soil_bearing_check14"/>
      <sheetName val="Chiet_tinh_dz3514"/>
      <sheetName val="3__GROUNDING_SYSTEM15"/>
      <sheetName val="Adjusted_Bids14"/>
      <sheetName val="Concept_Offshore14"/>
      <sheetName val="Running_compatibility_check_14"/>
      <sheetName val="A(Rev_3)14"/>
      <sheetName val="WORKSHEET_CS9"/>
      <sheetName val="00-Summary_Information-ABB9"/>
      <sheetName val="Direct_Prices9"/>
      <sheetName val="_Planning&amp;reporting_xlsM9000-A9"/>
      <sheetName val="page_69"/>
      <sheetName val="P-Ins_&amp;_Bonds8"/>
      <sheetName val="P-Site_fac8"/>
      <sheetName val="P-Clients_fac8"/>
      <sheetName val="P_Staff_fac8"/>
      <sheetName val="factor_8"/>
      <sheetName val="vlookup_-_do_not_print8"/>
      <sheetName val="Rate_Analysis8"/>
      <sheetName val="ITB_COST8"/>
      <sheetName val="19_05_20108"/>
      <sheetName val="Earthworks_ERP8"/>
      <sheetName val="24_06_20108"/>
      <sheetName val="Small_Structures_ERP8"/>
      <sheetName val="Large_Structures_ERP8"/>
      <sheetName val="Tunnelling_ERP8"/>
      <sheetName val="Civil_Weekly8"/>
      <sheetName val="견적서표지0204-2_(2)8"/>
      <sheetName val="Piping_Spool8"/>
      <sheetName val="Cost_Definition8"/>
      <sheetName val="견적_원가_8"/>
      <sheetName val="Pricing_Summary8"/>
      <sheetName val="Net_Cost_-_Final_Base8"/>
      <sheetName val="7_6Net_Cost_Agreed_on_Dec-04_R9"/>
      <sheetName val="Net_Cost_Agreed_on_Dec-04_Rev18"/>
      <sheetName val="7_6_Net_Cost_Agreed_on_Dec-048"/>
      <sheetName val="Net_Cost_Agreed_on_Dec-048"/>
      <sheetName val="Total_for_Check8"/>
      <sheetName val="_N_Finansal_Eğri8"/>
      <sheetName val="pg_410"/>
      <sheetName val="Subcon_A10"/>
      <sheetName val="bill_29"/>
      <sheetName val="MATERIAL'S_PRICE9"/>
      <sheetName val="0_0_Cover8"/>
      <sheetName val="Hoja_3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RFP003_Building_-_B8"/>
      <sheetName val="Source_Data8"/>
      <sheetName val="CAPEX_Categories8"/>
      <sheetName val="Item#9_35"/>
      <sheetName val="Item#1_95"/>
      <sheetName val="Item#2_65"/>
      <sheetName val="Item#3_85"/>
      <sheetName val="Item#4_105"/>
      <sheetName val="Item#5_85"/>
      <sheetName val="Item#6_75"/>
      <sheetName val="Item#7_215"/>
      <sheetName val="Item#8_75"/>
      <sheetName val="worksheet_inchican5"/>
      <sheetName val="INTERIOR_WALLS5"/>
      <sheetName val="2_2_띠장의_설계5"/>
      <sheetName val="2_223M_due_to_adj_profit5"/>
      <sheetName val="Land_Dev't__Ph-15"/>
      <sheetName val="Material_Price5"/>
      <sheetName val="combined_9-305"/>
      <sheetName val="GESTION_FICHE5"/>
      <sheetName val="TRADUCTION_LISTES5"/>
      <sheetName val="개시대사_(2)5"/>
      <sheetName val="Equiv_Length5"/>
      <sheetName val="S-Curve_(Weekly)5"/>
      <sheetName val="Price_Summary_(1)5"/>
      <sheetName val="Price_Summary_(2)5"/>
      <sheetName val="INSULATION_R15"/>
      <sheetName val="SOS_PLC_&amp;_Panel4"/>
      <sheetName val="Inert_Balls5"/>
      <sheetName val="rek_det_1-34"/>
      <sheetName val="PDS_U-14004"/>
      <sheetName val="Planilla_CND4"/>
      <sheetName val="Prec_OTS5"/>
      <sheetName val="Substation_Column4"/>
      <sheetName val="IRR_sponsor4"/>
      <sheetName val="Comp_equip4"/>
      <sheetName val="Mach_&amp;_equip4"/>
      <sheetName val="Komponen_Upah2"/>
      <sheetName val="Inkindo_20152"/>
      <sheetName val="HRG_BAHAN_&amp;_UPAH_okk2"/>
      <sheetName val="Analis_Kusen_okk2"/>
      <sheetName val="Page_12"/>
      <sheetName val="VS_P-Q2"/>
      <sheetName val="VS_curve2"/>
      <sheetName val="CS_P_Q2"/>
      <sheetName val="PLSt_03__2"/>
      <sheetName val="П_7_курс_аванса2"/>
      <sheetName val="Retaining_wall_&amp;_Top_Up2"/>
      <sheetName val="INFO_UMUM2"/>
      <sheetName val="DET_12"/>
      <sheetName val="DET_22"/>
      <sheetName val="BASIC_PRICE2"/>
      <sheetName val="_GULF2"/>
      <sheetName val="DIV_12"/>
      <sheetName val="4_Annex_1_Basic_rate2"/>
      <sheetName val="Price_Schedule2"/>
      <sheetName val="MEASURE_LIST2"/>
      <sheetName val="personnel_loading2"/>
      <sheetName val="MAY_00-Bobbins2"/>
      <sheetName val="U_A_Input2"/>
      <sheetName val="Equipt_Rental2"/>
      <sheetName val="UPA(Part_C,D,E,G,H)2"/>
      <sheetName val="UPA(Part_F)2"/>
      <sheetName val="일위대가_(Part_C,D,E,G,H)2"/>
      <sheetName val="CABLE_DATA2"/>
      <sheetName val="F1_42"/>
      <sheetName val="Iuran_Nopember_20022"/>
      <sheetName val="H_Satuan2"/>
      <sheetName val="ocean_voyage2"/>
      <sheetName val="Perm__Test2"/>
      <sheetName val="Cash_Flow_bulanan2"/>
      <sheetName val="7__Comparison_of_Asphalt_etc2"/>
      <sheetName val="BOQ_for_HRSG_&amp;_BOP-mech_2"/>
      <sheetName val="Detail_Eng2"/>
      <sheetName val="PSM_Monthly2"/>
      <sheetName val="Task_Force_Coding_Abbreviation4"/>
      <sheetName val="rek_det_1-33"/>
      <sheetName val="PDS_U-14003"/>
      <sheetName val="Planilla_CND3"/>
      <sheetName val="Comp_equip3"/>
      <sheetName val="Mach_&amp;_equip3"/>
      <sheetName val="Task_Force_Coding_Abbreviation3"/>
      <sheetName val="Quantity"/>
      <sheetName val="FAC"/>
      <sheetName val="QTF (2)"/>
      <sheetName val="WC"/>
      <sheetName val="ADJUST"/>
      <sheetName val="BS1"/>
      <sheetName val="First"/>
      <sheetName val="Gaji-Bag"/>
      <sheetName val="中山低值"/>
      <sheetName val="Sum-Solvay_DOW-AIE_"/>
      <sheetName val="ใบนำส่งเอกสาร_ออก_Invoiced"/>
      <sheetName val="SMY_PG"/>
      <sheetName val="PO_Blanket_Status"/>
      <sheetName val="New_Rate"/>
      <sheetName val="Page 5 of 7"/>
      <sheetName val="Кедровский"/>
      <sheetName val="Am III.B Complete Building"/>
      <sheetName val="Bahan "/>
      <sheetName val="HS"/>
      <sheetName val="Spin"/>
      <sheetName val="gr_val"/>
      <sheetName val="gr_sum"/>
      <sheetName val="slab"/>
      <sheetName val="LOKASI"/>
      <sheetName val="9 58&quot;_single"/>
      <sheetName val="Daf-Harga"/>
      <sheetName val="20calc"/>
      <sheetName val="958calc"/>
      <sheetName val="Masterfi|_x0000_"/>
      <sheetName val="Wellhrs"/>
      <sheetName val="U_S_ILD"/>
      <sheetName val="PV_00001"/>
      <sheetName val="PROJECT_TITLE"/>
      <sheetName val="081387T_BoM_detail_"/>
      <sheetName val="Administrative_Prices"/>
      <sheetName val="P2A_Execute_Detailed_Profile"/>
      <sheetName val="PIPING_LINE_LIST"/>
      <sheetName val="Shut_down"/>
      <sheetName val="Basic_Rate"/>
      <sheetName val="VC2_10_99"/>
      <sheetName val="COMPARATIVE_SUMMARY"/>
      <sheetName val="BOQ_(typ-accent)"/>
      <sheetName val="Named_Range"/>
      <sheetName val="RFP_Codes"/>
      <sheetName val="co-no_2"/>
      <sheetName val="M-work"/>
      <sheetName val="WORK"/>
      <sheetName val="2Piling"/>
      <sheetName val="Assessment"/>
      <sheetName val="Certificate "/>
      <sheetName val="Prelim"/>
      <sheetName val="Sub con"/>
      <sheetName val="D&amp;W"/>
      <sheetName val="ac_data"/>
      <sheetName val="W251"/>
      <sheetName val="Rate"/>
      <sheetName val="CPA33-34"/>
      <sheetName val="SFA"/>
      <sheetName val="SOURCE"/>
      <sheetName val="마감LIST-1"/>
      <sheetName val="S-Curve Weekly"/>
      <sheetName val="基本"/>
      <sheetName val="D"/>
      <sheetName val="Manpower &amp; Manhours"/>
      <sheetName val="Steel Structure(2DR0140)"/>
      <sheetName val="Planning&amp;reporting_xlsM9000-A3"/>
      <sheetName val="Running_compatibility_check_A2"/>
      <sheetName val="Running_compatibility_check_?10"/>
      <sheetName val="Running_compatibility_check__10"/>
      <sheetName val="[Planning&amp;reporting_xlsM9000-10"/>
      <sheetName val="Running_compatibility_check__11"/>
      <sheetName val="A_(2)10"/>
      <sheetName val="List_of_WorkPacks10"/>
      <sheetName val="List_of_Dates10"/>
      <sheetName val="FWBS_codes10"/>
      <sheetName val="STANDARD_DESCRIPTION10"/>
      <sheetName val="STANDARD_DESCRIPTION_-_20150520"/>
      <sheetName val="Drawings_Summary10"/>
      <sheetName val="Instr_Drawing_List10"/>
      <sheetName val="INDEX-Areas_B000,C000,D000,E010"/>
      <sheetName val="STANDARD_DESCRIPTION_2015071510"/>
      <sheetName val="DropDown_Selections10"/>
      <sheetName val="Cashflow_Analysis10"/>
      <sheetName val="DO_NOT_Delete5"/>
      <sheetName val="Structural_Comp10"/>
      <sheetName val="Time_Rates_9"/>
      <sheetName val="Total_Staff8"/>
      <sheetName val="0__SUMMARY8"/>
      <sheetName val="1__Engineering8"/>
      <sheetName val="2__Check_point8"/>
      <sheetName val="II_Changes_18"/>
      <sheetName val="III_Changes_28"/>
      <sheetName val="Qty_8"/>
      <sheetName val="OQC_Summary8"/>
      <sheetName val="6_Unit_Rates8"/>
      <sheetName val="Overall_MTO_-_20191001_(old)8"/>
      <sheetName val="MTO_for_BMBQ8"/>
      <sheetName val="BQ_Reff8"/>
      <sheetName val="Sum_of_Comparison-201910078"/>
      <sheetName val="Joint_No_8"/>
      <sheetName val="Unit_Weight8"/>
      <sheetName val="Detail_PMC8"/>
      <sheetName val="Detail_PMC_(for_full_desc)8"/>
      <sheetName val="Bolt_Size8"/>
      <sheetName val="NDE_Req8"/>
      <sheetName val="Tgh_JGC-Inv_I_clp8"/>
      <sheetName val="PCS_8"/>
      <sheetName val="Progress_Statement-SI8"/>
      <sheetName val="Progress_Payment-31108"/>
      <sheetName val="Drop_Down8"/>
      <sheetName val="2_048"/>
      <sheetName val="2_058"/>
      <sheetName val="2_07_&amp;_2_088"/>
      <sheetName val="3_018"/>
      <sheetName val="3_028"/>
      <sheetName val="3_038"/>
      <sheetName val="ecart_Personnel8"/>
      <sheetName val="Ecart_Others8"/>
      <sheetName val="Other_costs8"/>
      <sheetName val="3000_Steel_str8"/>
      <sheetName val="5000_Equipments8"/>
      <sheetName val="6000_Piping8"/>
      <sheetName val="7000_Instrumentation8"/>
      <sheetName val="8000_Electrical8"/>
      <sheetName val="per_supplier8"/>
      <sheetName val="Pivot_ledger8"/>
      <sheetName val="Pivot_ENT8"/>
      <sheetName val="Pivot_MAD8"/>
      <sheetName val="Summary_(3)8"/>
      <sheetName val="RRW_Scaff8"/>
      <sheetName val="RRW_Oct-2019-1st_Lot-13-10-198"/>
      <sheetName val="RRW_Oct-2019-2st_Lot-15-10-198"/>
      <sheetName val="JK_Price_sheet8"/>
      <sheetName val="TP_Price_sheet8"/>
      <sheetName val="Phase_1_JK_UTSE8"/>
      <sheetName val="Phase_2_JK_UTSE8"/>
      <sheetName val="Phase_1_and_2_JK_UTSE8"/>
      <sheetName val="Phase_1_TP_UTSE8"/>
      <sheetName val="Phase_2_TP_UTSE8"/>
      <sheetName val="Phase_1_and_2_TP_UTSE8"/>
      <sheetName val="Cash_Flow_(BL)8"/>
      <sheetName val="Cash_Flow_(UTSE)8"/>
      <sheetName val="Geotextile_for_geotube6"/>
      <sheetName val="AEROGEL_CAL8"/>
      <sheetName val="CRYG_THKMM8"/>
      <sheetName val="ITB_REVIEW8"/>
      <sheetName val="SPCS_SUMM_8"/>
      <sheetName val="ESTI__SUMM_8"/>
      <sheetName val="Price_Summary8"/>
      <sheetName val="Acc_Stock-INSUL8"/>
      <sheetName val="PERHITUNGAN__KEEKONOMIAN8"/>
      <sheetName val="97_사업추정(WEKI)8"/>
      <sheetName val="Salary_20137"/>
      <sheetName val="Cable_Schedule7"/>
      <sheetName val="INDIRECT_OH&amp;P_7"/>
      <sheetName val="Report_Wizard7"/>
      <sheetName val="Initial_Plan7"/>
      <sheetName val="DB-BOLT_SIZE6"/>
      <sheetName val="REQ_LIST6"/>
      <sheetName val="DESC_NEW_PMC6"/>
      <sheetName val="MTO_2020_03_116"/>
      <sheetName val="BQ_2020_03_036"/>
      <sheetName val="MTO_2020_03_03_(VDR)6"/>
      <sheetName val="BQ_2020_03_03_(VDR)6"/>
      <sheetName val="WEIGHT_&amp;_PAINT6"/>
      <sheetName val="FW_JGC6"/>
      <sheetName val="FW_VENDOR6"/>
      <sheetName val="BQ_2020_02_256"/>
      <sheetName val="BM_BOLT_&amp;_NUT6"/>
      <sheetName val="RT_TABLE6"/>
      <sheetName val="BRANCH_&amp;_REDUCING_TABLE6"/>
      <sheetName val="DESC_OLD_PMC6"/>
      <sheetName val="SHORT_CODE_LIST6"/>
      <sheetName val="Finansal_tamamlanma_Eğrisi6"/>
      <sheetName val="1_INV6"/>
      <sheetName val="2_Calculation_Sheet6"/>
      <sheetName val="Price_Sheet6"/>
      <sheetName val="3__Progress6"/>
      <sheetName val="4__EDR6"/>
      <sheetName val="BOM_SUM6"/>
      <sheetName val="Eng__Boq_-16"/>
      <sheetName val="PFP,TIE_COAT_&amp;_TOP_FLG_PAINTED6"/>
      <sheetName val="Shop_Modifications6"/>
      <sheetName val="JI-2036_-_Preservation6"/>
      <sheetName val="Re-Application_6"/>
      <sheetName val="OLD_(2)6"/>
      <sheetName val="DATA-DEP_(13-17)6"/>
      <sheetName val="DATA-GCC(25-34_7)6"/>
      <sheetName val="St_-Con(0-17)6"/>
      <sheetName val="St_-Con_(17-34)6"/>
      <sheetName val="Manpower_List-18"/>
      <sheetName val="SUMMARY_FOR_DPR8"/>
      <sheetName val="Index_Daily_Alloaction8"/>
      <sheetName val="Manpower_List8"/>
      <sheetName val="A_&amp;_B8"/>
      <sheetName val="BOQ_LIST5"/>
      <sheetName val="12_-_MAT'L_CLASSIFIC__FACTORS5"/>
      <sheetName val="1_-_PREFAB_STR_STEEL5"/>
      <sheetName val="8_-_SKIDS,_VESSELS_&amp;_EQPT5"/>
      <sheetName val="5_-_STG_PLANT_-_MISC__ITEMS5"/>
      <sheetName val="14_-_HEIGHT_FACTORS5"/>
      <sheetName val="10_-_STEAM_TURBINE_PUMPS5"/>
      <sheetName val="16_-_ASTM_CS_PIPE_ERECT5"/>
      <sheetName val="15_-_ASTM_CS_PIPE_FAB5"/>
      <sheetName val="7_-_SAND_BLAST_&amp;_PAINT5"/>
      <sheetName val="OUTER_AREA(겹침없음)5"/>
      <sheetName val="SPT_vs_PHI5"/>
      <sheetName val="01-D_PERS5"/>
      <sheetName val="Fig_4-145"/>
      <sheetName val="Fig_5-175"/>
      <sheetName val="L_V_Separator5"/>
      <sheetName val="VESSELS_5"/>
      <sheetName val="Table_Rates_Data5"/>
      <sheetName val="QMS_Rev_33"/>
      <sheetName val="QMS_Rev_23"/>
      <sheetName val="Rebar_Assembly_Progress3"/>
      <sheetName val="GI_Steps_Progress_Final3"/>
      <sheetName val="QW_Trench3"/>
      <sheetName val="Hrg_Satuan3"/>
      <sheetName val="Bill_rekap3"/>
      <sheetName val="ANALIS_23"/>
      <sheetName val="ANALIS_13"/>
      <sheetName val="Harga_Satuan3"/>
      <sheetName val="analis_standar(8m)3"/>
      <sheetName val="bhn_3"/>
      <sheetName val="Riesgos_y_Oportunidades3"/>
      <sheetName val="Financ__Overview3"/>
      <sheetName val="4_代码列表3"/>
      <sheetName val="人工SDP_23"/>
      <sheetName val="材料SDP_13"/>
      <sheetName val="Vaccari__EST_INQ-Stat__Summ_3"/>
      <sheetName val="TOTAL_SCHEDULE3"/>
      <sheetName val="6PILE__(돌출)3"/>
      <sheetName val="0_품의서(전체)3"/>
      <sheetName val="LAST_UPDATE3"/>
      <sheetName val="AOP_Summary-23"/>
      <sheetName val="Raw_Data4"/>
      <sheetName val="Planning&amp;reporting_xlsM9000-A4"/>
      <sheetName val="Running_compatibility_check_A3"/>
      <sheetName val="Drilling_sequence1"/>
      <sheetName val="Active_Wells1"/>
      <sheetName val="String_time1"/>
      <sheetName val="Type_curves_(bbl)1"/>
      <sheetName val="Well_fcst_1"/>
      <sheetName val="Oil_prod1"/>
      <sheetName val="Water_prod1"/>
      <sheetName val="Water_inj1"/>
      <sheetName val="Liquid_prod1"/>
      <sheetName val="Gas_prod1"/>
      <sheetName val="Ullage_check1"/>
      <sheetName val="Well_CAPEX1"/>
      <sheetName val="Hook_Up1"/>
      <sheetName val="Subsurface_Studies1"/>
      <sheetName val="Camp_operation1"/>
      <sheetName val="Software_&amp;_IT1"/>
      <sheetName val="Coastal_Overheads1"/>
      <sheetName val="2019_budget1"/>
      <sheetName val="Assumptions_monthly1"/>
      <sheetName val="Assumptions_comparison1"/>
      <sheetName val="Economics_(monhtly)1"/>
      <sheetName val="Economics_Summary1"/>
      <sheetName val="Budget_DELTA1"/>
      <sheetName val="2019-20_Budget_1"/>
      <sheetName val="Budget_Overview1"/>
      <sheetName val="Tut_11"/>
      <sheetName val="C1_(calcolo)1"/>
      <sheetName val="Sumption_Summary1"/>
      <sheetName val="Cost_Summary1"/>
      <sheetName val="A-1Construction_Breakdown1"/>
      <sheetName val="A-2_Equipment_Breakdown1"/>
      <sheetName val="1-HVAC_Sumption1"/>
      <sheetName val="2-Fire&amp;_Plumb_Sumption1"/>
      <sheetName val="3-Utility_Sumption1"/>
      <sheetName val="4-Engineering_Sumption1"/>
      <sheetName val="B2_Project_Mangement1"/>
      <sheetName val="B8_Permitting1"/>
      <sheetName val="Rekap_Addendum1"/>
      <sheetName val="Memb_Schd1"/>
      <sheetName val="M3-COS"/>
      <sheetName val="M4-Adm"/>
      <sheetName val="Slide 6 - Returns &amp; NWC"/>
      <sheetName val="#¡REF"/>
      <sheetName val=" ｹ-ﾌﾞﾙ"/>
      <sheetName val="TDC COA Sumry"/>
      <sheetName val="TDC Item Dets"/>
      <sheetName val="TDC Key Qty Sumry"/>
      <sheetName val="COA Sumry - Std Imp"/>
      <sheetName val="Contr TDC - Std Imp"/>
      <sheetName val="Item Sumry - Std Imp"/>
      <sheetName val="Unit Costs - Std Imp"/>
      <sheetName val="Unit MH - Std Imp"/>
      <sheetName val="Proj TIC - Std Imp"/>
      <sheetName val="New Bld"/>
      <sheetName val="Basis"/>
      <sheetName val="Sched-Structure"/>
      <sheetName val="K"/>
      <sheetName val="ASSUMPT"/>
      <sheetName val="office"/>
      <sheetName val="Lab"/>
      <sheetName val="BASIS 01"/>
      <sheetName val="AN"/>
      <sheetName val="BC - Final Templates"/>
      <sheetName val="RCBC Reinforcement"/>
      <sheetName val="@risk rents and incentives"/>
      <sheetName val="Car park lease"/>
      <sheetName val="Net rent analysis"/>
      <sheetName val="Labor abs-NMR"/>
      <sheetName val="KP1590_E"/>
      <sheetName val="_1"/>
      <sheetName val="HD_ALAT1"/>
      <sheetName val="HD_BAHAN1"/>
      <sheetName val="HD_UPAH1"/>
      <sheetName val="Galian_11"/>
      <sheetName val="Rencana_Anggaran_Biaya1"/>
      <sheetName val="Daf_Harga1"/>
      <sheetName val="Rekap_Bill1"/>
      <sheetName val="An__Harga1"/>
      <sheetName val="MH_RATE1"/>
      <sheetName val="1062-X방향_1"/>
      <sheetName val="analis_standar(20m)1"/>
      <sheetName val="ANAL_BETON1"/>
      <sheetName val="TPS_Performance_Model"/>
      <sheetName val="C_ALS-STR-PDS"/>
      <sheetName val="analisa_GRC"/>
      <sheetName val="Q_ALS-saluran+BK"/>
      <sheetName val="PointNo_5"/>
      <sheetName val="Period_-Worksheet"/>
      <sheetName val="Graph_(LGEN)"/>
      <sheetName val="Piping_Design_Data"/>
      <sheetName val="선적schedule_(2)"/>
      <sheetName val="_갑지"/>
      <sheetName val="spc_배관견적"/>
      <sheetName val="HaulingLine_hardware"/>
      <sheetName val="Direct_Cost_Summary"/>
      <sheetName val="MTO_REV_2(ARMOR)"/>
      <sheetName val="4-Lane_bridge"/>
      <sheetName val="Hac_Lots"/>
      <sheetName val="Res_Lots"/>
      <sheetName val="Spine_Road"/>
      <sheetName val="tabulation_of_deductions"/>
      <sheetName val="DUPA-22-NAGSAAG_SS"/>
      <sheetName val="Code_07"/>
      <sheetName val="Schedule_2_and_3"/>
      <sheetName val="struktur_tdk_dipakai"/>
      <sheetName val="Proj_Cost_Sumry"/>
      <sheetName val="물량_집계표"/>
      <sheetName val="Mobilisasi_div-1"/>
      <sheetName val="DRILLING_ONLY"/>
      <sheetName val="CONSOLIDATED_FULL_REPORT"/>
      <sheetName val="Relief_Well_Shallow_Hazard_Stud"/>
      <sheetName val="Page_1_of_5"/>
      <sheetName val="Sheet_14"/>
      <sheetName val="CASE_10"/>
      <sheetName val="CASE_11"/>
      <sheetName val="CASE_9"/>
      <sheetName val="Machine_Data"/>
      <sheetName val="Data_Iranian"/>
      <sheetName val="Misc_Data"/>
      <sheetName val="할증_"/>
      <sheetName val="Frederick&amp;ENKA_Partner"/>
      <sheetName val="Equip Item Dets"/>
      <sheetName val="Pipe Item Dets"/>
      <sheetName val="Civil Item Dets"/>
      <sheetName val="Inst Item Dets"/>
      <sheetName val="Elec Item Dets"/>
      <sheetName val="Paint Item Dets"/>
      <sheetName val="Profile"/>
      <sheetName val="Segment"/>
      <sheetName val="PROG_"/>
      <sheetName val="Calc_A"/>
      <sheetName val="Duties_Code"/>
      <sheetName val="HYDROTEST_DIAGRAM"/>
      <sheetName val="Spec1"/>
      <sheetName val="MAIN GATE HOUSE"/>
      <sheetName val="1) COMMON FACILITIES"/>
      <sheetName val="電源計画"/>
      <sheetName val="DAF_2"/>
      <sheetName val="AnalisaSIPIL RIIL RAP"/>
      <sheetName val="산출(설비_공량)"/>
      <sheetName val="옹벽조금수정"/>
      <sheetName val="진주방향"/>
      <sheetName val="U-TYPE(1)"/>
      <sheetName val="토공 갑지"/>
      <sheetName val="Motor Data"/>
      <sheetName val="견적서"/>
      <sheetName val="PW3"/>
      <sheetName val="PW4"/>
      <sheetName val="SC1"/>
      <sheetName val="Angkatan_Mewah"/>
      <sheetName val="비계_수량산출서"/>
      <sheetName val="BMS_제어공사_(금회계약분)"/>
      <sheetName val="Activity_Form"/>
      <sheetName val="Day_work"/>
      <sheetName val="New_Rates"/>
      <sheetName val="Physical_%_(By_Phase)"/>
      <sheetName val="Physical_(by_Portion)"/>
      <sheetName val="Open_Cut"/>
      <sheetName val="SVS-Conc_"/>
      <sheetName val="Sheet1_(2)"/>
      <sheetName val="Budgeted_Cost_-Orig"/>
      <sheetName val="点表"/>
      <sheetName val="Insulation_Utl_Off"/>
      <sheetName val="Note_Piping"/>
      <sheetName val="Existing PC Pavement"/>
      <sheetName val="Subgrade"/>
      <sheetName val="(10) Other Costs5"/>
      <sheetName val="Summary Sheets"/>
      <sheetName val="ind'l cp"/>
      <sheetName val="A1-Continuous"/>
      <sheetName val="Cash Out Table"/>
      <sheetName val="Net Cash Table"/>
      <sheetName val="Bach Dang"/>
      <sheetName val="tabulation (comparison)"/>
      <sheetName val="Summary (overall)"/>
      <sheetName val="Floor Level"/>
      <sheetName val="BOQ_C(검토용)"/>
      <sheetName val="計画用役根拠"/>
      <sheetName val="TRUCK HAUL CYCLE-waste"/>
      <sheetName val="실행내역"/>
      <sheetName val="pile Fabrication"/>
      <sheetName val="WMhrs"/>
      <sheetName val="D.2"/>
      <sheetName val="Recap"/>
      <sheetName val="간접비내역_1"/>
      <sheetName val="현장관리비"/>
      <sheetName val="작성기준"/>
      <sheetName val="백분율"/>
      <sheetName val="DHEQSUPT"/>
      <sheetName val="Precios por Administración"/>
      <sheetName val="Equipment List"/>
      <sheetName val="Q&amp;pl-V"/>
      <sheetName val="Resumen"/>
      <sheetName val="Precios Unitarios"/>
      <sheetName val="HRB"/>
      <sheetName val="ﾄﾞﾊﾞｲFUEL GAS追見"/>
      <sheetName val="DIEZEL動弁相場"/>
      <sheetName val="PAGE1"/>
      <sheetName val="2. Steel Structu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row r="2">
          <cell r="F2" t="str">
            <v>INCH</v>
          </cell>
        </row>
      </sheetData>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2">
          <cell r="F2" t="str">
            <v>INCH</v>
          </cell>
        </row>
      </sheetData>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2">
          <cell r="F2" t="str">
            <v>INCH</v>
          </cell>
        </row>
      </sheetData>
      <sheetData sheetId="237">
        <row r="2">
          <cell r="F2" t="str">
            <v>INCH</v>
          </cell>
        </row>
      </sheetData>
      <sheetData sheetId="238" refreshError="1"/>
      <sheetData sheetId="239" refreshError="1"/>
      <sheetData sheetId="240" refreshError="1"/>
      <sheetData sheetId="241" refreshError="1"/>
      <sheetData sheetId="242"/>
      <sheetData sheetId="243"/>
      <sheetData sheetId="244" refreshError="1"/>
      <sheetData sheetId="245" refreshError="1"/>
      <sheetData sheetId="246" refreshError="1"/>
      <sheetData sheetId="247">
        <row r="2">
          <cell r="F2" t="str">
            <v>INCH</v>
          </cell>
        </row>
      </sheetData>
      <sheetData sheetId="248">
        <row r="2">
          <cell r="F2" t="str">
            <v>INCH</v>
          </cell>
        </row>
      </sheetData>
      <sheetData sheetId="249">
        <row r="2">
          <cell r="F2" t="str">
            <v>INCH</v>
          </cell>
        </row>
      </sheetData>
      <sheetData sheetId="250">
        <row r="2">
          <cell r="F2" t="str">
            <v>INCH</v>
          </cell>
        </row>
      </sheetData>
      <sheetData sheetId="251">
        <row r="2">
          <cell r="F2" t="str">
            <v>INCH</v>
          </cell>
        </row>
      </sheetData>
      <sheetData sheetId="252">
        <row r="2">
          <cell r="F2" t="str">
            <v>INCH</v>
          </cell>
        </row>
      </sheetData>
      <sheetData sheetId="253">
        <row r="2">
          <cell r="F2" t="str">
            <v>INCH</v>
          </cell>
        </row>
      </sheetData>
      <sheetData sheetId="254">
        <row r="2">
          <cell r="F2" t="str">
            <v>INCH</v>
          </cell>
        </row>
      </sheetData>
      <sheetData sheetId="255">
        <row r="2">
          <cell r="F2" t="str">
            <v>INCH</v>
          </cell>
        </row>
      </sheetData>
      <sheetData sheetId="256">
        <row r="2">
          <cell r="F2" t="str">
            <v>INCH</v>
          </cell>
        </row>
      </sheetData>
      <sheetData sheetId="257">
        <row r="2">
          <cell r="F2" t="str">
            <v>INCH</v>
          </cell>
        </row>
      </sheetData>
      <sheetData sheetId="258">
        <row r="2">
          <cell r="F2" t="str">
            <v>INCH</v>
          </cell>
        </row>
      </sheetData>
      <sheetData sheetId="259">
        <row r="2">
          <cell r="F2" t="str">
            <v>INCH</v>
          </cell>
        </row>
      </sheetData>
      <sheetData sheetId="260">
        <row r="2">
          <cell r="F2" t="str">
            <v>INCH</v>
          </cell>
        </row>
      </sheetData>
      <sheetData sheetId="261">
        <row r="2">
          <cell r="F2" t="str">
            <v>INCH</v>
          </cell>
        </row>
      </sheetData>
      <sheetData sheetId="262">
        <row r="2">
          <cell r="F2" t="str">
            <v>INCH</v>
          </cell>
        </row>
      </sheetData>
      <sheetData sheetId="263">
        <row r="2">
          <cell r="F2" t="str">
            <v>INCH</v>
          </cell>
        </row>
      </sheetData>
      <sheetData sheetId="264">
        <row r="2">
          <cell r="F2" t="str">
            <v>INCH</v>
          </cell>
        </row>
      </sheetData>
      <sheetData sheetId="265">
        <row r="2">
          <cell r="F2" t="str">
            <v>INCH</v>
          </cell>
        </row>
      </sheetData>
      <sheetData sheetId="266">
        <row r="2">
          <cell r="F2" t="str">
            <v>INCH</v>
          </cell>
        </row>
      </sheetData>
      <sheetData sheetId="267">
        <row r="2">
          <cell r="F2" t="str">
            <v>INCH</v>
          </cell>
        </row>
      </sheetData>
      <sheetData sheetId="268">
        <row r="2">
          <cell r="F2" t="str">
            <v>INCH</v>
          </cell>
        </row>
      </sheetData>
      <sheetData sheetId="269">
        <row r="2">
          <cell r="F2" t="str">
            <v>INCH</v>
          </cell>
        </row>
      </sheetData>
      <sheetData sheetId="270">
        <row r="2">
          <cell r="F2" t="str">
            <v>INCH</v>
          </cell>
        </row>
      </sheetData>
      <sheetData sheetId="271">
        <row r="2">
          <cell r="F2" t="str">
            <v>INCH</v>
          </cell>
        </row>
      </sheetData>
      <sheetData sheetId="272">
        <row r="2">
          <cell r="F2" t="str">
            <v>INCH</v>
          </cell>
        </row>
      </sheetData>
      <sheetData sheetId="273">
        <row r="2">
          <cell r="F2" t="str">
            <v>INCH</v>
          </cell>
        </row>
      </sheetData>
      <sheetData sheetId="274">
        <row r="2">
          <cell r="F2" t="str">
            <v>INCH</v>
          </cell>
        </row>
      </sheetData>
      <sheetData sheetId="275">
        <row r="2">
          <cell r="F2" t="str">
            <v>INCH</v>
          </cell>
        </row>
      </sheetData>
      <sheetData sheetId="276">
        <row r="2">
          <cell r="F2" t="str">
            <v>INCH</v>
          </cell>
        </row>
      </sheetData>
      <sheetData sheetId="277">
        <row r="2">
          <cell r="F2" t="str">
            <v>INCH</v>
          </cell>
        </row>
      </sheetData>
      <sheetData sheetId="278">
        <row r="2">
          <cell r="F2" t="str">
            <v>INCH</v>
          </cell>
        </row>
      </sheetData>
      <sheetData sheetId="279">
        <row r="2">
          <cell r="F2" t="str">
            <v>INCH</v>
          </cell>
        </row>
      </sheetData>
      <sheetData sheetId="280">
        <row r="2">
          <cell r="F2" t="str">
            <v>INCH</v>
          </cell>
        </row>
      </sheetData>
      <sheetData sheetId="281">
        <row r="2">
          <cell r="F2" t="str">
            <v>INCH</v>
          </cell>
        </row>
      </sheetData>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ow r="2">
          <cell r="F2" t="str">
            <v>INCH</v>
          </cell>
        </row>
      </sheetData>
      <sheetData sheetId="298">
        <row r="2">
          <cell r="F2" t="str">
            <v>INCH</v>
          </cell>
        </row>
      </sheetData>
      <sheetData sheetId="299">
        <row r="2">
          <cell r="F2" t="str">
            <v>INCH</v>
          </cell>
        </row>
      </sheetData>
      <sheetData sheetId="300">
        <row r="2">
          <cell r="F2" t="str">
            <v>INCH</v>
          </cell>
        </row>
      </sheetData>
      <sheetData sheetId="301">
        <row r="2">
          <cell r="F2" t="str">
            <v>INCH</v>
          </cell>
        </row>
      </sheetData>
      <sheetData sheetId="302">
        <row r="2">
          <cell r="F2" t="str">
            <v>INCH</v>
          </cell>
        </row>
      </sheetData>
      <sheetData sheetId="303">
        <row r="2">
          <cell r="F2" t="str">
            <v>INCH</v>
          </cell>
        </row>
      </sheetData>
      <sheetData sheetId="304">
        <row r="2">
          <cell r="F2" t="str">
            <v>INCH</v>
          </cell>
        </row>
      </sheetData>
      <sheetData sheetId="305">
        <row r="2">
          <cell r="F2" t="str">
            <v>INCH</v>
          </cell>
        </row>
      </sheetData>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ow r="2">
          <cell r="F2" t="str">
            <v>INCH</v>
          </cell>
        </row>
      </sheetData>
      <sheetData sheetId="354">
        <row r="2">
          <cell r="F2" t="str">
            <v>INCH</v>
          </cell>
        </row>
      </sheetData>
      <sheetData sheetId="355">
        <row r="2">
          <cell r="F2" t="str">
            <v>INCH</v>
          </cell>
        </row>
      </sheetData>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ow r="2">
          <cell r="F2" t="str">
            <v>INCH</v>
          </cell>
        </row>
      </sheetData>
      <sheetData sheetId="374">
        <row r="2">
          <cell r="F2" t="str">
            <v>INCH</v>
          </cell>
        </row>
      </sheetData>
      <sheetData sheetId="375">
        <row r="2">
          <cell r="F2" t="str">
            <v>INCH</v>
          </cell>
        </row>
      </sheetData>
      <sheetData sheetId="376">
        <row r="2">
          <cell r="F2" t="str">
            <v>INCH</v>
          </cell>
        </row>
      </sheetData>
      <sheetData sheetId="377">
        <row r="2">
          <cell r="F2" t="str">
            <v>INCH</v>
          </cell>
        </row>
      </sheetData>
      <sheetData sheetId="378">
        <row r="2">
          <cell r="F2" t="str">
            <v>INCH</v>
          </cell>
        </row>
      </sheetData>
      <sheetData sheetId="379">
        <row r="2">
          <cell r="F2" t="str">
            <v>INCH</v>
          </cell>
        </row>
      </sheetData>
      <sheetData sheetId="380">
        <row r="2">
          <cell r="F2" t="str">
            <v>INCH</v>
          </cell>
        </row>
      </sheetData>
      <sheetData sheetId="381">
        <row r="2">
          <cell r="F2" t="str">
            <v>INCH</v>
          </cell>
        </row>
      </sheetData>
      <sheetData sheetId="382">
        <row r="2">
          <cell r="F2" t="str">
            <v>INCH</v>
          </cell>
        </row>
      </sheetData>
      <sheetData sheetId="383">
        <row r="2">
          <cell r="F2" t="str">
            <v>INCH</v>
          </cell>
        </row>
      </sheetData>
      <sheetData sheetId="384">
        <row r="2">
          <cell r="F2" t="str">
            <v>INCH</v>
          </cell>
        </row>
      </sheetData>
      <sheetData sheetId="385">
        <row r="2">
          <cell r="F2" t="str">
            <v>INCH</v>
          </cell>
        </row>
      </sheetData>
      <sheetData sheetId="386">
        <row r="2">
          <cell r="F2" t="str">
            <v>INCH</v>
          </cell>
        </row>
      </sheetData>
      <sheetData sheetId="387">
        <row r="2">
          <cell r="F2" t="str">
            <v>INCH</v>
          </cell>
        </row>
      </sheetData>
      <sheetData sheetId="388">
        <row r="2">
          <cell r="F2" t="str">
            <v>INCH</v>
          </cell>
        </row>
      </sheetData>
      <sheetData sheetId="389">
        <row r="2">
          <cell r="F2" t="str">
            <v>INCH</v>
          </cell>
        </row>
      </sheetData>
      <sheetData sheetId="390">
        <row r="2">
          <cell r="F2" t="str">
            <v>INCH</v>
          </cell>
        </row>
      </sheetData>
      <sheetData sheetId="391">
        <row r="2">
          <cell r="F2" t="str">
            <v>INCH</v>
          </cell>
        </row>
      </sheetData>
      <sheetData sheetId="392">
        <row r="2">
          <cell r="F2" t="str">
            <v>INCH</v>
          </cell>
        </row>
      </sheetData>
      <sheetData sheetId="393">
        <row r="2">
          <cell r="F2" t="str">
            <v>INCH</v>
          </cell>
        </row>
      </sheetData>
      <sheetData sheetId="394">
        <row r="2">
          <cell r="F2" t="str">
            <v>INCH</v>
          </cell>
        </row>
      </sheetData>
      <sheetData sheetId="395">
        <row r="2">
          <cell r="F2" t="str">
            <v>INCH</v>
          </cell>
        </row>
      </sheetData>
      <sheetData sheetId="396">
        <row r="2">
          <cell r="F2" t="str">
            <v>INCH</v>
          </cell>
        </row>
      </sheetData>
      <sheetData sheetId="397">
        <row r="2">
          <cell r="F2" t="str">
            <v>INCH</v>
          </cell>
        </row>
      </sheetData>
      <sheetData sheetId="398">
        <row r="2">
          <cell r="F2" t="str">
            <v>INCH</v>
          </cell>
        </row>
      </sheetData>
      <sheetData sheetId="399">
        <row r="2">
          <cell r="F2" t="str">
            <v>INCH</v>
          </cell>
        </row>
      </sheetData>
      <sheetData sheetId="400">
        <row r="2">
          <cell r="F2" t="str">
            <v>INCH</v>
          </cell>
        </row>
      </sheetData>
      <sheetData sheetId="401">
        <row r="2">
          <cell r="F2" t="str">
            <v>INCH</v>
          </cell>
        </row>
      </sheetData>
      <sheetData sheetId="402">
        <row r="2">
          <cell r="F2" t="str">
            <v>INCH</v>
          </cell>
        </row>
      </sheetData>
      <sheetData sheetId="403">
        <row r="2">
          <cell r="F2" t="str">
            <v>INCH</v>
          </cell>
        </row>
      </sheetData>
      <sheetData sheetId="404">
        <row r="2">
          <cell r="F2" t="str">
            <v>INCH</v>
          </cell>
        </row>
      </sheetData>
      <sheetData sheetId="405">
        <row r="2">
          <cell r="F2" t="str">
            <v>INCH</v>
          </cell>
        </row>
      </sheetData>
      <sheetData sheetId="406">
        <row r="2">
          <cell r="F2" t="str">
            <v>INCH</v>
          </cell>
        </row>
      </sheetData>
      <sheetData sheetId="407">
        <row r="2">
          <cell r="F2" t="str">
            <v>INCH</v>
          </cell>
        </row>
      </sheetData>
      <sheetData sheetId="408">
        <row r="2">
          <cell r="F2" t="str">
            <v>INCH</v>
          </cell>
        </row>
      </sheetData>
      <sheetData sheetId="409">
        <row r="2">
          <cell r="F2" t="str">
            <v>INCH</v>
          </cell>
        </row>
      </sheetData>
      <sheetData sheetId="410">
        <row r="2">
          <cell r="F2" t="str">
            <v>INCH</v>
          </cell>
        </row>
      </sheetData>
      <sheetData sheetId="411">
        <row r="2">
          <cell r="F2" t="str">
            <v>INCH</v>
          </cell>
        </row>
      </sheetData>
      <sheetData sheetId="412">
        <row r="2">
          <cell r="F2" t="str">
            <v>INCH</v>
          </cell>
        </row>
      </sheetData>
      <sheetData sheetId="413">
        <row r="2">
          <cell r="F2" t="str">
            <v>INCH</v>
          </cell>
        </row>
      </sheetData>
      <sheetData sheetId="414">
        <row r="2">
          <cell r="F2" t="str">
            <v>INCH</v>
          </cell>
        </row>
      </sheetData>
      <sheetData sheetId="415">
        <row r="2">
          <cell r="F2" t="str">
            <v>INCH</v>
          </cell>
        </row>
      </sheetData>
      <sheetData sheetId="416">
        <row r="2">
          <cell r="F2" t="str">
            <v>INCH</v>
          </cell>
        </row>
      </sheetData>
      <sheetData sheetId="417">
        <row r="2">
          <cell r="F2" t="str">
            <v>INCH</v>
          </cell>
        </row>
      </sheetData>
      <sheetData sheetId="418">
        <row r="2">
          <cell r="F2" t="str">
            <v>INCH</v>
          </cell>
        </row>
      </sheetData>
      <sheetData sheetId="419">
        <row r="2">
          <cell r="F2" t="str">
            <v>INCH</v>
          </cell>
        </row>
      </sheetData>
      <sheetData sheetId="420">
        <row r="2">
          <cell r="F2" t="str">
            <v>INCH</v>
          </cell>
        </row>
      </sheetData>
      <sheetData sheetId="421">
        <row r="2">
          <cell r="F2" t="str">
            <v>INCH</v>
          </cell>
        </row>
      </sheetData>
      <sheetData sheetId="422">
        <row r="2">
          <cell r="F2" t="str">
            <v>INCH</v>
          </cell>
        </row>
      </sheetData>
      <sheetData sheetId="423">
        <row r="2">
          <cell r="F2" t="str">
            <v>INCH</v>
          </cell>
        </row>
      </sheetData>
      <sheetData sheetId="424">
        <row r="2">
          <cell r="F2" t="str">
            <v>INCH</v>
          </cell>
        </row>
      </sheetData>
      <sheetData sheetId="425">
        <row r="2">
          <cell r="F2" t="str">
            <v>INCH</v>
          </cell>
        </row>
      </sheetData>
      <sheetData sheetId="426">
        <row r="2">
          <cell r="F2" t="str">
            <v>INCH</v>
          </cell>
        </row>
      </sheetData>
      <sheetData sheetId="427">
        <row r="2">
          <cell r="F2" t="str">
            <v>INCH</v>
          </cell>
        </row>
      </sheetData>
      <sheetData sheetId="428">
        <row r="2">
          <cell r="F2" t="str">
            <v>INCH</v>
          </cell>
        </row>
      </sheetData>
      <sheetData sheetId="429">
        <row r="2">
          <cell r="F2" t="str">
            <v>INCH</v>
          </cell>
        </row>
      </sheetData>
      <sheetData sheetId="430">
        <row r="2">
          <cell r="F2" t="str">
            <v>INCH</v>
          </cell>
        </row>
      </sheetData>
      <sheetData sheetId="431">
        <row r="2">
          <cell r="F2" t="str">
            <v>INCH</v>
          </cell>
        </row>
      </sheetData>
      <sheetData sheetId="432">
        <row r="2">
          <cell r="F2" t="str">
            <v>INCH</v>
          </cell>
        </row>
      </sheetData>
      <sheetData sheetId="433">
        <row r="2">
          <cell r="F2" t="str">
            <v>INCH</v>
          </cell>
        </row>
      </sheetData>
      <sheetData sheetId="434">
        <row r="2">
          <cell r="F2" t="str">
            <v>INCH</v>
          </cell>
        </row>
      </sheetData>
      <sheetData sheetId="435">
        <row r="2">
          <cell r="F2" t="str">
            <v>INCH</v>
          </cell>
        </row>
      </sheetData>
      <sheetData sheetId="436">
        <row r="2">
          <cell r="F2" t="str">
            <v>INCH</v>
          </cell>
        </row>
      </sheetData>
      <sheetData sheetId="437">
        <row r="2">
          <cell r="F2" t="str">
            <v>INCH</v>
          </cell>
        </row>
      </sheetData>
      <sheetData sheetId="438">
        <row r="2">
          <cell r="F2" t="str">
            <v>INCH</v>
          </cell>
        </row>
      </sheetData>
      <sheetData sheetId="439">
        <row r="2">
          <cell r="F2" t="str">
            <v>INCH</v>
          </cell>
        </row>
      </sheetData>
      <sheetData sheetId="440">
        <row r="2">
          <cell r="F2" t="str">
            <v>INCH</v>
          </cell>
        </row>
      </sheetData>
      <sheetData sheetId="441">
        <row r="2">
          <cell r="F2" t="str">
            <v>INCH</v>
          </cell>
        </row>
      </sheetData>
      <sheetData sheetId="442">
        <row r="2">
          <cell r="F2" t="str">
            <v>INCH</v>
          </cell>
        </row>
      </sheetData>
      <sheetData sheetId="443">
        <row r="2">
          <cell r="F2" t="str">
            <v>INCH</v>
          </cell>
        </row>
      </sheetData>
      <sheetData sheetId="444">
        <row r="2">
          <cell r="F2" t="str">
            <v>INCH</v>
          </cell>
        </row>
      </sheetData>
      <sheetData sheetId="445">
        <row r="2">
          <cell r="F2" t="str">
            <v>INCH</v>
          </cell>
        </row>
      </sheetData>
      <sheetData sheetId="446">
        <row r="2">
          <cell r="F2" t="str">
            <v>INCH</v>
          </cell>
        </row>
      </sheetData>
      <sheetData sheetId="447">
        <row r="2">
          <cell r="F2" t="str">
            <v>INCH</v>
          </cell>
        </row>
      </sheetData>
      <sheetData sheetId="448">
        <row r="2">
          <cell r="F2" t="str">
            <v>INCH</v>
          </cell>
        </row>
      </sheetData>
      <sheetData sheetId="449">
        <row r="2">
          <cell r="F2" t="str">
            <v>INCH</v>
          </cell>
        </row>
      </sheetData>
      <sheetData sheetId="450">
        <row r="2">
          <cell r="F2" t="str">
            <v>INCH</v>
          </cell>
        </row>
      </sheetData>
      <sheetData sheetId="451">
        <row r="2">
          <cell r="F2" t="str">
            <v>INCH</v>
          </cell>
        </row>
      </sheetData>
      <sheetData sheetId="452">
        <row r="2">
          <cell r="F2" t="str">
            <v>INCH</v>
          </cell>
        </row>
      </sheetData>
      <sheetData sheetId="453">
        <row r="2">
          <cell r="F2" t="str">
            <v>INCH</v>
          </cell>
        </row>
      </sheetData>
      <sheetData sheetId="454">
        <row r="2">
          <cell r="F2" t="str">
            <v>INCH</v>
          </cell>
        </row>
      </sheetData>
      <sheetData sheetId="455">
        <row r="2">
          <cell r="F2" t="str">
            <v>INCH</v>
          </cell>
        </row>
      </sheetData>
      <sheetData sheetId="456">
        <row r="2">
          <cell r="F2" t="str">
            <v>INCH</v>
          </cell>
        </row>
      </sheetData>
      <sheetData sheetId="457">
        <row r="2">
          <cell r="F2" t="str">
            <v>INCH</v>
          </cell>
        </row>
      </sheetData>
      <sheetData sheetId="458">
        <row r="2">
          <cell r="F2" t="str">
            <v>INCH</v>
          </cell>
        </row>
      </sheetData>
      <sheetData sheetId="459">
        <row r="2">
          <cell r="F2" t="str">
            <v>INCH</v>
          </cell>
        </row>
      </sheetData>
      <sheetData sheetId="460">
        <row r="2">
          <cell r="F2" t="str">
            <v>INCH</v>
          </cell>
        </row>
      </sheetData>
      <sheetData sheetId="461">
        <row r="2">
          <cell r="F2" t="str">
            <v>INCH</v>
          </cell>
        </row>
      </sheetData>
      <sheetData sheetId="462">
        <row r="2">
          <cell r="F2" t="str">
            <v>INCH</v>
          </cell>
        </row>
      </sheetData>
      <sheetData sheetId="463">
        <row r="2">
          <cell r="F2" t="str">
            <v>INCH</v>
          </cell>
        </row>
      </sheetData>
      <sheetData sheetId="464">
        <row r="2">
          <cell r="F2" t="str">
            <v>INCH</v>
          </cell>
        </row>
      </sheetData>
      <sheetData sheetId="465">
        <row r="2">
          <cell r="F2" t="str">
            <v>INCH</v>
          </cell>
        </row>
      </sheetData>
      <sheetData sheetId="466">
        <row r="2">
          <cell r="F2" t="str">
            <v>INCH</v>
          </cell>
        </row>
      </sheetData>
      <sheetData sheetId="467">
        <row r="2">
          <cell r="F2" t="str">
            <v>INCH</v>
          </cell>
        </row>
      </sheetData>
      <sheetData sheetId="468">
        <row r="2">
          <cell r="F2" t="str">
            <v>INCH</v>
          </cell>
        </row>
      </sheetData>
      <sheetData sheetId="469">
        <row r="2">
          <cell r="F2" t="str">
            <v>INCH</v>
          </cell>
        </row>
      </sheetData>
      <sheetData sheetId="470">
        <row r="2">
          <cell r="F2" t="str">
            <v>INCH</v>
          </cell>
        </row>
      </sheetData>
      <sheetData sheetId="471">
        <row r="2">
          <cell r="F2" t="str">
            <v>INCH</v>
          </cell>
        </row>
      </sheetData>
      <sheetData sheetId="472">
        <row r="2">
          <cell r="F2" t="str">
            <v>INCH</v>
          </cell>
        </row>
      </sheetData>
      <sheetData sheetId="473">
        <row r="2">
          <cell r="F2" t="str">
            <v>INCH</v>
          </cell>
        </row>
      </sheetData>
      <sheetData sheetId="474">
        <row r="2">
          <cell r="F2" t="str">
            <v>INCH</v>
          </cell>
        </row>
      </sheetData>
      <sheetData sheetId="475">
        <row r="2">
          <cell r="F2" t="str">
            <v>INCH</v>
          </cell>
        </row>
      </sheetData>
      <sheetData sheetId="476">
        <row r="2">
          <cell r="F2" t="str">
            <v>INCH</v>
          </cell>
        </row>
      </sheetData>
      <sheetData sheetId="477">
        <row r="2">
          <cell r="F2" t="str">
            <v>INCH</v>
          </cell>
        </row>
      </sheetData>
      <sheetData sheetId="478">
        <row r="2">
          <cell r="F2" t="str">
            <v>INCH</v>
          </cell>
        </row>
      </sheetData>
      <sheetData sheetId="479">
        <row r="2">
          <cell r="F2" t="str">
            <v>INCH</v>
          </cell>
        </row>
      </sheetData>
      <sheetData sheetId="480">
        <row r="2">
          <cell r="F2" t="str">
            <v>INCH</v>
          </cell>
        </row>
      </sheetData>
      <sheetData sheetId="481">
        <row r="2">
          <cell r="F2" t="str">
            <v>INCH</v>
          </cell>
        </row>
      </sheetData>
      <sheetData sheetId="482">
        <row r="2">
          <cell r="F2" t="str">
            <v>INCH</v>
          </cell>
        </row>
      </sheetData>
      <sheetData sheetId="483">
        <row r="2">
          <cell r="F2" t="str">
            <v>INCH</v>
          </cell>
        </row>
      </sheetData>
      <sheetData sheetId="484">
        <row r="2">
          <cell r="F2" t="str">
            <v>INCH</v>
          </cell>
        </row>
      </sheetData>
      <sheetData sheetId="485">
        <row r="2">
          <cell r="F2" t="str">
            <v>INCH</v>
          </cell>
        </row>
      </sheetData>
      <sheetData sheetId="486">
        <row r="2">
          <cell r="F2" t="str">
            <v>INCH</v>
          </cell>
        </row>
      </sheetData>
      <sheetData sheetId="487">
        <row r="2">
          <cell r="F2" t="str">
            <v>INCH</v>
          </cell>
        </row>
      </sheetData>
      <sheetData sheetId="488">
        <row r="2">
          <cell r="F2" t="str">
            <v>INCH</v>
          </cell>
        </row>
      </sheetData>
      <sheetData sheetId="489">
        <row r="2">
          <cell r="F2" t="str">
            <v>INCH</v>
          </cell>
        </row>
      </sheetData>
      <sheetData sheetId="490">
        <row r="2">
          <cell r="F2" t="str">
            <v>INCH</v>
          </cell>
        </row>
      </sheetData>
      <sheetData sheetId="491">
        <row r="2">
          <cell r="F2" t="str">
            <v>INCH</v>
          </cell>
        </row>
      </sheetData>
      <sheetData sheetId="492">
        <row r="2">
          <cell r="F2" t="str">
            <v>INCH</v>
          </cell>
        </row>
      </sheetData>
      <sheetData sheetId="493">
        <row r="2">
          <cell r="F2" t="str">
            <v>INCH</v>
          </cell>
        </row>
      </sheetData>
      <sheetData sheetId="494">
        <row r="2">
          <cell r="F2" t="str">
            <v>INCH</v>
          </cell>
        </row>
      </sheetData>
      <sheetData sheetId="495">
        <row r="2">
          <cell r="F2" t="str">
            <v>INCH</v>
          </cell>
        </row>
      </sheetData>
      <sheetData sheetId="496">
        <row r="2">
          <cell r="F2" t="str">
            <v>INCH</v>
          </cell>
        </row>
      </sheetData>
      <sheetData sheetId="497">
        <row r="2">
          <cell r="F2" t="str">
            <v>INCH</v>
          </cell>
        </row>
      </sheetData>
      <sheetData sheetId="498">
        <row r="2">
          <cell r="F2" t="str">
            <v>INCH</v>
          </cell>
        </row>
      </sheetData>
      <sheetData sheetId="499">
        <row r="2">
          <cell r="F2" t="str">
            <v>INCH</v>
          </cell>
        </row>
      </sheetData>
      <sheetData sheetId="500">
        <row r="2">
          <cell r="F2" t="str">
            <v>INCH</v>
          </cell>
        </row>
      </sheetData>
      <sheetData sheetId="501">
        <row r="2">
          <cell r="F2" t="str">
            <v>INCH</v>
          </cell>
        </row>
      </sheetData>
      <sheetData sheetId="502">
        <row r="2">
          <cell r="F2" t="str">
            <v>INCH</v>
          </cell>
        </row>
      </sheetData>
      <sheetData sheetId="503">
        <row r="2">
          <cell r="F2" t="str">
            <v>INCH</v>
          </cell>
        </row>
      </sheetData>
      <sheetData sheetId="504">
        <row r="2">
          <cell r="F2" t="str">
            <v>INCH</v>
          </cell>
        </row>
      </sheetData>
      <sheetData sheetId="505">
        <row r="2">
          <cell r="F2" t="str">
            <v>INCH</v>
          </cell>
        </row>
      </sheetData>
      <sheetData sheetId="506">
        <row r="2">
          <cell r="F2" t="str">
            <v>INCH</v>
          </cell>
        </row>
      </sheetData>
      <sheetData sheetId="507">
        <row r="2">
          <cell r="F2" t="str">
            <v>INCH</v>
          </cell>
        </row>
      </sheetData>
      <sheetData sheetId="508">
        <row r="2">
          <cell r="F2" t="str">
            <v>INCH</v>
          </cell>
        </row>
      </sheetData>
      <sheetData sheetId="509">
        <row r="2">
          <cell r="F2" t="str">
            <v>INCH</v>
          </cell>
        </row>
      </sheetData>
      <sheetData sheetId="510">
        <row r="2">
          <cell r="F2" t="str">
            <v>INCH</v>
          </cell>
        </row>
      </sheetData>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ow r="2">
          <cell r="F2" t="str">
            <v>INCH</v>
          </cell>
        </row>
      </sheetData>
      <sheetData sheetId="524">
        <row r="2">
          <cell r="F2" t="str">
            <v>INCH</v>
          </cell>
        </row>
      </sheetData>
      <sheetData sheetId="525">
        <row r="2">
          <cell r="F2" t="str">
            <v>INCH</v>
          </cell>
        </row>
      </sheetData>
      <sheetData sheetId="526">
        <row r="2">
          <cell r="F2" t="str">
            <v>INCH</v>
          </cell>
        </row>
      </sheetData>
      <sheetData sheetId="527" refreshError="1"/>
      <sheetData sheetId="528" refreshError="1"/>
      <sheetData sheetId="529" refreshError="1"/>
      <sheetData sheetId="530">
        <row r="2">
          <cell r="F2" t="str">
            <v>INCH</v>
          </cell>
        </row>
      </sheetData>
      <sheetData sheetId="531">
        <row r="2">
          <cell r="F2" t="str">
            <v>INCH</v>
          </cell>
        </row>
      </sheetData>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ow r="2">
          <cell r="F2" t="str">
            <v>INCH</v>
          </cell>
        </row>
      </sheetData>
      <sheetData sheetId="556" refreshError="1"/>
      <sheetData sheetId="557" refreshError="1"/>
      <sheetData sheetId="558" refreshError="1"/>
      <sheetData sheetId="559">
        <row r="2">
          <cell r="F2" t="str">
            <v>INCH</v>
          </cell>
        </row>
      </sheetData>
      <sheetData sheetId="560">
        <row r="2">
          <cell r="F2" t="str">
            <v>INCH</v>
          </cell>
        </row>
      </sheetData>
      <sheetData sheetId="561">
        <row r="2">
          <cell r="F2" t="str">
            <v>INCH</v>
          </cell>
        </row>
      </sheetData>
      <sheetData sheetId="562">
        <row r="2">
          <cell r="F2" t="str">
            <v>INCH</v>
          </cell>
        </row>
      </sheetData>
      <sheetData sheetId="563">
        <row r="2">
          <cell r="F2" t="str">
            <v>INCH</v>
          </cell>
        </row>
      </sheetData>
      <sheetData sheetId="564">
        <row r="2">
          <cell r="F2" t="str">
            <v>INCH</v>
          </cell>
        </row>
      </sheetData>
      <sheetData sheetId="565">
        <row r="2">
          <cell r="F2" t="str">
            <v>INCH</v>
          </cell>
        </row>
      </sheetData>
      <sheetData sheetId="566">
        <row r="2">
          <cell r="F2" t="str">
            <v>INCH</v>
          </cell>
        </row>
      </sheetData>
      <sheetData sheetId="567">
        <row r="2">
          <cell r="F2" t="str">
            <v>INCH</v>
          </cell>
        </row>
      </sheetData>
      <sheetData sheetId="568">
        <row r="2">
          <cell r="F2" t="str">
            <v>INCH</v>
          </cell>
        </row>
      </sheetData>
      <sheetData sheetId="569">
        <row r="2">
          <cell r="F2" t="str">
            <v>INCH</v>
          </cell>
        </row>
      </sheetData>
      <sheetData sheetId="570" refreshError="1"/>
      <sheetData sheetId="571" refreshError="1"/>
      <sheetData sheetId="572" refreshError="1"/>
      <sheetData sheetId="573" refreshError="1"/>
      <sheetData sheetId="574">
        <row r="2">
          <cell r="F2" t="str">
            <v>INCH</v>
          </cell>
        </row>
      </sheetData>
      <sheetData sheetId="575" refreshError="1"/>
      <sheetData sheetId="576" refreshError="1"/>
      <sheetData sheetId="577" refreshError="1"/>
      <sheetData sheetId="578" refreshError="1"/>
      <sheetData sheetId="579" refreshError="1"/>
      <sheetData sheetId="580">
        <row r="2">
          <cell r="F2" t="str">
            <v>INCH</v>
          </cell>
        </row>
      </sheetData>
      <sheetData sheetId="581">
        <row r="2">
          <cell r="F2" t="str">
            <v>INCH</v>
          </cell>
        </row>
      </sheetData>
      <sheetData sheetId="582">
        <row r="2">
          <cell r="F2" t="str">
            <v>INCH</v>
          </cell>
        </row>
      </sheetData>
      <sheetData sheetId="583">
        <row r="2">
          <cell r="F2" t="str">
            <v>INCH</v>
          </cell>
        </row>
      </sheetData>
      <sheetData sheetId="584">
        <row r="2">
          <cell r="F2" t="str">
            <v>INCH</v>
          </cell>
        </row>
      </sheetData>
      <sheetData sheetId="585">
        <row r="2">
          <cell r="F2" t="str">
            <v>INCH</v>
          </cell>
        </row>
      </sheetData>
      <sheetData sheetId="586">
        <row r="2">
          <cell r="F2" t="str">
            <v>INCH</v>
          </cell>
        </row>
      </sheetData>
      <sheetData sheetId="587">
        <row r="2">
          <cell r="F2" t="str">
            <v>INCH</v>
          </cell>
        </row>
      </sheetData>
      <sheetData sheetId="588">
        <row r="2">
          <cell r="F2" t="str">
            <v>INCH</v>
          </cell>
        </row>
      </sheetData>
      <sheetData sheetId="589">
        <row r="2">
          <cell r="F2" t="str">
            <v>INCH</v>
          </cell>
        </row>
      </sheetData>
      <sheetData sheetId="590">
        <row r="2">
          <cell r="F2" t="str">
            <v>INCH</v>
          </cell>
        </row>
      </sheetData>
      <sheetData sheetId="591">
        <row r="2">
          <cell r="F2" t="str">
            <v>INCH</v>
          </cell>
        </row>
      </sheetData>
      <sheetData sheetId="592">
        <row r="2">
          <cell r="F2" t="str">
            <v>INCH</v>
          </cell>
        </row>
      </sheetData>
      <sheetData sheetId="593">
        <row r="2">
          <cell r="F2" t="str">
            <v>INCH</v>
          </cell>
        </row>
      </sheetData>
      <sheetData sheetId="594">
        <row r="2">
          <cell r="F2" t="str">
            <v>INCH</v>
          </cell>
        </row>
      </sheetData>
      <sheetData sheetId="595">
        <row r="2">
          <cell r="F2" t="str">
            <v>INCH</v>
          </cell>
        </row>
      </sheetData>
      <sheetData sheetId="596">
        <row r="2">
          <cell r="F2" t="str">
            <v>INCH</v>
          </cell>
        </row>
      </sheetData>
      <sheetData sheetId="597">
        <row r="2">
          <cell r="F2" t="str">
            <v>INCH</v>
          </cell>
        </row>
      </sheetData>
      <sheetData sheetId="598">
        <row r="2">
          <cell r="F2" t="str">
            <v>INCH</v>
          </cell>
        </row>
      </sheetData>
      <sheetData sheetId="599">
        <row r="2">
          <cell r="F2" t="str">
            <v>INCH</v>
          </cell>
        </row>
      </sheetData>
      <sheetData sheetId="600">
        <row r="2">
          <cell r="F2" t="str">
            <v>INCH</v>
          </cell>
        </row>
      </sheetData>
      <sheetData sheetId="601">
        <row r="2">
          <cell r="F2" t="str">
            <v>INCH</v>
          </cell>
        </row>
      </sheetData>
      <sheetData sheetId="602">
        <row r="2">
          <cell r="F2" t="str">
            <v>INCH</v>
          </cell>
        </row>
      </sheetData>
      <sheetData sheetId="603">
        <row r="2">
          <cell r="F2" t="str">
            <v>INCH</v>
          </cell>
        </row>
      </sheetData>
      <sheetData sheetId="604">
        <row r="2">
          <cell r="F2" t="str">
            <v>INCH</v>
          </cell>
        </row>
      </sheetData>
      <sheetData sheetId="605">
        <row r="2">
          <cell r="F2" t="str">
            <v>INCH</v>
          </cell>
        </row>
      </sheetData>
      <sheetData sheetId="606">
        <row r="2">
          <cell r="F2" t="str">
            <v>INCH</v>
          </cell>
        </row>
      </sheetData>
      <sheetData sheetId="607">
        <row r="2">
          <cell r="F2" t="str">
            <v>INCH</v>
          </cell>
        </row>
      </sheetData>
      <sheetData sheetId="608">
        <row r="2">
          <cell r="F2" t="str">
            <v>INCH</v>
          </cell>
        </row>
      </sheetData>
      <sheetData sheetId="609">
        <row r="2">
          <cell r="F2" t="str">
            <v>INCH</v>
          </cell>
        </row>
      </sheetData>
      <sheetData sheetId="610">
        <row r="2">
          <cell r="F2" t="str">
            <v>INCH</v>
          </cell>
        </row>
      </sheetData>
      <sheetData sheetId="611">
        <row r="2">
          <cell r="F2" t="str">
            <v>INCH</v>
          </cell>
        </row>
      </sheetData>
      <sheetData sheetId="612">
        <row r="2">
          <cell r="F2" t="str">
            <v>INCH</v>
          </cell>
        </row>
      </sheetData>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ow r="2">
          <cell r="F2" t="str">
            <v>INCH</v>
          </cell>
        </row>
      </sheetData>
      <sheetData sheetId="622">
        <row r="2">
          <cell r="F2" t="str">
            <v>INCH</v>
          </cell>
        </row>
      </sheetData>
      <sheetData sheetId="623">
        <row r="2">
          <cell r="F2" t="str">
            <v>INCH</v>
          </cell>
        </row>
      </sheetData>
      <sheetData sheetId="624" refreshError="1"/>
      <sheetData sheetId="625" refreshError="1"/>
      <sheetData sheetId="626" refreshError="1"/>
      <sheetData sheetId="627" refreshError="1"/>
      <sheetData sheetId="628" refreshError="1"/>
      <sheetData sheetId="629">
        <row r="2">
          <cell r="F2" t="str">
            <v>INCH</v>
          </cell>
        </row>
      </sheetData>
      <sheetData sheetId="630">
        <row r="2">
          <cell r="F2" t="str">
            <v>INCH</v>
          </cell>
        </row>
      </sheetData>
      <sheetData sheetId="631">
        <row r="2">
          <cell r="F2" t="str">
            <v>INCH</v>
          </cell>
        </row>
      </sheetData>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ow r="2">
          <cell r="F2" t="str">
            <v>INCH</v>
          </cell>
        </row>
      </sheetData>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ow r="2">
          <cell r="F2" t="str">
            <v>INCH</v>
          </cell>
        </row>
      </sheetData>
      <sheetData sheetId="663">
        <row r="2">
          <cell r="F2" t="str">
            <v>INCH</v>
          </cell>
        </row>
      </sheetData>
      <sheetData sheetId="664">
        <row r="2">
          <cell r="F2" t="str">
            <v>INCH</v>
          </cell>
        </row>
      </sheetData>
      <sheetData sheetId="665">
        <row r="2">
          <cell r="F2" t="str">
            <v>INCH</v>
          </cell>
        </row>
      </sheetData>
      <sheetData sheetId="666">
        <row r="2">
          <cell r="F2" t="str">
            <v>INCH</v>
          </cell>
        </row>
      </sheetData>
      <sheetData sheetId="667">
        <row r="2">
          <cell r="F2" t="str">
            <v>INCH</v>
          </cell>
        </row>
      </sheetData>
      <sheetData sheetId="668">
        <row r="2">
          <cell r="F2" t="str">
            <v>INCH</v>
          </cell>
        </row>
      </sheetData>
      <sheetData sheetId="669">
        <row r="2">
          <cell r="F2" t="str">
            <v>INCH</v>
          </cell>
        </row>
      </sheetData>
      <sheetData sheetId="670">
        <row r="2">
          <cell r="F2" t="str">
            <v>INCH</v>
          </cell>
        </row>
      </sheetData>
      <sheetData sheetId="671">
        <row r="2">
          <cell r="F2" t="str">
            <v>INCH</v>
          </cell>
        </row>
      </sheetData>
      <sheetData sheetId="672">
        <row r="2">
          <cell r="F2" t="str">
            <v>INCH</v>
          </cell>
        </row>
      </sheetData>
      <sheetData sheetId="673">
        <row r="2">
          <cell r="F2" t="str">
            <v>INCH</v>
          </cell>
        </row>
      </sheetData>
      <sheetData sheetId="674" refreshError="1"/>
      <sheetData sheetId="675" refreshError="1"/>
      <sheetData sheetId="676" refreshError="1"/>
      <sheetData sheetId="677" refreshError="1"/>
      <sheetData sheetId="678" refreshError="1"/>
      <sheetData sheetId="679">
        <row r="2">
          <cell r="F2" t="str">
            <v>INCH</v>
          </cell>
        </row>
      </sheetData>
      <sheetData sheetId="680">
        <row r="2">
          <cell r="F2" t="str">
            <v>INCH</v>
          </cell>
        </row>
      </sheetData>
      <sheetData sheetId="681">
        <row r="2">
          <cell r="F2" t="str">
            <v>INCH</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ow r="2">
          <cell r="F2" t="str">
            <v>INCH</v>
          </cell>
        </row>
      </sheetData>
      <sheetData sheetId="724">
        <row r="2">
          <cell r="F2" t="str">
            <v>INCH</v>
          </cell>
        </row>
      </sheetData>
      <sheetData sheetId="725">
        <row r="2">
          <cell r="F2" t="str">
            <v>INCH</v>
          </cell>
        </row>
      </sheetData>
      <sheetData sheetId="726">
        <row r="2">
          <cell r="F2" t="str">
            <v>INCH</v>
          </cell>
        </row>
      </sheetData>
      <sheetData sheetId="727">
        <row r="2">
          <cell r="F2" t="str">
            <v>INCH</v>
          </cell>
        </row>
      </sheetData>
      <sheetData sheetId="728">
        <row r="2">
          <cell r="F2" t="str">
            <v>INCH</v>
          </cell>
        </row>
      </sheetData>
      <sheetData sheetId="729">
        <row r="2">
          <cell r="F2" t="str">
            <v>INCH</v>
          </cell>
        </row>
      </sheetData>
      <sheetData sheetId="730">
        <row r="2">
          <cell r="F2" t="str">
            <v>INCH</v>
          </cell>
        </row>
      </sheetData>
      <sheetData sheetId="731">
        <row r="2">
          <cell r="F2" t="str">
            <v>INCH</v>
          </cell>
        </row>
      </sheetData>
      <sheetData sheetId="732">
        <row r="2">
          <cell r="F2" t="str">
            <v>INCH</v>
          </cell>
        </row>
      </sheetData>
      <sheetData sheetId="733">
        <row r="2">
          <cell r="F2" t="str">
            <v>INCH</v>
          </cell>
        </row>
      </sheetData>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ow r="2">
          <cell r="F2" t="str">
            <v>INCH</v>
          </cell>
        </row>
      </sheetData>
      <sheetData sheetId="756">
        <row r="2">
          <cell r="F2" t="str">
            <v>INCH</v>
          </cell>
        </row>
      </sheetData>
      <sheetData sheetId="757">
        <row r="2">
          <cell r="F2" t="str">
            <v>INCH</v>
          </cell>
        </row>
      </sheetData>
      <sheetData sheetId="758">
        <row r="2">
          <cell r="F2" t="str">
            <v>INCH</v>
          </cell>
        </row>
      </sheetData>
      <sheetData sheetId="759">
        <row r="2">
          <cell r="F2" t="str">
            <v>INCH</v>
          </cell>
        </row>
      </sheetData>
      <sheetData sheetId="760">
        <row r="2">
          <cell r="F2" t="str">
            <v>INCH</v>
          </cell>
        </row>
      </sheetData>
      <sheetData sheetId="761">
        <row r="2">
          <cell r="F2" t="str">
            <v>INCH</v>
          </cell>
        </row>
      </sheetData>
      <sheetData sheetId="762">
        <row r="2">
          <cell r="F2" t="str">
            <v>INCH</v>
          </cell>
        </row>
      </sheetData>
      <sheetData sheetId="763">
        <row r="2">
          <cell r="F2" t="str">
            <v>INCH</v>
          </cell>
        </row>
      </sheetData>
      <sheetData sheetId="764">
        <row r="2">
          <cell r="F2" t="str">
            <v>INCH</v>
          </cell>
        </row>
      </sheetData>
      <sheetData sheetId="765">
        <row r="2">
          <cell r="F2" t="str">
            <v>INCH</v>
          </cell>
        </row>
      </sheetData>
      <sheetData sheetId="766" refreshError="1"/>
      <sheetData sheetId="767" refreshError="1"/>
      <sheetData sheetId="768" refreshError="1"/>
      <sheetData sheetId="769" refreshError="1"/>
      <sheetData sheetId="770">
        <row r="2">
          <cell r="F2" t="str">
            <v>INCH</v>
          </cell>
        </row>
      </sheetData>
      <sheetData sheetId="771">
        <row r="2">
          <cell r="F2" t="str">
            <v>INCH</v>
          </cell>
        </row>
      </sheetData>
      <sheetData sheetId="772">
        <row r="2">
          <cell r="F2" t="str">
            <v>INCH</v>
          </cell>
        </row>
      </sheetData>
      <sheetData sheetId="773">
        <row r="2">
          <cell r="F2" t="str">
            <v>INCH</v>
          </cell>
        </row>
      </sheetData>
      <sheetData sheetId="774">
        <row r="2">
          <cell r="F2" t="str">
            <v>INCH</v>
          </cell>
        </row>
      </sheetData>
      <sheetData sheetId="775">
        <row r="2">
          <cell r="F2" t="str">
            <v>INCH</v>
          </cell>
        </row>
      </sheetData>
      <sheetData sheetId="776">
        <row r="2">
          <cell r="F2" t="str">
            <v>INCH</v>
          </cell>
        </row>
      </sheetData>
      <sheetData sheetId="777">
        <row r="2">
          <cell r="F2" t="str">
            <v>INCH</v>
          </cell>
        </row>
      </sheetData>
      <sheetData sheetId="778">
        <row r="2">
          <cell r="F2" t="str">
            <v>INCH</v>
          </cell>
        </row>
      </sheetData>
      <sheetData sheetId="779">
        <row r="2">
          <cell r="F2" t="str">
            <v>INCH</v>
          </cell>
        </row>
      </sheetData>
      <sheetData sheetId="780">
        <row r="2">
          <cell r="F2" t="str">
            <v>INCH</v>
          </cell>
        </row>
      </sheetData>
      <sheetData sheetId="781">
        <row r="2">
          <cell r="F2" t="str">
            <v>INCH</v>
          </cell>
        </row>
      </sheetData>
      <sheetData sheetId="782">
        <row r="2">
          <cell r="F2" t="str">
            <v>INCH</v>
          </cell>
        </row>
      </sheetData>
      <sheetData sheetId="783">
        <row r="2">
          <cell r="F2" t="str">
            <v>INCH</v>
          </cell>
        </row>
      </sheetData>
      <sheetData sheetId="784">
        <row r="2">
          <cell r="F2" t="str">
            <v>INCH</v>
          </cell>
        </row>
      </sheetData>
      <sheetData sheetId="785">
        <row r="2">
          <cell r="F2" t="str">
            <v>INCH</v>
          </cell>
        </row>
      </sheetData>
      <sheetData sheetId="786">
        <row r="2">
          <cell r="F2" t="str">
            <v>INCH</v>
          </cell>
        </row>
      </sheetData>
      <sheetData sheetId="787">
        <row r="2">
          <cell r="F2" t="str">
            <v>INCH</v>
          </cell>
        </row>
      </sheetData>
      <sheetData sheetId="788">
        <row r="2">
          <cell r="F2" t="str">
            <v>INCH</v>
          </cell>
        </row>
      </sheetData>
      <sheetData sheetId="789">
        <row r="2">
          <cell r="F2" t="str">
            <v>INCH</v>
          </cell>
        </row>
      </sheetData>
      <sheetData sheetId="790">
        <row r="2">
          <cell r="F2" t="str">
            <v>INCH</v>
          </cell>
        </row>
      </sheetData>
      <sheetData sheetId="791">
        <row r="2">
          <cell r="F2" t="str">
            <v>INCH</v>
          </cell>
        </row>
      </sheetData>
      <sheetData sheetId="792">
        <row r="2">
          <cell r="F2" t="str">
            <v>INCH</v>
          </cell>
        </row>
      </sheetData>
      <sheetData sheetId="793">
        <row r="2">
          <cell r="F2" t="str">
            <v>INCH</v>
          </cell>
        </row>
      </sheetData>
      <sheetData sheetId="794">
        <row r="2">
          <cell r="F2" t="str">
            <v>INCH</v>
          </cell>
        </row>
      </sheetData>
      <sheetData sheetId="795">
        <row r="2">
          <cell r="F2" t="str">
            <v>INCH</v>
          </cell>
        </row>
      </sheetData>
      <sheetData sheetId="796">
        <row r="2">
          <cell r="F2" t="str">
            <v>INCH</v>
          </cell>
        </row>
      </sheetData>
      <sheetData sheetId="797" refreshError="1"/>
      <sheetData sheetId="798" refreshError="1"/>
      <sheetData sheetId="799" refreshError="1"/>
      <sheetData sheetId="800">
        <row r="2">
          <cell r="F2" t="str">
            <v>INCH</v>
          </cell>
        </row>
      </sheetData>
      <sheetData sheetId="801">
        <row r="2">
          <cell r="F2" t="str">
            <v>INCH</v>
          </cell>
        </row>
      </sheetData>
      <sheetData sheetId="802">
        <row r="2">
          <cell r="F2" t="str">
            <v>INCH</v>
          </cell>
        </row>
      </sheetData>
      <sheetData sheetId="803">
        <row r="2">
          <cell r="F2" t="str">
            <v>INCH</v>
          </cell>
        </row>
      </sheetData>
      <sheetData sheetId="804" refreshError="1"/>
      <sheetData sheetId="805" refreshError="1"/>
      <sheetData sheetId="806" refreshError="1"/>
      <sheetData sheetId="807" refreshError="1"/>
      <sheetData sheetId="808">
        <row r="2">
          <cell r="F2" t="str">
            <v>INCH</v>
          </cell>
        </row>
      </sheetData>
      <sheetData sheetId="809">
        <row r="2">
          <cell r="F2" t="str">
            <v>INCH</v>
          </cell>
        </row>
      </sheetData>
      <sheetData sheetId="810">
        <row r="2">
          <cell r="F2" t="str">
            <v>INCH</v>
          </cell>
        </row>
      </sheetData>
      <sheetData sheetId="811">
        <row r="2">
          <cell r="F2" t="str">
            <v>INCH</v>
          </cell>
        </row>
      </sheetData>
      <sheetData sheetId="812">
        <row r="2">
          <cell r="F2" t="str">
            <v>INCH</v>
          </cell>
        </row>
      </sheetData>
      <sheetData sheetId="813">
        <row r="2">
          <cell r="F2" t="str">
            <v>INCH</v>
          </cell>
        </row>
      </sheetData>
      <sheetData sheetId="814">
        <row r="2">
          <cell r="F2" t="str">
            <v>INCH</v>
          </cell>
        </row>
      </sheetData>
      <sheetData sheetId="815">
        <row r="2">
          <cell r="F2" t="str">
            <v>INCH</v>
          </cell>
        </row>
      </sheetData>
      <sheetData sheetId="816">
        <row r="2">
          <cell r="F2" t="str">
            <v>INCH</v>
          </cell>
        </row>
      </sheetData>
      <sheetData sheetId="817">
        <row r="2">
          <cell r="F2" t="str">
            <v>INCH</v>
          </cell>
        </row>
      </sheetData>
      <sheetData sheetId="818">
        <row r="2">
          <cell r="F2" t="str">
            <v>INCH</v>
          </cell>
        </row>
      </sheetData>
      <sheetData sheetId="819">
        <row r="2">
          <cell r="F2" t="str">
            <v>INCH</v>
          </cell>
        </row>
      </sheetData>
      <sheetData sheetId="820">
        <row r="2">
          <cell r="F2" t="str">
            <v>INCH</v>
          </cell>
        </row>
      </sheetData>
      <sheetData sheetId="821">
        <row r="2">
          <cell r="F2" t="str">
            <v>INCH</v>
          </cell>
        </row>
      </sheetData>
      <sheetData sheetId="822">
        <row r="2">
          <cell r="F2" t="str">
            <v>INCH</v>
          </cell>
        </row>
      </sheetData>
      <sheetData sheetId="823">
        <row r="2">
          <cell r="F2" t="str">
            <v>INCH</v>
          </cell>
        </row>
      </sheetData>
      <sheetData sheetId="824">
        <row r="2">
          <cell r="F2" t="str">
            <v>INCH</v>
          </cell>
        </row>
      </sheetData>
      <sheetData sheetId="825">
        <row r="2">
          <cell r="F2" t="str">
            <v>INCH</v>
          </cell>
        </row>
      </sheetData>
      <sheetData sheetId="826">
        <row r="2">
          <cell r="F2" t="str">
            <v>INCH</v>
          </cell>
        </row>
      </sheetData>
      <sheetData sheetId="827">
        <row r="2">
          <cell r="F2" t="str">
            <v>INCH</v>
          </cell>
        </row>
      </sheetData>
      <sheetData sheetId="828">
        <row r="2">
          <cell r="F2" t="str">
            <v>INCH</v>
          </cell>
        </row>
      </sheetData>
      <sheetData sheetId="829">
        <row r="2">
          <cell r="F2" t="str">
            <v>INCH</v>
          </cell>
        </row>
      </sheetData>
      <sheetData sheetId="830">
        <row r="2">
          <cell r="F2" t="str">
            <v>INCH</v>
          </cell>
        </row>
      </sheetData>
      <sheetData sheetId="831">
        <row r="2">
          <cell r="F2" t="str">
            <v>INCH</v>
          </cell>
        </row>
      </sheetData>
      <sheetData sheetId="832">
        <row r="2">
          <cell r="F2" t="str">
            <v>INCH</v>
          </cell>
        </row>
      </sheetData>
      <sheetData sheetId="833">
        <row r="2">
          <cell r="F2" t="str">
            <v>INCH</v>
          </cell>
        </row>
      </sheetData>
      <sheetData sheetId="834">
        <row r="2">
          <cell r="F2" t="str">
            <v>INCH</v>
          </cell>
        </row>
      </sheetData>
      <sheetData sheetId="835">
        <row r="2">
          <cell r="F2" t="str">
            <v>INCH</v>
          </cell>
        </row>
      </sheetData>
      <sheetData sheetId="836">
        <row r="2">
          <cell r="F2" t="str">
            <v>INCH</v>
          </cell>
        </row>
      </sheetData>
      <sheetData sheetId="837">
        <row r="2">
          <cell r="F2" t="str">
            <v>INCH</v>
          </cell>
        </row>
      </sheetData>
      <sheetData sheetId="838">
        <row r="2">
          <cell r="F2" t="str">
            <v>INCH</v>
          </cell>
        </row>
      </sheetData>
      <sheetData sheetId="839">
        <row r="2">
          <cell r="F2" t="str">
            <v>INCH</v>
          </cell>
        </row>
      </sheetData>
      <sheetData sheetId="840">
        <row r="2">
          <cell r="F2" t="str">
            <v>INCH</v>
          </cell>
        </row>
      </sheetData>
      <sheetData sheetId="841">
        <row r="2">
          <cell r="F2" t="str">
            <v>INCH</v>
          </cell>
        </row>
      </sheetData>
      <sheetData sheetId="842">
        <row r="2">
          <cell r="F2" t="str">
            <v>INCH</v>
          </cell>
        </row>
      </sheetData>
      <sheetData sheetId="843">
        <row r="2">
          <cell r="F2" t="str">
            <v>INCH</v>
          </cell>
        </row>
      </sheetData>
      <sheetData sheetId="844">
        <row r="2">
          <cell r="F2" t="str">
            <v>INCH</v>
          </cell>
        </row>
      </sheetData>
      <sheetData sheetId="845">
        <row r="2">
          <cell r="F2" t="str">
            <v>INCH</v>
          </cell>
        </row>
      </sheetData>
      <sheetData sheetId="846">
        <row r="2">
          <cell r="F2" t="str">
            <v>INCH</v>
          </cell>
        </row>
      </sheetData>
      <sheetData sheetId="847">
        <row r="2">
          <cell r="F2" t="str">
            <v>INCH</v>
          </cell>
        </row>
      </sheetData>
      <sheetData sheetId="848">
        <row r="2">
          <cell r="F2" t="str">
            <v>INCH</v>
          </cell>
        </row>
      </sheetData>
      <sheetData sheetId="849">
        <row r="2">
          <cell r="F2" t="str">
            <v>INCH</v>
          </cell>
        </row>
      </sheetData>
      <sheetData sheetId="850">
        <row r="2">
          <cell r="F2" t="str">
            <v>INCH</v>
          </cell>
        </row>
      </sheetData>
      <sheetData sheetId="851">
        <row r="2">
          <cell r="F2" t="str">
            <v>INCH</v>
          </cell>
        </row>
      </sheetData>
      <sheetData sheetId="852">
        <row r="2">
          <cell r="F2" t="str">
            <v>INCH</v>
          </cell>
        </row>
      </sheetData>
      <sheetData sheetId="853">
        <row r="2">
          <cell r="F2" t="str">
            <v>INCH</v>
          </cell>
        </row>
      </sheetData>
      <sheetData sheetId="854">
        <row r="2">
          <cell r="F2" t="str">
            <v>INCH</v>
          </cell>
        </row>
      </sheetData>
      <sheetData sheetId="855">
        <row r="2">
          <cell r="F2" t="str">
            <v>INCH</v>
          </cell>
        </row>
      </sheetData>
      <sheetData sheetId="856">
        <row r="2">
          <cell r="F2" t="str">
            <v>INCH</v>
          </cell>
        </row>
      </sheetData>
      <sheetData sheetId="857">
        <row r="2">
          <cell r="F2" t="str">
            <v>INCH</v>
          </cell>
        </row>
      </sheetData>
      <sheetData sheetId="858">
        <row r="2">
          <cell r="F2" t="str">
            <v>INCH</v>
          </cell>
        </row>
      </sheetData>
      <sheetData sheetId="859">
        <row r="2">
          <cell r="F2" t="str">
            <v>INCH</v>
          </cell>
        </row>
      </sheetData>
      <sheetData sheetId="860">
        <row r="2">
          <cell r="F2" t="str">
            <v>INCH</v>
          </cell>
        </row>
      </sheetData>
      <sheetData sheetId="861">
        <row r="2">
          <cell r="F2" t="str">
            <v>INCH</v>
          </cell>
        </row>
      </sheetData>
      <sheetData sheetId="862">
        <row r="2">
          <cell r="F2" t="str">
            <v>INCH</v>
          </cell>
        </row>
      </sheetData>
      <sheetData sheetId="863">
        <row r="2">
          <cell r="F2" t="str">
            <v>INCH</v>
          </cell>
        </row>
      </sheetData>
      <sheetData sheetId="864">
        <row r="2">
          <cell r="F2" t="str">
            <v>INCH</v>
          </cell>
        </row>
      </sheetData>
      <sheetData sheetId="865">
        <row r="2">
          <cell r="F2" t="str">
            <v>INCH</v>
          </cell>
        </row>
      </sheetData>
      <sheetData sheetId="866">
        <row r="2">
          <cell r="F2" t="str">
            <v>INCH</v>
          </cell>
        </row>
      </sheetData>
      <sheetData sheetId="867">
        <row r="2">
          <cell r="F2" t="str">
            <v>INCH</v>
          </cell>
        </row>
      </sheetData>
      <sheetData sheetId="868">
        <row r="2">
          <cell r="F2" t="str">
            <v>INCH</v>
          </cell>
        </row>
      </sheetData>
      <sheetData sheetId="869">
        <row r="2">
          <cell r="F2" t="str">
            <v>INCH</v>
          </cell>
        </row>
      </sheetData>
      <sheetData sheetId="870">
        <row r="2">
          <cell r="F2" t="str">
            <v>INCH</v>
          </cell>
        </row>
      </sheetData>
      <sheetData sheetId="871">
        <row r="2">
          <cell r="F2" t="str">
            <v>INCH</v>
          </cell>
        </row>
      </sheetData>
      <sheetData sheetId="872">
        <row r="2">
          <cell r="F2" t="str">
            <v>INCH</v>
          </cell>
        </row>
      </sheetData>
      <sheetData sheetId="873">
        <row r="2">
          <cell r="F2" t="str">
            <v>INCH</v>
          </cell>
        </row>
      </sheetData>
      <sheetData sheetId="874">
        <row r="2">
          <cell r="F2" t="str">
            <v>INCH</v>
          </cell>
        </row>
      </sheetData>
      <sheetData sheetId="875">
        <row r="2">
          <cell r="F2" t="str">
            <v>INCH</v>
          </cell>
        </row>
      </sheetData>
      <sheetData sheetId="876">
        <row r="2">
          <cell r="F2" t="str">
            <v>INCH</v>
          </cell>
        </row>
      </sheetData>
      <sheetData sheetId="877">
        <row r="2">
          <cell r="F2" t="str">
            <v>INCH</v>
          </cell>
        </row>
      </sheetData>
      <sheetData sheetId="878">
        <row r="2">
          <cell r="F2" t="str">
            <v>INCH</v>
          </cell>
        </row>
      </sheetData>
      <sheetData sheetId="879">
        <row r="2">
          <cell r="F2" t="str">
            <v>INCH</v>
          </cell>
        </row>
      </sheetData>
      <sheetData sheetId="880">
        <row r="2">
          <cell r="F2" t="str">
            <v>INCH</v>
          </cell>
        </row>
      </sheetData>
      <sheetData sheetId="881">
        <row r="2">
          <cell r="F2" t="str">
            <v>INCH</v>
          </cell>
        </row>
      </sheetData>
      <sheetData sheetId="882">
        <row r="2">
          <cell r="F2" t="str">
            <v>INCH</v>
          </cell>
        </row>
      </sheetData>
      <sheetData sheetId="883">
        <row r="2">
          <cell r="F2" t="str">
            <v>INCH</v>
          </cell>
        </row>
      </sheetData>
      <sheetData sheetId="884">
        <row r="2">
          <cell r="F2" t="str">
            <v>INCH</v>
          </cell>
        </row>
      </sheetData>
      <sheetData sheetId="885">
        <row r="2">
          <cell r="F2" t="str">
            <v>INCH</v>
          </cell>
        </row>
      </sheetData>
      <sheetData sheetId="886">
        <row r="2">
          <cell r="F2" t="str">
            <v>INCH</v>
          </cell>
        </row>
      </sheetData>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ow r="2">
          <cell r="F2" t="str">
            <v>INCH</v>
          </cell>
        </row>
      </sheetData>
      <sheetData sheetId="896">
        <row r="2">
          <cell r="F2" t="str">
            <v>INCH</v>
          </cell>
        </row>
      </sheetData>
      <sheetData sheetId="897">
        <row r="2">
          <cell r="F2" t="str">
            <v>INCH</v>
          </cell>
        </row>
      </sheetData>
      <sheetData sheetId="898">
        <row r="2">
          <cell r="F2" t="str">
            <v>INCH</v>
          </cell>
        </row>
      </sheetData>
      <sheetData sheetId="899">
        <row r="2">
          <cell r="F2" t="str">
            <v>INCH</v>
          </cell>
        </row>
      </sheetData>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ow r="2">
          <cell r="F2" t="str">
            <v>INCH</v>
          </cell>
        </row>
      </sheetData>
      <sheetData sheetId="911">
        <row r="2">
          <cell r="F2" t="str">
            <v>INCH</v>
          </cell>
        </row>
      </sheetData>
      <sheetData sheetId="912">
        <row r="2">
          <cell r="F2" t="str">
            <v>INCH</v>
          </cell>
        </row>
      </sheetData>
      <sheetData sheetId="913">
        <row r="2">
          <cell r="F2" t="str">
            <v>INCH</v>
          </cell>
        </row>
      </sheetData>
      <sheetData sheetId="914">
        <row r="2">
          <cell r="F2" t="str">
            <v>INCH</v>
          </cell>
        </row>
      </sheetData>
      <sheetData sheetId="915">
        <row r="2">
          <cell r="F2" t="str">
            <v>INCH</v>
          </cell>
        </row>
      </sheetData>
      <sheetData sheetId="916">
        <row r="2">
          <cell r="F2" t="str">
            <v>INCH</v>
          </cell>
        </row>
      </sheetData>
      <sheetData sheetId="917">
        <row r="2">
          <cell r="F2" t="str">
            <v>INCH</v>
          </cell>
        </row>
      </sheetData>
      <sheetData sheetId="918">
        <row r="2">
          <cell r="F2" t="str">
            <v>INCH</v>
          </cell>
        </row>
      </sheetData>
      <sheetData sheetId="919">
        <row r="2">
          <cell r="F2" t="str">
            <v>INCH</v>
          </cell>
        </row>
      </sheetData>
      <sheetData sheetId="920">
        <row r="2">
          <cell r="F2" t="str">
            <v>INCH</v>
          </cell>
        </row>
      </sheetData>
      <sheetData sheetId="921">
        <row r="2">
          <cell r="F2" t="str">
            <v>INCH</v>
          </cell>
        </row>
      </sheetData>
      <sheetData sheetId="922">
        <row r="2">
          <cell r="F2" t="str">
            <v>INCH</v>
          </cell>
        </row>
      </sheetData>
      <sheetData sheetId="923">
        <row r="2">
          <cell r="F2" t="str">
            <v>INCH</v>
          </cell>
        </row>
      </sheetData>
      <sheetData sheetId="924">
        <row r="2">
          <cell r="F2" t="str">
            <v>INCH</v>
          </cell>
        </row>
      </sheetData>
      <sheetData sheetId="925">
        <row r="2">
          <cell r="F2" t="str">
            <v>INCH</v>
          </cell>
        </row>
      </sheetData>
      <sheetData sheetId="926">
        <row r="2">
          <cell r="F2" t="str">
            <v>INCH</v>
          </cell>
        </row>
      </sheetData>
      <sheetData sheetId="927">
        <row r="2">
          <cell r="F2" t="str">
            <v>INCH</v>
          </cell>
        </row>
      </sheetData>
      <sheetData sheetId="928">
        <row r="2">
          <cell r="F2" t="str">
            <v>INCH</v>
          </cell>
        </row>
      </sheetData>
      <sheetData sheetId="929">
        <row r="2">
          <cell r="F2" t="str">
            <v>INCH</v>
          </cell>
        </row>
      </sheetData>
      <sheetData sheetId="930">
        <row r="2">
          <cell r="F2" t="str">
            <v>INCH</v>
          </cell>
        </row>
      </sheetData>
      <sheetData sheetId="931">
        <row r="2">
          <cell r="F2" t="str">
            <v>INCH</v>
          </cell>
        </row>
      </sheetData>
      <sheetData sheetId="932">
        <row r="2">
          <cell r="F2" t="str">
            <v>INCH</v>
          </cell>
        </row>
      </sheetData>
      <sheetData sheetId="933">
        <row r="2">
          <cell r="F2" t="str">
            <v>INCH</v>
          </cell>
        </row>
      </sheetData>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ow r="2">
          <cell r="F2" t="str">
            <v>INCH</v>
          </cell>
        </row>
      </sheetData>
      <sheetData sheetId="992">
        <row r="2">
          <cell r="F2" t="str">
            <v>INCH</v>
          </cell>
        </row>
      </sheetData>
      <sheetData sheetId="993">
        <row r="2">
          <cell r="F2" t="str">
            <v>INCH</v>
          </cell>
        </row>
      </sheetData>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ow r="2">
          <cell r="F2" t="str">
            <v>INCH</v>
          </cell>
        </row>
      </sheetData>
      <sheetData sheetId="1003">
        <row r="2">
          <cell r="F2" t="str">
            <v>INCH</v>
          </cell>
        </row>
      </sheetData>
      <sheetData sheetId="1004">
        <row r="2">
          <cell r="F2" t="str">
            <v>INCH</v>
          </cell>
        </row>
      </sheetData>
      <sheetData sheetId="1005">
        <row r="2">
          <cell r="F2" t="str">
            <v>INCH</v>
          </cell>
        </row>
      </sheetData>
      <sheetData sheetId="1006">
        <row r="2">
          <cell r="F2" t="str">
            <v>INCH</v>
          </cell>
        </row>
      </sheetData>
      <sheetData sheetId="1007">
        <row r="2">
          <cell r="F2" t="str">
            <v>INCH</v>
          </cell>
        </row>
      </sheetData>
      <sheetData sheetId="1008">
        <row r="2">
          <cell r="F2" t="str">
            <v>INCH</v>
          </cell>
        </row>
      </sheetData>
      <sheetData sheetId="1009">
        <row r="2">
          <cell r="F2" t="str">
            <v>INCH</v>
          </cell>
        </row>
      </sheetData>
      <sheetData sheetId="1010">
        <row r="2">
          <cell r="F2" t="str">
            <v>INCH</v>
          </cell>
        </row>
      </sheetData>
      <sheetData sheetId="1011">
        <row r="2">
          <cell r="F2" t="str">
            <v>INCH</v>
          </cell>
        </row>
      </sheetData>
      <sheetData sheetId="1012">
        <row r="2">
          <cell r="F2" t="str">
            <v>INCH</v>
          </cell>
        </row>
      </sheetData>
      <sheetData sheetId="1013">
        <row r="2">
          <cell r="F2" t="str">
            <v>INCH</v>
          </cell>
        </row>
      </sheetData>
      <sheetData sheetId="1014">
        <row r="2">
          <cell r="F2" t="str">
            <v>INCH</v>
          </cell>
        </row>
      </sheetData>
      <sheetData sheetId="1015">
        <row r="2">
          <cell r="F2" t="str">
            <v>INCH</v>
          </cell>
        </row>
      </sheetData>
      <sheetData sheetId="1016">
        <row r="2">
          <cell r="F2" t="str">
            <v>INCH</v>
          </cell>
        </row>
      </sheetData>
      <sheetData sheetId="1017">
        <row r="2">
          <cell r="F2" t="str">
            <v>INCH</v>
          </cell>
        </row>
      </sheetData>
      <sheetData sheetId="1018">
        <row r="2">
          <cell r="F2" t="str">
            <v>INCH</v>
          </cell>
        </row>
      </sheetData>
      <sheetData sheetId="1019">
        <row r="2">
          <cell r="F2" t="str">
            <v>INCH</v>
          </cell>
        </row>
      </sheetData>
      <sheetData sheetId="1020">
        <row r="2">
          <cell r="F2" t="str">
            <v>INCH</v>
          </cell>
        </row>
      </sheetData>
      <sheetData sheetId="1021">
        <row r="2">
          <cell r="F2" t="str">
            <v>INCH</v>
          </cell>
        </row>
      </sheetData>
      <sheetData sheetId="1022">
        <row r="2">
          <cell r="F2" t="str">
            <v>INCH</v>
          </cell>
        </row>
      </sheetData>
      <sheetData sheetId="1023">
        <row r="2">
          <cell r="F2" t="str">
            <v>INCH</v>
          </cell>
        </row>
      </sheetData>
      <sheetData sheetId="1024">
        <row r="2">
          <cell r="F2" t="str">
            <v>INCH</v>
          </cell>
        </row>
      </sheetData>
      <sheetData sheetId="1025">
        <row r="2">
          <cell r="F2" t="str">
            <v>INCH</v>
          </cell>
        </row>
      </sheetData>
      <sheetData sheetId="1026">
        <row r="2">
          <cell r="F2" t="str">
            <v>INCH</v>
          </cell>
        </row>
      </sheetData>
      <sheetData sheetId="1027">
        <row r="2">
          <cell r="F2" t="str">
            <v>INCH</v>
          </cell>
        </row>
      </sheetData>
      <sheetData sheetId="1028">
        <row r="2">
          <cell r="F2" t="str">
            <v>INCH</v>
          </cell>
        </row>
      </sheetData>
      <sheetData sheetId="1029">
        <row r="2">
          <cell r="F2" t="str">
            <v>INCH</v>
          </cell>
        </row>
      </sheetData>
      <sheetData sheetId="1030">
        <row r="2">
          <cell r="F2" t="str">
            <v>INCH</v>
          </cell>
        </row>
      </sheetData>
      <sheetData sheetId="1031">
        <row r="2">
          <cell r="F2" t="str">
            <v>INCH</v>
          </cell>
        </row>
      </sheetData>
      <sheetData sheetId="1032">
        <row r="2">
          <cell r="F2" t="str">
            <v>INCH</v>
          </cell>
        </row>
      </sheetData>
      <sheetData sheetId="1033">
        <row r="2">
          <cell r="F2" t="str">
            <v>INCH</v>
          </cell>
        </row>
      </sheetData>
      <sheetData sheetId="1034">
        <row r="2">
          <cell r="F2" t="str">
            <v>INCH</v>
          </cell>
        </row>
      </sheetData>
      <sheetData sheetId="1035">
        <row r="2">
          <cell r="F2" t="str">
            <v>INCH</v>
          </cell>
        </row>
      </sheetData>
      <sheetData sheetId="1036">
        <row r="2">
          <cell r="F2" t="str">
            <v>INCH</v>
          </cell>
        </row>
      </sheetData>
      <sheetData sheetId="1037">
        <row r="2">
          <cell r="F2" t="str">
            <v>INCH</v>
          </cell>
        </row>
      </sheetData>
      <sheetData sheetId="1038">
        <row r="2">
          <cell r="F2" t="str">
            <v>INCH</v>
          </cell>
        </row>
      </sheetData>
      <sheetData sheetId="1039">
        <row r="2">
          <cell r="F2" t="str">
            <v>INCH</v>
          </cell>
        </row>
      </sheetData>
      <sheetData sheetId="1040">
        <row r="2">
          <cell r="F2" t="str">
            <v>INCH</v>
          </cell>
        </row>
      </sheetData>
      <sheetData sheetId="1041">
        <row r="2">
          <cell r="F2" t="str">
            <v>INCH</v>
          </cell>
        </row>
      </sheetData>
      <sheetData sheetId="1042">
        <row r="2">
          <cell r="F2" t="str">
            <v>INCH</v>
          </cell>
        </row>
      </sheetData>
      <sheetData sheetId="1043">
        <row r="2">
          <cell r="F2" t="str">
            <v>INCH</v>
          </cell>
        </row>
      </sheetData>
      <sheetData sheetId="1044">
        <row r="2">
          <cell r="F2" t="str">
            <v>INCH</v>
          </cell>
        </row>
      </sheetData>
      <sheetData sheetId="1045">
        <row r="2">
          <cell r="F2" t="str">
            <v>INCH</v>
          </cell>
        </row>
      </sheetData>
      <sheetData sheetId="1046">
        <row r="2">
          <cell r="F2" t="str">
            <v>INCH</v>
          </cell>
        </row>
      </sheetData>
      <sheetData sheetId="1047">
        <row r="2">
          <cell r="F2" t="str">
            <v>INCH</v>
          </cell>
        </row>
      </sheetData>
      <sheetData sheetId="1048">
        <row r="2">
          <cell r="F2" t="str">
            <v>INCH</v>
          </cell>
        </row>
      </sheetData>
      <sheetData sheetId="1049">
        <row r="2">
          <cell r="F2" t="str">
            <v>INCH</v>
          </cell>
        </row>
      </sheetData>
      <sheetData sheetId="1050">
        <row r="2">
          <cell r="F2" t="str">
            <v>INCH</v>
          </cell>
        </row>
      </sheetData>
      <sheetData sheetId="1051">
        <row r="2">
          <cell r="F2" t="str">
            <v>INCH</v>
          </cell>
        </row>
      </sheetData>
      <sheetData sheetId="1052">
        <row r="2">
          <cell r="F2" t="str">
            <v>INCH</v>
          </cell>
        </row>
      </sheetData>
      <sheetData sheetId="1053">
        <row r="2">
          <cell r="F2" t="str">
            <v>INCH</v>
          </cell>
        </row>
      </sheetData>
      <sheetData sheetId="1054">
        <row r="2">
          <cell r="F2" t="str">
            <v>INCH</v>
          </cell>
        </row>
      </sheetData>
      <sheetData sheetId="1055">
        <row r="2">
          <cell r="F2" t="str">
            <v>INCH</v>
          </cell>
        </row>
      </sheetData>
      <sheetData sheetId="1056">
        <row r="2">
          <cell r="F2" t="str">
            <v>INCH</v>
          </cell>
        </row>
      </sheetData>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ow r="2">
          <cell r="F2" t="str">
            <v>INCH</v>
          </cell>
        </row>
      </sheetData>
      <sheetData sheetId="1067">
        <row r="2">
          <cell r="F2" t="str">
            <v>INCH</v>
          </cell>
        </row>
      </sheetData>
      <sheetData sheetId="1068">
        <row r="2">
          <cell r="F2" t="str">
            <v>INCH</v>
          </cell>
        </row>
      </sheetData>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ow r="2">
          <cell r="F2" t="str">
            <v>INCH</v>
          </cell>
        </row>
      </sheetData>
      <sheetData sheetId="1094">
        <row r="2">
          <cell r="F2" t="str">
            <v>INCH</v>
          </cell>
        </row>
      </sheetData>
      <sheetData sheetId="1095">
        <row r="2">
          <cell r="F2" t="str">
            <v>INCH</v>
          </cell>
        </row>
      </sheetData>
      <sheetData sheetId="1096">
        <row r="2">
          <cell r="F2" t="str">
            <v>INCH</v>
          </cell>
        </row>
      </sheetData>
      <sheetData sheetId="1097">
        <row r="2">
          <cell r="F2" t="str">
            <v>INCH</v>
          </cell>
        </row>
      </sheetData>
      <sheetData sheetId="1098">
        <row r="2">
          <cell r="F2" t="str">
            <v>INCH</v>
          </cell>
        </row>
      </sheetData>
      <sheetData sheetId="1099">
        <row r="2">
          <cell r="F2" t="str">
            <v>INCH</v>
          </cell>
        </row>
      </sheetData>
      <sheetData sheetId="1100">
        <row r="2">
          <cell r="F2" t="str">
            <v>INCH</v>
          </cell>
        </row>
      </sheetData>
      <sheetData sheetId="1101">
        <row r="2">
          <cell r="F2" t="str">
            <v>INCH</v>
          </cell>
        </row>
      </sheetData>
      <sheetData sheetId="1102">
        <row r="2">
          <cell r="F2" t="str">
            <v>INCH</v>
          </cell>
        </row>
      </sheetData>
      <sheetData sheetId="1103">
        <row r="2">
          <cell r="F2" t="str">
            <v>INCH</v>
          </cell>
        </row>
      </sheetData>
      <sheetData sheetId="1104">
        <row r="2">
          <cell r="F2" t="str">
            <v>INCH</v>
          </cell>
        </row>
      </sheetData>
      <sheetData sheetId="1105">
        <row r="2">
          <cell r="F2" t="str">
            <v>INCH</v>
          </cell>
        </row>
      </sheetData>
      <sheetData sheetId="1106">
        <row r="2">
          <cell r="F2" t="str">
            <v>INCH</v>
          </cell>
        </row>
      </sheetData>
      <sheetData sheetId="1107">
        <row r="2">
          <cell r="F2" t="str">
            <v>INCH</v>
          </cell>
        </row>
      </sheetData>
      <sheetData sheetId="1108">
        <row r="2">
          <cell r="F2" t="str">
            <v>INCH</v>
          </cell>
        </row>
      </sheetData>
      <sheetData sheetId="1109">
        <row r="2">
          <cell r="F2" t="str">
            <v>INCH</v>
          </cell>
        </row>
      </sheetData>
      <sheetData sheetId="1110">
        <row r="2">
          <cell r="F2" t="str">
            <v>INCH</v>
          </cell>
        </row>
      </sheetData>
      <sheetData sheetId="1111">
        <row r="2">
          <cell r="F2" t="str">
            <v>INCH</v>
          </cell>
        </row>
      </sheetData>
      <sheetData sheetId="1112">
        <row r="2">
          <cell r="F2" t="str">
            <v>INCH</v>
          </cell>
        </row>
      </sheetData>
      <sheetData sheetId="1113">
        <row r="2">
          <cell r="F2" t="str">
            <v>INCH</v>
          </cell>
        </row>
      </sheetData>
      <sheetData sheetId="1114">
        <row r="2">
          <cell r="F2" t="str">
            <v>INCH</v>
          </cell>
        </row>
      </sheetData>
      <sheetData sheetId="1115">
        <row r="2">
          <cell r="F2" t="str">
            <v>INCH</v>
          </cell>
        </row>
      </sheetData>
      <sheetData sheetId="1116">
        <row r="2">
          <cell r="F2" t="str">
            <v>INCH</v>
          </cell>
        </row>
      </sheetData>
      <sheetData sheetId="1117">
        <row r="2">
          <cell r="F2" t="str">
            <v>INCH</v>
          </cell>
        </row>
      </sheetData>
      <sheetData sheetId="1118">
        <row r="2">
          <cell r="F2" t="str">
            <v>INCH</v>
          </cell>
        </row>
      </sheetData>
      <sheetData sheetId="1119">
        <row r="2">
          <cell r="F2" t="str">
            <v>INCH</v>
          </cell>
        </row>
      </sheetData>
      <sheetData sheetId="1120">
        <row r="2">
          <cell r="F2" t="str">
            <v>INCH</v>
          </cell>
        </row>
      </sheetData>
      <sheetData sheetId="1121">
        <row r="2">
          <cell r="F2" t="str">
            <v>INCH</v>
          </cell>
        </row>
      </sheetData>
      <sheetData sheetId="1122">
        <row r="2">
          <cell r="F2" t="str">
            <v>INCH</v>
          </cell>
        </row>
      </sheetData>
      <sheetData sheetId="1123">
        <row r="2">
          <cell r="F2" t="str">
            <v>INCH</v>
          </cell>
        </row>
      </sheetData>
      <sheetData sheetId="1124">
        <row r="2">
          <cell r="F2" t="str">
            <v>INCH</v>
          </cell>
        </row>
      </sheetData>
      <sheetData sheetId="1125">
        <row r="2">
          <cell r="F2" t="str">
            <v>INCH</v>
          </cell>
        </row>
      </sheetData>
      <sheetData sheetId="1126">
        <row r="2">
          <cell r="F2" t="str">
            <v>INCH</v>
          </cell>
        </row>
      </sheetData>
      <sheetData sheetId="1127">
        <row r="2">
          <cell r="F2" t="str">
            <v>INCH</v>
          </cell>
        </row>
      </sheetData>
      <sheetData sheetId="1128">
        <row r="2">
          <cell r="F2" t="str">
            <v>INCH</v>
          </cell>
        </row>
      </sheetData>
      <sheetData sheetId="1129">
        <row r="2">
          <cell r="F2" t="str">
            <v>INCH</v>
          </cell>
        </row>
      </sheetData>
      <sheetData sheetId="1130">
        <row r="2">
          <cell r="F2" t="str">
            <v>INCH</v>
          </cell>
        </row>
      </sheetData>
      <sheetData sheetId="1131">
        <row r="2">
          <cell r="F2" t="str">
            <v>INCH</v>
          </cell>
        </row>
      </sheetData>
      <sheetData sheetId="1132">
        <row r="2">
          <cell r="F2" t="str">
            <v>INCH</v>
          </cell>
        </row>
      </sheetData>
      <sheetData sheetId="1133">
        <row r="2">
          <cell r="F2" t="str">
            <v>INCH</v>
          </cell>
        </row>
      </sheetData>
      <sheetData sheetId="1134">
        <row r="2">
          <cell r="F2" t="str">
            <v>INCH</v>
          </cell>
        </row>
      </sheetData>
      <sheetData sheetId="1135">
        <row r="2">
          <cell r="F2" t="str">
            <v>INCH</v>
          </cell>
        </row>
      </sheetData>
      <sheetData sheetId="1136">
        <row r="2">
          <cell r="F2" t="str">
            <v>INCH</v>
          </cell>
        </row>
      </sheetData>
      <sheetData sheetId="1137">
        <row r="2">
          <cell r="F2" t="str">
            <v>INCH</v>
          </cell>
        </row>
      </sheetData>
      <sheetData sheetId="1138">
        <row r="2">
          <cell r="F2" t="str">
            <v>INCH</v>
          </cell>
        </row>
      </sheetData>
      <sheetData sheetId="1139">
        <row r="2">
          <cell r="F2" t="str">
            <v>INCH</v>
          </cell>
        </row>
      </sheetData>
      <sheetData sheetId="1140">
        <row r="2">
          <cell r="F2" t="str">
            <v>INCH</v>
          </cell>
        </row>
      </sheetData>
      <sheetData sheetId="1141">
        <row r="2">
          <cell r="F2" t="str">
            <v>INCH</v>
          </cell>
        </row>
      </sheetData>
      <sheetData sheetId="1142">
        <row r="2">
          <cell r="F2" t="str">
            <v>INCH</v>
          </cell>
        </row>
      </sheetData>
      <sheetData sheetId="1143">
        <row r="2">
          <cell r="F2" t="str">
            <v>INCH</v>
          </cell>
        </row>
      </sheetData>
      <sheetData sheetId="1144">
        <row r="2">
          <cell r="F2" t="str">
            <v>INCH</v>
          </cell>
        </row>
      </sheetData>
      <sheetData sheetId="1145">
        <row r="2">
          <cell r="F2" t="str">
            <v>INCH</v>
          </cell>
        </row>
      </sheetData>
      <sheetData sheetId="1146">
        <row r="2">
          <cell r="F2" t="str">
            <v>INCH</v>
          </cell>
        </row>
      </sheetData>
      <sheetData sheetId="1147">
        <row r="2">
          <cell r="F2" t="str">
            <v>INCH</v>
          </cell>
        </row>
      </sheetData>
      <sheetData sheetId="1148">
        <row r="2">
          <cell r="F2" t="str">
            <v>INCH</v>
          </cell>
        </row>
      </sheetData>
      <sheetData sheetId="1149">
        <row r="2">
          <cell r="F2" t="str">
            <v>INCH</v>
          </cell>
        </row>
      </sheetData>
      <sheetData sheetId="1150">
        <row r="2">
          <cell r="F2" t="str">
            <v>INCH</v>
          </cell>
        </row>
      </sheetData>
      <sheetData sheetId="1151">
        <row r="2">
          <cell r="F2" t="str">
            <v>INCH</v>
          </cell>
        </row>
      </sheetData>
      <sheetData sheetId="1152">
        <row r="2">
          <cell r="F2" t="str">
            <v>INCH</v>
          </cell>
        </row>
      </sheetData>
      <sheetData sheetId="1153">
        <row r="2">
          <cell r="F2" t="str">
            <v>INCH</v>
          </cell>
        </row>
      </sheetData>
      <sheetData sheetId="1154">
        <row r="2">
          <cell r="F2" t="str">
            <v>INCH</v>
          </cell>
        </row>
      </sheetData>
      <sheetData sheetId="1155">
        <row r="2">
          <cell r="F2" t="str">
            <v>INCH</v>
          </cell>
        </row>
      </sheetData>
      <sheetData sheetId="1156">
        <row r="2">
          <cell r="F2" t="str">
            <v>INCH</v>
          </cell>
        </row>
      </sheetData>
      <sheetData sheetId="1157">
        <row r="2">
          <cell r="F2" t="str">
            <v>INCH</v>
          </cell>
        </row>
      </sheetData>
      <sheetData sheetId="1158">
        <row r="2">
          <cell r="F2" t="str">
            <v>INCH</v>
          </cell>
        </row>
      </sheetData>
      <sheetData sheetId="1159">
        <row r="2">
          <cell r="F2" t="str">
            <v>INCH</v>
          </cell>
        </row>
      </sheetData>
      <sheetData sheetId="1160">
        <row r="2">
          <cell r="F2" t="str">
            <v>INCH</v>
          </cell>
        </row>
      </sheetData>
      <sheetData sheetId="1161">
        <row r="2">
          <cell r="F2" t="str">
            <v>INCH</v>
          </cell>
        </row>
      </sheetData>
      <sheetData sheetId="1162">
        <row r="2">
          <cell r="F2" t="str">
            <v>INCH</v>
          </cell>
        </row>
      </sheetData>
      <sheetData sheetId="1163">
        <row r="2">
          <cell r="F2" t="str">
            <v>INCH</v>
          </cell>
        </row>
      </sheetData>
      <sheetData sheetId="1164">
        <row r="2">
          <cell r="F2" t="str">
            <v>INCH</v>
          </cell>
        </row>
      </sheetData>
      <sheetData sheetId="1165">
        <row r="2">
          <cell r="F2" t="str">
            <v>INCH</v>
          </cell>
        </row>
      </sheetData>
      <sheetData sheetId="1166">
        <row r="2">
          <cell r="F2" t="str">
            <v>INCH</v>
          </cell>
        </row>
      </sheetData>
      <sheetData sheetId="1167">
        <row r="2">
          <cell r="F2" t="str">
            <v>INCH</v>
          </cell>
        </row>
      </sheetData>
      <sheetData sheetId="1168">
        <row r="2">
          <cell r="F2" t="str">
            <v>INCH</v>
          </cell>
        </row>
      </sheetData>
      <sheetData sheetId="1169">
        <row r="2">
          <cell r="F2" t="str">
            <v>INCH</v>
          </cell>
        </row>
      </sheetData>
      <sheetData sheetId="1170">
        <row r="2">
          <cell r="F2" t="str">
            <v>INCH</v>
          </cell>
        </row>
      </sheetData>
      <sheetData sheetId="1171">
        <row r="2">
          <cell r="F2" t="str">
            <v>INCH</v>
          </cell>
        </row>
      </sheetData>
      <sheetData sheetId="1172">
        <row r="2">
          <cell r="F2" t="str">
            <v>INCH</v>
          </cell>
        </row>
      </sheetData>
      <sheetData sheetId="1173">
        <row r="2">
          <cell r="F2" t="str">
            <v>INCH</v>
          </cell>
        </row>
      </sheetData>
      <sheetData sheetId="1174">
        <row r="2">
          <cell r="F2" t="str">
            <v>INCH</v>
          </cell>
        </row>
      </sheetData>
      <sheetData sheetId="1175">
        <row r="2">
          <cell r="F2" t="str">
            <v>INCH</v>
          </cell>
        </row>
      </sheetData>
      <sheetData sheetId="1176">
        <row r="2">
          <cell r="F2" t="str">
            <v>INCH</v>
          </cell>
        </row>
      </sheetData>
      <sheetData sheetId="1177">
        <row r="2">
          <cell r="F2" t="str">
            <v>INCH</v>
          </cell>
        </row>
      </sheetData>
      <sheetData sheetId="1178">
        <row r="2">
          <cell r="F2" t="str">
            <v>INCH</v>
          </cell>
        </row>
      </sheetData>
      <sheetData sheetId="1179">
        <row r="2">
          <cell r="F2" t="str">
            <v>INCH</v>
          </cell>
        </row>
      </sheetData>
      <sheetData sheetId="1180">
        <row r="2">
          <cell r="F2" t="str">
            <v>INCH</v>
          </cell>
        </row>
      </sheetData>
      <sheetData sheetId="1181">
        <row r="2">
          <cell r="F2" t="str">
            <v>INCH</v>
          </cell>
        </row>
      </sheetData>
      <sheetData sheetId="1182">
        <row r="2">
          <cell r="F2" t="str">
            <v>INCH</v>
          </cell>
        </row>
      </sheetData>
      <sheetData sheetId="1183">
        <row r="2">
          <cell r="F2" t="str">
            <v>INCH</v>
          </cell>
        </row>
      </sheetData>
      <sheetData sheetId="1184">
        <row r="2">
          <cell r="F2" t="str">
            <v>INCH</v>
          </cell>
        </row>
      </sheetData>
      <sheetData sheetId="1185">
        <row r="2">
          <cell r="F2" t="str">
            <v>INCH</v>
          </cell>
        </row>
      </sheetData>
      <sheetData sheetId="1186">
        <row r="2">
          <cell r="F2" t="str">
            <v>INCH</v>
          </cell>
        </row>
      </sheetData>
      <sheetData sheetId="1187">
        <row r="2">
          <cell r="F2" t="str">
            <v>INCH</v>
          </cell>
        </row>
      </sheetData>
      <sheetData sheetId="1188">
        <row r="2">
          <cell r="F2" t="str">
            <v>INCH</v>
          </cell>
        </row>
      </sheetData>
      <sheetData sheetId="1189">
        <row r="2">
          <cell r="F2" t="str">
            <v>INCH</v>
          </cell>
        </row>
      </sheetData>
      <sheetData sheetId="1190">
        <row r="2">
          <cell r="F2" t="str">
            <v>INCH</v>
          </cell>
        </row>
      </sheetData>
      <sheetData sheetId="1191">
        <row r="2">
          <cell r="F2" t="str">
            <v>INCH</v>
          </cell>
        </row>
      </sheetData>
      <sheetData sheetId="1192">
        <row r="2">
          <cell r="F2" t="str">
            <v>INCH</v>
          </cell>
        </row>
      </sheetData>
      <sheetData sheetId="1193">
        <row r="2">
          <cell r="F2" t="str">
            <v>INCH</v>
          </cell>
        </row>
      </sheetData>
      <sheetData sheetId="1194">
        <row r="2">
          <cell r="F2" t="str">
            <v>INCH</v>
          </cell>
        </row>
      </sheetData>
      <sheetData sheetId="1195">
        <row r="2">
          <cell r="F2" t="str">
            <v>INCH</v>
          </cell>
        </row>
      </sheetData>
      <sheetData sheetId="1196">
        <row r="2">
          <cell r="F2" t="str">
            <v>INCH</v>
          </cell>
        </row>
      </sheetData>
      <sheetData sheetId="1197">
        <row r="2">
          <cell r="F2" t="str">
            <v>INCH</v>
          </cell>
        </row>
      </sheetData>
      <sheetData sheetId="1198">
        <row r="2">
          <cell r="F2" t="str">
            <v>INCH</v>
          </cell>
        </row>
      </sheetData>
      <sheetData sheetId="1199">
        <row r="2">
          <cell r="F2" t="str">
            <v>INCH</v>
          </cell>
        </row>
      </sheetData>
      <sheetData sheetId="1200">
        <row r="2">
          <cell r="F2" t="str">
            <v>INCH</v>
          </cell>
        </row>
      </sheetData>
      <sheetData sheetId="1201">
        <row r="2">
          <cell r="F2" t="str">
            <v>INCH</v>
          </cell>
        </row>
      </sheetData>
      <sheetData sheetId="1202">
        <row r="2">
          <cell r="F2" t="str">
            <v>INCH</v>
          </cell>
        </row>
      </sheetData>
      <sheetData sheetId="1203">
        <row r="2">
          <cell r="F2" t="str">
            <v>INCH</v>
          </cell>
        </row>
      </sheetData>
      <sheetData sheetId="1204">
        <row r="2">
          <cell r="F2" t="str">
            <v>INCH</v>
          </cell>
        </row>
      </sheetData>
      <sheetData sheetId="1205">
        <row r="2">
          <cell r="F2" t="str">
            <v>INCH</v>
          </cell>
        </row>
      </sheetData>
      <sheetData sheetId="1206">
        <row r="2">
          <cell r="F2" t="str">
            <v>INCH</v>
          </cell>
        </row>
      </sheetData>
      <sheetData sheetId="1207">
        <row r="2">
          <cell r="F2" t="str">
            <v>INCH</v>
          </cell>
        </row>
      </sheetData>
      <sheetData sheetId="1208">
        <row r="2">
          <cell r="F2" t="str">
            <v>INCH</v>
          </cell>
        </row>
      </sheetData>
      <sheetData sheetId="1209">
        <row r="2">
          <cell r="F2" t="str">
            <v>INCH</v>
          </cell>
        </row>
      </sheetData>
      <sheetData sheetId="1210">
        <row r="2">
          <cell r="F2" t="str">
            <v>INCH</v>
          </cell>
        </row>
      </sheetData>
      <sheetData sheetId="1211">
        <row r="2">
          <cell r="F2" t="str">
            <v>INCH</v>
          </cell>
        </row>
      </sheetData>
      <sheetData sheetId="1212">
        <row r="2">
          <cell r="F2" t="str">
            <v>INCH</v>
          </cell>
        </row>
      </sheetData>
      <sheetData sheetId="1213">
        <row r="2">
          <cell r="F2" t="str">
            <v>INCH</v>
          </cell>
        </row>
      </sheetData>
      <sheetData sheetId="1214">
        <row r="2">
          <cell r="F2" t="str">
            <v>INCH</v>
          </cell>
        </row>
      </sheetData>
      <sheetData sheetId="1215">
        <row r="2">
          <cell r="F2" t="str">
            <v>INCH</v>
          </cell>
        </row>
      </sheetData>
      <sheetData sheetId="1216">
        <row r="2">
          <cell r="F2" t="str">
            <v>INCH</v>
          </cell>
        </row>
      </sheetData>
      <sheetData sheetId="1217">
        <row r="2">
          <cell r="F2" t="str">
            <v>INCH</v>
          </cell>
        </row>
      </sheetData>
      <sheetData sheetId="1218">
        <row r="2">
          <cell r="F2" t="str">
            <v>INCH</v>
          </cell>
        </row>
      </sheetData>
      <sheetData sheetId="1219">
        <row r="2">
          <cell r="F2" t="str">
            <v>INCH</v>
          </cell>
        </row>
      </sheetData>
      <sheetData sheetId="1220">
        <row r="2">
          <cell r="F2" t="str">
            <v>INCH</v>
          </cell>
        </row>
      </sheetData>
      <sheetData sheetId="1221">
        <row r="2">
          <cell r="F2" t="str">
            <v>INCH</v>
          </cell>
        </row>
      </sheetData>
      <sheetData sheetId="1222">
        <row r="2">
          <cell r="F2" t="str">
            <v>INCH</v>
          </cell>
        </row>
      </sheetData>
      <sheetData sheetId="1223">
        <row r="2">
          <cell r="F2" t="str">
            <v>INCH</v>
          </cell>
        </row>
      </sheetData>
      <sheetData sheetId="1224">
        <row r="2">
          <cell r="F2" t="str">
            <v>INCH</v>
          </cell>
        </row>
      </sheetData>
      <sheetData sheetId="1225">
        <row r="2">
          <cell r="F2" t="str">
            <v>INCH</v>
          </cell>
        </row>
      </sheetData>
      <sheetData sheetId="1226">
        <row r="2">
          <cell r="F2" t="str">
            <v>INCH</v>
          </cell>
        </row>
      </sheetData>
      <sheetData sheetId="1227">
        <row r="2">
          <cell r="F2" t="str">
            <v>INCH</v>
          </cell>
        </row>
      </sheetData>
      <sheetData sheetId="1228">
        <row r="2">
          <cell r="F2" t="str">
            <v>INCH</v>
          </cell>
        </row>
      </sheetData>
      <sheetData sheetId="1229">
        <row r="2">
          <cell r="F2" t="str">
            <v>INCH</v>
          </cell>
        </row>
      </sheetData>
      <sheetData sheetId="1230">
        <row r="2">
          <cell r="F2" t="str">
            <v>INCH</v>
          </cell>
        </row>
      </sheetData>
      <sheetData sheetId="1231">
        <row r="2">
          <cell r="F2" t="str">
            <v>INCH</v>
          </cell>
        </row>
      </sheetData>
      <sheetData sheetId="1232">
        <row r="2">
          <cell r="F2" t="str">
            <v>INCH</v>
          </cell>
        </row>
      </sheetData>
      <sheetData sheetId="1233">
        <row r="2">
          <cell r="F2" t="str">
            <v>INCH</v>
          </cell>
        </row>
      </sheetData>
      <sheetData sheetId="1234">
        <row r="2">
          <cell r="F2" t="str">
            <v>INCH</v>
          </cell>
        </row>
      </sheetData>
      <sheetData sheetId="1235">
        <row r="2">
          <cell r="F2" t="str">
            <v>INCH</v>
          </cell>
        </row>
      </sheetData>
      <sheetData sheetId="1236">
        <row r="2">
          <cell r="F2" t="str">
            <v>INCH</v>
          </cell>
        </row>
      </sheetData>
      <sheetData sheetId="1237">
        <row r="2">
          <cell r="F2" t="str">
            <v>INCH</v>
          </cell>
        </row>
      </sheetData>
      <sheetData sheetId="1238">
        <row r="2">
          <cell r="F2" t="str">
            <v>INCH</v>
          </cell>
        </row>
      </sheetData>
      <sheetData sheetId="1239">
        <row r="2">
          <cell r="F2" t="str">
            <v>INCH</v>
          </cell>
        </row>
      </sheetData>
      <sheetData sheetId="1240">
        <row r="2">
          <cell r="F2" t="str">
            <v>INCH</v>
          </cell>
        </row>
      </sheetData>
      <sheetData sheetId="1241">
        <row r="2">
          <cell r="F2" t="str">
            <v>INCH</v>
          </cell>
        </row>
      </sheetData>
      <sheetData sheetId="1242">
        <row r="2">
          <cell r="F2" t="str">
            <v>INCH</v>
          </cell>
        </row>
      </sheetData>
      <sheetData sheetId="1243">
        <row r="2">
          <cell r="F2" t="str">
            <v>INCH</v>
          </cell>
        </row>
      </sheetData>
      <sheetData sheetId="1244">
        <row r="2">
          <cell r="F2" t="str">
            <v>INCH</v>
          </cell>
        </row>
      </sheetData>
      <sheetData sheetId="1245">
        <row r="2">
          <cell r="F2" t="str">
            <v>INCH</v>
          </cell>
        </row>
      </sheetData>
      <sheetData sheetId="1246">
        <row r="2">
          <cell r="F2" t="str">
            <v>INCH</v>
          </cell>
        </row>
      </sheetData>
      <sheetData sheetId="1247">
        <row r="2">
          <cell r="F2" t="str">
            <v>INCH</v>
          </cell>
        </row>
      </sheetData>
      <sheetData sheetId="1248">
        <row r="2">
          <cell r="F2" t="str">
            <v>INCH</v>
          </cell>
        </row>
      </sheetData>
      <sheetData sheetId="1249">
        <row r="2">
          <cell r="F2" t="str">
            <v>INCH</v>
          </cell>
        </row>
      </sheetData>
      <sheetData sheetId="1250">
        <row r="2">
          <cell r="F2" t="str">
            <v>INCH</v>
          </cell>
        </row>
      </sheetData>
      <sheetData sheetId="1251">
        <row r="2">
          <cell r="F2" t="str">
            <v>INCH</v>
          </cell>
        </row>
      </sheetData>
      <sheetData sheetId="1252">
        <row r="2">
          <cell r="F2" t="str">
            <v>INCH</v>
          </cell>
        </row>
      </sheetData>
      <sheetData sheetId="1253">
        <row r="2">
          <cell r="F2" t="str">
            <v>INCH</v>
          </cell>
        </row>
      </sheetData>
      <sheetData sheetId="1254">
        <row r="2">
          <cell r="F2" t="str">
            <v>INCH</v>
          </cell>
        </row>
      </sheetData>
      <sheetData sheetId="1255">
        <row r="2">
          <cell r="F2" t="str">
            <v>INCH</v>
          </cell>
        </row>
      </sheetData>
      <sheetData sheetId="1256">
        <row r="2">
          <cell r="F2" t="str">
            <v>INCH</v>
          </cell>
        </row>
      </sheetData>
      <sheetData sheetId="1257">
        <row r="2">
          <cell r="F2" t="str">
            <v>INCH</v>
          </cell>
        </row>
      </sheetData>
      <sheetData sheetId="1258">
        <row r="2">
          <cell r="F2" t="str">
            <v>INCH</v>
          </cell>
        </row>
      </sheetData>
      <sheetData sheetId="1259">
        <row r="2">
          <cell r="F2" t="str">
            <v>INCH</v>
          </cell>
        </row>
      </sheetData>
      <sheetData sheetId="1260">
        <row r="2">
          <cell r="F2" t="str">
            <v>INCH</v>
          </cell>
        </row>
      </sheetData>
      <sheetData sheetId="1261">
        <row r="2">
          <cell r="F2" t="str">
            <v>INCH</v>
          </cell>
        </row>
      </sheetData>
      <sheetData sheetId="1262">
        <row r="2">
          <cell r="F2" t="str">
            <v>INCH</v>
          </cell>
        </row>
      </sheetData>
      <sheetData sheetId="1263">
        <row r="2">
          <cell r="F2" t="str">
            <v>INCH</v>
          </cell>
        </row>
      </sheetData>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ow r="2">
          <cell r="F2" t="str">
            <v>INCH</v>
          </cell>
        </row>
      </sheetData>
      <sheetData sheetId="1275">
        <row r="2">
          <cell r="F2" t="str">
            <v>INCH</v>
          </cell>
        </row>
      </sheetData>
      <sheetData sheetId="1276">
        <row r="2">
          <cell r="F2" t="str">
            <v>INCH</v>
          </cell>
        </row>
      </sheetData>
      <sheetData sheetId="1277">
        <row r="2">
          <cell r="F2" t="str">
            <v>INCH</v>
          </cell>
        </row>
      </sheetData>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ow r="2">
          <cell r="F2" t="str">
            <v>INCH</v>
          </cell>
        </row>
      </sheetData>
      <sheetData sheetId="1329">
        <row r="2">
          <cell r="F2" t="str">
            <v>INCH</v>
          </cell>
        </row>
      </sheetData>
      <sheetData sheetId="1330">
        <row r="2">
          <cell r="F2" t="str">
            <v>INCH</v>
          </cell>
        </row>
      </sheetData>
      <sheetData sheetId="1331">
        <row r="2">
          <cell r="F2" t="str">
            <v>INCH</v>
          </cell>
        </row>
      </sheetData>
      <sheetData sheetId="1332" refreshError="1"/>
      <sheetData sheetId="1333">
        <row r="2">
          <cell r="F2" t="str">
            <v>INCH</v>
          </cell>
        </row>
      </sheetData>
      <sheetData sheetId="1334" refreshError="1"/>
      <sheetData sheetId="1335" refreshError="1"/>
      <sheetData sheetId="1336" refreshError="1"/>
      <sheetData sheetId="1337" refreshError="1"/>
      <sheetData sheetId="1338" refreshError="1"/>
      <sheetData sheetId="1339" refreshError="1"/>
      <sheetData sheetId="1340">
        <row r="2">
          <cell r="F2" t="str">
            <v>INCH</v>
          </cell>
        </row>
      </sheetData>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ow r="2">
          <cell r="F2" t="str">
            <v>INCH</v>
          </cell>
        </row>
      </sheetData>
      <sheetData sheetId="1367">
        <row r="2">
          <cell r="F2" t="str">
            <v>INCH</v>
          </cell>
        </row>
      </sheetData>
      <sheetData sheetId="1368">
        <row r="2">
          <cell r="F2" t="str">
            <v>INCH</v>
          </cell>
        </row>
      </sheetData>
      <sheetData sheetId="1369">
        <row r="2">
          <cell r="F2" t="str">
            <v>INCH</v>
          </cell>
        </row>
      </sheetData>
      <sheetData sheetId="1370">
        <row r="2">
          <cell r="F2" t="str">
            <v>INCH</v>
          </cell>
        </row>
      </sheetData>
      <sheetData sheetId="1371">
        <row r="2">
          <cell r="F2" t="str">
            <v>INCH</v>
          </cell>
        </row>
      </sheetData>
      <sheetData sheetId="1372">
        <row r="2">
          <cell r="F2" t="str">
            <v>INCH</v>
          </cell>
        </row>
      </sheetData>
      <sheetData sheetId="1373">
        <row r="2">
          <cell r="F2" t="str">
            <v>INCH</v>
          </cell>
        </row>
      </sheetData>
      <sheetData sheetId="1374">
        <row r="2">
          <cell r="F2" t="str">
            <v>INCH</v>
          </cell>
        </row>
      </sheetData>
      <sheetData sheetId="1375">
        <row r="2">
          <cell r="F2" t="str">
            <v>INCH</v>
          </cell>
        </row>
      </sheetData>
      <sheetData sheetId="1376">
        <row r="2">
          <cell r="F2" t="str">
            <v>INCH</v>
          </cell>
        </row>
      </sheetData>
      <sheetData sheetId="1377">
        <row r="2">
          <cell r="F2" t="str">
            <v>INCH</v>
          </cell>
        </row>
      </sheetData>
      <sheetData sheetId="1378">
        <row r="2">
          <cell r="F2" t="str">
            <v>INCH</v>
          </cell>
        </row>
      </sheetData>
      <sheetData sheetId="1379">
        <row r="2">
          <cell r="F2" t="str">
            <v>INCH</v>
          </cell>
        </row>
      </sheetData>
      <sheetData sheetId="1380">
        <row r="2">
          <cell r="F2" t="str">
            <v>INCH</v>
          </cell>
        </row>
      </sheetData>
      <sheetData sheetId="1381">
        <row r="2">
          <cell r="F2" t="str">
            <v>INCH</v>
          </cell>
        </row>
      </sheetData>
      <sheetData sheetId="1382">
        <row r="2">
          <cell r="F2" t="str">
            <v>INCH</v>
          </cell>
        </row>
      </sheetData>
      <sheetData sheetId="1383">
        <row r="2">
          <cell r="F2" t="str">
            <v>INCH</v>
          </cell>
        </row>
      </sheetData>
      <sheetData sheetId="1384">
        <row r="2">
          <cell r="F2" t="str">
            <v>INCH</v>
          </cell>
        </row>
      </sheetData>
      <sheetData sheetId="1385">
        <row r="2">
          <cell r="F2" t="str">
            <v>INCH</v>
          </cell>
        </row>
      </sheetData>
      <sheetData sheetId="1386">
        <row r="2">
          <cell r="F2" t="str">
            <v>INCH</v>
          </cell>
        </row>
      </sheetData>
      <sheetData sheetId="1387">
        <row r="2">
          <cell r="F2" t="str">
            <v>INCH</v>
          </cell>
        </row>
      </sheetData>
      <sheetData sheetId="1388">
        <row r="2">
          <cell r="F2" t="str">
            <v>INCH</v>
          </cell>
        </row>
      </sheetData>
      <sheetData sheetId="1389">
        <row r="2">
          <cell r="F2" t="str">
            <v>INCH</v>
          </cell>
        </row>
      </sheetData>
      <sheetData sheetId="1390">
        <row r="2">
          <cell r="F2" t="str">
            <v>INCH</v>
          </cell>
        </row>
      </sheetData>
      <sheetData sheetId="1391">
        <row r="2">
          <cell r="F2" t="str">
            <v>INCH</v>
          </cell>
        </row>
      </sheetData>
      <sheetData sheetId="1392">
        <row r="2">
          <cell r="F2" t="str">
            <v>INCH</v>
          </cell>
        </row>
      </sheetData>
      <sheetData sheetId="1393">
        <row r="2">
          <cell r="F2" t="str">
            <v>INCH</v>
          </cell>
        </row>
      </sheetData>
      <sheetData sheetId="1394">
        <row r="2">
          <cell r="F2" t="str">
            <v>INCH</v>
          </cell>
        </row>
      </sheetData>
      <sheetData sheetId="1395">
        <row r="2">
          <cell r="F2" t="str">
            <v>INCH</v>
          </cell>
        </row>
      </sheetData>
      <sheetData sheetId="1396">
        <row r="2">
          <cell r="F2" t="str">
            <v>INCH</v>
          </cell>
        </row>
      </sheetData>
      <sheetData sheetId="1397">
        <row r="2">
          <cell r="F2" t="str">
            <v>INCH</v>
          </cell>
        </row>
      </sheetData>
      <sheetData sheetId="1398">
        <row r="2">
          <cell r="F2" t="str">
            <v>INCH</v>
          </cell>
        </row>
      </sheetData>
      <sheetData sheetId="1399">
        <row r="2">
          <cell r="F2" t="str">
            <v>INCH</v>
          </cell>
        </row>
      </sheetData>
      <sheetData sheetId="1400">
        <row r="2">
          <cell r="F2" t="str">
            <v>INCH</v>
          </cell>
        </row>
      </sheetData>
      <sheetData sheetId="1401">
        <row r="2">
          <cell r="F2" t="str">
            <v>INCH</v>
          </cell>
        </row>
      </sheetData>
      <sheetData sheetId="1402">
        <row r="2">
          <cell r="F2" t="str">
            <v>INCH</v>
          </cell>
        </row>
      </sheetData>
      <sheetData sheetId="1403">
        <row r="2">
          <cell r="F2" t="str">
            <v>INCH</v>
          </cell>
        </row>
      </sheetData>
      <sheetData sheetId="1404">
        <row r="2">
          <cell r="F2" t="str">
            <v>INCH</v>
          </cell>
        </row>
      </sheetData>
      <sheetData sheetId="1405">
        <row r="2">
          <cell r="F2" t="str">
            <v>INCH</v>
          </cell>
        </row>
      </sheetData>
      <sheetData sheetId="1406">
        <row r="2">
          <cell r="F2" t="str">
            <v>INCH</v>
          </cell>
        </row>
      </sheetData>
      <sheetData sheetId="1407">
        <row r="2">
          <cell r="F2" t="str">
            <v>INCH</v>
          </cell>
        </row>
      </sheetData>
      <sheetData sheetId="1408">
        <row r="2">
          <cell r="F2" t="str">
            <v>INCH</v>
          </cell>
        </row>
      </sheetData>
      <sheetData sheetId="1409">
        <row r="2">
          <cell r="F2" t="str">
            <v>INCH</v>
          </cell>
        </row>
      </sheetData>
      <sheetData sheetId="1410">
        <row r="2">
          <cell r="F2" t="str">
            <v>INCH</v>
          </cell>
        </row>
      </sheetData>
      <sheetData sheetId="1411">
        <row r="2">
          <cell r="F2" t="str">
            <v>INCH</v>
          </cell>
        </row>
      </sheetData>
      <sheetData sheetId="1412">
        <row r="2">
          <cell r="F2" t="str">
            <v>INCH</v>
          </cell>
        </row>
      </sheetData>
      <sheetData sheetId="1413">
        <row r="2">
          <cell r="F2" t="str">
            <v>INCH</v>
          </cell>
        </row>
      </sheetData>
      <sheetData sheetId="1414">
        <row r="2">
          <cell r="F2" t="str">
            <v>INCH</v>
          </cell>
        </row>
      </sheetData>
      <sheetData sheetId="1415">
        <row r="2">
          <cell r="F2" t="str">
            <v>INCH</v>
          </cell>
        </row>
      </sheetData>
      <sheetData sheetId="1416">
        <row r="2">
          <cell r="F2" t="str">
            <v>INCH</v>
          </cell>
        </row>
      </sheetData>
      <sheetData sheetId="1417">
        <row r="2">
          <cell r="F2" t="str">
            <v>INCH</v>
          </cell>
        </row>
      </sheetData>
      <sheetData sheetId="1418">
        <row r="2">
          <cell r="F2" t="str">
            <v>INCH</v>
          </cell>
        </row>
      </sheetData>
      <sheetData sheetId="1419">
        <row r="2">
          <cell r="F2" t="str">
            <v>INCH</v>
          </cell>
        </row>
      </sheetData>
      <sheetData sheetId="1420">
        <row r="2">
          <cell r="F2" t="str">
            <v>INCH</v>
          </cell>
        </row>
      </sheetData>
      <sheetData sheetId="1421">
        <row r="2">
          <cell r="F2" t="str">
            <v>INCH</v>
          </cell>
        </row>
      </sheetData>
      <sheetData sheetId="1422">
        <row r="2">
          <cell r="F2" t="str">
            <v>INCH</v>
          </cell>
        </row>
      </sheetData>
      <sheetData sheetId="1423">
        <row r="2">
          <cell r="F2" t="str">
            <v>INCH</v>
          </cell>
        </row>
      </sheetData>
      <sheetData sheetId="1424">
        <row r="2">
          <cell r="F2" t="str">
            <v>INCH</v>
          </cell>
        </row>
      </sheetData>
      <sheetData sheetId="1425">
        <row r="2">
          <cell r="F2" t="str">
            <v>INCH</v>
          </cell>
        </row>
      </sheetData>
      <sheetData sheetId="1426">
        <row r="2">
          <cell r="F2" t="str">
            <v>INCH</v>
          </cell>
        </row>
      </sheetData>
      <sheetData sheetId="1427">
        <row r="2">
          <cell r="F2" t="str">
            <v>INCH</v>
          </cell>
        </row>
      </sheetData>
      <sheetData sheetId="1428">
        <row r="2">
          <cell r="F2" t="str">
            <v>INCH</v>
          </cell>
        </row>
      </sheetData>
      <sheetData sheetId="1429">
        <row r="2">
          <cell r="F2" t="str">
            <v>INCH</v>
          </cell>
        </row>
      </sheetData>
      <sheetData sheetId="1430">
        <row r="2">
          <cell r="F2" t="str">
            <v>INCH</v>
          </cell>
        </row>
      </sheetData>
      <sheetData sheetId="1431">
        <row r="2">
          <cell r="F2" t="str">
            <v>INCH</v>
          </cell>
        </row>
      </sheetData>
      <sheetData sheetId="1432">
        <row r="2">
          <cell r="F2" t="str">
            <v>INCH</v>
          </cell>
        </row>
      </sheetData>
      <sheetData sheetId="1433">
        <row r="2">
          <cell r="F2" t="str">
            <v>INCH</v>
          </cell>
        </row>
      </sheetData>
      <sheetData sheetId="1434">
        <row r="2">
          <cell r="F2" t="str">
            <v>INCH</v>
          </cell>
        </row>
      </sheetData>
      <sheetData sheetId="1435">
        <row r="2">
          <cell r="F2" t="str">
            <v>INCH</v>
          </cell>
        </row>
      </sheetData>
      <sheetData sheetId="1436">
        <row r="2">
          <cell r="F2" t="str">
            <v>INCH</v>
          </cell>
        </row>
      </sheetData>
      <sheetData sheetId="1437">
        <row r="2">
          <cell r="F2" t="str">
            <v>INCH</v>
          </cell>
        </row>
      </sheetData>
      <sheetData sheetId="1438">
        <row r="2">
          <cell r="F2" t="str">
            <v>INCH</v>
          </cell>
        </row>
      </sheetData>
      <sheetData sheetId="1439">
        <row r="2">
          <cell r="F2" t="str">
            <v>INCH</v>
          </cell>
        </row>
      </sheetData>
      <sheetData sheetId="1440">
        <row r="2">
          <cell r="F2" t="str">
            <v>INCH</v>
          </cell>
        </row>
      </sheetData>
      <sheetData sheetId="1441">
        <row r="2">
          <cell r="F2" t="str">
            <v>INCH</v>
          </cell>
        </row>
      </sheetData>
      <sheetData sheetId="1442">
        <row r="2">
          <cell r="F2" t="str">
            <v>INCH</v>
          </cell>
        </row>
      </sheetData>
      <sheetData sheetId="1443">
        <row r="2">
          <cell r="F2" t="str">
            <v>INCH</v>
          </cell>
        </row>
      </sheetData>
      <sheetData sheetId="1444">
        <row r="2">
          <cell r="F2" t="str">
            <v>INCH</v>
          </cell>
        </row>
      </sheetData>
      <sheetData sheetId="1445">
        <row r="2">
          <cell r="F2" t="str">
            <v>INCH</v>
          </cell>
        </row>
      </sheetData>
      <sheetData sheetId="1446">
        <row r="2">
          <cell r="F2" t="str">
            <v>INCH</v>
          </cell>
        </row>
      </sheetData>
      <sheetData sheetId="1447">
        <row r="2">
          <cell r="F2" t="str">
            <v>INCH</v>
          </cell>
        </row>
      </sheetData>
      <sheetData sheetId="1448">
        <row r="2">
          <cell r="F2" t="str">
            <v>INCH</v>
          </cell>
        </row>
      </sheetData>
      <sheetData sheetId="1449">
        <row r="2">
          <cell r="F2" t="str">
            <v>INCH</v>
          </cell>
        </row>
      </sheetData>
      <sheetData sheetId="1450">
        <row r="2">
          <cell r="F2" t="str">
            <v>INCH</v>
          </cell>
        </row>
      </sheetData>
      <sheetData sheetId="1451">
        <row r="2">
          <cell r="F2" t="str">
            <v>INCH</v>
          </cell>
        </row>
      </sheetData>
      <sheetData sheetId="1452">
        <row r="2">
          <cell r="F2" t="str">
            <v>INCH</v>
          </cell>
        </row>
      </sheetData>
      <sheetData sheetId="1453">
        <row r="2">
          <cell r="F2" t="str">
            <v>INCH</v>
          </cell>
        </row>
      </sheetData>
      <sheetData sheetId="1454">
        <row r="2">
          <cell r="F2" t="str">
            <v>INCH</v>
          </cell>
        </row>
      </sheetData>
      <sheetData sheetId="1455">
        <row r="2">
          <cell r="F2" t="str">
            <v>INCH</v>
          </cell>
        </row>
      </sheetData>
      <sheetData sheetId="1456">
        <row r="2">
          <cell r="F2" t="str">
            <v>INCH</v>
          </cell>
        </row>
      </sheetData>
      <sheetData sheetId="1457">
        <row r="2">
          <cell r="F2" t="str">
            <v>INCH</v>
          </cell>
        </row>
      </sheetData>
      <sheetData sheetId="1458">
        <row r="2">
          <cell r="F2" t="str">
            <v>INCH</v>
          </cell>
        </row>
      </sheetData>
      <sheetData sheetId="1459">
        <row r="2">
          <cell r="F2" t="str">
            <v>INCH</v>
          </cell>
        </row>
      </sheetData>
      <sheetData sheetId="1460">
        <row r="2">
          <cell r="F2" t="str">
            <v>INCH</v>
          </cell>
        </row>
      </sheetData>
      <sheetData sheetId="1461">
        <row r="2">
          <cell r="F2" t="str">
            <v>INCH</v>
          </cell>
        </row>
      </sheetData>
      <sheetData sheetId="1462">
        <row r="2">
          <cell r="F2" t="str">
            <v>INCH</v>
          </cell>
        </row>
      </sheetData>
      <sheetData sheetId="1463">
        <row r="2">
          <cell r="F2" t="str">
            <v>INCH</v>
          </cell>
        </row>
      </sheetData>
      <sheetData sheetId="1464">
        <row r="2">
          <cell r="F2" t="str">
            <v>INCH</v>
          </cell>
        </row>
      </sheetData>
      <sheetData sheetId="1465">
        <row r="2">
          <cell r="F2" t="str">
            <v>INCH</v>
          </cell>
        </row>
      </sheetData>
      <sheetData sheetId="1466">
        <row r="2">
          <cell r="F2" t="str">
            <v>INCH</v>
          </cell>
        </row>
      </sheetData>
      <sheetData sheetId="1467">
        <row r="2">
          <cell r="F2" t="str">
            <v>INCH</v>
          </cell>
        </row>
      </sheetData>
      <sheetData sheetId="1468">
        <row r="2">
          <cell r="F2" t="str">
            <v>INCH</v>
          </cell>
        </row>
      </sheetData>
      <sheetData sheetId="1469">
        <row r="2">
          <cell r="F2" t="str">
            <v>INCH</v>
          </cell>
        </row>
      </sheetData>
      <sheetData sheetId="1470">
        <row r="2">
          <cell r="F2" t="str">
            <v>INCH</v>
          </cell>
        </row>
      </sheetData>
      <sheetData sheetId="1471">
        <row r="2">
          <cell r="F2" t="str">
            <v>INCH</v>
          </cell>
        </row>
      </sheetData>
      <sheetData sheetId="1472">
        <row r="2">
          <cell r="F2" t="str">
            <v>INCH</v>
          </cell>
        </row>
      </sheetData>
      <sheetData sheetId="1473">
        <row r="2">
          <cell r="F2" t="str">
            <v>INCH</v>
          </cell>
        </row>
      </sheetData>
      <sheetData sheetId="1474">
        <row r="2">
          <cell r="F2" t="str">
            <v>INCH</v>
          </cell>
        </row>
      </sheetData>
      <sheetData sheetId="1475">
        <row r="2">
          <cell r="F2" t="str">
            <v>INCH</v>
          </cell>
        </row>
      </sheetData>
      <sheetData sheetId="1476">
        <row r="2">
          <cell r="F2" t="str">
            <v>INCH</v>
          </cell>
        </row>
      </sheetData>
      <sheetData sheetId="1477">
        <row r="2">
          <cell r="F2" t="str">
            <v>INCH</v>
          </cell>
        </row>
      </sheetData>
      <sheetData sheetId="1478">
        <row r="2">
          <cell r="F2" t="str">
            <v>INCH</v>
          </cell>
        </row>
      </sheetData>
      <sheetData sheetId="1479">
        <row r="2">
          <cell r="F2" t="str">
            <v>INCH</v>
          </cell>
        </row>
      </sheetData>
      <sheetData sheetId="1480">
        <row r="2">
          <cell r="F2" t="str">
            <v>INCH</v>
          </cell>
        </row>
      </sheetData>
      <sheetData sheetId="1481">
        <row r="2">
          <cell r="F2" t="str">
            <v>INCH</v>
          </cell>
        </row>
      </sheetData>
      <sheetData sheetId="1482">
        <row r="2">
          <cell r="F2" t="str">
            <v>INCH</v>
          </cell>
        </row>
      </sheetData>
      <sheetData sheetId="1483">
        <row r="2">
          <cell r="F2" t="str">
            <v>INCH</v>
          </cell>
        </row>
      </sheetData>
      <sheetData sheetId="1484">
        <row r="2">
          <cell r="F2" t="str">
            <v>INCH</v>
          </cell>
        </row>
      </sheetData>
      <sheetData sheetId="1485">
        <row r="2">
          <cell r="F2" t="str">
            <v>INCH</v>
          </cell>
        </row>
      </sheetData>
      <sheetData sheetId="1486">
        <row r="2">
          <cell r="F2" t="str">
            <v>INCH</v>
          </cell>
        </row>
      </sheetData>
      <sheetData sheetId="1487">
        <row r="2">
          <cell r="F2" t="str">
            <v>INCH</v>
          </cell>
        </row>
      </sheetData>
      <sheetData sheetId="1488">
        <row r="2">
          <cell r="F2" t="str">
            <v>INCH</v>
          </cell>
        </row>
      </sheetData>
      <sheetData sheetId="1489">
        <row r="2">
          <cell r="F2" t="str">
            <v>INCH</v>
          </cell>
        </row>
      </sheetData>
      <sheetData sheetId="1490">
        <row r="2">
          <cell r="F2" t="str">
            <v>INCH</v>
          </cell>
        </row>
      </sheetData>
      <sheetData sheetId="1491">
        <row r="2">
          <cell r="F2" t="str">
            <v>INCH</v>
          </cell>
        </row>
      </sheetData>
      <sheetData sheetId="1492" refreshError="1"/>
      <sheetData sheetId="1493" refreshError="1"/>
      <sheetData sheetId="1494" refreshError="1"/>
      <sheetData sheetId="1495" refreshError="1"/>
      <sheetData sheetId="1496">
        <row r="2">
          <cell r="F2" t="str">
            <v>INCH</v>
          </cell>
        </row>
      </sheetData>
      <sheetData sheetId="1497">
        <row r="2">
          <cell r="F2" t="str">
            <v>INCH</v>
          </cell>
        </row>
      </sheetData>
      <sheetData sheetId="1498">
        <row r="2">
          <cell r="F2" t="str">
            <v>INCH</v>
          </cell>
        </row>
      </sheetData>
      <sheetData sheetId="1499">
        <row r="2">
          <cell r="F2" t="str">
            <v>INCH</v>
          </cell>
        </row>
      </sheetData>
      <sheetData sheetId="1500">
        <row r="2">
          <cell r="F2" t="str">
            <v>INCH</v>
          </cell>
        </row>
      </sheetData>
      <sheetData sheetId="1501">
        <row r="2">
          <cell r="F2" t="str">
            <v>INCH</v>
          </cell>
        </row>
      </sheetData>
      <sheetData sheetId="1502">
        <row r="2">
          <cell r="F2" t="str">
            <v>INCH</v>
          </cell>
        </row>
      </sheetData>
      <sheetData sheetId="1503">
        <row r="2">
          <cell r="F2" t="str">
            <v>INCH</v>
          </cell>
        </row>
      </sheetData>
      <sheetData sheetId="1504">
        <row r="2">
          <cell r="F2" t="str">
            <v>INCH</v>
          </cell>
        </row>
      </sheetData>
      <sheetData sheetId="1505">
        <row r="2">
          <cell r="F2" t="str">
            <v>INCH</v>
          </cell>
        </row>
      </sheetData>
      <sheetData sheetId="1506">
        <row r="2">
          <cell r="F2" t="str">
            <v>INCH</v>
          </cell>
        </row>
      </sheetData>
      <sheetData sheetId="1507">
        <row r="2">
          <cell r="F2" t="str">
            <v>INCH</v>
          </cell>
        </row>
      </sheetData>
      <sheetData sheetId="1508">
        <row r="2">
          <cell r="F2" t="str">
            <v>INCH</v>
          </cell>
        </row>
      </sheetData>
      <sheetData sheetId="1509">
        <row r="2">
          <cell r="F2" t="str">
            <v>INCH</v>
          </cell>
        </row>
      </sheetData>
      <sheetData sheetId="1510">
        <row r="2">
          <cell r="F2" t="str">
            <v>INCH</v>
          </cell>
        </row>
      </sheetData>
      <sheetData sheetId="1511">
        <row r="2">
          <cell r="F2" t="str">
            <v>INCH</v>
          </cell>
        </row>
      </sheetData>
      <sheetData sheetId="1512">
        <row r="2">
          <cell r="F2" t="str">
            <v>INCH</v>
          </cell>
        </row>
      </sheetData>
      <sheetData sheetId="1513">
        <row r="2">
          <cell r="F2" t="str">
            <v>INCH</v>
          </cell>
        </row>
      </sheetData>
      <sheetData sheetId="1514">
        <row r="2">
          <cell r="F2" t="str">
            <v>INCH</v>
          </cell>
        </row>
      </sheetData>
      <sheetData sheetId="1515">
        <row r="2">
          <cell r="F2" t="str">
            <v>INCH</v>
          </cell>
        </row>
      </sheetData>
      <sheetData sheetId="1516">
        <row r="2">
          <cell r="F2" t="str">
            <v>INCH</v>
          </cell>
        </row>
      </sheetData>
      <sheetData sheetId="1517">
        <row r="2">
          <cell r="F2" t="str">
            <v>INCH</v>
          </cell>
        </row>
      </sheetData>
      <sheetData sheetId="1518">
        <row r="2">
          <cell r="F2" t="str">
            <v>INCH</v>
          </cell>
        </row>
      </sheetData>
      <sheetData sheetId="1519">
        <row r="2">
          <cell r="F2" t="str">
            <v>INCH</v>
          </cell>
        </row>
      </sheetData>
      <sheetData sheetId="1520">
        <row r="2">
          <cell r="F2" t="str">
            <v>INCH</v>
          </cell>
        </row>
      </sheetData>
      <sheetData sheetId="1521">
        <row r="2">
          <cell r="F2" t="str">
            <v>INCH</v>
          </cell>
        </row>
      </sheetData>
      <sheetData sheetId="1522">
        <row r="2">
          <cell r="F2" t="str">
            <v>INCH</v>
          </cell>
        </row>
      </sheetData>
      <sheetData sheetId="1523">
        <row r="2">
          <cell r="F2" t="str">
            <v>INCH</v>
          </cell>
        </row>
      </sheetData>
      <sheetData sheetId="1524">
        <row r="2">
          <cell r="F2" t="str">
            <v>INCH</v>
          </cell>
        </row>
      </sheetData>
      <sheetData sheetId="1525">
        <row r="2">
          <cell r="F2" t="str">
            <v>INCH</v>
          </cell>
        </row>
      </sheetData>
      <sheetData sheetId="1526">
        <row r="2">
          <cell r="F2" t="str">
            <v>INCH</v>
          </cell>
        </row>
      </sheetData>
      <sheetData sheetId="1527">
        <row r="2">
          <cell r="F2" t="str">
            <v>INCH</v>
          </cell>
        </row>
      </sheetData>
      <sheetData sheetId="1528">
        <row r="2">
          <cell r="F2" t="str">
            <v>INCH</v>
          </cell>
        </row>
      </sheetData>
      <sheetData sheetId="1529">
        <row r="2">
          <cell r="F2" t="str">
            <v>INCH</v>
          </cell>
        </row>
      </sheetData>
      <sheetData sheetId="1530">
        <row r="2">
          <cell r="F2" t="str">
            <v>INCH</v>
          </cell>
        </row>
      </sheetData>
      <sheetData sheetId="1531">
        <row r="2">
          <cell r="F2" t="str">
            <v>INCH</v>
          </cell>
        </row>
      </sheetData>
      <sheetData sheetId="1532">
        <row r="2">
          <cell r="F2" t="str">
            <v>INCH</v>
          </cell>
        </row>
      </sheetData>
      <sheetData sheetId="1533">
        <row r="2">
          <cell r="F2" t="str">
            <v>INCH</v>
          </cell>
        </row>
      </sheetData>
      <sheetData sheetId="1534">
        <row r="2">
          <cell r="F2" t="str">
            <v>INCH</v>
          </cell>
        </row>
      </sheetData>
      <sheetData sheetId="1535">
        <row r="2">
          <cell r="F2" t="str">
            <v>INCH</v>
          </cell>
        </row>
      </sheetData>
      <sheetData sheetId="1536">
        <row r="2">
          <cell r="F2" t="str">
            <v>INCH</v>
          </cell>
        </row>
      </sheetData>
      <sheetData sheetId="1537">
        <row r="2">
          <cell r="F2" t="str">
            <v>INCH</v>
          </cell>
        </row>
      </sheetData>
      <sheetData sheetId="1538">
        <row r="2">
          <cell r="F2" t="str">
            <v>INCH</v>
          </cell>
        </row>
      </sheetData>
      <sheetData sheetId="1539">
        <row r="2">
          <cell r="F2" t="str">
            <v>INCH</v>
          </cell>
        </row>
      </sheetData>
      <sheetData sheetId="1540">
        <row r="2">
          <cell r="F2" t="str">
            <v>INCH</v>
          </cell>
        </row>
      </sheetData>
      <sheetData sheetId="1541">
        <row r="2">
          <cell r="F2" t="str">
            <v>INCH</v>
          </cell>
        </row>
      </sheetData>
      <sheetData sheetId="1542">
        <row r="2">
          <cell r="F2" t="str">
            <v>INCH</v>
          </cell>
        </row>
      </sheetData>
      <sheetData sheetId="1543">
        <row r="2">
          <cell r="F2" t="str">
            <v>INCH</v>
          </cell>
        </row>
      </sheetData>
      <sheetData sheetId="1544">
        <row r="2">
          <cell r="F2" t="str">
            <v>INCH</v>
          </cell>
        </row>
      </sheetData>
      <sheetData sheetId="1545">
        <row r="2">
          <cell r="F2" t="str">
            <v>INCH</v>
          </cell>
        </row>
      </sheetData>
      <sheetData sheetId="1546">
        <row r="2">
          <cell r="F2" t="str">
            <v>INCH</v>
          </cell>
        </row>
      </sheetData>
      <sheetData sheetId="1547">
        <row r="2">
          <cell r="F2" t="str">
            <v>INCH</v>
          </cell>
        </row>
      </sheetData>
      <sheetData sheetId="1548">
        <row r="2">
          <cell r="F2" t="str">
            <v>INCH</v>
          </cell>
        </row>
      </sheetData>
      <sheetData sheetId="1549">
        <row r="2">
          <cell r="F2" t="str">
            <v>INCH</v>
          </cell>
        </row>
      </sheetData>
      <sheetData sheetId="1550">
        <row r="2">
          <cell r="F2" t="str">
            <v>INCH</v>
          </cell>
        </row>
      </sheetData>
      <sheetData sheetId="1551">
        <row r="2">
          <cell r="F2" t="str">
            <v>INCH</v>
          </cell>
        </row>
      </sheetData>
      <sheetData sheetId="1552">
        <row r="2">
          <cell r="F2" t="str">
            <v>INCH</v>
          </cell>
        </row>
      </sheetData>
      <sheetData sheetId="1553">
        <row r="2">
          <cell r="F2" t="str">
            <v>INCH</v>
          </cell>
        </row>
      </sheetData>
      <sheetData sheetId="1554">
        <row r="2">
          <cell r="F2" t="str">
            <v>INCH</v>
          </cell>
        </row>
      </sheetData>
      <sheetData sheetId="1555">
        <row r="2">
          <cell r="F2" t="str">
            <v>INCH</v>
          </cell>
        </row>
      </sheetData>
      <sheetData sheetId="1556">
        <row r="2">
          <cell r="F2" t="str">
            <v>INCH</v>
          </cell>
        </row>
      </sheetData>
      <sheetData sheetId="1557">
        <row r="2">
          <cell r="F2" t="str">
            <v>INCH</v>
          </cell>
        </row>
      </sheetData>
      <sheetData sheetId="1558">
        <row r="2">
          <cell r="F2" t="str">
            <v>INCH</v>
          </cell>
        </row>
      </sheetData>
      <sheetData sheetId="1559">
        <row r="2">
          <cell r="F2" t="str">
            <v>INCH</v>
          </cell>
        </row>
      </sheetData>
      <sheetData sheetId="1560">
        <row r="2">
          <cell r="F2" t="str">
            <v>INCH</v>
          </cell>
        </row>
      </sheetData>
      <sheetData sheetId="1561">
        <row r="2">
          <cell r="F2" t="str">
            <v>INCH</v>
          </cell>
        </row>
      </sheetData>
      <sheetData sheetId="1562">
        <row r="2">
          <cell r="F2" t="str">
            <v>INCH</v>
          </cell>
        </row>
      </sheetData>
      <sheetData sheetId="1563">
        <row r="2">
          <cell r="F2" t="str">
            <v>INCH</v>
          </cell>
        </row>
      </sheetData>
      <sheetData sheetId="1564">
        <row r="2">
          <cell r="F2" t="str">
            <v>INCH</v>
          </cell>
        </row>
      </sheetData>
      <sheetData sheetId="1565">
        <row r="2">
          <cell r="F2" t="str">
            <v>INCH</v>
          </cell>
        </row>
      </sheetData>
      <sheetData sheetId="1566">
        <row r="2">
          <cell r="F2" t="str">
            <v>INCH</v>
          </cell>
        </row>
      </sheetData>
      <sheetData sheetId="1567">
        <row r="2">
          <cell r="F2" t="str">
            <v>INCH</v>
          </cell>
        </row>
      </sheetData>
      <sheetData sheetId="1568">
        <row r="2">
          <cell r="F2" t="str">
            <v>INCH</v>
          </cell>
        </row>
      </sheetData>
      <sheetData sheetId="1569">
        <row r="2">
          <cell r="F2" t="str">
            <v>INCH</v>
          </cell>
        </row>
      </sheetData>
      <sheetData sheetId="1570">
        <row r="2">
          <cell r="F2" t="str">
            <v>INCH</v>
          </cell>
        </row>
      </sheetData>
      <sheetData sheetId="1571">
        <row r="2">
          <cell r="F2" t="str">
            <v>INCH</v>
          </cell>
        </row>
      </sheetData>
      <sheetData sheetId="1572">
        <row r="2">
          <cell r="F2" t="str">
            <v>INCH</v>
          </cell>
        </row>
      </sheetData>
      <sheetData sheetId="1573">
        <row r="2">
          <cell r="F2" t="str">
            <v>INCH</v>
          </cell>
        </row>
      </sheetData>
      <sheetData sheetId="1574">
        <row r="2">
          <cell r="F2" t="str">
            <v>INCH</v>
          </cell>
        </row>
      </sheetData>
      <sheetData sheetId="1575">
        <row r="2">
          <cell r="F2" t="str">
            <v>INCH</v>
          </cell>
        </row>
      </sheetData>
      <sheetData sheetId="1576">
        <row r="2">
          <cell r="F2" t="str">
            <v>INCH</v>
          </cell>
        </row>
      </sheetData>
      <sheetData sheetId="1577">
        <row r="2">
          <cell r="F2" t="str">
            <v>INCH</v>
          </cell>
        </row>
      </sheetData>
      <sheetData sheetId="1578">
        <row r="2">
          <cell r="F2" t="str">
            <v>INCH</v>
          </cell>
        </row>
      </sheetData>
      <sheetData sheetId="1579">
        <row r="2">
          <cell r="F2" t="str">
            <v>INCH</v>
          </cell>
        </row>
      </sheetData>
      <sheetData sheetId="1580">
        <row r="2">
          <cell r="F2" t="str">
            <v>INCH</v>
          </cell>
        </row>
      </sheetData>
      <sheetData sheetId="1581">
        <row r="2">
          <cell r="F2" t="str">
            <v>INCH</v>
          </cell>
        </row>
      </sheetData>
      <sheetData sheetId="1582">
        <row r="2">
          <cell r="F2" t="str">
            <v>INCH</v>
          </cell>
        </row>
      </sheetData>
      <sheetData sheetId="1583">
        <row r="2">
          <cell r="F2" t="str">
            <v>INCH</v>
          </cell>
        </row>
      </sheetData>
      <sheetData sheetId="1584">
        <row r="2">
          <cell r="F2" t="str">
            <v>INCH</v>
          </cell>
        </row>
      </sheetData>
      <sheetData sheetId="1585">
        <row r="2">
          <cell r="F2" t="str">
            <v>INCH</v>
          </cell>
        </row>
      </sheetData>
      <sheetData sheetId="1586">
        <row r="2">
          <cell r="F2" t="str">
            <v>INCH</v>
          </cell>
        </row>
      </sheetData>
      <sheetData sheetId="1587">
        <row r="2">
          <cell r="F2" t="str">
            <v>INCH</v>
          </cell>
        </row>
      </sheetData>
      <sheetData sheetId="1588">
        <row r="2">
          <cell r="F2" t="str">
            <v>INCH</v>
          </cell>
        </row>
      </sheetData>
      <sheetData sheetId="1589">
        <row r="2">
          <cell r="F2" t="str">
            <v>INCH</v>
          </cell>
        </row>
      </sheetData>
      <sheetData sheetId="1590">
        <row r="2">
          <cell r="F2" t="str">
            <v>INCH</v>
          </cell>
        </row>
      </sheetData>
      <sheetData sheetId="1591">
        <row r="2">
          <cell r="F2" t="str">
            <v>INCH</v>
          </cell>
        </row>
      </sheetData>
      <sheetData sheetId="1592">
        <row r="2">
          <cell r="F2" t="str">
            <v>INCH</v>
          </cell>
        </row>
      </sheetData>
      <sheetData sheetId="1593">
        <row r="2">
          <cell r="F2" t="str">
            <v>INCH</v>
          </cell>
        </row>
      </sheetData>
      <sheetData sheetId="1594">
        <row r="2">
          <cell r="F2" t="str">
            <v>INCH</v>
          </cell>
        </row>
      </sheetData>
      <sheetData sheetId="1595">
        <row r="2">
          <cell r="F2" t="str">
            <v>INCH</v>
          </cell>
        </row>
      </sheetData>
      <sheetData sheetId="1596">
        <row r="2">
          <cell r="F2" t="str">
            <v>INCH</v>
          </cell>
        </row>
      </sheetData>
      <sheetData sheetId="1597">
        <row r="2">
          <cell r="F2" t="str">
            <v>INCH</v>
          </cell>
        </row>
      </sheetData>
      <sheetData sheetId="1598">
        <row r="2">
          <cell r="F2" t="str">
            <v>INCH</v>
          </cell>
        </row>
      </sheetData>
      <sheetData sheetId="1599">
        <row r="2">
          <cell r="F2" t="str">
            <v>INCH</v>
          </cell>
        </row>
      </sheetData>
      <sheetData sheetId="1600">
        <row r="2">
          <cell r="F2" t="str">
            <v>INCH</v>
          </cell>
        </row>
      </sheetData>
      <sheetData sheetId="1601">
        <row r="2">
          <cell r="F2" t="str">
            <v>INCH</v>
          </cell>
        </row>
      </sheetData>
      <sheetData sheetId="1602">
        <row r="2">
          <cell r="F2" t="str">
            <v>INCH</v>
          </cell>
        </row>
      </sheetData>
      <sheetData sheetId="1603">
        <row r="2">
          <cell r="F2" t="str">
            <v>INCH</v>
          </cell>
        </row>
      </sheetData>
      <sheetData sheetId="1604">
        <row r="2">
          <cell r="F2" t="str">
            <v>INCH</v>
          </cell>
        </row>
      </sheetData>
      <sheetData sheetId="1605">
        <row r="2">
          <cell r="F2" t="str">
            <v>INCH</v>
          </cell>
        </row>
      </sheetData>
      <sheetData sheetId="1606">
        <row r="2">
          <cell r="F2" t="str">
            <v>INCH</v>
          </cell>
        </row>
      </sheetData>
      <sheetData sheetId="1607">
        <row r="2">
          <cell r="F2" t="str">
            <v>INCH</v>
          </cell>
        </row>
      </sheetData>
      <sheetData sheetId="1608">
        <row r="2">
          <cell r="F2" t="str">
            <v>INCH</v>
          </cell>
        </row>
      </sheetData>
      <sheetData sheetId="1609">
        <row r="2">
          <cell r="F2" t="str">
            <v>INCH</v>
          </cell>
        </row>
      </sheetData>
      <sheetData sheetId="1610">
        <row r="2">
          <cell r="F2" t="str">
            <v>INCH</v>
          </cell>
        </row>
      </sheetData>
      <sheetData sheetId="1611">
        <row r="2">
          <cell r="F2" t="str">
            <v>INCH</v>
          </cell>
        </row>
      </sheetData>
      <sheetData sheetId="1612">
        <row r="2">
          <cell r="F2" t="str">
            <v>INCH</v>
          </cell>
        </row>
      </sheetData>
      <sheetData sheetId="1613">
        <row r="2">
          <cell r="F2" t="str">
            <v>INCH</v>
          </cell>
        </row>
      </sheetData>
      <sheetData sheetId="1614">
        <row r="2">
          <cell r="F2" t="str">
            <v>INCH</v>
          </cell>
        </row>
      </sheetData>
      <sheetData sheetId="1615">
        <row r="2">
          <cell r="F2" t="str">
            <v>INCH</v>
          </cell>
        </row>
      </sheetData>
      <sheetData sheetId="1616">
        <row r="2">
          <cell r="F2" t="str">
            <v>INCH</v>
          </cell>
        </row>
      </sheetData>
      <sheetData sheetId="1617">
        <row r="2">
          <cell r="F2" t="str">
            <v>INCH</v>
          </cell>
        </row>
      </sheetData>
      <sheetData sheetId="1618">
        <row r="2">
          <cell r="F2" t="str">
            <v>INCH</v>
          </cell>
        </row>
      </sheetData>
      <sheetData sheetId="1619">
        <row r="2">
          <cell r="F2" t="str">
            <v>INCH</v>
          </cell>
        </row>
      </sheetData>
      <sheetData sheetId="1620">
        <row r="2">
          <cell r="F2" t="str">
            <v>INCH</v>
          </cell>
        </row>
      </sheetData>
      <sheetData sheetId="1621">
        <row r="2">
          <cell r="F2" t="str">
            <v>INCH</v>
          </cell>
        </row>
      </sheetData>
      <sheetData sheetId="1622">
        <row r="2">
          <cell r="F2" t="str">
            <v>INCH</v>
          </cell>
        </row>
      </sheetData>
      <sheetData sheetId="1623">
        <row r="2">
          <cell r="F2" t="str">
            <v>INCH</v>
          </cell>
        </row>
      </sheetData>
      <sheetData sheetId="1624">
        <row r="2">
          <cell r="F2" t="str">
            <v>INCH</v>
          </cell>
        </row>
      </sheetData>
      <sheetData sheetId="1625">
        <row r="2">
          <cell r="F2" t="str">
            <v>INCH</v>
          </cell>
        </row>
      </sheetData>
      <sheetData sheetId="1626">
        <row r="2">
          <cell r="F2" t="str">
            <v>INCH</v>
          </cell>
        </row>
      </sheetData>
      <sheetData sheetId="1627">
        <row r="2">
          <cell r="F2" t="str">
            <v>INCH</v>
          </cell>
        </row>
      </sheetData>
      <sheetData sheetId="1628">
        <row r="2">
          <cell r="F2" t="str">
            <v>INCH</v>
          </cell>
        </row>
      </sheetData>
      <sheetData sheetId="1629">
        <row r="2">
          <cell r="F2" t="str">
            <v>INCH</v>
          </cell>
        </row>
      </sheetData>
      <sheetData sheetId="1630">
        <row r="2">
          <cell r="F2" t="str">
            <v>INCH</v>
          </cell>
        </row>
      </sheetData>
      <sheetData sheetId="1631">
        <row r="2">
          <cell r="F2" t="str">
            <v>INCH</v>
          </cell>
        </row>
      </sheetData>
      <sheetData sheetId="1632">
        <row r="2">
          <cell r="F2" t="str">
            <v>INCH</v>
          </cell>
        </row>
      </sheetData>
      <sheetData sheetId="1633">
        <row r="2">
          <cell r="F2" t="str">
            <v>INCH</v>
          </cell>
        </row>
      </sheetData>
      <sheetData sheetId="1634">
        <row r="2">
          <cell r="F2" t="str">
            <v>INCH</v>
          </cell>
        </row>
      </sheetData>
      <sheetData sheetId="1635">
        <row r="2">
          <cell r="F2" t="str">
            <v>INCH</v>
          </cell>
        </row>
      </sheetData>
      <sheetData sheetId="1636">
        <row r="2">
          <cell r="F2" t="str">
            <v>INCH</v>
          </cell>
        </row>
      </sheetData>
      <sheetData sheetId="1637">
        <row r="2">
          <cell r="F2" t="str">
            <v>INCH</v>
          </cell>
        </row>
      </sheetData>
      <sheetData sheetId="1638">
        <row r="2">
          <cell r="F2" t="str">
            <v>INCH</v>
          </cell>
        </row>
      </sheetData>
      <sheetData sheetId="1639">
        <row r="2">
          <cell r="F2" t="str">
            <v>INCH</v>
          </cell>
        </row>
      </sheetData>
      <sheetData sheetId="1640">
        <row r="2">
          <cell r="F2" t="str">
            <v>INCH</v>
          </cell>
        </row>
      </sheetData>
      <sheetData sheetId="1641">
        <row r="2">
          <cell r="F2" t="str">
            <v>INCH</v>
          </cell>
        </row>
      </sheetData>
      <sheetData sheetId="1642">
        <row r="2">
          <cell r="F2" t="str">
            <v>INCH</v>
          </cell>
        </row>
      </sheetData>
      <sheetData sheetId="1643">
        <row r="2">
          <cell r="F2" t="str">
            <v>INCH</v>
          </cell>
        </row>
      </sheetData>
      <sheetData sheetId="1644">
        <row r="2">
          <cell r="F2" t="str">
            <v>INCH</v>
          </cell>
        </row>
      </sheetData>
      <sheetData sheetId="1645">
        <row r="2">
          <cell r="F2" t="str">
            <v>INCH</v>
          </cell>
        </row>
      </sheetData>
      <sheetData sheetId="1646">
        <row r="2">
          <cell r="F2" t="str">
            <v>INCH</v>
          </cell>
        </row>
      </sheetData>
      <sheetData sheetId="1647">
        <row r="2">
          <cell r="F2" t="str">
            <v>INCH</v>
          </cell>
        </row>
      </sheetData>
      <sheetData sheetId="1648">
        <row r="2">
          <cell r="F2" t="str">
            <v>INCH</v>
          </cell>
        </row>
      </sheetData>
      <sheetData sheetId="1649">
        <row r="2">
          <cell r="F2" t="str">
            <v>INCH</v>
          </cell>
        </row>
      </sheetData>
      <sheetData sheetId="1650">
        <row r="2">
          <cell r="F2" t="str">
            <v>INCH</v>
          </cell>
        </row>
      </sheetData>
      <sheetData sheetId="1651">
        <row r="2">
          <cell r="F2" t="str">
            <v>INCH</v>
          </cell>
        </row>
      </sheetData>
      <sheetData sheetId="1652">
        <row r="2">
          <cell r="F2" t="str">
            <v>INCH</v>
          </cell>
        </row>
      </sheetData>
      <sheetData sheetId="1653">
        <row r="2">
          <cell r="F2" t="str">
            <v>INCH</v>
          </cell>
        </row>
      </sheetData>
      <sheetData sheetId="1654">
        <row r="2">
          <cell r="F2" t="str">
            <v>INCH</v>
          </cell>
        </row>
      </sheetData>
      <sheetData sheetId="1655">
        <row r="2">
          <cell r="F2" t="str">
            <v>INCH</v>
          </cell>
        </row>
      </sheetData>
      <sheetData sheetId="1656">
        <row r="2">
          <cell r="F2" t="str">
            <v>INCH</v>
          </cell>
        </row>
      </sheetData>
      <sheetData sheetId="1657">
        <row r="2">
          <cell r="F2" t="str">
            <v>INCH</v>
          </cell>
        </row>
      </sheetData>
      <sheetData sheetId="1658">
        <row r="2">
          <cell r="F2" t="str">
            <v>INCH</v>
          </cell>
        </row>
      </sheetData>
      <sheetData sheetId="1659">
        <row r="2">
          <cell r="F2" t="str">
            <v>INCH</v>
          </cell>
        </row>
      </sheetData>
      <sheetData sheetId="1660">
        <row r="2">
          <cell r="F2" t="str">
            <v>INCH</v>
          </cell>
        </row>
      </sheetData>
      <sheetData sheetId="1661">
        <row r="2">
          <cell r="F2" t="str">
            <v>INCH</v>
          </cell>
        </row>
      </sheetData>
      <sheetData sheetId="1662">
        <row r="2">
          <cell r="F2" t="str">
            <v>INCH</v>
          </cell>
        </row>
      </sheetData>
      <sheetData sheetId="1663">
        <row r="2">
          <cell r="F2" t="str">
            <v>INCH</v>
          </cell>
        </row>
      </sheetData>
      <sheetData sheetId="1664">
        <row r="2">
          <cell r="F2" t="str">
            <v>INCH</v>
          </cell>
        </row>
      </sheetData>
      <sheetData sheetId="1665">
        <row r="2">
          <cell r="F2" t="str">
            <v>INCH</v>
          </cell>
        </row>
      </sheetData>
      <sheetData sheetId="1666">
        <row r="2">
          <cell r="F2" t="str">
            <v>INCH</v>
          </cell>
        </row>
      </sheetData>
      <sheetData sheetId="1667">
        <row r="2">
          <cell r="F2" t="str">
            <v>INCH</v>
          </cell>
        </row>
      </sheetData>
      <sheetData sheetId="1668">
        <row r="2">
          <cell r="F2" t="str">
            <v>INCH</v>
          </cell>
        </row>
      </sheetData>
      <sheetData sheetId="1669">
        <row r="2">
          <cell r="F2" t="str">
            <v>INCH</v>
          </cell>
        </row>
      </sheetData>
      <sheetData sheetId="1670">
        <row r="2">
          <cell r="F2" t="str">
            <v>INCH</v>
          </cell>
        </row>
      </sheetData>
      <sheetData sheetId="1671">
        <row r="2">
          <cell r="F2" t="str">
            <v>INCH</v>
          </cell>
        </row>
      </sheetData>
      <sheetData sheetId="1672">
        <row r="2">
          <cell r="F2" t="str">
            <v>INCH</v>
          </cell>
        </row>
      </sheetData>
      <sheetData sheetId="1673">
        <row r="2">
          <cell r="F2" t="str">
            <v>INCH</v>
          </cell>
        </row>
      </sheetData>
      <sheetData sheetId="1674">
        <row r="2">
          <cell r="F2" t="str">
            <v>INCH</v>
          </cell>
        </row>
      </sheetData>
      <sheetData sheetId="1675">
        <row r="2">
          <cell r="F2" t="str">
            <v>INCH</v>
          </cell>
        </row>
      </sheetData>
      <sheetData sheetId="1676">
        <row r="2">
          <cell r="F2" t="str">
            <v>INCH</v>
          </cell>
        </row>
      </sheetData>
      <sheetData sheetId="1677">
        <row r="2">
          <cell r="F2" t="str">
            <v>INCH</v>
          </cell>
        </row>
      </sheetData>
      <sheetData sheetId="1678">
        <row r="2">
          <cell r="F2" t="str">
            <v>INCH</v>
          </cell>
        </row>
      </sheetData>
      <sheetData sheetId="1679">
        <row r="2">
          <cell r="F2" t="str">
            <v>INCH</v>
          </cell>
        </row>
      </sheetData>
      <sheetData sheetId="1680">
        <row r="2">
          <cell r="F2" t="str">
            <v>INCH</v>
          </cell>
        </row>
      </sheetData>
      <sheetData sheetId="1681">
        <row r="2">
          <cell r="F2" t="str">
            <v>INCH</v>
          </cell>
        </row>
      </sheetData>
      <sheetData sheetId="1682">
        <row r="2">
          <cell r="F2" t="str">
            <v>INCH</v>
          </cell>
        </row>
      </sheetData>
      <sheetData sheetId="1683">
        <row r="2">
          <cell r="F2" t="str">
            <v>INCH</v>
          </cell>
        </row>
      </sheetData>
      <sheetData sheetId="1684">
        <row r="2">
          <cell r="F2" t="str">
            <v>INCH</v>
          </cell>
        </row>
      </sheetData>
      <sheetData sheetId="1685">
        <row r="2">
          <cell r="F2" t="str">
            <v>INCH</v>
          </cell>
        </row>
      </sheetData>
      <sheetData sheetId="1686">
        <row r="2">
          <cell r="F2" t="str">
            <v>INCH</v>
          </cell>
        </row>
      </sheetData>
      <sheetData sheetId="1687">
        <row r="2">
          <cell r="F2" t="str">
            <v>INCH</v>
          </cell>
        </row>
      </sheetData>
      <sheetData sheetId="1688">
        <row r="2">
          <cell r="F2" t="str">
            <v>INCH</v>
          </cell>
        </row>
      </sheetData>
      <sheetData sheetId="1689">
        <row r="2">
          <cell r="F2" t="str">
            <v>INCH</v>
          </cell>
        </row>
      </sheetData>
      <sheetData sheetId="1690">
        <row r="2">
          <cell r="F2" t="str">
            <v>INCH</v>
          </cell>
        </row>
      </sheetData>
      <sheetData sheetId="1691">
        <row r="2">
          <cell r="F2" t="str">
            <v>INCH</v>
          </cell>
        </row>
      </sheetData>
      <sheetData sheetId="1692">
        <row r="2">
          <cell r="F2" t="str">
            <v>INCH</v>
          </cell>
        </row>
      </sheetData>
      <sheetData sheetId="1693">
        <row r="2">
          <cell r="F2" t="str">
            <v>INCH</v>
          </cell>
        </row>
      </sheetData>
      <sheetData sheetId="1694">
        <row r="2">
          <cell r="F2" t="str">
            <v>INCH</v>
          </cell>
        </row>
      </sheetData>
      <sheetData sheetId="1695">
        <row r="2">
          <cell r="F2" t="str">
            <v>INCH</v>
          </cell>
        </row>
      </sheetData>
      <sheetData sheetId="1696">
        <row r="2">
          <cell r="F2" t="str">
            <v>INCH</v>
          </cell>
        </row>
      </sheetData>
      <sheetData sheetId="1697">
        <row r="2">
          <cell r="F2" t="str">
            <v>INCH</v>
          </cell>
        </row>
      </sheetData>
      <sheetData sheetId="1698">
        <row r="2">
          <cell r="F2" t="str">
            <v>INCH</v>
          </cell>
        </row>
      </sheetData>
      <sheetData sheetId="1699">
        <row r="2">
          <cell r="F2" t="str">
            <v>INCH</v>
          </cell>
        </row>
      </sheetData>
      <sheetData sheetId="1700">
        <row r="2">
          <cell r="F2" t="str">
            <v>INCH</v>
          </cell>
        </row>
      </sheetData>
      <sheetData sheetId="1701">
        <row r="2">
          <cell r="F2" t="str">
            <v>INCH</v>
          </cell>
        </row>
      </sheetData>
      <sheetData sheetId="1702">
        <row r="2">
          <cell r="F2" t="str">
            <v>INCH</v>
          </cell>
        </row>
      </sheetData>
      <sheetData sheetId="1703">
        <row r="2">
          <cell r="F2" t="str">
            <v>INCH</v>
          </cell>
        </row>
      </sheetData>
      <sheetData sheetId="1704">
        <row r="2">
          <cell r="F2" t="str">
            <v>INCH</v>
          </cell>
        </row>
      </sheetData>
      <sheetData sheetId="1705">
        <row r="2">
          <cell r="F2" t="str">
            <v>INCH</v>
          </cell>
        </row>
      </sheetData>
      <sheetData sheetId="1706">
        <row r="2">
          <cell r="F2" t="str">
            <v>INCH</v>
          </cell>
        </row>
      </sheetData>
      <sheetData sheetId="1707">
        <row r="2">
          <cell r="F2" t="str">
            <v>INCH</v>
          </cell>
        </row>
      </sheetData>
      <sheetData sheetId="1708">
        <row r="2">
          <cell r="F2" t="str">
            <v>INCH</v>
          </cell>
        </row>
      </sheetData>
      <sheetData sheetId="1709">
        <row r="2">
          <cell r="F2" t="str">
            <v>INCH</v>
          </cell>
        </row>
      </sheetData>
      <sheetData sheetId="1710">
        <row r="2">
          <cell r="F2" t="str">
            <v>INCH</v>
          </cell>
        </row>
      </sheetData>
      <sheetData sheetId="1711">
        <row r="2">
          <cell r="F2" t="str">
            <v>INCH</v>
          </cell>
        </row>
      </sheetData>
      <sheetData sheetId="1712">
        <row r="2">
          <cell r="F2" t="str">
            <v>INCH</v>
          </cell>
        </row>
      </sheetData>
      <sheetData sheetId="1713">
        <row r="2">
          <cell r="F2" t="str">
            <v>INCH</v>
          </cell>
        </row>
      </sheetData>
      <sheetData sheetId="1714">
        <row r="2">
          <cell r="F2" t="str">
            <v>INCH</v>
          </cell>
        </row>
      </sheetData>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ow r="2">
          <cell r="F2" t="str">
            <v>INCH</v>
          </cell>
        </row>
      </sheetData>
      <sheetData sheetId="1730">
        <row r="2">
          <cell r="F2" t="str">
            <v>INCH</v>
          </cell>
        </row>
      </sheetData>
      <sheetData sheetId="1731" refreshError="1"/>
      <sheetData sheetId="1732" refreshError="1"/>
      <sheetData sheetId="1733" refreshError="1"/>
      <sheetData sheetId="1734">
        <row r="2">
          <cell r="F2" t="str">
            <v>INCH</v>
          </cell>
        </row>
      </sheetData>
      <sheetData sheetId="1735">
        <row r="2">
          <cell r="F2" t="str">
            <v>INCH</v>
          </cell>
        </row>
      </sheetData>
      <sheetData sheetId="1736">
        <row r="2">
          <cell r="F2" t="str">
            <v>INCH</v>
          </cell>
        </row>
      </sheetData>
      <sheetData sheetId="1737">
        <row r="2">
          <cell r="F2" t="str">
            <v>INCH</v>
          </cell>
        </row>
      </sheetData>
      <sheetData sheetId="1738">
        <row r="2">
          <cell r="F2" t="str">
            <v>INCH</v>
          </cell>
        </row>
      </sheetData>
      <sheetData sheetId="1739">
        <row r="2">
          <cell r="F2" t="str">
            <v>INCH</v>
          </cell>
        </row>
      </sheetData>
      <sheetData sheetId="1740">
        <row r="2">
          <cell r="F2" t="str">
            <v>INCH</v>
          </cell>
        </row>
      </sheetData>
      <sheetData sheetId="1741">
        <row r="2">
          <cell r="F2" t="str">
            <v>INCH</v>
          </cell>
        </row>
      </sheetData>
      <sheetData sheetId="1742">
        <row r="2">
          <cell r="F2" t="str">
            <v>INCH</v>
          </cell>
        </row>
      </sheetData>
      <sheetData sheetId="1743">
        <row r="2">
          <cell r="F2" t="str">
            <v>INCH</v>
          </cell>
        </row>
      </sheetData>
      <sheetData sheetId="1744">
        <row r="2">
          <cell r="F2" t="str">
            <v>INCH</v>
          </cell>
        </row>
      </sheetData>
      <sheetData sheetId="1745">
        <row r="2">
          <cell r="F2" t="str">
            <v>INCH</v>
          </cell>
        </row>
      </sheetData>
      <sheetData sheetId="1746">
        <row r="2">
          <cell r="F2" t="str">
            <v>INCH</v>
          </cell>
        </row>
      </sheetData>
      <sheetData sheetId="1747">
        <row r="2">
          <cell r="F2" t="str">
            <v>INCH</v>
          </cell>
        </row>
      </sheetData>
      <sheetData sheetId="1748">
        <row r="2">
          <cell r="F2" t="str">
            <v>INCH</v>
          </cell>
        </row>
      </sheetData>
      <sheetData sheetId="1749">
        <row r="2">
          <cell r="F2" t="str">
            <v>INCH</v>
          </cell>
        </row>
      </sheetData>
      <sheetData sheetId="1750">
        <row r="2">
          <cell r="F2" t="str">
            <v>INCH</v>
          </cell>
        </row>
      </sheetData>
      <sheetData sheetId="1751">
        <row r="2">
          <cell r="F2" t="str">
            <v>INCH</v>
          </cell>
        </row>
      </sheetData>
      <sheetData sheetId="1752">
        <row r="2">
          <cell r="F2" t="str">
            <v>INCH</v>
          </cell>
        </row>
      </sheetData>
      <sheetData sheetId="1753">
        <row r="2">
          <cell r="F2" t="str">
            <v>INCH</v>
          </cell>
        </row>
      </sheetData>
      <sheetData sheetId="1754">
        <row r="2">
          <cell r="F2" t="str">
            <v>INCH</v>
          </cell>
        </row>
      </sheetData>
      <sheetData sheetId="1755">
        <row r="2">
          <cell r="F2" t="str">
            <v>INCH</v>
          </cell>
        </row>
      </sheetData>
      <sheetData sheetId="1756">
        <row r="2">
          <cell r="F2" t="str">
            <v>INCH</v>
          </cell>
        </row>
      </sheetData>
      <sheetData sheetId="1757">
        <row r="2">
          <cell r="F2" t="str">
            <v>INCH</v>
          </cell>
        </row>
      </sheetData>
      <sheetData sheetId="1758">
        <row r="2">
          <cell r="F2" t="str">
            <v>INCH</v>
          </cell>
        </row>
      </sheetData>
      <sheetData sheetId="1759">
        <row r="2">
          <cell r="F2" t="str">
            <v>INCH</v>
          </cell>
        </row>
      </sheetData>
      <sheetData sheetId="1760">
        <row r="2">
          <cell r="F2" t="str">
            <v>INCH</v>
          </cell>
        </row>
      </sheetData>
      <sheetData sheetId="1761">
        <row r="2">
          <cell r="F2" t="str">
            <v>INCH</v>
          </cell>
        </row>
      </sheetData>
      <sheetData sheetId="1762">
        <row r="2">
          <cell r="F2" t="str">
            <v>INCH</v>
          </cell>
        </row>
      </sheetData>
      <sheetData sheetId="1763">
        <row r="2">
          <cell r="F2" t="str">
            <v>INCH</v>
          </cell>
        </row>
      </sheetData>
      <sheetData sheetId="1764">
        <row r="2">
          <cell r="F2" t="str">
            <v>INCH</v>
          </cell>
        </row>
      </sheetData>
      <sheetData sheetId="1765">
        <row r="2">
          <cell r="F2" t="str">
            <v>INCH</v>
          </cell>
        </row>
      </sheetData>
      <sheetData sheetId="1766">
        <row r="2">
          <cell r="F2" t="str">
            <v>INCH</v>
          </cell>
        </row>
      </sheetData>
      <sheetData sheetId="1767">
        <row r="2">
          <cell r="F2" t="str">
            <v>INCH</v>
          </cell>
        </row>
      </sheetData>
      <sheetData sheetId="1768">
        <row r="2">
          <cell r="F2" t="str">
            <v>INCH</v>
          </cell>
        </row>
      </sheetData>
      <sheetData sheetId="1769">
        <row r="2">
          <cell r="F2" t="str">
            <v>INCH</v>
          </cell>
        </row>
      </sheetData>
      <sheetData sheetId="1770">
        <row r="2">
          <cell r="F2" t="str">
            <v>INCH</v>
          </cell>
        </row>
      </sheetData>
      <sheetData sheetId="1771">
        <row r="2">
          <cell r="F2" t="str">
            <v>INCH</v>
          </cell>
        </row>
      </sheetData>
      <sheetData sheetId="1772">
        <row r="2">
          <cell r="F2" t="str">
            <v>INCH</v>
          </cell>
        </row>
      </sheetData>
      <sheetData sheetId="1773">
        <row r="2">
          <cell r="F2" t="str">
            <v>INCH</v>
          </cell>
        </row>
      </sheetData>
      <sheetData sheetId="1774">
        <row r="2">
          <cell r="F2" t="str">
            <v>INCH</v>
          </cell>
        </row>
      </sheetData>
      <sheetData sheetId="1775">
        <row r="2">
          <cell r="F2" t="str">
            <v>INCH</v>
          </cell>
        </row>
      </sheetData>
      <sheetData sheetId="1776">
        <row r="2">
          <cell r="F2" t="str">
            <v>INCH</v>
          </cell>
        </row>
      </sheetData>
      <sheetData sheetId="1777">
        <row r="2">
          <cell r="F2" t="str">
            <v>INCH</v>
          </cell>
        </row>
      </sheetData>
      <sheetData sheetId="1778">
        <row r="2">
          <cell r="F2" t="str">
            <v>INCH</v>
          </cell>
        </row>
      </sheetData>
      <sheetData sheetId="1779">
        <row r="2">
          <cell r="F2" t="str">
            <v>INCH</v>
          </cell>
        </row>
      </sheetData>
      <sheetData sheetId="1780">
        <row r="2">
          <cell r="F2" t="str">
            <v>INCH</v>
          </cell>
        </row>
      </sheetData>
      <sheetData sheetId="1781">
        <row r="2">
          <cell r="F2" t="str">
            <v>INCH</v>
          </cell>
        </row>
      </sheetData>
      <sheetData sheetId="1782">
        <row r="2">
          <cell r="F2" t="str">
            <v>INCH</v>
          </cell>
        </row>
      </sheetData>
      <sheetData sheetId="1783">
        <row r="2">
          <cell r="F2" t="str">
            <v>INCH</v>
          </cell>
        </row>
      </sheetData>
      <sheetData sheetId="1784">
        <row r="2">
          <cell r="F2" t="str">
            <v>INCH</v>
          </cell>
        </row>
      </sheetData>
      <sheetData sheetId="1785">
        <row r="2">
          <cell r="F2" t="str">
            <v>INCH</v>
          </cell>
        </row>
      </sheetData>
      <sheetData sheetId="1786">
        <row r="2">
          <cell r="F2" t="str">
            <v>INCH</v>
          </cell>
        </row>
      </sheetData>
      <sheetData sheetId="1787">
        <row r="2">
          <cell r="F2" t="str">
            <v>INCH</v>
          </cell>
        </row>
      </sheetData>
      <sheetData sheetId="1788">
        <row r="2">
          <cell r="F2" t="str">
            <v>INCH</v>
          </cell>
        </row>
      </sheetData>
      <sheetData sheetId="1789">
        <row r="2">
          <cell r="F2" t="str">
            <v>INCH</v>
          </cell>
        </row>
      </sheetData>
      <sheetData sheetId="1790">
        <row r="2">
          <cell r="F2" t="str">
            <v>INCH</v>
          </cell>
        </row>
      </sheetData>
      <sheetData sheetId="1791">
        <row r="2">
          <cell r="F2" t="str">
            <v>INCH</v>
          </cell>
        </row>
      </sheetData>
      <sheetData sheetId="1792">
        <row r="2">
          <cell r="F2" t="str">
            <v>INCH</v>
          </cell>
        </row>
      </sheetData>
      <sheetData sheetId="1793">
        <row r="2">
          <cell r="F2" t="str">
            <v>INCH</v>
          </cell>
        </row>
      </sheetData>
      <sheetData sheetId="1794">
        <row r="2">
          <cell r="F2" t="str">
            <v>INCH</v>
          </cell>
        </row>
      </sheetData>
      <sheetData sheetId="1795">
        <row r="2">
          <cell r="F2" t="str">
            <v>INCH</v>
          </cell>
        </row>
      </sheetData>
      <sheetData sheetId="1796">
        <row r="2">
          <cell r="F2" t="str">
            <v>INCH</v>
          </cell>
        </row>
      </sheetData>
      <sheetData sheetId="1797">
        <row r="2">
          <cell r="F2" t="str">
            <v>INCH</v>
          </cell>
        </row>
      </sheetData>
      <sheetData sheetId="1798">
        <row r="2">
          <cell r="F2" t="str">
            <v>INCH</v>
          </cell>
        </row>
      </sheetData>
      <sheetData sheetId="1799">
        <row r="2">
          <cell r="F2" t="str">
            <v>INCH</v>
          </cell>
        </row>
      </sheetData>
      <sheetData sheetId="1800">
        <row r="2">
          <cell r="F2" t="str">
            <v>INCH</v>
          </cell>
        </row>
      </sheetData>
      <sheetData sheetId="1801">
        <row r="2">
          <cell r="F2" t="str">
            <v>INCH</v>
          </cell>
        </row>
      </sheetData>
      <sheetData sheetId="1802">
        <row r="2">
          <cell r="F2" t="str">
            <v>INCH</v>
          </cell>
        </row>
      </sheetData>
      <sheetData sheetId="1803" refreshError="1"/>
      <sheetData sheetId="1804" refreshError="1"/>
      <sheetData sheetId="1805" refreshError="1"/>
      <sheetData sheetId="1806" refreshError="1"/>
      <sheetData sheetId="1807">
        <row r="2">
          <cell r="F2" t="str">
            <v>INCH</v>
          </cell>
        </row>
      </sheetData>
      <sheetData sheetId="1808" refreshError="1"/>
      <sheetData sheetId="1809" refreshError="1"/>
      <sheetData sheetId="1810" refreshError="1"/>
      <sheetData sheetId="1811">
        <row r="2">
          <cell r="F2" t="str">
            <v>INCH</v>
          </cell>
        </row>
      </sheetData>
      <sheetData sheetId="1812">
        <row r="2">
          <cell r="F2" t="str">
            <v>INCH</v>
          </cell>
        </row>
      </sheetData>
      <sheetData sheetId="1813">
        <row r="2">
          <cell r="F2" t="str">
            <v>INCH</v>
          </cell>
        </row>
      </sheetData>
      <sheetData sheetId="1814" refreshError="1"/>
      <sheetData sheetId="1815" refreshError="1"/>
      <sheetData sheetId="1816" refreshError="1"/>
      <sheetData sheetId="1817" refreshError="1"/>
      <sheetData sheetId="1818" refreshError="1"/>
      <sheetData sheetId="1819">
        <row r="2">
          <cell r="F2" t="str">
            <v>INCH</v>
          </cell>
        </row>
      </sheetData>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ow r="2">
          <cell r="F2" t="str">
            <v>INCH</v>
          </cell>
        </row>
      </sheetData>
      <sheetData sheetId="1988">
        <row r="2">
          <cell r="F2" t="str">
            <v>INCH</v>
          </cell>
        </row>
      </sheetData>
      <sheetData sheetId="1989">
        <row r="2">
          <cell r="F2" t="str">
            <v>INCH</v>
          </cell>
        </row>
      </sheetData>
      <sheetData sheetId="1990">
        <row r="2">
          <cell r="F2" t="str">
            <v>INCH</v>
          </cell>
        </row>
      </sheetData>
      <sheetData sheetId="1991">
        <row r="2">
          <cell r="F2" t="str">
            <v>INCH</v>
          </cell>
        </row>
      </sheetData>
      <sheetData sheetId="1992">
        <row r="2">
          <cell r="F2" t="str">
            <v>INCH</v>
          </cell>
        </row>
      </sheetData>
      <sheetData sheetId="1993">
        <row r="2">
          <cell r="F2" t="str">
            <v>INCH</v>
          </cell>
        </row>
      </sheetData>
      <sheetData sheetId="1994">
        <row r="2">
          <cell r="F2" t="str">
            <v>INCH</v>
          </cell>
        </row>
      </sheetData>
      <sheetData sheetId="1995">
        <row r="2">
          <cell r="F2" t="str">
            <v>INCH</v>
          </cell>
        </row>
      </sheetData>
      <sheetData sheetId="1996">
        <row r="2">
          <cell r="F2" t="str">
            <v>INCH</v>
          </cell>
        </row>
      </sheetData>
      <sheetData sheetId="1997">
        <row r="2">
          <cell r="F2" t="str">
            <v>INCH</v>
          </cell>
        </row>
      </sheetData>
      <sheetData sheetId="1998">
        <row r="2">
          <cell r="F2" t="str">
            <v>INCH</v>
          </cell>
        </row>
      </sheetData>
      <sheetData sheetId="1999">
        <row r="2">
          <cell r="F2" t="str">
            <v>INCH</v>
          </cell>
        </row>
      </sheetData>
      <sheetData sheetId="2000">
        <row r="2">
          <cell r="F2" t="str">
            <v>INCH</v>
          </cell>
        </row>
      </sheetData>
      <sheetData sheetId="2001">
        <row r="2">
          <cell r="F2" t="str">
            <v>INCH</v>
          </cell>
        </row>
      </sheetData>
      <sheetData sheetId="2002">
        <row r="2">
          <cell r="F2" t="str">
            <v>INCH</v>
          </cell>
        </row>
      </sheetData>
      <sheetData sheetId="2003">
        <row r="2">
          <cell r="F2" t="str">
            <v>INCH</v>
          </cell>
        </row>
      </sheetData>
      <sheetData sheetId="2004">
        <row r="2">
          <cell r="F2" t="str">
            <v>INCH</v>
          </cell>
        </row>
      </sheetData>
      <sheetData sheetId="2005">
        <row r="2">
          <cell r="F2" t="str">
            <v>INCH</v>
          </cell>
        </row>
      </sheetData>
      <sheetData sheetId="2006">
        <row r="2">
          <cell r="F2" t="str">
            <v>INCH</v>
          </cell>
        </row>
      </sheetData>
      <sheetData sheetId="2007">
        <row r="2">
          <cell r="F2" t="str">
            <v>INCH</v>
          </cell>
        </row>
      </sheetData>
      <sheetData sheetId="2008">
        <row r="2">
          <cell r="F2" t="str">
            <v>INCH</v>
          </cell>
        </row>
      </sheetData>
      <sheetData sheetId="2009">
        <row r="2">
          <cell r="F2" t="str">
            <v>INCH</v>
          </cell>
        </row>
      </sheetData>
      <sheetData sheetId="2010">
        <row r="2">
          <cell r="F2" t="str">
            <v>INCH</v>
          </cell>
        </row>
      </sheetData>
      <sheetData sheetId="2011">
        <row r="2">
          <cell r="F2" t="str">
            <v>INCH</v>
          </cell>
        </row>
      </sheetData>
      <sheetData sheetId="2012">
        <row r="2">
          <cell r="F2" t="str">
            <v>INCH</v>
          </cell>
        </row>
      </sheetData>
      <sheetData sheetId="2013">
        <row r="2">
          <cell r="F2" t="str">
            <v>INCH</v>
          </cell>
        </row>
      </sheetData>
      <sheetData sheetId="2014">
        <row r="2">
          <cell r="F2" t="str">
            <v>INCH</v>
          </cell>
        </row>
      </sheetData>
      <sheetData sheetId="2015">
        <row r="2">
          <cell r="F2" t="str">
            <v>INCH</v>
          </cell>
        </row>
      </sheetData>
      <sheetData sheetId="2016">
        <row r="2">
          <cell r="F2" t="str">
            <v>INCH</v>
          </cell>
        </row>
      </sheetData>
      <sheetData sheetId="2017">
        <row r="2">
          <cell r="F2" t="str">
            <v>INCH</v>
          </cell>
        </row>
      </sheetData>
      <sheetData sheetId="2018">
        <row r="2">
          <cell r="F2" t="str">
            <v>INCH</v>
          </cell>
        </row>
      </sheetData>
      <sheetData sheetId="2019">
        <row r="2">
          <cell r="F2" t="str">
            <v>INCH</v>
          </cell>
        </row>
      </sheetData>
      <sheetData sheetId="2020">
        <row r="2">
          <cell r="F2" t="str">
            <v>INCH</v>
          </cell>
        </row>
      </sheetData>
      <sheetData sheetId="2021">
        <row r="2">
          <cell r="F2" t="str">
            <v>INCH</v>
          </cell>
        </row>
      </sheetData>
      <sheetData sheetId="2022">
        <row r="2">
          <cell r="F2" t="str">
            <v>INCH</v>
          </cell>
        </row>
      </sheetData>
      <sheetData sheetId="2023">
        <row r="2">
          <cell r="F2" t="str">
            <v>INCH</v>
          </cell>
        </row>
      </sheetData>
      <sheetData sheetId="2024">
        <row r="2">
          <cell r="F2" t="str">
            <v>INCH</v>
          </cell>
        </row>
      </sheetData>
      <sheetData sheetId="2025">
        <row r="2">
          <cell r="F2" t="str">
            <v>INCH</v>
          </cell>
        </row>
      </sheetData>
      <sheetData sheetId="2026">
        <row r="2">
          <cell r="F2" t="str">
            <v>INCH</v>
          </cell>
        </row>
      </sheetData>
      <sheetData sheetId="2027">
        <row r="2">
          <cell r="F2" t="str">
            <v>INCH</v>
          </cell>
        </row>
      </sheetData>
      <sheetData sheetId="2028">
        <row r="2">
          <cell r="F2" t="str">
            <v>INCH</v>
          </cell>
        </row>
      </sheetData>
      <sheetData sheetId="2029">
        <row r="2">
          <cell r="F2" t="str">
            <v>INCH</v>
          </cell>
        </row>
      </sheetData>
      <sheetData sheetId="2030">
        <row r="2">
          <cell r="F2" t="str">
            <v>INCH</v>
          </cell>
        </row>
      </sheetData>
      <sheetData sheetId="2031">
        <row r="2">
          <cell r="F2" t="str">
            <v>INCH</v>
          </cell>
        </row>
      </sheetData>
      <sheetData sheetId="2032">
        <row r="2">
          <cell r="F2" t="str">
            <v>INCH</v>
          </cell>
        </row>
      </sheetData>
      <sheetData sheetId="2033">
        <row r="2">
          <cell r="F2" t="str">
            <v>INCH</v>
          </cell>
        </row>
      </sheetData>
      <sheetData sheetId="2034">
        <row r="2">
          <cell r="F2" t="str">
            <v>INCH</v>
          </cell>
        </row>
      </sheetData>
      <sheetData sheetId="2035">
        <row r="2">
          <cell r="F2" t="str">
            <v>INCH</v>
          </cell>
        </row>
      </sheetData>
      <sheetData sheetId="2036">
        <row r="2">
          <cell r="F2" t="str">
            <v>INCH</v>
          </cell>
        </row>
      </sheetData>
      <sheetData sheetId="2037">
        <row r="2">
          <cell r="F2" t="str">
            <v>INCH</v>
          </cell>
        </row>
      </sheetData>
      <sheetData sheetId="2038">
        <row r="2">
          <cell r="F2" t="str">
            <v>INCH</v>
          </cell>
        </row>
      </sheetData>
      <sheetData sheetId="2039">
        <row r="2">
          <cell r="F2" t="str">
            <v>INCH</v>
          </cell>
        </row>
      </sheetData>
      <sheetData sheetId="2040">
        <row r="2">
          <cell r="F2" t="str">
            <v>INCH</v>
          </cell>
        </row>
      </sheetData>
      <sheetData sheetId="2041">
        <row r="2">
          <cell r="F2" t="str">
            <v>INCH</v>
          </cell>
        </row>
      </sheetData>
      <sheetData sheetId="2042">
        <row r="2">
          <cell r="F2" t="str">
            <v>INCH</v>
          </cell>
        </row>
      </sheetData>
      <sheetData sheetId="2043">
        <row r="2">
          <cell r="F2" t="str">
            <v>INCH</v>
          </cell>
        </row>
      </sheetData>
      <sheetData sheetId="2044">
        <row r="2">
          <cell r="F2" t="str">
            <v>INCH</v>
          </cell>
        </row>
      </sheetData>
      <sheetData sheetId="2045">
        <row r="2">
          <cell r="F2" t="str">
            <v>INCH</v>
          </cell>
        </row>
      </sheetData>
      <sheetData sheetId="2046">
        <row r="2">
          <cell r="F2" t="str">
            <v>INCH</v>
          </cell>
        </row>
      </sheetData>
      <sheetData sheetId="2047">
        <row r="2">
          <cell r="F2" t="str">
            <v>INCH</v>
          </cell>
        </row>
      </sheetData>
      <sheetData sheetId="2048">
        <row r="2">
          <cell r="F2" t="str">
            <v>INCH</v>
          </cell>
        </row>
      </sheetData>
      <sheetData sheetId="2049">
        <row r="2">
          <cell r="F2" t="str">
            <v>INCH</v>
          </cell>
        </row>
      </sheetData>
      <sheetData sheetId="2050">
        <row r="2">
          <cell r="F2" t="str">
            <v>INCH</v>
          </cell>
        </row>
      </sheetData>
      <sheetData sheetId="2051">
        <row r="2">
          <cell r="F2" t="str">
            <v>INCH</v>
          </cell>
        </row>
      </sheetData>
      <sheetData sheetId="2052">
        <row r="2">
          <cell r="F2" t="str">
            <v>INCH</v>
          </cell>
        </row>
      </sheetData>
      <sheetData sheetId="2053">
        <row r="2">
          <cell r="F2" t="str">
            <v>INCH</v>
          </cell>
        </row>
      </sheetData>
      <sheetData sheetId="2054">
        <row r="2">
          <cell r="F2" t="str">
            <v>INCH</v>
          </cell>
        </row>
      </sheetData>
      <sheetData sheetId="2055">
        <row r="2">
          <cell r="F2" t="str">
            <v>INCH</v>
          </cell>
        </row>
      </sheetData>
      <sheetData sheetId="2056">
        <row r="2">
          <cell r="F2" t="str">
            <v>INCH</v>
          </cell>
        </row>
      </sheetData>
      <sheetData sheetId="2057">
        <row r="2">
          <cell r="F2" t="str">
            <v>INCH</v>
          </cell>
        </row>
      </sheetData>
      <sheetData sheetId="2058">
        <row r="2">
          <cell r="F2" t="str">
            <v>INCH</v>
          </cell>
        </row>
      </sheetData>
      <sheetData sheetId="2059">
        <row r="2">
          <cell r="F2" t="str">
            <v>INCH</v>
          </cell>
        </row>
      </sheetData>
      <sheetData sheetId="2060">
        <row r="2">
          <cell r="F2" t="str">
            <v>INCH</v>
          </cell>
        </row>
      </sheetData>
      <sheetData sheetId="2061">
        <row r="2">
          <cell r="F2" t="str">
            <v>INCH</v>
          </cell>
        </row>
      </sheetData>
      <sheetData sheetId="2062">
        <row r="2">
          <cell r="F2" t="str">
            <v>INCH</v>
          </cell>
        </row>
      </sheetData>
      <sheetData sheetId="2063">
        <row r="2">
          <cell r="F2" t="str">
            <v>INCH</v>
          </cell>
        </row>
      </sheetData>
      <sheetData sheetId="2064">
        <row r="2">
          <cell r="F2" t="str">
            <v>INCH</v>
          </cell>
        </row>
      </sheetData>
      <sheetData sheetId="2065">
        <row r="2">
          <cell r="F2" t="str">
            <v>INCH</v>
          </cell>
        </row>
      </sheetData>
      <sheetData sheetId="2066">
        <row r="2">
          <cell r="F2" t="str">
            <v>INCH</v>
          </cell>
        </row>
      </sheetData>
      <sheetData sheetId="2067">
        <row r="2">
          <cell r="F2" t="str">
            <v>INCH</v>
          </cell>
        </row>
      </sheetData>
      <sheetData sheetId="2068">
        <row r="2">
          <cell r="F2" t="str">
            <v>INCH</v>
          </cell>
        </row>
      </sheetData>
      <sheetData sheetId="2069">
        <row r="2">
          <cell r="F2" t="str">
            <v>INCH</v>
          </cell>
        </row>
      </sheetData>
      <sheetData sheetId="2070">
        <row r="2">
          <cell r="F2" t="str">
            <v>INCH</v>
          </cell>
        </row>
      </sheetData>
      <sheetData sheetId="2071">
        <row r="2">
          <cell r="F2" t="str">
            <v>INCH</v>
          </cell>
        </row>
      </sheetData>
      <sheetData sheetId="2072">
        <row r="2">
          <cell r="F2" t="str">
            <v>INCH</v>
          </cell>
        </row>
      </sheetData>
      <sheetData sheetId="2073">
        <row r="2">
          <cell r="F2" t="str">
            <v>INCH</v>
          </cell>
        </row>
      </sheetData>
      <sheetData sheetId="2074">
        <row r="2">
          <cell r="F2" t="str">
            <v>INCH</v>
          </cell>
        </row>
      </sheetData>
      <sheetData sheetId="2075">
        <row r="2">
          <cell r="F2" t="str">
            <v>INCH</v>
          </cell>
        </row>
      </sheetData>
      <sheetData sheetId="2076">
        <row r="2">
          <cell r="F2" t="str">
            <v>INCH</v>
          </cell>
        </row>
      </sheetData>
      <sheetData sheetId="2077">
        <row r="2">
          <cell r="F2" t="str">
            <v>INCH</v>
          </cell>
        </row>
      </sheetData>
      <sheetData sheetId="2078">
        <row r="2">
          <cell r="F2" t="str">
            <v>INCH</v>
          </cell>
        </row>
      </sheetData>
      <sheetData sheetId="2079">
        <row r="2">
          <cell r="F2" t="str">
            <v>INCH</v>
          </cell>
        </row>
      </sheetData>
      <sheetData sheetId="2080">
        <row r="2">
          <cell r="F2" t="str">
            <v>INCH</v>
          </cell>
        </row>
      </sheetData>
      <sheetData sheetId="2081">
        <row r="2">
          <cell r="F2" t="str">
            <v>INCH</v>
          </cell>
        </row>
      </sheetData>
      <sheetData sheetId="2082">
        <row r="2">
          <cell r="F2" t="str">
            <v>INCH</v>
          </cell>
        </row>
      </sheetData>
      <sheetData sheetId="2083">
        <row r="2">
          <cell r="F2" t="str">
            <v>INCH</v>
          </cell>
        </row>
      </sheetData>
      <sheetData sheetId="2084">
        <row r="2">
          <cell r="F2" t="str">
            <v>INCH</v>
          </cell>
        </row>
      </sheetData>
      <sheetData sheetId="2085">
        <row r="2">
          <cell r="F2" t="str">
            <v>INCH</v>
          </cell>
        </row>
      </sheetData>
      <sheetData sheetId="2086">
        <row r="2">
          <cell r="F2" t="str">
            <v>INCH</v>
          </cell>
        </row>
      </sheetData>
      <sheetData sheetId="2087">
        <row r="2">
          <cell r="F2" t="str">
            <v>INCH</v>
          </cell>
        </row>
      </sheetData>
      <sheetData sheetId="2088">
        <row r="2">
          <cell r="F2" t="str">
            <v>INCH</v>
          </cell>
        </row>
      </sheetData>
      <sheetData sheetId="2089">
        <row r="2">
          <cell r="F2" t="str">
            <v>INCH</v>
          </cell>
        </row>
      </sheetData>
      <sheetData sheetId="2090">
        <row r="2">
          <cell r="F2" t="str">
            <v>INCH</v>
          </cell>
        </row>
      </sheetData>
      <sheetData sheetId="2091">
        <row r="2">
          <cell r="F2" t="str">
            <v>INCH</v>
          </cell>
        </row>
      </sheetData>
      <sheetData sheetId="2092">
        <row r="2">
          <cell r="F2" t="str">
            <v>INCH</v>
          </cell>
        </row>
      </sheetData>
      <sheetData sheetId="2093">
        <row r="2">
          <cell r="F2" t="str">
            <v>INCH</v>
          </cell>
        </row>
      </sheetData>
      <sheetData sheetId="2094">
        <row r="2">
          <cell r="F2" t="str">
            <v>INCH</v>
          </cell>
        </row>
      </sheetData>
      <sheetData sheetId="2095">
        <row r="2">
          <cell r="F2" t="str">
            <v>INCH</v>
          </cell>
        </row>
      </sheetData>
      <sheetData sheetId="2096">
        <row r="2">
          <cell r="F2" t="str">
            <v>INCH</v>
          </cell>
        </row>
      </sheetData>
      <sheetData sheetId="2097">
        <row r="2">
          <cell r="F2" t="str">
            <v>INCH</v>
          </cell>
        </row>
      </sheetData>
      <sheetData sheetId="2098">
        <row r="2">
          <cell r="F2" t="str">
            <v>INCH</v>
          </cell>
        </row>
      </sheetData>
      <sheetData sheetId="2099">
        <row r="2">
          <cell r="F2" t="str">
            <v>INCH</v>
          </cell>
        </row>
      </sheetData>
      <sheetData sheetId="2100">
        <row r="2">
          <cell r="F2" t="str">
            <v>INCH</v>
          </cell>
        </row>
      </sheetData>
      <sheetData sheetId="2101">
        <row r="2">
          <cell r="F2" t="str">
            <v>INCH</v>
          </cell>
        </row>
      </sheetData>
      <sheetData sheetId="2102">
        <row r="2">
          <cell r="F2" t="str">
            <v>INCH</v>
          </cell>
        </row>
      </sheetData>
      <sheetData sheetId="2103">
        <row r="2">
          <cell r="F2" t="str">
            <v>INCH</v>
          </cell>
        </row>
      </sheetData>
      <sheetData sheetId="2104">
        <row r="2">
          <cell r="F2" t="str">
            <v>INCH</v>
          </cell>
        </row>
      </sheetData>
      <sheetData sheetId="2105">
        <row r="2">
          <cell r="F2" t="str">
            <v>INCH</v>
          </cell>
        </row>
      </sheetData>
      <sheetData sheetId="2106">
        <row r="2">
          <cell r="F2" t="str">
            <v>INCH</v>
          </cell>
        </row>
      </sheetData>
      <sheetData sheetId="2107">
        <row r="2">
          <cell r="F2" t="str">
            <v>INCH</v>
          </cell>
        </row>
      </sheetData>
      <sheetData sheetId="2108">
        <row r="2">
          <cell r="F2" t="str">
            <v>INCH</v>
          </cell>
        </row>
      </sheetData>
      <sheetData sheetId="2109">
        <row r="2">
          <cell r="F2" t="str">
            <v>INCH</v>
          </cell>
        </row>
      </sheetData>
      <sheetData sheetId="2110">
        <row r="2">
          <cell r="F2" t="str">
            <v>INCH</v>
          </cell>
        </row>
      </sheetData>
      <sheetData sheetId="2111">
        <row r="2">
          <cell r="F2" t="str">
            <v>INCH</v>
          </cell>
        </row>
      </sheetData>
      <sheetData sheetId="2112">
        <row r="2">
          <cell r="F2" t="str">
            <v>INCH</v>
          </cell>
        </row>
      </sheetData>
      <sheetData sheetId="2113">
        <row r="2">
          <cell r="F2" t="str">
            <v>INCH</v>
          </cell>
        </row>
      </sheetData>
      <sheetData sheetId="2114">
        <row r="2">
          <cell r="F2" t="str">
            <v>INCH</v>
          </cell>
        </row>
      </sheetData>
      <sheetData sheetId="2115">
        <row r="2">
          <cell r="F2" t="str">
            <v>INCH</v>
          </cell>
        </row>
      </sheetData>
      <sheetData sheetId="2116">
        <row r="2">
          <cell r="F2" t="str">
            <v>INCH</v>
          </cell>
        </row>
      </sheetData>
      <sheetData sheetId="2117">
        <row r="2">
          <cell r="F2" t="str">
            <v>INCH</v>
          </cell>
        </row>
      </sheetData>
      <sheetData sheetId="2118">
        <row r="2">
          <cell r="F2" t="str">
            <v>INCH</v>
          </cell>
        </row>
      </sheetData>
      <sheetData sheetId="2119">
        <row r="2">
          <cell r="F2" t="str">
            <v>INCH</v>
          </cell>
        </row>
      </sheetData>
      <sheetData sheetId="2120">
        <row r="2">
          <cell r="F2" t="str">
            <v>INCH</v>
          </cell>
        </row>
      </sheetData>
      <sheetData sheetId="2121">
        <row r="2">
          <cell r="F2" t="str">
            <v>INCH</v>
          </cell>
        </row>
      </sheetData>
      <sheetData sheetId="2122">
        <row r="2">
          <cell r="F2" t="str">
            <v>INCH</v>
          </cell>
        </row>
      </sheetData>
      <sheetData sheetId="2123">
        <row r="2">
          <cell r="F2" t="str">
            <v>INCH</v>
          </cell>
        </row>
      </sheetData>
      <sheetData sheetId="2124">
        <row r="2">
          <cell r="F2" t="str">
            <v>INCH</v>
          </cell>
        </row>
      </sheetData>
      <sheetData sheetId="2125">
        <row r="2">
          <cell r="F2" t="str">
            <v>INCH</v>
          </cell>
        </row>
      </sheetData>
      <sheetData sheetId="2126">
        <row r="2">
          <cell r="F2" t="str">
            <v>INCH</v>
          </cell>
        </row>
      </sheetData>
      <sheetData sheetId="2127">
        <row r="2">
          <cell r="F2" t="str">
            <v>INCH</v>
          </cell>
        </row>
      </sheetData>
      <sheetData sheetId="2128">
        <row r="2">
          <cell r="F2" t="str">
            <v>INCH</v>
          </cell>
        </row>
      </sheetData>
      <sheetData sheetId="2129">
        <row r="2">
          <cell r="F2" t="str">
            <v>INCH</v>
          </cell>
        </row>
      </sheetData>
      <sheetData sheetId="2130">
        <row r="2">
          <cell r="F2" t="str">
            <v>INCH</v>
          </cell>
        </row>
      </sheetData>
      <sheetData sheetId="2131">
        <row r="2">
          <cell r="F2" t="str">
            <v>INCH</v>
          </cell>
        </row>
      </sheetData>
      <sheetData sheetId="2132">
        <row r="2">
          <cell r="F2" t="str">
            <v>INCH</v>
          </cell>
        </row>
      </sheetData>
      <sheetData sheetId="2133">
        <row r="2">
          <cell r="F2" t="str">
            <v>INCH</v>
          </cell>
        </row>
      </sheetData>
      <sheetData sheetId="2134">
        <row r="2">
          <cell r="F2" t="str">
            <v>INCH</v>
          </cell>
        </row>
      </sheetData>
      <sheetData sheetId="2135">
        <row r="2">
          <cell r="F2" t="str">
            <v>INCH</v>
          </cell>
        </row>
      </sheetData>
      <sheetData sheetId="2136">
        <row r="2">
          <cell r="F2" t="str">
            <v>INCH</v>
          </cell>
        </row>
      </sheetData>
      <sheetData sheetId="2137">
        <row r="2">
          <cell r="F2" t="str">
            <v>INCH</v>
          </cell>
        </row>
      </sheetData>
      <sheetData sheetId="2138">
        <row r="2">
          <cell r="F2" t="str">
            <v>INCH</v>
          </cell>
        </row>
      </sheetData>
      <sheetData sheetId="2139">
        <row r="2">
          <cell r="F2" t="str">
            <v>INCH</v>
          </cell>
        </row>
      </sheetData>
      <sheetData sheetId="2140">
        <row r="2">
          <cell r="F2" t="str">
            <v>INCH</v>
          </cell>
        </row>
      </sheetData>
      <sheetData sheetId="2141">
        <row r="2">
          <cell r="F2" t="str">
            <v>INCH</v>
          </cell>
        </row>
      </sheetData>
      <sheetData sheetId="2142">
        <row r="2">
          <cell r="F2" t="str">
            <v>INCH</v>
          </cell>
        </row>
      </sheetData>
      <sheetData sheetId="2143">
        <row r="2">
          <cell r="F2" t="str">
            <v>INCH</v>
          </cell>
        </row>
      </sheetData>
      <sheetData sheetId="2144">
        <row r="2">
          <cell r="F2" t="str">
            <v>INCH</v>
          </cell>
        </row>
      </sheetData>
      <sheetData sheetId="2145">
        <row r="2">
          <cell r="F2" t="str">
            <v>INCH</v>
          </cell>
        </row>
      </sheetData>
      <sheetData sheetId="2146">
        <row r="2">
          <cell r="F2" t="str">
            <v>INCH</v>
          </cell>
        </row>
      </sheetData>
      <sheetData sheetId="2147">
        <row r="2">
          <cell r="F2" t="str">
            <v>INCH</v>
          </cell>
        </row>
      </sheetData>
      <sheetData sheetId="2148">
        <row r="2">
          <cell r="F2" t="str">
            <v>INCH</v>
          </cell>
        </row>
      </sheetData>
      <sheetData sheetId="2149">
        <row r="2">
          <cell r="F2" t="str">
            <v>INCH</v>
          </cell>
        </row>
      </sheetData>
      <sheetData sheetId="2150">
        <row r="2">
          <cell r="F2" t="str">
            <v>INCH</v>
          </cell>
        </row>
      </sheetData>
      <sheetData sheetId="2151">
        <row r="2">
          <cell r="F2" t="str">
            <v>INCH</v>
          </cell>
        </row>
      </sheetData>
      <sheetData sheetId="2152">
        <row r="2">
          <cell r="F2" t="str">
            <v>INCH</v>
          </cell>
        </row>
      </sheetData>
      <sheetData sheetId="2153">
        <row r="2">
          <cell r="F2" t="str">
            <v>INCH</v>
          </cell>
        </row>
      </sheetData>
      <sheetData sheetId="2154">
        <row r="2">
          <cell r="F2" t="str">
            <v>INCH</v>
          </cell>
        </row>
      </sheetData>
      <sheetData sheetId="2155">
        <row r="2">
          <cell r="F2" t="str">
            <v>INCH</v>
          </cell>
        </row>
      </sheetData>
      <sheetData sheetId="2156">
        <row r="2">
          <cell r="F2" t="str">
            <v>INCH</v>
          </cell>
        </row>
      </sheetData>
      <sheetData sheetId="2157">
        <row r="2">
          <cell r="F2" t="str">
            <v>INCH</v>
          </cell>
        </row>
      </sheetData>
      <sheetData sheetId="2158">
        <row r="2">
          <cell r="F2" t="str">
            <v>INCH</v>
          </cell>
        </row>
      </sheetData>
      <sheetData sheetId="2159">
        <row r="2">
          <cell r="F2" t="str">
            <v>INCH</v>
          </cell>
        </row>
      </sheetData>
      <sheetData sheetId="2160">
        <row r="2">
          <cell r="F2" t="str">
            <v>INCH</v>
          </cell>
        </row>
      </sheetData>
      <sheetData sheetId="2161">
        <row r="2">
          <cell r="F2" t="str">
            <v>INCH</v>
          </cell>
        </row>
      </sheetData>
      <sheetData sheetId="2162">
        <row r="2">
          <cell r="F2" t="str">
            <v>INCH</v>
          </cell>
        </row>
      </sheetData>
      <sheetData sheetId="2163">
        <row r="2">
          <cell r="F2" t="str">
            <v>INCH</v>
          </cell>
        </row>
      </sheetData>
      <sheetData sheetId="2164">
        <row r="2">
          <cell r="F2" t="str">
            <v>INCH</v>
          </cell>
        </row>
      </sheetData>
      <sheetData sheetId="2165">
        <row r="2">
          <cell r="F2" t="str">
            <v>INCH</v>
          </cell>
        </row>
      </sheetData>
      <sheetData sheetId="2166">
        <row r="2">
          <cell r="F2" t="str">
            <v>INCH</v>
          </cell>
        </row>
      </sheetData>
      <sheetData sheetId="2167">
        <row r="2">
          <cell r="F2" t="str">
            <v>INCH</v>
          </cell>
        </row>
      </sheetData>
      <sheetData sheetId="2168">
        <row r="2">
          <cell r="F2" t="str">
            <v>INCH</v>
          </cell>
        </row>
      </sheetData>
      <sheetData sheetId="2169">
        <row r="2">
          <cell r="F2" t="str">
            <v>INCH</v>
          </cell>
        </row>
      </sheetData>
      <sheetData sheetId="2170">
        <row r="2">
          <cell r="F2" t="str">
            <v>INCH</v>
          </cell>
        </row>
      </sheetData>
      <sheetData sheetId="2171">
        <row r="2">
          <cell r="F2" t="str">
            <v>INCH</v>
          </cell>
        </row>
      </sheetData>
      <sheetData sheetId="2172">
        <row r="2">
          <cell r="F2" t="str">
            <v>INCH</v>
          </cell>
        </row>
      </sheetData>
      <sheetData sheetId="2173">
        <row r="2">
          <cell r="F2" t="str">
            <v>INCH</v>
          </cell>
        </row>
      </sheetData>
      <sheetData sheetId="2174">
        <row r="2">
          <cell r="F2" t="str">
            <v>INCH</v>
          </cell>
        </row>
      </sheetData>
      <sheetData sheetId="2175">
        <row r="2">
          <cell r="F2" t="str">
            <v>INCH</v>
          </cell>
        </row>
      </sheetData>
      <sheetData sheetId="2176">
        <row r="2">
          <cell r="F2" t="str">
            <v>INCH</v>
          </cell>
        </row>
      </sheetData>
      <sheetData sheetId="2177">
        <row r="2">
          <cell r="F2" t="str">
            <v>INCH</v>
          </cell>
        </row>
      </sheetData>
      <sheetData sheetId="2178">
        <row r="2">
          <cell r="F2" t="str">
            <v>INCH</v>
          </cell>
        </row>
      </sheetData>
      <sheetData sheetId="2179">
        <row r="2">
          <cell r="F2" t="str">
            <v>INCH</v>
          </cell>
        </row>
      </sheetData>
      <sheetData sheetId="2180">
        <row r="2">
          <cell r="F2" t="str">
            <v>INCH</v>
          </cell>
        </row>
      </sheetData>
      <sheetData sheetId="2181">
        <row r="2">
          <cell r="F2" t="str">
            <v>INCH</v>
          </cell>
        </row>
      </sheetData>
      <sheetData sheetId="2182">
        <row r="2">
          <cell r="F2" t="str">
            <v>INCH</v>
          </cell>
        </row>
      </sheetData>
      <sheetData sheetId="2183">
        <row r="2">
          <cell r="F2" t="str">
            <v>INCH</v>
          </cell>
        </row>
      </sheetData>
      <sheetData sheetId="2184">
        <row r="2">
          <cell r="F2" t="str">
            <v>INCH</v>
          </cell>
        </row>
      </sheetData>
      <sheetData sheetId="2185">
        <row r="2">
          <cell r="F2" t="str">
            <v>INCH</v>
          </cell>
        </row>
      </sheetData>
      <sheetData sheetId="2186">
        <row r="2">
          <cell r="F2" t="str">
            <v>INCH</v>
          </cell>
        </row>
      </sheetData>
      <sheetData sheetId="2187">
        <row r="2">
          <cell r="F2" t="str">
            <v>INCH</v>
          </cell>
        </row>
      </sheetData>
      <sheetData sheetId="2188">
        <row r="2">
          <cell r="F2" t="str">
            <v>INCH</v>
          </cell>
        </row>
      </sheetData>
      <sheetData sheetId="2189">
        <row r="2">
          <cell r="F2" t="str">
            <v>INCH</v>
          </cell>
        </row>
      </sheetData>
      <sheetData sheetId="2190">
        <row r="2">
          <cell r="F2" t="str">
            <v>INCH</v>
          </cell>
        </row>
      </sheetData>
      <sheetData sheetId="2191">
        <row r="2">
          <cell r="F2" t="str">
            <v>INCH</v>
          </cell>
        </row>
      </sheetData>
      <sheetData sheetId="2192">
        <row r="2">
          <cell r="F2" t="str">
            <v>INCH</v>
          </cell>
        </row>
      </sheetData>
      <sheetData sheetId="2193">
        <row r="2">
          <cell r="F2" t="str">
            <v>INCH</v>
          </cell>
        </row>
      </sheetData>
      <sheetData sheetId="2194">
        <row r="2">
          <cell r="F2" t="str">
            <v>INCH</v>
          </cell>
        </row>
      </sheetData>
      <sheetData sheetId="2195">
        <row r="2">
          <cell r="F2" t="str">
            <v>INCH</v>
          </cell>
        </row>
      </sheetData>
      <sheetData sheetId="2196">
        <row r="2">
          <cell r="F2" t="str">
            <v>INCH</v>
          </cell>
        </row>
      </sheetData>
      <sheetData sheetId="2197">
        <row r="2">
          <cell r="F2" t="str">
            <v>INCH</v>
          </cell>
        </row>
      </sheetData>
      <sheetData sheetId="2198">
        <row r="2">
          <cell r="F2" t="str">
            <v>INCH</v>
          </cell>
        </row>
      </sheetData>
      <sheetData sheetId="2199">
        <row r="2">
          <cell r="F2" t="str">
            <v>INCH</v>
          </cell>
        </row>
      </sheetData>
      <sheetData sheetId="2200">
        <row r="2">
          <cell r="F2" t="str">
            <v>INCH</v>
          </cell>
        </row>
      </sheetData>
      <sheetData sheetId="2201">
        <row r="2">
          <cell r="F2" t="str">
            <v>INCH</v>
          </cell>
        </row>
      </sheetData>
      <sheetData sheetId="2202">
        <row r="2">
          <cell r="F2" t="str">
            <v>INCH</v>
          </cell>
        </row>
      </sheetData>
      <sheetData sheetId="2203">
        <row r="2">
          <cell r="F2" t="str">
            <v>INCH</v>
          </cell>
        </row>
      </sheetData>
      <sheetData sheetId="2204">
        <row r="2">
          <cell r="F2" t="str">
            <v>INCH</v>
          </cell>
        </row>
      </sheetData>
      <sheetData sheetId="2205">
        <row r="2">
          <cell r="F2" t="str">
            <v>INCH</v>
          </cell>
        </row>
      </sheetData>
      <sheetData sheetId="2206">
        <row r="2">
          <cell r="F2" t="str">
            <v>INCH</v>
          </cell>
        </row>
      </sheetData>
      <sheetData sheetId="2207">
        <row r="2">
          <cell r="F2" t="str">
            <v>INCH</v>
          </cell>
        </row>
      </sheetData>
      <sheetData sheetId="2208">
        <row r="2">
          <cell r="F2" t="str">
            <v>INCH</v>
          </cell>
        </row>
      </sheetData>
      <sheetData sheetId="2209">
        <row r="2">
          <cell r="F2" t="str">
            <v>INCH</v>
          </cell>
        </row>
      </sheetData>
      <sheetData sheetId="2210">
        <row r="2">
          <cell r="F2" t="str">
            <v>INCH</v>
          </cell>
        </row>
      </sheetData>
      <sheetData sheetId="2211">
        <row r="2">
          <cell r="F2" t="str">
            <v>INCH</v>
          </cell>
        </row>
      </sheetData>
      <sheetData sheetId="2212">
        <row r="2">
          <cell r="F2" t="str">
            <v>INCH</v>
          </cell>
        </row>
      </sheetData>
      <sheetData sheetId="2213">
        <row r="2">
          <cell r="F2" t="str">
            <v>INCH</v>
          </cell>
        </row>
      </sheetData>
      <sheetData sheetId="2214">
        <row r="2">
          <cell r="F2" t="str">
            <v>INCH</v>
          </cell>
        </row>
      </sheetData>
      <sheetData sheetId="2215">
        <row r="2">
          <cell r="F2" t="str">
            <v>INCH</v>
          </cell>
        </row>
      </sheetData>
      <sheetData sheetId="2216">
        <row r="2">
          <cell r="F2" t="str">
            <v>INCH</v>
          </cell>
        </row>
      </sheetData>
      <sheetData sheetId="2217">
        <row r="2">
          <cell r="F2" t="str">
            <v>INCH</v>
          </cell>
        </row>
      </sheetData>
      <sheetData sheetId="2218">
        <row r="2">
          <cell r="F2" t="str">
            <v>INCH</v>
          </cell>
        </row>
      </sheetData>
      <sheetData sheetId="2219">
        <row r="2">
          <cell r="F2" t="str">
            <v>INCH</v>
          </cell>
        </row>
      </sheetData>
      <sheetData sheetId="2220">
        <row r="2">
          <cell r="F2" t="str">
            <v>INCH</v>
          </cell>
        </row>
      </sheetData>
      <sheetData sheetId="2221">
        <row r="2">
          <cell r="F2" t="str">
            <v>INCH</v>
          </cell>
        </row>
      </sheetData>
      <sheetData sheetId="2222">
        <row r="2">
          <cell r="F2" t="str">
            <v>INCH</v>
          </cell>
        </row>
      </sheetData>
      <sheetData sheetId="2223">
        <row r="2">
          <cell r="F2" t="str">
            <v>INCH</v>
          </cell>
        </row>
      </sheetData>
      <sheetData sheetId="2224">
        <row r="2">
          <cell r="F2" t="str">
            <v>INCH</v>
          </cell>
        </row>
      </sheetData>
      <sheetData sheetId="2225">
        <row r="2">
          <cell r="F2" t="str">
            <v>INCH</v>
          </cell>
        </row>
      </sheetData>
      <sheetData sheetId="2226">
        <row r="2">
          <cell r="F2" t="str">
            <v>INCH</v>
          </cell>
        </row>
      </sheetData>
      <sheetData sheetId="2227">
        <row r="2">
          <cell r="F2" t="str">
            <v>INCH</v>
          </cell>
        </row>
      </sheetData>
      <sheetData sheetId="2228">
        <row r="2">
          <cell r="F2" t="str">
            <v>INCH</v>
          </cell>
        </row>
      </sheetData>
      <sheetData sheetId="2229">
        <row r="2">
          <cell r="F2" t="str">
            <v>INCH</v>
          </cell>
        </row>
      </sheetData>
      <sheetData sheetId="2230">
        <row r="2">
          <cell r="F2" t="str">
            <v>INCH</v>
          </cell>
        </row>
      </sheetData>
      <sheetData sheetId="2231">
        <row r="2">
          <cell r="F2" t="str">
            <v>INCH</v>
          </cell>
        </row>
      </sheetData>
      <sheetData sheetId="2232">
        <row r="2">
          <cell r="F2" t="str">
            <v>INCH</v>
          </cell>
        </row>
      </sheetData>
      <sheetData sheetId="2233">
        <row r="2">
          <cell r="F2" t="str">
            <v>INCH</v>
          </cell>
        </row>
      </sheetData>
      <sheetData sheetId="2234">
        <row r="2">
          <cell r="F2" t="str">
            <v>INCH</v>
          </cell>
        </row>
      </sheetData>
      <sheetData sheetId="2235">
        <row r="2">
          <cell r="F2" t="str">
            <v>INCH</v>
          </cell>
        </row>
      </sheetData>
      <sheetData sheetId="2236">
        <row r="2">
          <cell r="F2" t="str">
            <v>INCH</v>
          </cell>
        </row>
      </sheetData>
      <sheetData sheetId="2237">
        <row r="2">
          <cell r="F2" t="str">
            <v>INCH</v>
          </cell>
        </row>
      </sheetData>
      <sheetData sheetId="2238">
        <row r="2">
          <cell r="F2" t="str">
            <v>INCH</v>
          </cell>
        </row>
      </sheetData>
      <sheetData sheetId="2239">
        <row r="2">
          <cell r="F2" t="str">
            <v>INCH</v>
          </cell>
        </row>
      </sheetData>
      <sheetData sheetId="2240">
        <row r="2">
          <cell r="F2" t="str">
            <v>INCH</v>
          </cell>
        </row>
      </sheetData>
      <sheetData sheetId="2241">
        <row r="2">
          <cell r="F2" t="str">
            <v>INCH</v>
          </cell>
        </row>
      </sheetData>
      <sheetData sheetId="2242">
        <row r="2">
          <cell r="F2" t="str">
            <v>INCH</v>
          </cell>
        </row>
      </sheetData>
      <sheetData sheetId="2243">
        <row r="2">
          <cell r="F2" t="str">
            <v>INCH</v>
          </cell>
        </row>
      </sheetData>
      <sheetData sheetId="2244">
        <row r="2">
          <cell r="F2" t="str">
            <v>INCH</v>
          </cell>
        </row>
      </sheetData>
      <sheetData sheetId="2245">
        <row r="2">
          <cell r="F2" t="str">
            <v>INCH</v>
          </cell>
        </row>
      </sheetData>
      <sheetData sheetId="2246">
        <row r="2">
          <cell r="F2" t="str">
            <v>INCH</v>
          </cell>
        </row>
      </sheetData>
      <sheetData sheetId="2247">
        <row r="2">
          <cell r="F2" t="str">
            <v>INCH</v>
          </cell>
        </row>
      </sheetData>
      <sheetData sheetId="2248">
        <row r="2">
          <cell r="F2" t="str">
            <v>INCH</v>
          </cell>
        </row>
      </sheetData>
      <sheetData sheetId="2249">
        <row r="2">
          <cell r="F2" t="str">
            <v>INCH</v>
          </cell>
        </row>
      </sheetData>
      <sheetData sheetId="2250">
        <row r="2">
          <cell r="F2" t="str">
            <v>INCH</v>
          </cell>
        </row>
      </sheetData>
      <sheetData sheetId="2251">
        <row r="2">
          <cell r="F2" t="str">
            <v>INCH</v>
          </cell>
        </row>
      </sheetData>
      <sheetData sheetId="2252">
        <row r="2">
          <cell r="F2" t="str">
            <v>INCH</v>
          </cell>
        </row>
      </sheetData>
      <sheetData sheetId="2253">
        <row r="2">
          <cell r="F2" t="str">
            <v>INCH</v>
          </cell>
        </row>
      </sheetData>
      <sheetData sheetId="2254">
        <row r="2">
          <cell r="F2" t="str">
            <v>INCH</v>
          </cell>
        </row>
      </sheetData>
      <sheetData sheetId="2255">
        <row r="2">
          <cell r="F2" t="str">
            <v>INCH</v>
          </cell>
        </row>
      </sheetData>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ow r="2">
          <cell r="F2" t="str">
            <v>INCH</v>
          </cell>
        </row>
      </sheetData>
      <sheetData sheetId="2330">
        <row r="2">
          <cell r="F2" t="str">
            <v>INCH</v>
          </cell>
        </row>
      </sheetData>
      <sheetData sheetId="2331">
        <row r="2">
          <cell r="F2" t="str">
            <v>INCH</v>
          </cell>
        </row>
      </sheetData>
      <sheetData sheetId="2332">
        <row r="2">
          <cell r="F2" t="str">
            <v>INCH</v>
          </cell>
        </row>
      </sheetData>
      <sheetData sheetId="2333">
        <row r="2">
          <cell r="F2" t="str">
            <v>INCH</v>
          </cell>
        </row>
      </sheetData>
      <sheetData sheetId="2334">
        <row r="2">
          <cell r="F2" t="str">
            <v>INCH</v>
          </cell>
        </row>
      </sheetData>
      <sheetData sheetId="2335">
        <row r="2">
          <cell r="F2" t="str">
            <v>INCH</v>
          </cell>
        </row>
      </sheetData>
      <sheetData sheetId="2336">
        <row r="2">
          <cell r="F2" t="str">
            <v>INCH</v>
          </cell>
        </row>
      </sheetData>
      <sheetData sheetId="2337">
        <row r="2">
          <cell r="F2" t="str">
            <v>INCH</v>
          </cell>
        </row>
      </sheetData>
      <sheetData sheetId="2338">
        <row r="2">
          <cell r="F2" t="str">
            <v>INCH</v>
          </cell>
        </row>
      </sheetData>
      <sheetData sheetId="2339">
        <row r="2">
          <cell r="F2" t="str">
            <v>INCH</v>
          </cell>
        </row>
      </sheetData>
      <sheetData sheetId="2340">
        <row r="2">
          <cell r="F2" t="str">
            <v>INCH</v>
          </cell>
        </row>
      </sheetData>
      <sheetData sheetId="2341">
        <row r="2">
          <cell r="F2" t="str">
            <v>INCH</v>
          </cell>
        </row>
      </sheetData>
      <sheetData sheetId="2342">
        <row r="2">
          <cell r="F2" t="str">
            <v>INCH</v>
          </cell>
        </row>
      </sheetData>
      <sheetData sheetId="2343">
        <row r="2">
          <cell r="F2" t="str">
            <v>INCH</v>
          </cell>
        </row>
      </sheetData>
      <sheetData sheetId="2344">
        <row r="2">
          <cell r="F2" t="str">
            <v>INCH</v>
          </cell>
        </row>
      </sheetData>
      <sheetData sheetId="2345">
        <row r="2">
          <cell r="F2" t="str">
            <v>INCH</v>
          </cell>
        </row>
      </sheetData>
      <sheetData sheetId="2346">
        <row r="2">
          <cell r="F2" t="str">
            <v>INCH</v>
          </cell>
        </row>
      </sheetData>
      <sheetData sheetId="2347">
        <row r="2">
          <cell r="F2" t="str">
            <v>INCH</v>
          </cell>
        </row>
      </sheetData>
      <sheetData sheetId="2348">
        <row r="2">
          <cell r="F2" t="str">
            <v>INCH</v>
          </cell>
        </row>
      </sheetData>
      <sheetData sheetId="2349">
        <row r="2">
          <cell r="F2" t="str">
            <v>INCH</v>
          </cell>
        </row>
      </sheetData>
      <sheetData sheetId="2350">
        <row r="2">
          <cell r="F2" t="str">
            <v>INCH</v>
          </cell>
        </row>
      </sheetData>
      <sheetData sheetId="2351">
        <row r="2">
          <cell r="F2" t="str">
            <v>INCH</v>
          </cell>
        </row>
      </sheetData>
      <sheetData sheetId="2352">
        <row r="2">
          <cell r="F2" t="str">
            <v>INCH</v>
          </cell>
        </row>
      </sheetData>
      <sheetData sheetId="2353">
        <row r="2">
          <cell r="F2" t="str">
            <v>INCH</v>
          </cell>
        </row>
      </sheetData>
      <sheetData sheetId="2354">
        <row r="2">
          <cell r="F2" t="str">
            <v>INCH</v>
          </cell>
        </row>
      </sheetData>
      <sheetData sheetId="2355">
        <row r="2">
          <cell r="F2" t="str">
            <v>INCH</v>
          </cell>
        </row>
      </sheetData>
      <sheetData sheetId="2356">
        <row r="2">
          <cell r="F2" t="str">
            <v>INCH</v>
          </cell>
        </row>
      </sheetData>
      <sheetData sheetId="2357">
        <row r="2">
          <cell r="F2" t="str">
            <v>INCH</v>
          </cell>
        </row>
      </sheetData>
      <sheetData sheetId="2358">
        <row r="2">
          <cell r="F2" t="str">
            <v>INCH</v>
          </cell>
        </row>
      </sheetData>
      <sheetData sheetId="2359">
        <row r="2">
          <cell r="F2" t="str">
            <v>INCH</v>
          </cell>
        </row>
      </sheetData>
      <sheetData sheetId="2360">
        <row r="2">
          <cell r="F2" t="str">
            <v>INCH</v>
          </cell>
        </row>
      </sheetData>
      <sheetData sheetId="2361">
        <row r="2">
          <cell r="F2" t="str">
            <v>INCH</v>
          </cell>
        </row>
      </sheetData>
      <sheetData sheetId="2362">
        <row r="2">
          <cell r="F2" t="str">
            <v>INCH</v>
          </cell>
        </row>
      </sheetData>
      <sheetData sheetId="2363">
        <row r="2">
          <cell r="F2" t="str">
            <v>INCH</v>
          </cell>
        </row>
      </sheetData>
      <sheetData sheetId="2364">
        <row r="2">
          <cell r="F2" t="str">
            <v>INCH</v>
          </cell>
        </row>
      </sheetData>
      <sheetData sheetId="2365">
        <row r="2">
          <cell r="F2" t="str">
            <v>INCH</v>
          </cell>
        </row>
      </sheetData>
      <sheetData sheetId="2366">
        <row r="2">
          <cell r="F2" t="str">
            <v>INCH</v>
          </cell>
        </row>
      </sheetData>
      <sheetData sheetId="2367">
        <row r="2">
          <cell r="F2" t="str">
            <v>INCH</v>
          </cell>
        </row>
      </sheetData>
      <sheetData sheetId="2368">
        <row r="2">
          <cell r="F2" t="str">
            <v>INCH</v>
          </cell>
        </row>
      </sheetData>
      <sheetData sheetId="2369">
        <row r="2">
          <cell r="F2" t="str">
            <v>INCH</v>
          </cell>
        </row>
      </sheetData>
      <sheetData sheetId="2370">
        <row r="2">
          <cell r="F2" t="str">
            <v>INCH</v>
          </cell>
        </row>
      </sheetData>
      <sheetData sheetId="2371">
        <row r="2">
          <cell r="F2" t="str">
            <v>INCH</v>
          </cell>
        </row>
      </sheetData>
      <sheetData sheetId="2372">
        <row r="2">
          <cell r="F2" t="str">
            <v>INCH</v>
          </cell>
        </row>
      </sheetData>
      <sheetData sheetId="2373">
        <row r="2">
          <cell r="F2" t="str">
            <v>INCH</v>
          </cell>
        </row>
      </sheetData>
      <sheetData sheetId="2374">
        <row r="2">
          <cell r="F2" t="str">
            <v>INCH</v>
          </cell>
        </row>
      </sheetData>
      <sheetData sheetId="2375">
        <row r="2">
          <cell r="F2" t="str">
            <v>INCH</v>
          </cell>
        </row>
      </sheetData>
      <sheetData sheetId="2376">
        <row r="2">
          <cell r="F2" t="str">
            <v>INCH</v>
          </cell>
        </row>
      </sheetData>
      <sheetData sheetId="2377">
        <row r="2">
          <cell r="F2" t="str">
            <v>INCH</v>
          </cell>
        </row>
      </sheetData>
      <sheetData sheetId="2378">
        <row r="2">
          <cell r="F2" t="str">
            <v>INCH</v>
          </cell>
        </row>
      </sheetData>
      <sheetData sheetId="2379">
        <row r="2">
          <cell r="F2" t="str">
            <v>INCH</v>
          </cell>
        </row>
      </sheetData>
      <sheetData sheetId="2380">
        <row r="2">
          <cell r="F2" t="str">
            <v>INCH</v>
          </cell>
        </row>
      </sheetData>
      <sheetData sheetId="2381">
        <row r="2">
          <cell r="F2" t="str">
            <v>INCH</v>
          </cell>
        </row>
      </sheetData>
      <sheetData sheetId="2382">
        <row r="2">
          <cell r="F2" t="str">
            <v>INCH</v>
          </cell>
        </row>
      </sheetData>
      <sheetData sheetId="2383">
        <row r="2">
          <cell r="F2" t="str">
            <v>INCH</v>
          </cell>
        </row>
      </sheetData>
      <sheetData sheetId="2384">
        <row r="2">
          <cell r="F2" t="str">
            <v>INCH</v>
          </cell>
        </row>
      </sheetData>
      <sheetData sheetId="2385">
        <row r="2">
          <cell r="F2" t="str">
            <v>INCH</v>
          </cell>
        </row>
      </sheetData>
      <sheetData sheetId="2386">
        <row r="2">
          <cell r="F2" t="str">
            <v>INCH</v>
          </cell>
        </row>
      </sheetData>
      <sheetData sheetId="2387">
        <row r="2">
          <cell r="F2" t="str">
            <v>INCH</v>
          </cell>
        </row>
      </sheetData>
      <sheetData sheetId="2388">
        <row r="2">
          <cell r="F2" t="str">
            <v>INCH</v>
          </cell>
        </row>
      </sheetData>
      <sheetData sheetId="2389">
        <row r="2">
          <cell r="F2" t="str">
            <v>INCH</v>
          </cell>
        </row>
      </sheetData>
      <sheetData sheetId="2390">
        <row r="2">
          <cell r="F2" t="str">
            <v>INCH</v>
          </cell>
        </row>
      </sheetData>
      <sheetData sheetId="2391">
        <row r="2">
          <cell r="F2" t="str">
            <v>INCH</v>
          </cell>
        </row>
      </sheetData>
      <sheetData sheetId="2392">
        <row r="2">
          <cell r="F2" t="str">
            <v>INCH</v>
          </cell>
        </row>
      </sheetData>
      <sheetData sheetId="2393">
        <row r="2">
          <cell r="F2" t="str">
            <v>INCH</v>
          </cell>
        </row>
      </sheetData>
      <sheetData sheetId="2394">
        <row r="2">
          <cell r="F2" t="str">
            <v>INCH</v>
          </cell>
        </row>
      </sheetData>
      <sheetData sheetId="2395">
        <row r="2">
          <cell r="F2" t="str">
            <v>INCH</v>
          </cell>
        </row>
      </sheetData>
      <sheetData sheetId="2396">
        <row r="2">
          <cell r="F2" t="str">
            <v>INCH</v>
          </cell>
        </row>
      </sheetData>
      <sheetData sheetId="2397">
        <row r="2">
          <cell r="F2" t="str">
            <v>INCH</v>
          </cell>
        </row>
      </sheetData>
      <sheetData sheetId="2398">
        <row r="2">
          <cell r="F2" t="str">
            <v>INCH</v>
          </cell>
        </row>
      </sheetData>
      <sheetData sheetId="2399">
        <row r="2">
          <cell r="F2" t="str">
            <v>INCH</v>
          </cell>
        </row>
      </sheetData>
      <sheetData sheetId="2400">
        <row r="2">
          <cell r="F2" t="str">
            <v>INCH</v>
          </cell>
        </row>
      </sheetData>
      <sheetData sheetId="2401">
        <row r="2">
          <cell r="F2" t="str">
            <v>INCH</v>
          </cell>
        </row>
      </sheetData>
      <sheetData sheetId="2402">
        <row r="2">
          <cell r="F2" t="str">
            <v>INCH</v>
          </cell>
        </row>
      </sheetData>
      <sheetData sheetId="2403">
        <row r="2">
          <cell r="F2" t="str">
            <v>INCH</v>
          </cell>
        </row>
      </sheetData>
      <sheetData sheetId="2404">
        <row r="2">
          <cell r="F2" t="str">
            <v>INCH</v>
          </cell>
        </row>
      </sheetData>
      <sheetData sheetId="2405">
        <row r="2">
          <cell r="F2" t="str">
            <v>INCH</v>
          </cell>
        </row>
      </sheetData>
      <sheetData sheetId="2406">
        <row r="2">
          <cell r="F2" t="str">
            <v>INCH</v>
          </cell>
        </row>
      </sheetData>
      <sheetData sheetId="2407">
        <row r="2">
          <cell r="F2" t="str">
            <v>INCH</v>
          </cell>
        </row>
      </sheetData>
      <sheetData sheetId="2408">
        <row r="2">
          <cell r="F2" t="str">
            <v>INCH</v>
          </cell>
        </row>
      </sheetData>
      <sheetData sheetId="2409">
        <row r="2">
          <cell r="F2" t="str">
            <v>INCH</v>
          </cell>
        </row>
      </sheetData>
      <sheetData sheetId="2410">
        <row r="2">
          <cell r="F2" t="str">
            <v>INCH</v>
          </cell>
        </row>
      </sheetData>
      <sheetData sheetId="2411">
        <row r="2">
          <cell r="F2" t="str">
            <v>INCH</v>
          </cell>
        </row>
      </sheetData>
      <sheetData sheetId="2412">
        <row r="2">
          <cell r="F2" t="str">
            <v>INCH</v>
          </cell>
        </row>
      </sheetData>
      <sheetData sheetId="2413">
        <row r="2">
          <cell r="F2" t="str">
            <v>INCH</v>
          </cell>
        </row>
      </sheetData>
      <sheetData sheetId="2414">
        <row r="2">
          <cell r="F2" t="str">
            <v>INCH</v>
          </cell>
        </row>
      </sheetData>
      <sheetData sheetId="2415">
        <row r="2">
          <cell r="F2" t="str">
            <v>INCH</v>
          </cell>
        </row>
      </sheetData>
      <sheetData sheetId="2416">
        <row r="2">
          <cell r="F2" t="str">
            <v>INCH</v>
          </cell>
        </row>
      </sheetData>
      <sheetData sheetId="2417">
        <row r="2">
          <cell r="F2" t="str">
            <v>INCH</v>
          </cell>
        </row>
      </sheetData>
      <sheetData sheetId="2418">
        <row r="2">
          <cell r="F2" t="str">
            <v>INCH</v>
          </cell>
        </row>
      </sheetData>
      <sheetData sheetId="2419">
        <row r="2">
          <cell r="F2" t="str">
            <v>INCH</v>
          </cell>
        </row>
      </sheetData>
      <sheetData sheetId="2420">
        <row r="2">
          <cell r="F2" t="str">
            <v>INCH</v>
          </cell>
        </row>
      </sheetData>
      <sheetData sheetId="2421">
        <row r="2">
          <cell r="F2" t="str">
            <v>INCH</v>
          </cell>
        </row>
      </sheetData>
      <sheetData sheetId="2422">
        <row r="2">
          <cell r="F2" t="str">
            <v>INCH</v>
          </cell>
        </row>
      </sheetData>
      <sheetData sheetId="2423">
        <row r="2">
          <cell r="F2" t="str">
            <v>INCH</v>
          </cell>
        </row>
      </sheetData>
      <sheetData sheetId="2424">
        <row r="2">
          <cell r="F2" t="str">
            <v>INCH</v>
          </cell>
        </row>
      </sheetData>
      <sheetData sheetId="2425">
        <row r="2">
          <cell r="F2" t="str">
            <v>INCH</v>
          </cell>
        </row>
      </sheetData>
      <sheetData sheetId="2426">
        <row r="2">
          <cell r="F2" t="str">
            <v>INCH</v>
          </cell>
        </row>
      </sheetData>
      <sheetData sheetId="2427">
        <row r="2">
          <cell r="F2" t="str">
            <v>INCH</v>
          </cell>
        </row>
      </sheetData>
      <sheetData sheetId="2428">
        <row r="2">
          <cell r="F2" t="str">
            <v>INCH</v>
          </cell>
        </row>
      </sheetData>
      <sheetData sheetId="2429">
        <row r="2">
          <cell r="F2" t="str">
            <v>INCH</v>
          </cell>
        </row>
      </sheetData>
      <sheetData sheetId="2430">
        <row r="2">
          <cell r="F2" t="str">
            <v>INCH</v>
          </cell>
        </row>
      </sheetData>
      <sheetData sheetId="2431">
        <row r="2">
          <cell r="F2" t="str">
            <v>INCH</v>
          </cell>
        </row>
      </sheetData>
      <sheetData sheetId="2432">
        <row r="2">
          <cell r="F2" t="str">
            <v>INCH</v>
          </cell>
        </row>
      </sheetData>
      <sheetData sheetId="2433">
        <row r="2">
          <cell r="F2" t="str">
            <v>INCH</v>
          </cell>
        </row>
      </sheetData>
      <sheetData sheetId="2434">
        <row r="2">
          <cell r="F2" t="str">
            <v>INCH</v>
          </cell>
        </row>
      </sheetData>
      <sheetData sheetId="2435">
        <row r="2">
          <cell r="F2" t="str">
            <v>INCH</v>
          </cell>
        </row>
      </sheetData>
      <sheetData sheetId="2436">
        <row r="2">
          <cell r="F2" t="str">
            <v>INCH</v>
          </cell>
        </row>
      </sheetData>
      <sheetData sheetId="2437">
        <row r="2">
          <cell r="F2" t="str">
            <v>INCH</v>
          </cell>
        </row>
      </sheetData>
      <sheetData sheetId="2438">
        <row r="2">
          <cell r="F2" t="str">
            <v>INCH</v>
          </cell>
        </row>
      </sheetData>
      <sheetData sheetId="2439">
        <row r="2">
          <cell r="F2" t="str">
            <v>INCH</v>
          </cell>
        </row>
      </sheetData>
      <sheetData sheetId="2440">
        <row r="2">
          <cell r="F2" t="str">
            <v>INCH</v>
          </cell>
        </row>
      </sheetData>
      <sheetData sheetId="2441">
        <row r="2">
          <cell r="F2" t="str">
            <v>INCH</v>
          </cell>
        </row>
      </sheetData>
      <sheetData sheetId="2442">
        <row r="2">
          <cell r="F2" t="str">
            <v>INCH</v>
          </cell>
        </row>
      </sheetData>
      <sheetData sheetId="2443">
        <row r="2">
          <cell r="F2" t="str">
            <v>INCH</v>
          </cell>
        </row>
      </sheetData>
      <sheetData sheetId="2444">
        <row r="2">
          <cell r="F2" t="str">
            <v>INCH</v>
          </cell>
        </row>
      </sheetData>
      <sheetData sheetId="2445">
        <row r="2">
          <cell r="F2" t="str">
            <v>INCH</v>
          </cell>
        </row>
      </sheetData>
      <sheetData sheetId="2446">
        <row r="2">
          <cell r="F2" t="str">
            <v>INCH</v>
          </cell>
        </row>
      </sheetData>
      <sheetData sheetId="2447">
        <row r="2">
          <cell r="F2" t="str">
            <v>INCH</v>
          </cell>
        </row>
      </sheetData>
      <sheetData sheetId="2448">
        <row r="2">
          <cell r="F2" t="str">
            <v>INCH</v>
          </cell>
        </row>
      </sheetData>
      <sheetData sheetId="2449">
        <row r="2">
          <cell r="F2" t="str">
            <v>INCH</v>
          </cell>
        </row>
      </sheetData>
      <sheetData sheetId="2450">
        <row r="2">
          <cell r="F2" t="str">
            <v>INCH</v>
          </cell>
        </row>
      </sheetData>
      <sheetData sheetId="2451">
        <row r="2">
          <cell r="F2" t="str">
            <v>INCH</v>
          </cell>
        </row>
      </sheetData>
      <sheetData sheetId="2452">
        <row r="2">
          <cell r="F2" t="str">
            <v>INCH</v>
          </cell>
        </row>
      </sheetData>
      <sheetData sheetId="2453">
        <row r="2">
          <cell r="F2" t="str">
            <v>INCH</v>
          </cell>
        </row>
      </sheetData>
      <sheetData sheetId="2454">
        <row r="2">
          <cell r="F2" t="str">
            <v>INCH</v>
          </cell>
        </row>
      </sheetData>
      <sheetData sheetId="2455">
        <row r="2">
          <cell r="F2" t="str">
            <v>INCH</v>
          </cell>
        </row>
      </sheetData>
      <sheetData sheetId="2456">
        <row r="2">
          <cell r="F2" t="str">
            <v>INCH</v>
          </cell>
        </row>
      </sheetData>
      <sheetData sheetId="2457">
        <row r="2">
          <cell r="F2" t="str">
            <v>INCH</v>
          </cell>
        </row>
      </sheetData>
      <sheetData sheetId="2458">
        <row r="2">
          <cell r="F2" t="str">
            <v>INCH</v>
          </cell>
        </row>
      </sheetData>
      <sheetData sheetId="2459">
        <row r="2">
          <cell r="F2" t="str">
            <v>INCH</v>
          </cell>
        </row>
      </sheetData>
      <sheetData sheetId="2460">
        <row r="2">
          <cell r="F2" t="str">
            <v>INCH</v>
          </cell>
        </row>
      </sheetData>
      <sheetData sheetId="2461">
        <row r="2">
          <cell r="F2" t="str">
            <v>INCH</v>
          </cell>
        </row>
      </sheetData>
      <sheetData sheetId="2462">
        <row r="2">
          <cell r="F2" t="str">
            <v>INCH</v>
          </cell>
        </row>
      </sheetData>
      <sheetData sheetId="2463">
        <row r="2">
          <cell r="F2" t="str">
            <v>INCH</v>
          </cell>
        </row>
      </sheetData>
      <sheetData sheetId="2464">
        <row r="2">
          <cell r="F2" t="str">
            <v>INCH</v>
          </cell>
        </row>
      </sheetData>
      <sheetData sheetId="2465">
        <row r="2">
          <cell r="F2" t="str">
            <v>INCH</v>
          </cell>
        </row>
      </sheetData>
      <sheetData sheetId="2466">
        <row r="2">
          <cell r="F2" t="str">
            <v>INCH</v>
          </cell>
        </row>
      </sheetData>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ow r="2">
          <cell r="F2" t="str">
            <v>INCH</v>
          </cell>
        </row>
      </sheetData>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ow r="2">
          <cell r="F2" t="str">
            <v>INCH</v>
          </cell>
        </row>
      </sheetData>
      <sheetData sheetId="2527">
        <row r="2">
          <cell r="F2" t="str">
            <v>INCH</v>
          </cell>
        </row>
      </sheetData>
      <sheetData sheetId="2528">
        <row r="2">
          <cell r="F2" t="str">
            <v>INCH</v>
          </cell>
        </row>
      </sheetData>
      <sheetData sheetId="2529">
        <row r="2">
          <cell r="F2" t="str">
            <v>INCH</v>
          </cell>
        </row>
      </sheetData>
      <sheetData sheetId="2530">
        <row r="2">
          <cell r="F2" t="str">
            <v>INCH</v>
          </cell>
        </row>
      </sheetData>
      <sheetData sheetId="2531">
        <row r="2">
          <cell r="F2" t="str">
            <v>INCH</v>
          </cell>
        </row>
      </sheetData>
      <sheetData sheetId="2532">
        <row r="2">
          <cell r="F2" t="str">
            <v>INCH</v>
          </cell>
        </row>
      </sheetData>
      <sheetData sheetId="2533">
        <row r="2">
          <cell r="F2" t="str">
            <v>INCH</v>
          </cell>
        </row>
      </sheetData>
      <sheetData sheetId="2534">
        <row r="2">
          <cell r="F2" t="str">
            <v>INCH</v>
          </cell>
        </row>
      </sheetData>
      <sheetData sheetId="2535">
        <row r="2">
          <cell r="F2" t="str">
            <v>INCH</v>
          </cell>
        </row>
      </sheetData>
      <sheetData sheetId="2536">
        <row r="2">
          <cell r="F2" t="str">
            <v>INCH</v>
          </cell>
        </row>
      </sheetData>
      <sheetData sheetId="2537">
        <row r="2">
          <cell r="F2" t="str">
            <v>INCH</v>
          </cell>
        </row>
      </sheetData>
      <sheetData sheetId="2538">
        <row r="2">
          <cell r="F2" t="str">
            <v>INCH</v>
          </cell>
        </row>
      </sheetData>
      <sheetData sheetId="2539">
        <row r="2">
          <cell r="F2" t="str">
            <v>INCH</v>
          </cell>
        </row>
      </sheetData>
      <sheetData sheetId="2540">
        <row r="2">
          <cell r="F2" t="str">
            <v>INCH</v>
          </cell>
        </row>
      </sheetData>
      <sheetData sheetId="2541">
        <row r="2">
          <cell r="F2" t="str">
            <v>INCH</v>
          </cell>
        </row>
      </sheetData>
      <sheetData sheetId="2542">
        <row r="2">
          <cell r="F2" t="str">
            <v>INCH</v>
          </cell>
        </row>
      </sheetData>
      <sheetData sheetId="2543">
        <row r="2">
          <cell r="F2" t="str">
            <v>INCH</v>
          </cell>
        </row>
      </sheetData>
      <sheetData sheetId="2544">
        <row r="2">
          <cell r="F2" t="str">
            <v>INCH</v>
          </cell>
        </row>
      </sheetData>
      <sheetData sheetId="2545">
        <row r="2">
          <cell r="F2" t="str">
            <v>INCH</v>
          </cell>
        </row>
      </sheetData>
      <sheetData sheetId="2546">
        <row r="2">
          <cell r="F2" t="str">
            <v>INCH</v>
          </cell>
        </row>
      </sheetData>
      <sheetData sheetId="2547">
        <row r="2">
          <cell r="F2" t="str">
            <v>INCH</v>
          </cell>
        </row>
      </sheetData>
      <sheetData sheetId="2548">
        <row r="2">
          <cell r="F2" t="str">
            <v>INCH</v>
          </cell>
        </row>
      </sheetData>
      <sheetData sheetId="2549">
        <row r="2">
          <cell r="F2" t="str">
            <v>INCH</v>
          </cell>
        </row>
      </sheetData>
      <sheetData sheetId="2550">
        <row r="2">
          <cell r="F2" t="str">
            <v>INCH</v>
          </cell>
        </row>
      </sheetData>
      <sheetData sheetId="2551">
        <row r="2">
          <cell r="F2" t="str">
            <v>INCH</v>
          </cell>
        </row>
      </sheetData>
      <sheetData sheetId="2552">
        <row r="2">
          <cell r="F2" t="str">
            <v>INCH</v>
          </cell>
        </row>
      </sheetData>
      <sheetData sheetId="2553">
        <row r="2">
          <cell r="F2" t="str">
            <v>INCH</v>
          </cell>
        </row>
      </sheetData>
      <sheetData sheetId="2554">
        <row r="2">
          <cell r="F2" t="str">
            <v>INCH</v>
          </cell>
        </row>
      </sheetData>
      <sheetData sheetId="2555">
        <row r="2">
          <cell r="F2" t="str">
            <v>INCH</v>
          </cell>
        </row>
      </sheetData>
      <sheetData sheetId="2556">
        <row r="2">
          <cell r="F2" t="str">
            <v>INCH</v>
          </cell>
        </row>
      </sheetData>
      <sheetData sheetId="2557">
        <row r="2">
          <cell r="F2" t="str">
            <v>INCH</v>
          </cell>
        </row>
      </sheetData>
      <sheetData sheetId="2558">
        <row r="2">
          <cell r="F2" t="str">
            <v>INCH</v>
          </cell>
        </row>
      </sheetData>
      <sheetData sheetId="2559">
        <row r="2">
          <cell r="F2" t="str">
            <v>INCH</v>
          </cell>
        </row>
      </sheetData>
      <sheetData sheetId="2560">
        <row r="2">
          <cell r="F2" t="str">
            <v>INCH</v>
          </cell>
        </row>
      </sheetData>
      <sheetData sheetId="2561">
        <row r="2">
          <cell r="F2" t="str">
            <v>INCH</v>
          </cell>
        </row>
      </sheetData>
      <sheetData sheetId="2562">
        <row r="2">
          <cell r="F2" t="str">
            <v>INCH</v>
          </cell>
        </row>
      </sheetData>
      <sheetData sheetId="2563">
        <row r="2">
          <cell r="F2" t="str">
            <v>INCH</v>
          </cell>
        </row>
      </sheetData>
      <sheetData sheetId="2564">
        <row r="2">
          <cell r="F2" t="str">
            <v>INCH</v>
          </cell>
        </row>
      </sheetData>
      <sheetData sheetId="2565">
        <row r="2">
          <cell r="F2" t="str">
            <v>INCH</v>
          </cell>
        </row>
      </sheetData>
      <sheetData sheetId="2566">
        <row r="2">
          <cell r="F2" t="str">
            <v>INCH</v>
          </cell>
        </row>
      </sheetData>
      <sheetData sheetId="2567">
        <row r="2">
          <cell r="F2" t="str">
            <v>INCH</v>
          </cell>
        </row>
      </sheetData>
      <sheetData sheetId="2568">
        <row r="2">
          <cell r="F2" t="str">
            <v>INCH</v>
          </cell>
        </row>
      </sheetData>
      <sheetData sheetId="2569">
        <row r="2">
          <cell r="F2" t="str">
            <v>INCH</v>
          </cell>
        </row>
      </sheetData>
      <sheetData sheetId="2570">
        <row r="2">
          <cell r="F2" t="str">
            <v>INCH</v>
          </cell>
        </row>
      </sheetData>
      <sheetData sheetId="2571">
        <row r="2">
          <cell r="F2" t="str">
            <v>INCH</v>
          </cell>
        </row>
      </sheetData>
      <sheetData sheetId="2572">
        <row r="2">
          <cell r="F2" t="str">
            <v>INCH</v>
          </cell>
        </row>
      </sheetData>
      <sheetData sheetId="2573">
        <row r="2">
          <cell r="F2" t="str">
            <v>INCH</v>
          </cell>
        </row>
      </sheetData>
      <sheetData sheetId="2574">
        <row r="2">
          <cell r="F2" t="str">
            <v>INCH</v>
          </cell>
        </row>
      </sheetData>
      <sheetData sheetId="2575">
        <row r="2">
          <cell r="F2" t="str">
            <v>INCH</v>
          </cell>
        </row>
      </sheetData>
      <sheetData sheetId="2576">
        <row r="2">
          <cell r="F2" t="str">
            <v>INCH</v>
          </cell>
        </row>
      </sheetData>
      <sheetData sheetId="2577">
        <row r="2">
          <cell r="F2" t="str">
            <v>INCH</v>
          </cell>
        </row>
      </sheetData>
      <sheetData sheetId="2578">
        <row r="2">
          <cell r="F2" t="str">
            <v>INCH</v>
          </cell>
        </row>
      </sheetData>
      <sheetData sheetId="2579">
        <row r="2">
          <cell r="F2" t="str">
            <v>INCH</v>
          </cell>
        </row>
      </sheetData>
      <sheetData sheetId="2580">
        <row r="2">
          <cell r="F2" t="str">
            <v>INCH</v>
          </cell>
        </row>
      </sheetData>
      <sheetData sheetId="2581">
        <row r="2">
          <cell r="F2" t="str">
            <v>INCH</v>
          </cell>
        </row>
      </sheetData>
      <sheetData sheetId="2582">
        <row r="2">
          <cell r="F2" t="str">
            <v>INCH</v>
          </cell>
        </row>
      </sheetData>
      <sheetData sheetId="2583">
        <row r="2">
          <cell r="F2" t="str">
            <v>INCH</v>
          </cell>
        </row>
      </sheetData>
      <sheetData sheetId="2584">
        <row r="2">
          <cell r="F2" t="str">
            <v>INCH</v>
          </cell>
        </row>
      </sheetData>
      <sheetData sheetId="2585">
        <row r="2">
          <cell r="F2" t="str">
            <v>INCH</v>
          </cell>
        </row>
      </sheetData>
      <sheetData sheetId="2586">
        <row r="2">
          <cell r="F2" t="str">
            <v>INCH</v>
          </cell>
        </row>
      </sheetData>
      <sheetData sheetId="2587">
        <row r="2">
          <cell r="F2" t="str">
            <v>INCH</v>
          </cell>
        </row>
      </sheetData>
      <sheetData sheetId="2588">
        <row r="2">
          <cell r="F2" t="str">
            <v>INCH</v>
          </cell>
        </row>
      </sheetData>
      <sheetData sheetId="2589">
        <row r="2">
          <cell r="F2" t="str">
            <v>INCH</v>
          </cell>
        </row>
      </sheetData>
      <sheetData sheetId="2590">
        <row r="2">
          <cell r="F2" t="str">
            <v>INCH</v>
          </cell>
        </row>
      </sheetData>
      <sheetData sheetId="2591">
        <row r="2">
          <cell r="F2" t="str">
            <v>INCH</v>
          </cell>
        </row>
      </sheetData>
      <sheetData sheetId="2592">
        <row r="2">
          <cell r="F2" t="str">
            <v>INCH</v>
          </cell>
        </row>
      </sheetData>
      <sheetData sheetId="2593">
        <row r="2">
          <cell r="F2" t="str">
            <v>INCH</v>
          </cell>
        </row>
      </sheetData>
      <sheetData sheetId="2594">
        <row r="2">
          <cell r="F2" t="str">
            <v>INCH</v>
          </cell>
        </row>
      </sheetData>
      <sheetData sheetId="2595">
        <row r="2">
          <cell r="F2" t="str">
            <v>INCH</v>
          </cell>
        </row>
      </sheetData>
      <sheetData sheetId="2596">
        <row r="2">
          <cell r="F2" t="str">
            <v>INCH</v>
          </cell>
        </row>
      </sheetData>
      <sheetData sheetId="2597">
        <row r="2">
          <cell r="F2" t="str">
            <v>INCH</v>
          </cell>
        </row>
      </sheetData>
      <sheetData sheetId="2598">
        <row r="2">
          <cell r="F2" t="str">
            <v>INCH</v>
          </cell>
        </row>
      </sheetData>
      <sheetData sheetId="2599">
        <row r="2">
          <cell r="F2" t="str">
            <v>INCH</v>
          </cell>
        </row>
      </sheetData>
      <sheetData sheetId="2600">
        <row r="2">
          <cell r="F2" t="str">
            <v>INCH</v>
          </cell>
        </row>
      </sheetData>
      <sheetData sheetId="2601">
        <row r="2">
          <cell r="F2" t="str">
            <v>INCH</v>
          </cell>
        </row>
      </sheetData>
      <sheetData sheetId="2602">
        <row r="2">
          <cell r="F2" t="str">
            <v>INCH</v>
          </cell>
        </row>
      </sheetData>
      <sheetData sheetId="2603">
        <row r="2">
          <cell r="F2" t="str">
            <v>INCH</v>
          </cell>
        </row>
      </sheetData>
      <sheetData sheetId="2604">
        <row r="2">
          <cell r="F2" t="str">
            <v>INCH</v>
          </cell>
        </row>
      </sheetData>
      <sheetData sheetId="2605">
        <row r="2">
          <cell r="F2" t="str">
            <v>INCH</v>
          </cell>
        </row>
      </sheetData>
      <sheetData sheetId="2606">
        <row r="2">
          <cell r="F2" t="str">
            <v>INCH</v>
          </cell>
        </row>
      </sheetData>
      <sheetData sheetId="2607">
        <row r="2">
          <cell r="F2" t="str">
            <v>INCH</v>
          </cell>
        </row>
      </sheetData>
      <sheetData sheetId="2608">
        <row r="2">
          <cell r="F2" t="str">
            <v>INCH</v>
          </cell>
        </row>
      </sheetData>
      <sheetData sheetId="2609">
        <row r="2">
          <cell r="F2" t="str">
            <v>INCH</v>
          </cell>
        </row>
      </sheetData>
      <sheetData sheetId="2610">
        <row r="2">
          <cell r="F2" t="str">
            <v>INCH</v>
          </cell>
        </row>
      </sheetData>
      <sheetData sheetId="2611">
        <row r="2">
          <cell r="F2" t="str">
            <v>INCH</v>
          </cell>
        </row>
      </sheetData>
      <sheetData sheetId="2612">
        <row r="2">
          <cell r="F2" t="str">
            <v>INCH</v>
          </cell>
        </row>
      </sheetData>
      <sheetData sheetId="2613">
        <row r="2">
          <cell r="F2" t="str">
            <v>INCH</v>
          </cell>
        </row>
      </sheetData>
      <sheetData sheetId="2614">
        <row r="2">
          <cell r="F2" t="str">
            <v>INCH</v>
          </cell>
        </row>
      </sheetData>
      <sheetData sheetId="2615">
        <row r="2">
          <cell r="F2" t="str">
            <v>INCH</v>
          </cell>
        </row>
      </sheetData>
      <sheetData sheetId="2616">
        <row r="2">
          <cell r="F2" t="str">
            <v>INCH</v>
          </cell>
        </row>
      </sheetData>
      <sheetData sheetId="2617">
        <row r="2">
          <cell r="F2" t="str">
            <v>INCH</v>
          </cell>
        </row>
      </sheetData>
      <sheetData sheetId="2618">
        <row r="2">
          <cell r="F2" t="str">
            <v>INCH</v>
          </cell>
        </row>
      </sheetData>
      <sheetData sheetId="2619">
        <row r="2">
          <cell r="F2" t="str">
            <v>INCH</v>
          </cell>
        </row>
      </sheetData>
      <sheetData sheetId="2620">
        <row r="2">
          <cell r="F2" t="str">
            <v>INCH</v>
          </cell>
        </row>
      </sheetData>
      <sheetData sheetId="2621">
        <row r="2">
          <cell r="F2" t="str">
            <v>INCH</v>
          </cell>
        </row>
      </sheetData>
      <sheetData sheetId="2622">
        <row r="2">
          <cell r="F2" t="str">
            <v>INCH</v>
          </cell>
        </row>
      </sheetData>
      <sheetData sheetId="2623">
        <row r="2">
          <cell r="F2" t="str">
            <v>INCH</v>
          </cell>
        </row>
      </sheetData>
      <sheetData sheetId="2624">
        <row r="2">
          <cell r="F2" t="str">
            <v>INCH</v>
          </cell>
        </row>
      </sheetData>
      <sheetData sheetId="2625">
        <row r="2">
          <cell r="F2" t="str">
            <v>INCH</v>
          </cell>
        </row>
      </sheetData>
      <sheetData sheetId="2626">
        <row r="2">
          <cell r="F2" t="str">
            <v>INCH</v>
          </cell>
        </row>
      </sheetData>
      <sheetData sheetId="2627">
        <row r="2">
          <cell r="F2" t="str">
            <v>INCH</v>
          </cell>
        </row>
      </sheetData>
      <sheetData sheetId="2628">
        <row r="2">
          <cell r="F2" t="str">
            <v>INCH</v>
          </cell>
        </row>
      </sheetData>
      <sheetData sheetId="2629">
        <row r="2">
          <cell r="F2" t="str">
            <v>INCH</v>
          </cell>
        </row>
      </sheetData>
      <sheetData sheetId="2630">
        <row r="2">
          <cell r="F2" t="str">
            <v>INCH</v>
          </cell>
        </row>
      </sheetData>
      <sheetData sheetId="2631">
        <row r="2">
          <cell r="F2" t="str">
            <v>INCH</v>
          </cell>
        </row>
      </sheetData>
      <sheetData sheetId="2632">
        <row r="2">
          <cell r="F2" t="str">
            <v>INCH</v>
          </cell>
        </row>
      </sheetData>
      <sheetData sheetId="2633">
        <row r="2">
          <cell r="F2" t="str">
            <v>INCH</v>
          </cell>
        </row>
      </sheetData>
      <sheetData sheetId="2634">
        <row r="2">
          <cell r="F2" t="str">
            <v>INCH</v>
          </cell>
        </row>
      </sheetData>
      <sheetData sheetId="2635">
        <row r="2">
          <cell r="F2" t="str">
            <v>INCH</v>
          </cell>
        </row>
      </sheetData>
      <sheetData sheetId="2636">
        <row r="2">
          <cell r="F2" t="str">
            <v>INCH</v>
          </cell>
        </row>
      </sheetData>
      <sheetData sheetId="2637">
        <row r="2">
          <cell r="F2" t="str">
            <v>INCH</v>
          </cell>
        </row>
      </sheetData>
      <sheetData sheetId="2638">
        <row r="2">
          <cell r="F2" t="str">
            <v>INCH</v>
          </cell>
        </row>
      </sheetData>
      <sheetData sheetId="2639">
        <row r="2">
          <cell r="F2" t="str">
            <v>INCH</v>
          </cell>
        </row>
      </sheetData>
      <sheetData sheetId="2640">
        <row r="2">
          <cell r="F2" t="str">
            <v>INCH</v>
          </cell>
        </row>
      </sheetData>
      <sheetData sheetId="2641">
        <row r="2">
          <cell r="F2" t="str">
            <v>INCH</v>
          </cell>
        </row>
      </sheetData>
      <sheetData sheetId="2642">
        <row r="2">
          <cell r="F2" t="str">
            <v>INCH</v>
          </cell>
        </row>
      </sheetData>
      <sheetData sheetId="2643">
        <row r="2">
          <cell r="F2" t="str">
            <v>INCH</v>
          </cell>
        </row>
      </sheetData>
      <sheetData sheetId="2644">
        <row r="2">
          <cell r="F2" t="str">
            <v>INCH</v>
          </cell>
        </row>
      </sheetData>
      <sheetData sheetId="2645">
        <row r="2">
          <cell r="F2" t="str">
            <v>INCH</v>
          </cell>
        </row>
      </sheetData>
      <sheetData sheetId="2646">
        <row r="2">
          <cell r="F2" t="str">
            <v>INCH</v>
          </cell>
        </row>
      </sheetData>
      <sheetData sheetId="2647">
        <row r="2">
          <cell r="F2" t="str">
            <v>INCH</v>
          </cell>
        </row>
      </sheetData>
      <sheetData sheetId="2648">
        <row r="2">
          <cell r="F2" t="str">
            <v>INCH</v>
          </cell>
        </row>
      </sheetData>
      <sheetData sheetId="2649">
        <row r="2">
          <cell r="F2" t="str">
            <v>INCH</v>
          </cell>
        </row>
      </sheetData>
      <sheetData sheetId="2650">
        <row r="2">
          <cell r="F2" t="str">
            <v>INCH</v>
          </cell>
        </row>
      </sheetData>
      <sheetData sheetId="2651">
        <row r="2">
          <cell r="F2" t="str">
            <v>INCH</v>
          </cell>
        </row>
      </sheetData>
      <sheetData sheetId="2652">
        <row r="2">
          <cell r="F2" t="str">
            <v>INCH</v>
          </cell>
        </row>
      </sheetData>
      <sheetData sheetId="2653">
        <row r="2">
          <cell r="F2" t="str">
            <v>INCH</v>
          </cell>
        </row>
      </sheetData>
      <sheetData sheetId="2654">
        <row r="2">
          <cell r="F2" t="str">
            <v>INCH</v>
          </cell>
        </row>
      </sheetData>
      <sheetData sheetId="2655">
        <row r="2">
          <cell r="F2" t="str">
            <v>INCH</v>
          </cell>
        </row>
      </sheetData>
      <sheetData sheetId="2656">
        <row r="2">
          <cell r="F2" t="str">
            <v>INCH</v>
          </cell>
        </row>
      </sheetData>
      <sheetData sheetId="2657">
        <row r="2">
          <cell r="F2" t="str">
            <v>INCH</v>
          </cell>
        </row>
      </sheetData>
      <sheetData sheetId="2658">
        <row r="2">
          <cell r="F2" t="str">
            <v>INCH</v>
          </cell>
        </row>
      </sheetData>
      <sheetData sheetId="2659">
        <row r="2">
          <cell r="F2" t="str">
            <v>INCH</v>
          </cell>
        </row>
      </sheetData>
      <sheetData sheetId="2660">
        <row r="2">
          <cell r="F2" t="str">
            <v>INCH</v>
          </cell>
        </row>
      </sheetData>
      <sheetData sheetId="2661">
        <row r="2">
          <cell r="F2" t="str">
            <v>INCH</v>
          </cell>
        </row>
      </sheetData>
      <sheetData sheetId="2662">
        <row r="2">
          <cell r="F2" t="str">
            <v>INCH</v>
          </cell>
        </row>
      </sheetData>
      <sheetData sheetId="2663">
        <row r="2">
          <cell r="F2" t="str">
            <v>INCH</v>
          </cell>
        </row>
      </sheetData>
      <sheetData sheetId="2664">
        <row r="2">
          <cell r="F2" t="str">
            <v>INCH</v>
          </cell>
        </row>
      </sheetData>
      <sheetData sheetId="2665">
        <row r="2">
          <cell r="F2" t="str">
            <v>INCH</v>
          </cell>
        </row>
      </sheetData>
      <sheetData sheetId="2666">
        <row r="2">
          <cell r="F2" t="str">
            <v>INCH</v>
          </cell>
        </row>
      </sheetData>
      <sheetData sheetId="2667">
        <row r="2">
          <cell r="F2" t="str">
            <v>INCH</v>
          </cell>
        </row>
      </sheetData>
      <sheetData sheetId="2668">
        <row r="2">
          <cell r="F2" t="str">
            <v>INCH</v>
          </cell>
        </row>
      </sheetData>
      <sheetData sheetId="2669">
        <row r="2">
          <cell r="F2" t="str">
            <v>INCH</v>
          </cell>
        </row>
      </sheetData>
      <sheetData sheetId="2670">
        <row r="2">
          <cell r="F2" t="str">
            <v>INCH</v>
          </cell>
        </row>
      </sheetData>
      <sheetData sheetId="2671">
        <row r="2">
          <cell r="F2" t="str">
            <v>INCH</v>
          </cell>
        </row>
      </sheetData>
      <sheetData sheetId="2672">
        <row r="2">
          <cell r="F2" t="str">
            <v>INCH</v>
          </cell>
        </row>
      </sheetData>
      <sheetData sheetId="2673">
        <row r="2">
          <cell r="F2" t="str">
            <v>INCH</v>
          </cell>
        </row>
      </sheetData>
      <sheetData sheetId="2674">
        <row r="2">
          <cell r="F2" t="str">
            <v>INCH</v>
          </cell>
        </row>
      </sheetData>
      <sheetData sheetId="2675">
        <row r="2">
          <cell r="F2" t="str">
            <v>INCH</v>
          </cell>
        </row>
      </sheetData>
      <sheetData sheetId="2676">
        <row r="2">
          <cell r="F2" t="str">
            <v>INCH</v>
          </cell>
        </row>
      </sheetData>
      <sheetData sheetId="2677">
        <row r="2">
          <cell r="F2" t="str">
            <v>INCH</v>
          </cell>
        </row>
      </sheetData>
      <sheetData sheetId="2678">
        <row r="2">
          <cell r="F2" t="str">
            <v>INCH</v>
          </cell>
        </row>
      </sheetData>
      <sheetData sheetId="2679">
        <row r="2">
          <cell r="F2" t="str">
            <v>INCH</v>
          </cell>
        </row>
      </sheetData>
      <sheetData sheetId="2680">
        <row r="2">
          <cell r="F2" t="str">
            <v>INCH</v>
          </cell>
        </row>
      </sheetData>
      <sheetData sheetId="2681">
        <row r="2">
          <cell r="F2" t="str">
            <v>INCH</v>
          </cell>
        </row>
      </sheetData>
      <sheetData sheetId="2682">
        <row r="2">
          <cell r="F2" t="str">
            <v>INCH</v>
          </cell>
        </row>
      </sheetData>
      <sheetData sheetId="2683">
        <row r="2">
          <cell r="F2" t="str">
            <v>INCH</v>
          </cell>
        </row>
      </sheetData>
      <sheetData sheetId="2684">
        <row r="2">
          <cell r="F2" t="str">
            <v>INCH</v>
          </cell>
        </row>
      </sheetData>
      <sheetData sheetId="2685">
        <row r="2">
          <cell r="F2" t="str">
            <v>INCH</v>
          </cell>
        </row>
      </sheetData>
      <sheetData sheetId="2686">
        <row r="2">
          <cell r="F2" t="str">
            <v>INCH</v>
          </cell>
        </row>
      </sheetData>
      <sheetData sheetId="2687">
        <row r="2">
          <cell r="F2" t="str">
            <v>INCH</v>
          </cell>
        </row>
      </sheetData>
      <sheetData sheetId="2688">
        <row r="2">
          <cell r="F2" t="str">
            <v>INCH</v>
          </cell>
        </row>
      </sheetData>
      <sheetData sheetId="2689">
        <row r="2">
          <cell r="F2" t="str">
            <v>INCH</v>
          </cell>
        </row>
      </sheetData>
      <sheetData sheetId="2690">
        <row r="2">
          <cell r="F2" t="str">
            <v>INCH</v>
          </cell>
        </row>
      </sheetData>
      <sheetData sheetId="2691">
        <row r="2">
          <cell r="F2" t="str">
            <v>INCH</v>
          </cell>
        </row>
      </sheetData>
      <sheetData sheetId="2692">
        <row r="2">
          <cell r="F2" t="str">
            <v>INCH</v>
          </cell>
        </row>
      </sheetData>
      <sheetData sheetId="2693">
        <row r="2">
          <cell r="F2" t="str">
            <v>INCH</v>
          </cell>
        </row>
      </sheetData>
      <sheetData sheetId="2694">
        <row r="2">
          <cell r="F2" t="str">
            <v>INCH</v>
          </cell>
        </row>
      </sheetData>
      <sheetData sheetId="2695">
        <row r="2">
          <cell r="F2" t="str">
            <v>INCH</v>
          </cell>
        </row>
      </sheetData>
      <sheetData sheetId="2696">
        <row r="2">
          <cell r="F2" t="str">
            <v>INCH</v>
          </cell>
        </row>
      </sheetData>
      <sheetData sheetId="2697">
        <row r="2">
          <cell r="F2" t="str">
            <v>INCH</v>
          </cell>
        </row>
      </sheetData>
      <sheetData sheetId="2698">
        <row r="2">
          <cell r="F2" t="str">
            <v>INCH</v>
          </cell>
        </row>
      </sheetData>
      <sheetData sheetId="2699">
        <row r="2">
          <cell r="F2" t="str">
            <v>INCH</v>
          </cell>
        </row>
      </sheetData>
      <sheetData sheetId="2700">
        <row r="2">
          <cell r="F2" t="str">
            <v>INCH</v>
          </cell>
        </row>
      </sheetData>
      <sheetData sheetId="2701">
        <row r="2">
          <cell r="F2" t="str">
            <v>INCH</v>
          </cell>
        </row>
      </sheetData>
      <sheetData sheetId="2702">
        <row r="2">
          <cell r="F2" t="str">
            <v>INCH</v>
          </cell>
        </row>
      </sheetData>
      <sheetData sheetId="2703">
        <row r="2">
          <cell r="F2" t="str">
            <v>INCH</v>
          </cell>
        </row>
      </sheetData>
      <sheetData sheetId="2704">
        <row r="2">
          <cell r="F2" t="str">
            <v>INCH</v>
          </cell>
        </row>
      </sheetData>
      <sheetData sheetId="2705">
        <row r="2">
          <cell r="F2" t="str">
            <v>INCH</v>
          </cell>
        </row>
      </sheetData>
      <sheetData sheetId="2706">
        <row r="2">
          <cell r="F2" t="str">
            <v>INCH</v>
          </cell>
        </row>
      </sheetData>
      <sheetData sheetId="2707">
        <row r="2">
          <cell r="F2" t="str">
            <v>INCH</v>
          </cell>
        </row>
      </sheetData>
      <sheetData sheetId="2708">
        <row r="2">
          <cell r="F2" t="str">
            <v>INCH</v>
          </cell>
        </row>
      </sheetData>
      <sheetData sheetId="2709">
        <row r="2">
          <cell r="F2" t="str">
            <v>INCH</v>
          </cell>
        </row>
      </sheetData>
      <sheetData sheetId="2710">
        <row r="2">
          <cell r="F2" t="str">
            <v>INCH</v>
          </cell>
        </row>
      </sheetData>
      <sheetData sheetId="2711">
        <row r="2">
          <cell r="F2" t="str">
            <v>INCH</v>
          </cell>
        </row>
      </sheetData>
      <sheetData sheetId="2712">
        <row r="2">
          <cell r="F2" t="str">
            <v>INCH</v>
          </cell>
        </row>
      </sheetData>
      <sheetData sheetId="2713">
        <row r="2">
          <cell r="F2" t="str">
            <v>INCH</v>
          </cell>
        </row>
      </sheetData>
      <sheetData sheetId="2714">
        <row r="2">
          <cell r="F2" t="str">
            <v>INCH</v>
          </cell>
        </row>
      </sheetData>
      <sheetData sheetId="2715">
        <row r="2">
          <cell r="F2" t="str">
            <v>INCH</v>
          </cell>
        </row>
      </sheetData>
      <sheetData sheetId="2716">
        <row r="2">
          <cell r="F2" t="str">
            <v>INCH</v>
          </cell>
        </row>
      </sheetData>
      <sheetData sheetId="2717">
        <row r="2">
          <cell r="F2" t="str">
            <v>INCH</v>
          </cell>
        </row>
      </sheetData>
      <sheetData sheetId="2718">
        <row r="2">
          <cell r="F2" t="str">
            <v>INCH</v>
          </cell>
        </row>
      </sheetData>
      <sheetData sheetId="2719">
        <row r="2">
          <cell r="F2" t="str">
            <v>INCH</v>
          </cell>
        </row>
      </sheetData>
      <sheetData sheetId="2720">
        <row r="2">
          <cell r="F2" t="str">
            <v>INCH</v>
          </cell>
        </row>
      </sheetData>
      <sheetData sheetId="2721">
        <row r="2">
          <cell r="F2" t="str">
            <v>INCH</v>
          </cell>
        </row>
      </sheetData>
      <sheetData sheetId="2722">
        <row r="2">
          <cell r="F2" t="str">
            <v>INCH</v>
          </cell>
        </row>
      </sheetData>
      <sheetData sheetId="2723">
        <row r="2">
          <cell r="F2" t="str">
            <v>INCH</v>
          </cell>
        </row>
      </sheetData>
      <sheetData sheetId="2724">
        <row r="2">
          <cell r="F2" t="str">
            <v>INCH</v>
          </cell>
        </row>
      </sheetData>
      <sheetData sheetId="2725">
        <row r="2">
          <cell r="F2" t="str">
            <v>INCH</v>
          </cell>
        </row>
      </sheetData>
      <sheetData sheetId="2726">
        <row r="2">
          <cell r="F2" t="str">
            <v>INCH</v>
          </cell>
        </row>
      </sheetData>
      <sheetData sheetId="2727">
        <row r="2">
          <cell r="F2" t="str">
            <v>INCH</v>
          </cell>
        </row>
      </sheetData>
      <sheetData sheetId="2728">
        <row r="2">
          <cell r="F2" t="str">
            <v>INCH</v>
          </cell>
        </row>
      </sheetData>
      <sheetData sheetId="2729">
        <row r="2">
          <cell r="F2" t="str">
            <v>INCH</v>
          </cell>
        </row>
      </sheetData>
      <sheetData sheetId="2730">
        <row r="2">
          <cell r="F2" t="str">
            <v>INCH</v>
          </cell>
        </row>
      </sheetData>
      <sheetData sheetId="2731">
        <row r="2">
          <cell r="F2" t="str">
            <v>INCH</v>
          </cell>
        </row>
      </sheetData>
      <sheetData sheetId="2732">
        <row r="2">
          <cell r="F2" t="str">
            <v>INCH</v>
          </cell>
        </row>
      </sheetData>
      <sheetData sheetId="2733">
        <row r="2">
          <cell r="F2" t="str">
            <v>INCH</v>
          </cell>
        </row>
      </sheetData>
      <sheetData sheetId="2734">
        <row r="2">
          <cell r="F2" t="str">
            <v>INCH</v>
          </cell>
        </row>
      </sheetData>
      <sheetData sheetId="2735">
        <row r="2">
          <cell r="F2" t="str">
            <v>INCH</v>
          </cell>
        </row>
      </sheetData>
      <sheetData sheetId="2736">
        <row r="2">
          <cell r="F2" t="str">
            <v>INCH</v>
          </cell>
        </row>
      </sheetData>
      <sheetData sheetId="2737">
        <row r="2">
          <cell r="F2" t="str">
            <v>INCH</v>
          </cell>
        </row>
      </sheetData>
      <sheetData sheetId="2738">
        <row r="2">
          <cell r="F2" t="str">
            <v>INCH</v>
          </cell>
        </row>
      </sheetData>
      <sheetData sheetId="2739">
        <row r="2">
          <cell r="F2" t="str">
            <v>INCH</v>
          </cell>
        </row>
      </sheetData>
      <sheetData sheetId="2740">
        <row r="2">
          <cell r="F2" t="str">
            <v>INCH</v>
          </cell>
        </row>
      </sheetData>
      <sheetData sheetId="2741">
        <row r="2">
          <cell r="F2" t="str">
            <v>INCH</v>
          </cell>
        </row>
      </sheetData>
      <sheetData sheetId="2742">
        <row r="2">
          <cell r="F2" t="str">
            <v>INCH</v>
          </cell>
        </row>
      </sheetData>
      <sheetData sheetId="2743">
        <row r="2">
          <cell r="F2" t="str">
            <v>INCH</v>
          </cell>
        </row>
      </sheetData>
      <sheetData sheetId="2744">
        <row r="2">
          <cell r="F2" t="str">
            <v>INCH</v>
          </cell>
        </row>
      </sheetData>
      <sheetData sheetId="2745">
        <row r="2">
          <cell r="F2" t="str">
            <v>INCH</v>
          </cell>
        </row>
      </sheetData>
      <sheetData sheetId="2746">
        <row r="2">
          <cell r="F2" t="str">
            <v>INCH</v>
          </cell>
        </row>
      </sheetData>
      <sheetData sheetId="2747">
        <row r="2">
          <cell r="F2" t="str">
            <v>INCH</v>
          </cell>
        </row>
      </sheetData>
      <sheetData sheetId="2748">
        <row r="2">
          <cell r="F2" t="str">
            <v>INCH</v>
          </cell>
        </row>
      </sheetData>
      <sheetData sheetId="2749">
        <row r="2">
          <cell r="F2" t="str">
            <v>INCH</v>
          </cell>
        </row>
      </sheetData>
      <sheetData sheetId="2750">
        <row r="2">
          <cell r="F2" t="str">
            <v>INCH</v>
          </cell>
        </row>
      </sheetData>
      <sheetData sheetId="2751">
        <row r="2">
          <cell r="F2" t="str">
            <v>INCH</v>
          </cell>
        </row>
      </sheetData>
      <sheetData sheetId="2752">
        <row r="2">
          <cell r="F2" t="str">
            <v>INCH</v>
          </cell>
        </row>
      </sheetData>
      <sheetData sheetId="2753">
        <row r="2">
          <cell r="F2" t="str">
            <v>INCH</v>
          </cell>
        </row>
      </sheetData>
      <sheetData sheetId="2754">
        <row r="2">
          <cell r="F2" t="str">
            <v>INCH</v>
          </cell>
        </row>
      </sheetData>
      <sheetData sheetId="2755">
        <row r="2">
          <cell r="F2" t="str">
            <v>INCH</v>
          </cell>
        </row>
      </sheetData>
      <sheetData sheetId="2756">
        <row r="2">
          <cell r="F2" t="str">
            <v>INCH</v>
          </cell>
        </row>
      </sheetData>
      <sheetData sheetId="2757">
        <row r="2">
          <cell r="F2" t="str">
            <v>INCH</v>
          </cell>
        </row>
      </sheetData>
      <sheetData sheetId="2758">
        <row r="2">
          <cell r="F2" t="str">
            <v>INCH</v>
          </cell>
        </row>
      </sheetData>
      <sheetData sheetId="2759">
        <row r="2">
          <cell r="F2" t="str">
            <v>INCH</v>
          </cell>
        </row>
      </sheetData>
      <sheetData sheetId="2760">
        <row r="2">
          <cell r="F2" t="str">
            <v>INCH</v>
          </cell>
        </row>
      </sheetData>
      <sheetData sheetId="2761">
        <row r="2">
          <cell r="F2" t="str">
            <v>INCH</v>
          </cell>
        </row>
      </sheetData>
      <sheetData sheetId="2762">
        <row r="2">
          <cell r="F2" t="str">
            <v>INCH</v>
          </cell>
        </row>
      </sheetData>
      <sheetData sheetId="2763">
        <row r="2">
          <cell r="F2" t="str">
            <v>INCH</v>
          </cell>
        </row>
      </sheetData>
      <sheetData sheetId="2764">
        <row r="2">
          <cell r="F2" t="str">
            <v>INCH</v>
          </cell>
        </row>
      </sheetData>
      <sheetData sheetId="2765">
        <row r="2">
          <cell r="F2" t="str">
            <v>INCH</v>
          </cell>
        </row>
      </sheetData>
      <sheetData sheetId="2766">
        <row r="2">
          <cell r="F2" t="str">
            <v>INCH</v>
          </cell>
        </row>
      </sheetData>
      <sheetData sheetId="2767">
        <row r="2">
          <cell r="F2" t="str">
            <v>INCH</v>
          </cell>
        </row>
      </sheetData>
      <sheetData sheetId="2768">
        <row r="2">
          <cell r="F2" t="str">
            <v>INCH</v>
          </cell>
        </row>
      </sheetData>
      <sheetData sheetId="2769">
        <row r="2">
          <cell r="F2" t="str">
            <v>INCH</v>
          </cell>
        </row>
      </sheetData>
      <sheetData sheetId="2770">
        <row r="2">
          <cell r="F2" t="str">
            <v>INCH</v>
          </cell>
        </row>
      </sheetData>
      <sheetData sheetId="2771">
        <row r="2">
          <cell r="F2" t="str">
            <v>INCH</v>
          </cell>
        </row>
      </sheetData>
      <sheetData sheetId="2772">
        <row r="2">
          <cell r="F2" t="str">
            <v>INCH</v>
          </cell>
        </row>
      </sheetData>
      <sheetData sheetId="2773">
        <row r="2">
          <cell r="F2" t="str">
            <v>INCH</v>
          </cell>
        </row>
      </sheetData>
      <sheetData sheetId="2774">
        <row r="2">
          <cell r="F2" t="str">
            <v>INCH</v>
          </cell>
        </row>
      </sheetData>
      <sheetData sheetId="2775">
        <row r="2">
          <cell r="F2" t="str">
            <v>INCH</v>
          </cell>
        </row>
      </sheetData>
      <sheetData sheetId="2776">
        <row r="2">
          <cell r="F2" t="str">
            <v>INCH</v>
          </cell>
        </row>
      </sheetData>
      <sheetData sheetId="2777">
        <row r="2">
          <cell r="F2" t="str">
            <v>INCH</v>
          </cell>
        </row>
      </sheetData>
      <sheetData sheetId="2778">
        <row r="2">
          <cell r="F2" t="str">
            <v>INCH</v>
          </cell>
        </row>
      </sheetData>
      <sheetData sheetId="2779">
        <row r="2">
          <cell r="F2" t="str">
            <v>INCH</v>
          </cell>
        </row>
      </sheetData>
      <sheetData sheetId="2780">
        <row r="2">
          <cell r="F2" t="str">
            <v>INCH</v>
          </cell>
        </row>
      </sheetData>
      <sheetData sheetId="2781">
        <row r="2">
          <cell r="F2" t="str">
            <v>INCH</v>
          </cell>
        </row>
      </sheetData>
      <sheetData sheetId="2782">
        <row r="2">
          <cell r="F2" t="str">
            <v>INCH</v>
          </cell>
        </row>
      </sheetData>
      <sheetData sheetId="2783">
        <row r="2">
          <cell r="F2" t="str">
            <v>INCH</v>
          </cell>
        </row>
      </sheetData>
      <sheetData sheetId="2784">
        <row r="2">
          <cell r="F2" t="str">
            <v>INCH</v>
          </cell>
        </row>
      </sheetData>
      <sheetData sheetId="2785">
        <row r="2">
          <cell r="F2" t="str">
            <v>INCH</v>
          </cell>
        </row>
      </sheetData>
      <sheetData sheetId="2786">
        <row r="2">
          <cell r="F2" t="str">
            <v>INCH</v>
          </cell>
        </row>
      </sheetData>
      <sheetData sheetId="2787">
        <row r="2">
          <cell r="F2" t="str">
            <v>INCH</v>
          </cell>
        </row>
      </sheetData>
      <sheetData sheetId="2788">
        <row r="2">
          <cell r="F2" t="str">
            <v>INCH</v>
          </cell>
        </row>
      </sheetData>
      <sheetData sheetId="2789">
        <row r="2">
          <cell r="F2" t="str">
            <v>INCH</v>
          </cell>
        </row>
      </sheetData>
      <sheetData sheetId="2790">
        <row r="2">
          <cell r="F2" t="str">
            <v>INCH</v>
          </cell>
        </row>
      </sheetData>
      <sheetData sheetId="2791">
        <row r="2">
          <cell r="F2" t="str">
            <v>INCH</v>
          </cell>
        </row>
      </sheetData>
      <sheetData sheetId="2792">
        <row r="2">
          <cell r="F2" t="str">
            <v>INCH</v>
          </cell>
        </row>
      </sheetData>
      <sheetData sheetId="2793">
        <row r="2">
          <cell r="F2" t="str">
            <v>INCH</v>
          </cell>
        </row>
      </sheetData>
      <sheetData sheetId="2794">
        <row r="2">
          <cell r="F2" t="str">
            <v>INCH</v>
          </cell>
        </row>
      </sheetData>
      <sheetData sheetId="2795">
        <row r="2">
          <cell r="F2" t="str">
            <v>INCH</v>
          </cell>
        </row>
      </sheetData>
      <sheetData sheetId="2796">
        <row r="2">
          <cell r="F2" t="str">
            <v>INCH</v>
          </cell>
        </row>
      </sheetData>
      <sheetData sheetId="2797">
        <row r="2">
          <cell r="F2" t="str">
            <v>INCH</v>
          </cell>
        </row>
      </sheetData>
      <sheetData sheetId="2798">
        <row r="2">
          <cell r="F2" t="str">
            <v>INCH</v>
          </cell>
        </row>
      </sheetData>
      <sheetData sheetId="2799">
        <row r="2">
          <cell r="F2" t="str">
            <v>INCH</v>
          </cell>
        </row>
      </sheetData>
      <sheetData sheetId="2800">
        <row r="2">
          <cell r="F2" t="str">
            <v>INCH</v>
          </cell>
        </row>
      </sheetData>
      <sheetData sheetId="2801">
        <row r="2">
          <cell r="F2" t="str">
            <v>INCH</v>
          </cell>
        </row>
      </sheetData>
      <sheetData sheetId="2802">
        <row r="2">
          <cell r="F2" t="str">
            <v>INCH</v>
          </cell>
        </row>
      </sheetData>
      <sheetData sheetId="2803">
        <row r="2">
          <cell r="F2" t="str">
            <v>INCH</v>
          </cell>
        </row>
      </sheetData>
      <sheetData sheetId="2804">
        <row r="2">
          <cell r="F2" t="str">
            <v>INCH</v>
          </cell>
        </row>
      </sheetData>
      <sheetData sheetId="2805">
        <row r="2">
          <cell r="F2" t="str">
            <v>INCH</v>
          </cell>
        </row>
      </sheetData>
      <sheetData sheetId="2806">
        <row r="2">
          <cell r="F2" t="str">
            <v>INCH</v>
          </cell>
        </row>
      </sheetData>
      <sheetData sheetId="2807">
        <row r="2">
          <cell r="F2" t="str">
            <v>INCH</v>
          </cell>
        </row>
      </sheetData>
      <sheetData sheetId="2808">
        <row r="2">
          <cell r="F2" t="str">
            <v>INCH</v>
          </cell>
        </row>
      </sheetData>
      <sheetData sheetId="2809">
        <row r="2">
          <cell r="F2" t="str">
            <v>INCH</v>
          </cell>
        </row>
      </sheetData>
      <sheetData sheetId="2810">
        <row r="2">
          <cell r="F2" t="str">
            <v>INCH</v>
          </cell>
        </row>
      </sheetData>
      <sheetData sheetId="2811">
        <row r="2">
          <cell r="F2" t="str">
            <v>INCH</v>
          </cell>
        </row>
      </sheetData>
      <sheetData sheetId="2812">
        <row r="2">
          <cell r="F2" t="str">
            <v>INCH</v>
          </cell>
        </row>
      </sheetData>
      <sheetData sheetId="2813">
        <row r="2">
          <cell r="F2" t="str">
            <v>INCH</v>
          </cell>
        </row>
      </sheetData>
      <sheetData sheetId="2814">
        <row r="2">
          <cell r="F2" t="str">
            <v>INCH</v>
          </cell>
        </row>
      </sheetData>
      <sheetData sheetId="2815">
        <row r="2">
          <cell r="F2" t="str">
            <v>INCH</v>
          </cell>
        </row>
      </sheetData>
      <sheetData sheetId="2816">
        <row r="2">
          <cell r="F2" t="str">
            <v>INCH</v>
          </cell>
        </row>
      </sheetData>
      <sheetData sheetId="2817">
        <row r="2">
          <cell r="F2" t="str">
            <v>INCH</v>
          </cell>
        </row>
      </sheetData>
      <sheetData sheetId="2818">
        <row r="2">
          <cell r="F2" t="str">
            <v>INCH</v>
          </cell>
        </row>
      </sheetData>
      <sheetData sheetId="2819">
        <row r="2">
          <cell r="F2" t="str">
            <v>INCH</v>
          </cell>
        </row>
      </sheetData>
      <sheetData sheetId="2820">
        <row r="2">
          <cell r="F2" t="str">
            <v>INCH</v>
          </cell>
        </row>
      </sheetData>
      <sheetData sheetId="2821">
        <row r="2">
          <cell r="F2" t="str">
            <v>INCH</v>
          </cell>
        </row>
      </sheetData>
      <sheetData sheetId="2822">
        <row r="2">
          <cell r="F2" t="str">
            <v>INCH</v>
          </cell>
        </row>
      </sheetData>
      <sheetData sheetId="2823">
        <row r="2">
          <cell r="F2" t="str">
            <v>INCH</v>
          </cell>
        </row>
      </sheetData>
      <sheetData sheetId="2824">
        <row r="2">
          <cell r="F2" t="str">
            <v>INCH</v>
          </cell>
        </row>
      </sheetData>
      <sheetData sheetId="2825">
        <row r="2">
          <cell r="F2" t="str">
            <v>INCH</v>
          </cell>
        </row>
      </sheetData>
      <sheetData sheetId="2826">
        <row r="2">
          <cell r="F2" t="str">
            <v>INCH</v>
          </cell>
        </row>
      </sheetData>
      <sheetData sheetId="2827">
        <row r="2">
          <cell r="F2" t="str">
            <v>INCH</v>
          </cell>
        </row>
      </sheetData>
      <sheetData sheetId="2828">
        <row r="2">
          <cell r="F2" t="str">
            <v>INCH</v>
          </cell>
        </row>
      </sheetData>
      <sheetData sheetId="2829">
        <row r="2">
          <cell r="F2" t="str">
            <v>INCH</v>
          </cell>
        </row>
      </sheetData>
      <sheetData sheetId="2830">
        <row r="2">
          <cell r="F2" t="str">
            <v>INCH</v>
          </cell>
        </row>
      </sheetData>
      <sheetData sheetId="2831">
        <row r="2">
          <cell r="F2" t="str">
            <v>INCH</v>
          </cell>
        </row>
      </sheetData>
      <sheetData sheetId="2832">
        <row r="2">
          <cell r="F2" t="str">
            <v>INCH</v>
          </cell>
        </row>
      </sheetData>
      <sheetData sheetId="2833">
        <row r="2">
          <cell r="F2" t="str">
            <v>INCH</v>
          </cell>
        </row>
      </sheetData>
      <sheetData sheetId="2834">
        <row r="2">
          <cell r="F2" t="str">
            <v>INCH</v>
          </cell>
        </row>
      </sheetData>
      <sheetData sheetId="2835">
        <row r="2">
          <cell r="F2" t="str">
            <v>INCH</v>
          </cell>
        </row>
      </sheetData>
      <sheetData sheetId="2836">
        <row r="2">
          <cell r="F2" t="str">
            <v>INCH</v>
          </cell>
        </row>
      </sheetData>
      <sheetData sheetId="2837">
        <row r="2">
          <cell r="F2" t="str">
            <v>INCH</v>
          </cell>
        </row>
      </sheetData>
      <sheetData sheetId="2838">
        <row r="2">
          <cell r="F2" t="str">
            <v>INCH</v>
          </cell>
        </row>
      </sheetData>
      <sheetData sheetId="2839">
        <row r="2">
          <cell r="F2" t="str">
            <v>INCH</v>
          </cell>
        </row>
      </sheetData>
      <sheetData sheetId="2840">
        <row r="2">
          <cell r="F2" t="str">
            <v>INCH</v>
          </cell>
        </row>
      </sheetData>
      <sheetData sheetId="2841">
        <row r="2">
          <cell r="F2" t="str">
            <v>INCH</v>
          </cell>
        </row>
      </sheetData>
      <sheetData sheetId="2842">
        <row r="2">
          <cell r="F2" t="str">
            <v>INCH</v>
          </cell>
        </row>
      </sheetData>
      <sheetData sheetId="2843">
        <row r="2">
          <cell r="F2" t="str">
            <v>INCH</v>
          </cell>
        </row>
      </sheetData>
      <sheetData sheetId="2844">
        <row r="2">
          <cell r="F2" t="str">
            <v>INCH</v>
          </cell>
        </row>
      </sheetData>
      <sheetData sheetId="2845">
        <row r="2">
          <cell r="F2" t="str">
            <v>INCH</v>
          </cell>
        </row>
      </sheetData>
      <sheetData sheetId="2846">
        <row r="2">
          <cell r="F2" t="str">
            <v>INCH</v>
          </cell>
        </row>
      </sheetData>
      <sheetData sheetId="2847">
        <row r="2">
          <cell r="F2" t="str">
            <v>INCH</v>
          </cell>
        </row>
      </sheetData>
      <sheetData sheetId="2848">
        <row r="2">
          <cell r="F2" t="str">
            <v>INCH</v>
          </cell>
        </row>
      </sheetData>
      <sheetData sheetId="2849">
        <row r="2">
          <cell r="F2" t="str">
            <v>INCH</v>
          </cell>
        </row>
      </sheetData>
      <sheetData sheetId="2850">
        <row r="2">
          <cell r="F2" t="str">
            <v>INCH</v>
          </cell>
        </row>
      </sheetData>
      <sheetData sheetId="2851">
        <row r="2">
          <cell r="F2" t="str">
            <v>INCH</v>
          </cell>
        </row>
      </sheetData>
      <sheetData sheetId="2852">
        <row r="2">
          <cell r="F2" t="str">
            <v>INCH</v>
          </cell>
        </row>
      </sheetData>
      <sheetData sheetId="2853">
        <row r="2">
          <cell r="F2" t="str">
            <v>INCH</v>
          </cell>
        </row>
      </sheetData>
      <sheetData sheetId="2854">
        <row r="2">
          <cell r="F2" t="str">
            <v>INCH</v>
          </cell>
        </row>
      </sheetData>
      <sheetData sheetId="2855">
        <row r="2">
          <cell r="F2" t="str">
            <v>INCH</v>
          </cell>
        </row>
      </sheetData>
      <sheetData sheetId="2856">
        <row r="2">
          <cell r="F2" t="str">
            <v>INCH</v>
          </cell>
        </row>
      </sheetData>
      <sheetData sheetId="2857">
        <row r="2">
          <cell r="F2" t="str">
            <v>INCH</v>
          </cell>
        </row>
      </sheetData>
      <sheetData sheetId="2858">
        <row r="2">
          <cell r="F2" t="str">
            <v>INCH</v>
          </cell>
        </row>
      </sheetData>
      <sheetData sheetId="2859">
        <row r="2">
          <cell r="F2" t="str">
            <v>INCH</v>
          </cell>
        </row>
      </sheetData>
      <sheetData sheetId="2860">
        <row r="2">
          <cell r="F2" t="str">
            <v>INCH</v>
          </cell>
        </row>
      </sheetData>
      <sheetData sheetId="2861">
        <row r="2">
          <cell r="F2" t="str">
            <v>INCH</v>
          </cell>
        </row>
      </sheetData>
      <sheetData sheetId="2862">
        <row r="2">
          <cell r="F2" t="str">
            <v>INCH</v>
          </cell>
        </row>
      </sheetData>
      <sheetData sheetId="2863">
        <row r="2">
          <cell r="F2" t="str">
            <v>INCH</v>
          </cell>
        </row>
      </sheetData>
      <sheetData sheetId="2864">
        <row r="2">
          <cell r="F2" t="str">
            <v>INCH</v>
          </cell>
        </row>
      </sheetData>
      <sheetData sheetId="2865">
        <row r="2">
          <cell r="F2" t="str">
            <v>INCH</v>
          </cell>
        </row>
      </sheetData>
      <sheetData sheetId="2866">
        <row r="2">
          <cell r="F2" t="str">
            <v>INCH</v>
          </cell>
        </row>
      </sheetData>
      <sheetData sheetId="2867">
        <row r="2">
          <cell r="F2" t="str">
            <v>INCH</v>
          </cell>
        </row>
      </sheetData>
      <sheetData sheetId="2868">
        <row r="2">
          <cell r="F2" t="str">
            <v>INCH</v>
          </cell>
        </row>
      </sheetData>
      <sheetData sheetId="2869">
        <row r="2">
          <cell r="F2" t="str">
            <v>INCH</v>
          </cell>
        </row>
      </sheetData>
      <sheetData sheetId="2870">
        <row r="2">
          <cell r="F2" t="str">
            <v>INCH</v>
          </cell>
        </row>
      </sheetData>
      <sheetData sheetId="2871">
        <row r="2">
          <cell r="F2" t="str">
            <v>INCH</v>
          </cell>
        </row>
      </sheetData>
      <sheetData sheetId="2872">
        <row r="2">
          <cell r="F2" t="str">
            <v>INCH</v>
          </cell>
        </row>
      </sheetData>
      <sheetData sheetId="2873">
        <row r="2">
          <cell r="F2" t="str">
            <v>INCH</v>
          </cell>
        </row>
      </sheetData>
      <sheetData sheetId="2874">
        <row r="2">
          <cell r="F2" t="str">
            <v>INCH</v>
          </cell>
        </row>
      </sheetData>
      <sheetData sheetId="2875">
        <row r="2">
          <cell r="F2" t="str">
            <v>INCH</v>
          </cell>
        </row>
      </sheetData>
      <sheetData sheetId="2876">
        <row r="2">
          <cell r="F2" t="str">
            <v>INCH</v>
          </cell>
        </row>
      </sheetData>
      <sheetData sheetId="2877">
        <row r="2">
          <cell r="F2" t="str">
            <v>INCH</v>
          </cell>
        </row>
      </sheetData>
      <sheetData sheetId="2878">
        <row r="2">
          <cell r="F2" t="str">
            <v>INCH</v>
          </cell>
        </row>
      </sheetData>
      <sheetData sheetId="2879">
        <row r="2">
          <cell r="F2" t="str">
            <v>INCH</v>
          </cell>
        </row>
      </sheetData>
      <sheetData sheetId="2880">
        <row r="2">
          <cell r="F2" t="str">
            <v>INCH</v>
          </cell>
        </row>
      </sheetData>
      <sheetData sheetId="2881">
        <row r="2">
          <cell r="F2" t="str">
            <v>INCH</v>
          </cell>
        </row>
      </sheetData>
      <sheetData sheetId="2882">
        <row r="2">
          <cell r="F2" t="str">
            <v>INCH</v>
          </cell>
        </row>
      </sheetData>
      <sheetData sheetId="2883">
        <row r="2">
          <cell r="F2" t="str">
            <v>INCH</v>
          </cell>
        </row>
      </sheetData>
      <sheetData sheetId="2884">
        <row r="2">
          <cell r="F2" t="str">
            <v>INCH</v>
          </cell>
        </row>
      </sheetData>
      <sheetData sheetId="2885">
        <row r="2">
          <cell r="F2" t="str">
            <v>INCH</v>
          </cell>
        </row>
      </sheetData>
      <sheetData sheetId="2886">
        <row r="2">
          <cell r="F2" t="str">
            <v>INCH</v>
          </cell>
        </row>
      </sheetData>
      <sheetData sheetId="2887">
        <row r="2">
          <cell r="F2" t="str">
            <v>INCH</v>
          </cell>
        </row>
      </sheetData>
      <sheetData sheetId="2888">
        <row r="2">
          <cell r="F2" t="str">
            <v>INCH</v>
          </cell>
        </row>
      </sheetData>
      <sheetData sheetId="2889">
        <row r="2">
          <cell r="F2" t="str">
            <v>INCH</v>
          </cell>
        </row>
      </sheetData>
      <sheetData sheetId="2890">
        <row r="2">
          <cell r="F2" t="str">
            <v>INCH</v>
          </cell>
        </row>
      </sheetData>
      <sheetData sheetId="2891">
        <row r="2">
          <cell r="F2" t="str">
            <v>INCH</v>
          </cell>
        </row>
      </sheetData>
      <sheetData sheetId="2892">
        <row r="2">
          <cell r="F2" t="str">
            <v>INCH</v>
          </cell>
        </row>
      </sheetData>
      <sheetData sheetId="2893">
        <row r="2">
          <cell r="F2" t="str">
            <v>INCH</v>
          </cell>
        </row>
      </sheetData>
      <sheetData sheetId="2894">
        <row r="2">
          <cell r="F2" t="str">
            <v>INCH</v>
          </cell>
        </row>
      </sheetData>
      <sheetData sheetId="2895">
        <row r="2">
          <cell r="F2" t="str">
            <v>INCH</v>
          </cell>
        </row>
      </sheetData>
      <sheetData sheetId="2896">
        <row r="2">
          <cell r="F2" t="str">
            <v>INCH</v>
          </cell>
        </row>
      </sheetData>
      <sheetData sheetId="2897">
        <row r="2">
          <cell r="F2" t="str">
            <v>INCH</v>
          </cell>
        </row>
      </sheetData>
      <sheetData sheetId="2898">
        <row r="2">
          <cell r="F2" t="str">
            <v>INCH</v>
          </cell>
        </row>
      </sheetData>
      <sheetData sheetId="2899">
        <row r="2">
          <cell r="F2" t="str">
            <v>INCH</v>
          </cell>
        </row>
      </sheetData>
      <sheetData sheetId="2900">
        <row r="2">
          <cell r="F2" t="str">
            <v>INCH</v>
          </cell>
        </row>
      </sheetData>
      <sheetData sheetId="2901">
        <row r="2">
          <cell r="F2" t="str">
            <v>INCH</v>
          </cell>
        </row>
      </sheetData>
      <sheetData sheetId="2902">
        <row r="2">
          <cell r="F2" t="str">
            <v>INCH</v>
          </cell>
        </row>
      </sheetData>
      <sheetData sheetId="2903">
        <row r="2">
          <cell r="F2" t="str">
            <v>INCH</v>
          </cell>
        </row>
      </sheetData>
      <sheetData sheetId="2904">
        <row r="2">
          <cell r="F2" t="str">
            <v>INCH</v>
          </cell>
        </row>
      </sheetData>
      <sheetData sheetId="2905">
        <row r="2">
          <cell r="F2" t="str">
            <v>INCH</v>
          </cell>
        </row>
      </sheetData>
      <sheetData sheetId="2906">
        <row r="2">
          <cell r="F2" t="str">
            <v>INCH</v>
          </cell>
        </row>
      </sheetData>
      <sheetData sheetId="2907">
        <row r="2">
          <cell r="F2" t="str">
            <v>INCH</v>
          </cell>
        </row>
      </sheetData>
      <sheetData sheetId="2908">
        <row r="2">
          <cell r="F2" t="str">
            <v>INCH</v>
          </cell>
        </row>
      </sheetData>
      <sheetData sheetId="2909">
        <row r="2">
          <cell r="F2" t="str">
            <v>INCH</v>
          </cell>
        </row>
      </sheetData>
      <sheetData sheetId="2910">
        <row r="2">
          <cell r="F2" t="str">
            <v>INCH</v>
          </cell>
        </row>
      </sheetData>
      <sheetData sheetId="2911">
        <row r="2">
          <cell r="F2" t="str">
            <v>INCH</v>
          </cell>
        </row>
      </sheetData>
      <sheetData sheetId="2912">
        <row r="2">
          <cell r="F2" t="str">
            <v>INCH</v>
          </cell>
        </row>
      </sheetData>
      <sheetData sheetId="2913">
        <row r="2">
          <cell r="F2" t="str">
            <v>INCH</v>
          </cell>
        </row>
      </sheetData>
      <sheetData sheetId="2914">
        <row r="2">
          <cell r="F2" t="str">
            <v>INCH</v>
          </cell>
        </row>
      </sheetData>
      <sheetData sheetId="2915">
        <row r="2">
          <cell r="F2" t="str">
            <v>INCH</v>
          </cell>
        </row>
      </sheetData>
      <sheetData sheetId="2916">
        <row r="2">
          <cell r="F2" t="str">
            <v>INCH</v>
          </cell>
        </row>
      </sheetData>
      <sheetData sheetId="2917">
        <row r="2">
          <cell r="F2" t="str">
            <v>INCH</v>
          </cell>
        </row>
      </sheetData>
      <sheetData sheetId="2918">
        <row r="2">
          <cell r="F2" t="str">
            <v>INCH</v>
          </cell>
        </row>
      </sheetData>
      <sheetData sheetId="2919">
        <row r="2">
          <cell r="F2" t="str">
            <v>INCH</v>
          </cell>
        </row>
      </sheetData>
      <sheetData sheetId="2920">
        <row r="2">
          <cell r="F2" t="str">
            <v>INCH</v>
          </cell>
        </row>
      </sheetData>
      <sheetData sheetId="2921">
        <row r="2">
          <cell r="F2" t="str">
            <v>INCH</v>
          </cell>
        </row>
      </sheetData>
      <sheetData sheetId="2922">
        <row r="2">
          <cell r="F2" t="str">
            <v>INCH</v>
          </cell>
        </row>
      </sheetData>
      <sheetData sheetId="2923">
        <row r="2">
          <cell r="F2" t="str">
            <v>INCH</v>
          </cell>
        </row>
      </sheetData>
      <sheetData sheetId="2924">
        <row r="2">
          <cell r="F2" t="str">
            <v>INCH</v>
          </cell>
        </row>
      </sheetData>
      <sheetData sheetId="2925">
        <row r="2">
          <cell r="F2" t="str">
            <v>INCH</v>
          </cell>
        </row>
      </sheetData>
      <sheetData sheetId="2926">
        <row r="2">
          <cell r="F2" t="str">
            <v>INCH</v>
          </cell>
        </row>
      </sheetData>
      <sheetData sheetId="2927">
        <row r="2">
          <cell r="F2" t="str">
            <v>INCH</v>
          </cell>
        </row>
      </sheetData>
      <sheetData sheetId="2928">
        <row r="2">
          <cell r="F2" t="str">
            <v>INCH</v>
          </cell>
        </row>
      </sheetData>
      <sheetData sheetId="2929">
        <row r="2">
          <cell r="F2" t="str">
            <v>INCH</v>
          </cell>
        </row>
      </sheetData>
      <sheetData sheetId="2930">
        <row r="2">
          <cell r="F2" t="str">
            <v>INCH</v>
          </cell>
        </row>
      </sheetData>
      <sheetData sheetId="2931">
        <row r="2">
          <cell r="F2" t="str">
            <v>INCH</v>
          </cell>
        </row>
      </sheetData>
      <sheetData sheetId="2932">
        <row r="2">
          <cell r="F2" t="str">
            <v>INCH</v>
          </cell>
        </row>
      </sheetData>
      <sheetData sheetId="2933">
        <row r="2">
          <cell r="F2" t="str">
            <v>INCH</v>
          </cell>
        </row>
      </sheetData>
      <sheetData sheetId="2934">
        <row r="2">
          <cell r="F2" t="str">
            <v>INCH</v>
          </cell>
        </row>
      </sheetData>
      <sheetData sheetId="2935">
        <row r="2">
          <cell r="F2" t="str">
            <v>INCH</v>
          </cell>
        </row>
      </sheetData>
      <sheetData sheetId="2936">
        <row r="2">
          <cell r="F2" t="str">
            <v>INCH</v>
          </cell>
        </row>
      </sheetData>
      <sheetData sheetId="2937">
        <row r="2">
          <cell r="F2" t="str">
            <v>INCH</v>
          </cell>
        </row>
      </sheetData>
      <sheetData sheetId="2938">
        <row r="2">
          <cell r="F2" t="str">
            <v>INCH</v>
          </cell>
        </row>
      </sheetData>
      <sheetData sheetId="2939">
        <row r="2">
          <cell r="F2" t="str">
            <v>INCH</v>
          </cell>
        </row>
      </sheetData>
      <sheetData sheetId="2940">
        <row r="2">
          <cell r="F2" t="str">
            <v>INCH</v>
          </cell>
        </row>
      </sheetData>
      <sheetData sheetId="2941">
        <row r="2">
          <cell r="F2" t="str">
            <v>INCH</v>
          </cell>
        </row>
      </sheetData>
      <sheetData sheetId="2942">
        <row r="2">
          <cell r="F2" t="str">
            <v>INCH</v>
          </cell>
        </row>
      </sheetData>
      <sheetData sheetId="2943">
        <row r="2">
          <cell r="F2" t="str">
            <v>INCH</v>
          </cell>
        </row>
      </sheetData>
      <sheetData sheetId="2944">
        <row r="2">
          <cell r="F2" t="str">
            <v>INCH</v>
          </cell>
        </row>
      </sheetData>
      <sheetData sheetId="2945">
        <row r="2">
          <cell r="F2" t="str">
            <v>INCH</v>
          </cell>
        </row>
      </sheetData>
      <sheetData sheetId="2946">
        <row r="2">
          <cell r="F2" t="str">
            <v>INCH</v>
          </cell>
        </row>
      </sheetData>
      <sheetData sheetId="2947">
        <row r="2">
          <cell r="F2" t="str">
            <v>INCH</v>
          </cell>
        </row>
      </sheetData>
      <sheetData sheetId="2948">
        <row r="2">
          <cell r="F2" t="str">
            <v>INCH</v>
          </cell>
        </row>
      </sheetData>
      <sheetData sheetId="2949">
        <row r="2">
          <cell r="F2" t="str">
            <v>INCH</v>
          </cell>
        </row>
      </sheetData>
      <sheetData sheetId="2950">
        <row r="2">
          <cell r="F2" t="str">
            <v>INCH</v>
          </cell>
        </row>
      </sheetData>
      <sheetData sheetId="2951">
        <row r="2">
          <cell r="F2" t="str">
            <v>INCH</v>
          </cell>
        </row>
      </sheetData>
      <sheetData sheetId="2952">
        <row r="2">
          <cell r="F2" t="str">
            <v>INCH</v>
          </cell>
        </row>
      </sheetData>
      <sheetData sheetId="2953">
        <row r="2">
          <cell r="F2" t="str">
            <v>INCH</v>
          </cell>
        </row>
      </sheetData>
      <sheetData sheetId="2954">
        <row r="2">
          <cell r="F2" t="str">
            <v>INCH</v>
          </cell>
        </row>
      </sheetData>
      <sheetData sheetId="2955">
        <row r="2">
          <cell r="F2" t="str">
            <v>INCH</v>
          </cell>
        </row>
      </sheetData>
      <sheetData sheetId="2956">
        <row r="2">
          <cell r="F2" t="str">
            <v>INCH</v>
          </cell>
        </row>
      </sheetData>
      <sheetData sheetId="2957">
        <row r="2">
          <cell r="F2" t="str">
            <v>INCH</v>
          </cell>
        </row>
      </sheetData>
      <sheetData sheetId="2958">
        <row r="2">
          <cell r="F2" t="str">
            <v>INCH</v>
          </cell>
        </row>
      </sheetData>
      <sheetData sheetId="2959">
        <row r="2">
          <cell r="F2" t="str">
            <v>INCH</v>
          </cell>
        </row>
      </sheetData>
      <sheetData sheetId="2960">
        <row r="2">
          <cell r="F2" t="str">
            <v>INCH</v>
          </cell>
        </row>
      </sheetData>
      <sheetData sheetId="2961">
        <row r="2">
          <cell r="F2" t="str">
            <v>INCH</v>
          </cell>
        </row>
      </sheetData>
      <sheetData sheetId="2962">
        <row r="2">
          <cell r="F2" t="str">
            <v>INCH</v>
          </cell>
        </row>
      </sheetData>
      <sheetData sheetId="2963">
        <row r="2">
          <cell r="F2" t="str">
            <v>INCH</v>
          </cell>
        </row>
      </sheetData>
      <sheetData sheetId="2964">
        <row r="2">
          <cell r="F2" t="str">
            <v>INCH</v>
          </cell>
        </row>
      </sheetData>
      <sheetData sheetId="2965">
        <row r="2">
          <cell r="F2" t="str">
            <v>INCH</v>
          </cell>
        </row>
      </sheetData>
      <sheetData sheetId="2966">
        <row r="2">
          <cell r="F2" t="str">
            <v>INCH</v>
          </cell>
        </row>
      </sheetData>
      <sheetData sheetId="2967">
        <row r="2">
          <cell r="F2" t="str">
            <v>INCH</v>
          </cell>
        </row>
      </sheetData>
      <sheetData sheetId="2968">
        <row r="2">
          <cell r="F2" t="str">
            <v>INCH</v>
          </cell>
        </row>
      </sheetData>
      <sheetData sheetId="2969">
        <row r="2">
          <cell r="F2" t="str">
            <v>INCH</v>
          </cell>
        </row>
      </sheetData>
      <sheetData sheetId="2970">
        <row r="2">
          <cell r="F2" t="str">
            <v>INCH</v>
          </cell>
        </row>
      </sheetData>
      <sheetData sheetId="2971">
        <row r="2">
          <cell r="F2" t="str">
            <v>INCH</v>
          </cell>
        </row>
      </sheetData>
      <sheetData sheetId="2972">
        <row r="2">
          <cell r="F2" t="str">
            <v>INCH</v>
          </cell>
        </row>
      </sheetData>
      <sheetData sheetId="2973">
        <row r="2">
          <cell r="F2" t="str">
            <v>INCH</v>
          </cell>
        </row>
      </sheetData>
      <sheetData sheetId="2974">
        <row r="2">
          <cell r="F2" t="str">
            <v>INCH</v>
          </cell>
        </row>
      </sheetData>
      <sheetData sheetId="2975">
        <row r="2">
          <cell r="F2" t="str">
            <v>INCH</v>
          </cell>
        </row>
      </sheetData>
      <sheetData sheetId="2976">
        <row r="2">
          <cell r="F2" t="str">
            <v>INCH</v>
          </cell>
        </row>
      </sheetData>
      <sheetData sheetId="2977">
        <row r="2">
          <cell r="F2" t="str">
            <v>INCH</v>
          </cell>
        </row>
      </sheetData>
      <sheetData sheetId="2978">
        <row r="2">
          <cell r="F2" t="str">
            <v>INCH</v>
          </cell>
        </row>
      </sheetData>
      <sheetData sheetId="2979">
        <row r="2">
          <cell r="F2" t="str">
            <v>INCH</v>
          </cell>
        </row>
      </sheetData>
      <sheetData sheetId="2980">
        <row r="2">
          <cell r="F2" t="str">
            <v>INCH</v>
          </cell>
        </row>
      </sheetData>
      <sheetData sheetId="2981">
        <row r="2">
          <cell r="F2" t="str">
            <v>INCH</v>
          </cell>
        </row>
      </sheetData>
      <sheetData sheetId="2982">
        <row r="2">
          <cell r="F2" t="str">
            <v>INCH</v>
          </cell>
        </row>
      </sheetData>
      <sheetData sheetId="2983">
        <row r="2">
          <cell r="F2" t="str">
            <v>INCH</v>
          </cell>
        </row>
      </sheetData>
      <sheetData sheetId="2984">
        <row r="2">
          <cell r="F2" t="str">
            <v>INCH</v>
          </cell>
        </row>
      </sheetData>
      <sheetData sheetId="2985">
        <row r="2">
          <cell r="F2" t="str">
            <v>INCH</v>
          </cell>
        </row>
      </sheetData>
      <sheetData sheetId="2986" refreshError="1"/>
      <sheetData sheetId="2987">
        <row r="2">
          <cell r="F2" t="str">
            <v>INCH</v>
          </cell>
        </row>
      </sheetData>
      <sheetData sheetId="2988">
        <row r="2">
          <cell r="F2" t="str">
            <v>INCH</v>
          </cell>
        </row>
      </sheetData>
      <sheetData sheetId="2989">
        <row r="2">
          <cell r="F2" t="str">
            <v>INCH</v>
          </cell>
        </row>
      </sheetData>
      <sheetData sheetId="2990">
        <row r="2">
          <cell r="F2" t="str">
            <v>INCH</v>
          </cell>
        </row>
      </sheetData>
      <sheetData sheetId="2991">
        <row r="2">
          <cell r="F2" t="str">
            <v>INCH</v>
          </cell>
        </row>
      </sheetData>
      <sheetData sheetId="2992">
        <row r="2">
          <cell r="F2" t="str">
            <v>INCH</v>
          </cell>
        </row>
      </sheetData>
      <sheetData sheetId="2993">
        <row r="2">
          <cell r="F2" t="str">
            <v>INCH</v>
          </cell>
        </row>
      </sheetData>
      <sheetData sheetId="2994">
        <row r="2">
          <cell r="F2" t="str">
            <v>INCH</v>
          </cell>
        </row>
      </sheetData>
      <sheetData sheetId="2995">
        <row r="2">
          <cell r="F2" t="str">
            <v>INCH</v>
          </cell>
        </row>
      </sheetData>
      <sheetData sheetId="2996">
        <row r="2">
          <cell r="F2" t="str">
            <v>INCH</v>
          </cell>
        </row>
      </sheetData>
      <sheetData sheetId="2997">
        <row r="2">
          <cell r="F2" t="str">
            <v>INCH</v>
          </cell>
        </row>
      </sheetData>
      <sheetData sheetId="2998">
        <row r="2">
          <cell r="F2" t="str">
            <v>INCH</v>
          </cell>
        </row>
      </sheetData>
      <sheetData sheetId="2999">
        <row r="2">
          <cell r="F2" t="str">
            <v>INCH</v>
          </cell>
        </row>
      </sheetData>
      <sheetData sheetId="3000">
        <row r="2">
          <cell r="F2" t="str">
            <v>INCH</v>
          </cell>
        </row>
      </sheetData>
      <sheetData sheetId="3001">
        <row r="2">
          <cell r="F2" t="str">
            <v>INCH</v>
          </cell>
        </row>
      </sheetData>
      <sheetData sheetId="3002">
        <row r="2">
          <cell r="F2" t="str">
            <v>INCH</v>
          </cell>
        </row>
      </sheetData>
      <sheetData sheetId="3003">
        <row r="2">
          <cell r="F2" t="str">
            <v>INCH</v>
          </cell>
        </row>
      </sheetData>
      <sheetData sheetId="3004">
        <row r="2">
          <cell r="F2" t="str">
            <v>INCH</v>
          </cell>
        </row>
      </sheetData>
      <sheetData sheetId="3005">
        <row r="2">
          <cell r="F2" t="str">
            <v>INCH</v>
          </cell>
        </row>
      </sheetData>
      <sheetData sheetId="3006">
        <row r="2">
          <cell r="F2" t="str">
            <v>INCH</v>
          </cell>
        </row>
      </sheetData>
      <sheetData sheetId="3007">
        <row r="2">
          <cell r="F2" t="str">
            <v>INCH</v>
          </cell>
        </row>
      </sheetData>
      <sheetData sheetId="3008">
        <row r="2">
          <cell r="F2" t="str">
            <v>INCH</v>
          </cell>
        </row>
      </sheetData>
      <sheetData sheetId="3009">
        <row r="2">
          <cell r="F2" t="str">
            <v>INCH</v>
          </cell>
        </row>
      </sheetData>
      <sheetData sheetId="3010">
        <row r="2">
          <cell r="F2" t="str">
            <v>INCH</v>
          </cell>
        </row>
      </sheetData>
      <sheetData sheetId="3011">
        <row r="2">
          <cell r="F2" t="str">
            <v>INCH</v>
          </cell>
        </row>
      </sheetData>
      <sheetData sheetId="3012">
        <row r="2">
          <cell r="F2" t="str">
            <v>INCH</v>
          </cell>
        </row>
      </sheetData>
      <sheetData sheetId="3013">
        <row r="2">
          <cell r="F2" t="str">
            <v>INCH</v>
          </cell>
        </row>
      </sheetData>
      <sheetData sheetId="3014">
        <row r="2">
          <cell r="F2" t="str">
            <v>INCH</v>
          </cell>
        </row>
      </sheetData>
      <sheetData sheetId="3015">
        <row r="2">
          <cell r="F2" t="str">
            <v>INCH</v>
          </cell>
        </row>
      </sheetData>
      <sheetData sheetId="3016">
        <row r="2">
          <cell r="F2" t="str">
            <v>INCH</v>
          </cell>
        </row>
      </sheetData>
      <sheetData sheetId="3017">
        <row r="2">
          <cell r="F2" t="str">
            <v>INCH</v>
          </cell>
        </row>
      </sheetData>
      <sheetData sheetId="3018">
        <row r="2">
          <cell r="F2" t="str">
            <v>INCH</v>
          </cell>
        </row>
      </sheetData>
      <sheetData sheetId="3019">
        <row r="2">
          <cell r="F2" t="str">
            <v>INCH</v>
          </cell>
        </row>
      </sheetData>
      <sheetData sheetId="3020">
        <row r="2">
          <cell r="F2" t="str">
            <v>INCH</v>
          </cell>
        </row>
      </sheetData>
      <sheetData sheetId="3021">
        <row r="2">
          <cell r="F2" t="str">
            <v>INCH</v>
          </cell>
        </row>
      </sheetData>
      <sheetData sheetId="3022">
        <row r="2">
          <cell r="F2" t="str">
            <v>INCH</v>
          </cell>
        </row>
      </sheetData>
      <sheetData sheetId="3023">
        <row r="2">
          <cell r="F2" t="str">
            <v>INCH</v>
          </cell>
        </row>
      </sheetData>
      <sheetData sheetId="3024">
        <row r="2">
          <cell r="F2" t="str">
            <v>INCH</v>
          </cell>
        </row>
      </sheetData>
      <sheetData sheetId="3025">
        <row r="2">
          <cell r="F2" t="str">
            <v>INCH</v>
          </cell>
        </row>
      </sheetData>
      <sheetData sheetId="3026">
        <row r="2">
          <cell r="F2" t="str">
            <v>INCH</v>
          </cell>
        </row>
      </sheetData>
      <sheetData sheetId="3027">
        <row r="2">
          <cell r="F2" t="str">
            <v>INCH</v>
          </cell>
        </row>
      </sheetData>
      <sheetData sheetId="3028">
        <row r="2">
          <cell r="F2" t="str">
            <v>INCH</v>
          </cell>
        </row>
      </sheetData>
      <sheetData sheetId="3029">
        <row r="2">
          <cell r="F2" t="str">
            <v>INCH</v>
          </cell>
        </row>
      </sheetData>
      <sheetData sheetId="3030">
        <row r="2">
          <cell r="F2" t="str">
            <v>INCH</v>
          </cell>
        </row>
      </sheetData>
      <sheetData sheetId="3031">
        <row r="2">
          <cell r="F2" t="str">
            <v>INCH</v>
          </cell>
        </row>
      </sheetData>
      <sheetData sheetId="3032">
        <row r="2">
          <cell r="F2" t="str">
            <v>INCH</v>
          </cell>
        </row>
      </sheetData>
      <sheetData sheetId="3033">
        <row r="2">
          <cell r="F2" t="str">
            <v>INCH</v>
          </cell>
        </row>
      </sheetData>
      <sheetData sheetId="3034">
        <row r="2">
          <cell r="F2" t="str">
            <v>INCH</v>
          </cell>
        </row>
      </sheetData>
      <sheetData sheetId="3035">
        <row r="2">
          <cell r="F2" t="str">
            <v>INCH</v>
          </cell>
        </row>
      </sheetData>
      <sheetData sheetId="3036">
        <row r="2">
          <cell r="F2" t="str">
            <v>INCH</v>
          </cell>
        </row>
      </sheetData>
      <sheetData sheetId="3037">
        <row r="2">
          <cell r="F2" t="str">
            <v>INCH</v>
          </cell>
        </row>
      </sheetData>
      <sheetData sheetId="3038">
        <row r="2">
          <cell r="F2" t="str">
            <v>INCH</v>
          </cell>
        </row>
      </sheetData>
      <sheetData sheetId="3039">
        <row r="2">
          <cell r="F2" t="str">
            <v>INCH</v>
          </cell>
        </row>
      </sheetData>
      <sheetData sheetId="3040">
        <row r="2">
          <cell r="F2" t="str">
            <v>INCH</v>
          </cell>
        </row>
      </sheetData>
      <sheetData sheetId="3041">
        <row r="2">
          <cell r="F2" t="str">
            <v>INCH</v>
          </cell>
        </row>
      </sheetData>
      <sheetData sheetId="3042">
        <row r="2">
          <cell r="F2" t="str">
            <v>INCH</v>
          </cell>
        </row>
      </sheetData>
      <sheetData sheetId="3043">
        <row r="2">
          <cell r="F2" t="str">
            <v>INCH</v>
          </cell>
        </row>
      </sheetData>
      <sheetData sheetId="3044">
        <row r="2">
          <cell r="F2" t="str">
            <v>INCH</v>
          </cell>
        </row>
      </sheetData>
      <sheetData sheetId="3045">
        <row r="2">
          <cell r="F2" t="str">
            <v>INCH</v>
          </cell>
        </row>
      </sheetData>
      <sheetData sheetId="3046">
        <row r="2">
          <cell r="F2" t="str">
            <v>INCH</v>
          </cell>
        </row>
      </sheetData>
      <sheetData sheetId="3047">
        <row r="2">
          <cell r="F2" t="str">
            <v>INCH</v>
          </cell>
        </row>
      </sheetData>
      <sheetData sheetId="3048">
        <row r="2">
          <cell r="F2" t="str">
            <v>INCH</v>
          </cell>
        </row>
      </sheetData>
      <sheetData sheetId="3049">
        <row r="2">
          <cell r="F2" t="str">
            <v>INCH</v>
          </cell>
        </row>
      </sheetData>
      <sheetData sheetId="3050">
        <row r="2">
          <cell r="F2" t="str">
            <v>INCH</v>
          </cell>
        </row>
      </sheetData>
      <sheetData sheetId="3051">
        <row r="2">
          <cell r="F2" t="str">
            <v>INCH</v>
          </cell>
        </row>
      </sheetData>
      <sheetData sheetId="3052">
        <row r="2">
          <cell r="F2" t="str">
            <v>INCH</v>
          </cell>
        </row>
      </sheetData>
      <sheetData sheetId="3053">
        <row r="2">
          <cell r="F2" t="str">
            <v>INCH</v>
          </cell>
        </row>
      </sheetData>
      <sheetData sheetId="3054">
        <row r="2">
          <cell r="F2" t="str">
            <v>INCH</v>
          </cell>
        </row>
      </sheetData>
      <sheetData sheetId="3055">
        <row r="2">
          <cell r="F2" t="str">
            <v>INCH</v>
          </cell>
        </row>
      </sheetData>
      <sheetData sheetId="3056">
        <row r="2">
          <cell r="F2" t="str">
            <v>INCH</v>
          </cell>
        </row>
      </sheetData>
      <sheetData sheetId="3057">
        <row r="2">
          <cell r="F2" t="str">
            <v>INCH</v>
          </cell>
        </row>
      </sheetData>
      <sheetData sheetId="3058">
        <row r="2">
          <cell r="F2" t="str">
            <v>INCH</v>
          </cell>
        </row>
      </sheetData>
      <sheetData sheetId="3059">
        <row r="2">
          <cell r="F2" t="str">
            <v>INCH</v>
          </cell>
        </row>
      </sheetData>
      <sheetData sheetId="3060">
        <row r="2">
          <cell r="F2" t="str">
            <v>INCH</v>
          </cell>
        </row>
      </sheetData>
      <sheetData sheetId="3061">
        <row r="2">
          <cell r="F2" t="str">
            <v>INCH</v>
          </cell>
        </row>
      </sheetData>
      <sheetData sheetId="3062">
        <row r="2">
          <cell r="F2" t="str">
            <v>INCH</v>
          </cell>
        </row>
      </sheetData>
      <sheetData sheetId="3063">
        <row r="2">
          <cell r="F2" t="str">
            <v>INCH</v>
          </cell>
        </row>
      </sheetData>
      <sheetData sheetId="3064">
        <row r="2">
          <cell r="F2" t="str">
            <v>INCH</v>
          </cell>
        </row>
      </sheetData>
      <sheetData sheetId="3065">
        <row r="2">
          <cell r="F2" t="str">
            <v>INCH</v>
          </cell>
        </row>
      </sheetData>
      <sheetData sheetId="3066">
        <row r="2">
          <cell r="F2" t="str">
            <v>INCH</v>
          </cell>
        </row>
      </sheetData>
      <sheetData sheetId="3067" refreshError="1"/>
      <sheetData sheetId="3068" refreshError="1"/>
      <sheetData sheetId="3069" refreshError="1"/>
      <sheetData sheetId="3070" refreshError="1"/>
      <sheetData sheetId="3071" refreshError="1"/>
      <sheetData sheetId="3072" refreshError="1"/>
      <sheetData sheetId="3073" refreshError="1"/>
      <sheetData sheetId="3074">
        <row r="2">
          <cell r="F2" t="str">
            <v>INCH</v>
          </cell>
        </row>
      </sheetData>
      <sheetData sheetId="3075" refreshError="1"/>
      <sheetData sheetId="3076" refreshError="1"/>
      <sheetData sheetId="3077" refreshError="1"/>
      <sheetData sheetId="3078" refreshError="1"/>
      <sheetData sheetId="3079" refreshError="1"/>
      <sheetData sheetId="3080" refreshError="1"/>
      <sheetData sheetId="3081" refreshError="1"/>
      <sheetData sheetId="3082">
        <row r="2">
          <cell r="F2" t="str">
            <v>INCH</v>
          </cell>
        </row>
      </sheetData>
      <sheetData sheetId="3083">
        <row r="2">
          <cell r="F2" t="str">
            <v>INCH</v>
          </cell>
        </row>
      </sheetData>
      <sheetData sheetId="3084">
        <row r="2">
          <cell r="F2" t="str">
            <v>INCH</v>
          </cell>
        </row>
      </sheetData>
      <sheetData sheetId="3085" refreshError="1"/>
      <sheetData sheetId="3086" refreshError="1"/>
      <sheetData sheetId="3087" refreshError="1"/>
      <sheetData sheetId="3088" refreshError="1"/>
      <sheetData sheetId="3089">
        <row r="2">
          <cell r="F2" t="str">
            <v>INCH</v>
          </cell>
        </row>
      </sheetData>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ow r="2">
          <cell r="F2" t="str">
            <v>INCH</v>
          </cell>
        </row>
      </sheetData>
      <sheetData sheetId="3101">
        <row r="2">
          <cell r="F2" t="str">
            <v>INCH</v>
          </cell>
        </row>
      </sheetData>
      <sheetData sheetId="3102" refreshError="1"/>
      <sheetData sheetId="3103" refreshError="1"/>
      <sheetData sheetId="3104" refreshError="1"/>
      <sheetData sheetId="3105" refreshError="1"/>
      <sheetData sheetId="3106" refreshError="1"/>
      <sheetData sheetId="3107" refreshError="1"/>
      <sheetData sheetId="3108"/>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ow r="2">
          <cell r="F2" t="str">
            <v>INCH</v>
          </cell>
        </row>
      </sheetData>
      <sheetData sheetId="3124">
        <row r="2">
          <cell r="F2" t="str">
            <v>INCH</v>
          </cell>
        </row>
      </sheetData>
      <sheetData sheetId="3125">
        <row r="2">
          <cell r="F2" t="str">
            <v>INCH</v>
          </cell>
        </row>
      </sheetData>
      <sheetData sheetId="3126">
        <row r="2">
          <cell r="F2" t="str">
            <v>INCH</v>
          </cell>
        </row>
      </sheetData>
      <sheetData sheetId="3127">
        <row r="2">
          <cell r="F2" t="str">
            <v>INCH</v>
          </cell>
        </row>
      </sheetData>
      <sheetData sheetId="3128">
        <row r="2">
          <cell r="F2" t="str">
            <v>INCH</v>
          </cell>
        </row>
      </sheetData>
      <sheetData sheetId="3129">
        <row r="2">
          <cell r="F2" t="str">
            <v>INCH</v>
          </cell>
        </row>
      </sheetData>
      <sheetData sheetId="3130">
        <row r="2">
          <cell r="F2" t="str">
            <v>INCH</v>
          </cell>
        </row>
      </sheetData>
      <sheetData sheetId="3131">
        <row r="2">
          <cell r="F2" t="str">
            <v>INCH</v>
          </cell>
        </row>
      </sheetData>
      <sheetData sheetId="3132">
        <row r="2">
          <cell r="F2" t="str">
            <v>INCH</v>
          </cell>
        </row>
      </sheetData>
      <sheetData sheetId="3133">
        <row r="2">
          <cell r="F2" t="str">
            <v>INCH</v>
          </cell>
        </row>
      </sheetData>
      <sheetData sheetId="3134">
        <row r="2">
          <cell r="F2" t="str">
            <v>INCH</v>
          </cell>
        </row>
      </sheetData>
      <sheetData sheetId="3135">
        <row r="2">
          <cell r="F2" t="str">
            <v>INCH</v>
          </cell>
        </row>
      </sheetData>
      <sheetData sheetId="3136">
        <row r="2">
          <cell r="F2" t="str">
            <v>INCH</v>
          </cell>
        </row>
      </sheetData>
      <sheetData sheetId="3137">
        <row r="2">
          <cell r="F2" t="str">
            <v>INCH</v>
          </cell>
        </row>
      </sheetData>
      <sheetData sheetId="3138">
        <row r="2">
          <cell r="F2" t="str">
            <v>INCH</v>
          </cell>
        </row>
      </sheetData>
      <sheetData sheetId="3139">
        <row r="2">
          <cell r="F2" t="str">
            <v>INCH</v>
          </cell>
        </row>
      </sheetData>
      <sheetData sheetId="3140">
        <row r="2">
          <cell r="F2" t="str">
            <v>INCH</v>
          </cell>
        </row>
      </sheetData>
      <sheetData sheetId="3141">
        <row r="2">
          <cell r="F2" t="str">
            <v>INCH</v>
          </cell>
        </row>
      </sheetData>
      <sheetData sheetId="3142">
        <row r="2">
          <cell r="F2" t="str">
            <v>INCH</v>
          </cell>
        </row>
      </sheetData>
      <sheetData sheetId="3143">
        <row r="2">
          <cell r="F2" t="str">
            <v>INCH</v>
          </cell>
        </row>
      </sheetData>
      <sheetData sheetId="3144">
        <row r="2">
          <cell r="F2" t="str">
            <v>INCH</v>
          </cell>
        </row>
      </sheetData>
      <sheetData sheetId="3145">
        <row r="2">
          <cell r="F2" t="str">
            <v>INCH</v>
          </cell>
        </row>
      </sheetData>
      <sheetData sheetId="3146">
        <row r="2">
          <cell r="F2" t="str">
            <v>INCH</v>
          </cell>
        </row>
      </sheetData>
      <sheetData sheetId="3147">
        <row r="2">
          <cell r="F2" t="str">
            <v>INCH</v>
          </cell>
        </row>
      </sheetData>
      <sheetData sheetId="3148">
        <row r="2">
          <cell r="F2" t="str">
            <v>INCH</v>
          </cell>
        </row>
      </sheetData>
      <sheetData sheetId="3149">
        <row r="2">
          <cell r="F2" t="str">
            <v>INCH</v>
          </cell>
        </row>
      </sheetData>
      <sheetData sheetId="3150">
        <row r="2">
          <cell r="F2" t="str">
            <v>INCH</v>
          </cell>
        </row>
      </sheetData>
      <sheetData sheetId="3151">
        <row r="2">
          <cell r="F2" t="str">
            <v>INCH</v>
          </cell>
        </row>
      </sheetData>
      <sheetData sheetId="3152">
        <row r="2">
          <cell r="F2" t="str">
            <v>INCH</v>
          </cell>
        </row>
      </sheetData>
      <sheetData sheetId="3153">
        <row r="2">
          <cell r="F2" t="str">
            <v>INCH</v>
          </cell>
        </row>
      </sheetData>
      <sheetData sheetId="3154">
        <row r="2">
          <cell r="F2" t="str">
            <v>INCH</v>
          </cell>
        </row>
      </sheetData>
      <sheetData sheetId="3155">
        <row r="2">
          <cell r="F2" t="str">
            <v>INCH</v>
          </cell>
        </row>
      </sheetData>
      <sheetData sheetId="3156">
        <row r="2">
          <cell r="F2" t="str">
            <v>INCH</v>
          </cell>
        </row>
      </sheetData>
      <sheetData sheetId="3157">
        <row r="2">
          <cell r="F2" t="str">
            <v>INCH</v>
          </cell>
        </row>
      </sheetData>
      <sheetData sheetId="3158">
        <row r="2">
          <cell r="F2" t="str">
            <v>INCH</v>
          </cell>
        </row>
      </sheetData>
      <sheetData sheetId="3159">
        <row r="2">
          <cell r="F2" t="str">
            <v>INCH</v>
          </cell>
        </row>
      </sheetData>
      <sheetData sheetId="3160">
        <row r="2">
          <cell r="F2" t="str">
            <v>INCH</v>
          </cell>
        </row>
      </sheetData>
      <sheetData sheetId="3161">
        <row r="2">
          <cell r="F2" t="str">
            <v>INCH</v>
          </cell>
        </row>
      </sheetData>
      <sheetData sheetId="3162">
        <row r="2">
          <cell r="F2" t="str">
            <v>INCH</v>
          </cell>
        </row>
      </sheetData>
      <sheetData sheetId="3163">
        <row r="2">
          <cell r="F2" t="str">
            <v>INCH</v>
          </cell>
        </row>
      </sheetData>
      <sheetData sheetId="3164">
        <row r="2">
          <cell r="F2" t="str">
            <v>INCH</v>
          </cell>
        </row>
      </sheetData>
      <sheetData sheetId="3165">
        <row r="2">
          <cell r="F2" t="str">
            <v>INCH</v>
          </cell>
        </row>
      </sheetData>
      <sheetData sheetId="3166">
        <row r="2">
          <cell r="F2" t="str">
            <v>INCH</v>
          </cell>
        </row>
      </sheetData>
      <sheetData sheetId="3167">
        <row r="2">
          <cell r="F2" t="str">
            <v>INCH</v>
          </cell>
        </row>
      </sheetData>
      <sheetData sheetId="3168">
        <row r="2">
          <cell r="F2" t="str">
            <v>INCH</v>
          </cell>
        </row>
      </sheetData>
      <sheetData sheetId="3169">
        <row r="2">
          <cell r="F2" t="str">
            <v>INCH</v>
          </cell>
        </row>
      </sheetData>
      <sheetData sheetId="3170">
        <row r="2">
          <cell r="F2" t="str">
            <v>INCH</v>
          </cell>
        </row>
      </sheetData>
      <sheetData sheetId="3171">
        <row r="2">
          <cell r="F2" t="str">
            <v>INCH</v>
          </cell>
        </row>
      </sheetData>
      <sheetData sheetId="3172">
        <row r="2">
          <cell r="F2" t="str">
            <v>INCH</v>
          </cell>
        </row>
      </sheetData>
      <sheetData sheetId="3173">
        <row r="2">
          <cell r="F2" t="str">
            <v>INCH</v>
          </cell>
        </row>
      </sheetData>
      <sheetData sheetId="3174">
        <row r="2">
          <cell r="F2" t="str">
            <v>INCH</v>
          </cell>
        </row>
      </sheetData>
      <sheetData sheetId="3175">
        <row r="2">
          <cell r="F2" t="str">
            <v>INCH</v>
          </cell>
        </row>
      </sheetData>
      <sheetData sheetId="3176">
        <row r="2">
          <cell r="F2" t="str">
            <v>INCH</v>
          </cell>
        </row>
      </sheetData>
      <sheetData sheetId="3177">
        <row r="2">
          <cell r="F2" t="str">
            <v>INCH</v>
          </cell>
        </row>
      </sheetData>
      <sheetData sheetId="3178">
        <row r="2">
          <cell r="F2" t="str">
            <v>INCH</v>
          </cell>
        </row>
      </sheetData>
      <sheetData sheetId="3179">
        <row r="2">
          <cell r="F2" t="str">
            <v>INCH</v>
          </cell>
        </row>
      </sheetData>
      <sheetData sheetId="3180">
        <row r="2">
          <cell r="F2" t="str">
            <v>INCH</v>
          </cell>
        </row>
      </sheetData>
      <sheetData sheetId="3181">
        <row r="2">
          <cell r="F2" t="str">
            <v>INCH</v>
          </cell>
        </row>
      </sheetData>
      <sheetData sheetId="3182">
        <row r="2">
          <cell r="F2" t="str">
            <v>INCH</v>
          </cell>
        </row>
      </sheetData>
      <sheetData sheetId="3183">
        <row r="2">
          <cell r="F2" t="str">
            <v>INCH</v>
          </cell>
        </row>
      </sheetData>
      <sheetData sheetId="3184">
        <row r="2">
          <cell r="F2" t="str">
            <v>INCH</v>
          </cell>
        </row>
      </sheetData>
      <sheetData sheetId="3185">
        <row r="2">
          <cell r="F2" t="str">
            <v>INCH</v>
          </cell>
        </row>
      </sheetData>
      <sheetData sheetId="3186">
        <row r="2">
          <cell r="F2" t="str">
            <v>INCH</v>
          </cell>
        </row>
      </sheetData>
      <sheetData sheetId="3187">
        <row r="2">
          <cell r="F2" t="str">
            <v>INCH</v>
          </cell>
        </row>
      </sheetData>
      <sheetData sheetId="3188">
        <row r="2">
          <cell r="F2" t="str">
            <v>INCH</v>
          </cell>
        </row>
      </sheetData>
      <sheetData sheetId="3189">
        <row r="2">
          <cell r="F2" t="str">
            <v>INCH</v>
          </cell>
        </row>
      </sheetData>
      <sheetData sheetId="3190">
        <row r="2">
          <cell r="F2" t="str">
            <v>INCH</v>
          </cell>
        </row>
      </sheetData>
      <sheetData sheetId="3191">
        <row r="2">
          <cell r="F2" t="str">
            <v>INCH</v>
          </cell>
        </row>
      </sheetData>
      <sheetData sheetId="3192">
        <row r="2">
          <cell r="F2" t="str">
            <v>INCH</v>
          </cell>
        </row>
      </sheetData>
      <sheetData sheetId="3193">
        <row r="2">
          <cell r="F2" t="str">
            <v>INCH</v>
          </cell>
        </row>
      </sheetData>
      <sheetData sheetId="3194">
        <row r="2">
          <cell r="F2" t="str">
            <v>INCH</v>
          </cell>
        </row>
      </sheetData>
      <sheetData sheetId="3195">
        <row r="2">
          <cell r="F2" t="str">
            <v>INCH</v>
          </cell>
        </row>
      </sheetData>
      <sheetData sheetId="3196">
        <row r="2">
          <cell r="F2" t="str">
            <v>INCH</v>
          </cell>
        </row>
      </sheetData>
      <sheetData sheetId="3197">
        <row r="2">
          <cell r="F2" t="str">
            <v>INCH</v>
          </cell>
        </row>
      </sheetData>
      <sheetData sheetId="3198">
        <row r="2">
          <cell r="F2" t="str">
            <v>INCH</v>
          </cell>
        </row>
      </sheetData>
      <sheetData sheetId="3199">
        <row r="2">
          <cell r="F2" t="str">
            <v>INCH</v>
          </cell>
        </row>
      </sheetData>
      <sheetData sheetId="3200">
        <row r="2">
          <cell r="F2" t="str">
            <v>INCH</v>
          </cell>
        </row>
      </sheetData>
      <sheetData sheetId="3201">
        <row r="2">
          <cell r="F2" t="str">
            <v>INCH</v>
          </cell>
        </row>
      </sheetData>
      <sheetData sheetId="3202">
        <row r="2">
          <cell r="F2" t="str">
            <v>INCH</v>
          </cell>
        </row>
      </sheetData>
      <sheetData sheetId="3203">
        <row r="2">
          <cell r="F2" t="str">
            <v>INCH</v>
          </cell>
        </row>
      </sheetData>
      <sheetData sheetId="3204">
        <row r="2">
          <cell r="F2" t="str">
            <v>INCH</v>
          </cell>
        </row>
      </sheetData>
      <sheetData sheetId="3205">
        <row r="2">
          <cell r="F2" t="str">
            <v>INCH</v>
          </cell>
        </row>
      </sheetData>
      <sheetData sheetId="3206">
        <row r="2">
          <cell r="F2" t="str">
            <v>INCH</v>
          </cell>
        </row>
      </sheetData>
      <sheetData sheetId="3207">
        <row r="2">
          <cell r="F2" t="str">
            <v>INCH</v>
          </cell>
        </row>
      </sheetData>
      <sheetData sheetId="3208">
        <row r="2">
          <cell r="F2" t="str">
            <v>INCH</v>
          </cell>
        </row>
      </sheetData>
      <sheetData sheetId="3209">
        <row r="2">
          <cell r="F2" t="str">
            <v>INCH</v>
          </cell>
        </row>
      </sheetData>
      <sheetData sheetId="3210">
        <row r="2">
          <cell r="F2" t="str">
            <v>INCH</v>
          </cell>
        </row>
      </sheetData>
      <sheetData sheetId="3211">
        <row r="2">
          <cell r="F2" t="str">
            <v>INCH</v>
          </cell>
        </row>
      </sheetData>
      <sheetData sheetId="3212">
        <row r="2">
          <cell r="F2" t="str">
            <v>INCH</v>
          </cell>
        </row>
      </sheetData>
      <sheetData sheetId="3213">
        <row r="2">
          <cell r="F2" t="str">
            <v>INCH</v>
          </cell>
        </row>
      </sheetData>
      <sheetData sheetId="3214">
        <row r="2">
          <cell r="F2" t="str">
            <v>INCH</v>
          </cell>
        </row>
      </sheetData>
      <sheetData sheetId="3215">
        <row r="2">
          <cell r="F2" t="str">
            <v>INCH</v>
          </cell>
        </row>
      </sheetData>
      <sheetData sheetId="3216">
        <row r="2">
          <cell r="F2" t="str">
            <v>INCH</v>
          </cell>
        </row>
      </sheetData>
      <sheetData sheetId="3217">
        <row r="2">
          <cell r="F2" t="str">
            <v>INCH</v>
          </cell>
        </row>
      </sheetData>
      <sheetData sheetId="3218">
        <row r="2">
          <cell r="F2" t="str">
            <v>INCH</v>
          </cell>
        </row>
      </sheetData>
      <sheetData sheetId="3219">
        <row r="2">
          <cell r="F2" t="str">
            <v>INCH</v>
          </cell>
        </row>
      </sheetData>
      <sheetData sheetId="3220">
        <row r="2">
          <cell r="F2" t="str">
            <v>INCH</v>
          </cell>
        </row>
      </sheetData>
      <sheetData sheetId="3221">
        <row r="2">
          <cell r="F2" t="str">
            <v>INCH</v>
          </cell>
        </row>
      </sheetData>
      <sheetData sheetId="3222">
        <row r="2">
          <cell r="F2" t="str">
            <v>INCH</v>
          </cell>
        </row>
      </sheetData>
      <sheetData sheetId="3223">
        <row r="2">
          <cell r="F2" t="str">
            <v>INCH</v>
          </cell>
        </row>
      </sheetData>
      <sheetData sheetId="3224">
        <row r="2">
          <cell r="F2" t="str">
            <v>INCH</v>
          </cell>
        </row>
      </sheetData>
      <sheetData sheetId="3225">
        <row r="2">
          <cell r="F2" t="str">
            <v>INCH</v>
          </cell>
        </row>
      </sheetData>
      <sheetData sheetId="3226">
        <row r="2">
          <cell r="F2" t="str">
            <v>INCH</v>
          </cell>
        </row>
      </sheetData>
      <sheetData sheetId="3227">
        <row r="2">
          <cell r="F2" t="str">
            <v>INCH</v>
          </cell>
        </row>
      </sheetData>
      <sheetData sheetId="3228">
        <row r="2">
          <cell r="F2" t="str">
            <v>INCH</v>
          </cell>
        </row>
      </sheetData>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ow r="2">
          <cell r="F2" t="str">
            <v>INCH</v>
          </cell>
        </row>
      </sheetData>
      <sheetData sheetId="3312">
        <row r="2">
          <cell r="F2" t="str">
            <v>INCH</v>
          </cell>
        </row>
      </sheetData>
      <sheetData sheetId="3313" refreshError="1"/>
      <sheetData sheetId="3314" refreshError="1"/>
      <sheetData sheetId="3315" refreshError="1"/>
      <sheetData sheetId="3316" refreshError="1"/>
      <sheetData sheetId="3317" refreshError="1"/>
      <sheetData sheetId="3318" refreshError="1"/>
      <sheetData sheetId="3319" refreshError="1"/>
      <sheetData sheetId="3320">
        <row r="2">
          <cell r="F2" t="str">
            <v>INCH</v>
          </cell>
        </row>
      </sheetData>
      <sheetData sheetId="3321">
        <row r="2">
          <cell r="F2" t="str">
            <v>INCH</v>
          </cell>
        </row>
      </sheetData>
      <sheetData sheetId="3322">
        <row r="2">
          <cell r="F2" t="str">
            <v>INCH</v>
          </cell>
        </row>
      </sheetData>
      <sheetData sheetId="3323">
        <row r="2">
          <cell r="F2" t="str">
            <v>INCH</v>
          </cell>
        </row>
      </sheetData>
      <sheetData sheetId="3324">
        <row r="2">
          <cell r="F2" t="str">
            <v>INCH</v>
          </cell>
        </row>
      </sheetData>
      <sheetData sheetId="3325">
        <row r="2">
          <cell r="F2" t="str">
            <v>INCH</v>
          </cell>
        </row>
      </sheetData>
      <sheetData sheetId="3326">
        <row r="2">
          <cell r="F2" t="str">
            <v>INCH</v>
          </cell>
        </row>
      </sheetData>
      <sheetData sheetId="3327">
        <row r="2">
          <cell r="F2" t="str">
            <v>INCH</v>
          </cell>
        </row>
      </sheetData>
      <sheetData sheetId="3328">
        <row r="2">
          <cell r="F2" t="str">
            <v>INCH</v>
          </cell>
        </row>
      </sheetData>
      <sheetData sheetId="3329">
        <row r="2">
          <cell r="F2" t="str">
            <v>INCH</v>
          </cell>
        </row>
      </sheetData>
      <sheetData sheetId="3330">
        <row r="2">
          <cell r="F2" t="str">
            <v>INCH</v>
          </cell>
        </row>
      </sheetData>
      <sheetData sheetId="3331">
        <row r="2">
          <cell r="F2" t="str">
            <v>INCH</v>
          </cell>
        </row>
      </sheetData>
      <sheetData sheetId="3332">
        <row r="2">
          <cell r="F2" t="str">
            <v>INCH</v>
          </cell>
        </row>
      </sheetData>
      <sheetData sheetId="3333">
        <row r="2">
          <cell r="F2" t="str">
            <v>INCH</v>
          </cell>
        </row>
      </sheetData>
      <sheetData sheetId="3334">
        <row r="2">
          <cell r="F2" t="str">
            <v>INCH</v>
          </cell>
        </row>
      </sheetData>
      <sheetData sheetId="3335">
        <row r="2">
          <cell r="F2" t="str">
            <v>INCH</v>
          </cell>
        </row>
      </sheetData>
      <sheetData sheetId="3336">
        <row r="2">
          <cell r="F2" t="str">
            <v>INCH</v>
          </cell>
        </row>
      </sheetData>
      <sheetData sheetId="3337">
        <row r="2">
          <cell r="F2" t="str">
            <v>INCH</v>
          </cell>
        </row>
      </sheetData>
      <sheetData sheetId="3338">
        <row r="2">
          <cell r="F2" t="str">
            <v>INCH</v>
          </cell>
        </row>
      </sheetData>
      <sheetData sheetId="3339">
        <row r="2">
          <cell r="F2" t="str">
            <v>INCH</v>
          </cell>
        </row>
      </sheetData>
      <sheetData sheetId="3340">
        <row r="2">
          <cell r="F2" t="str">
            <v>INCH</v>
          </cell>
        </row>
      </sheetData>
      <sheetData sheetId="3341">
        <row r="2">
          <cell r="F2" t="str">
            <v>INCH</v>
          </cell>
        </row>
      </sheetData>
      <sheetData sheetId="3342">
        <row r="2">
          <cell r="F2" t="str">
            <v>INCH</v>
          </cell>
        </row>
      </sheetData>
      <sheetData sheetId="3343">
        <row r="2">
          <cell r="F2" t="str">
            <v>INCH</v>
          </cell>
        </row>
      </sheetData>
      <sheetData sheetId="3344">
        <row r="2">
          <cell r="F2" t="str">
            <v>INCH</v>
          </cell>
        </row>
      </sheetData>
      <sheetData sheetId="3345">
        <row r="2">
          <cell r="F2" t="str">
            <v>INCH</v>
          </cell>
        </row>
      </sheetData>
      <sheetData sheetId="3346">
        <row r="2">
          <cell r="F2" t="str">
            <v>INCH</v>
          </cell>
        </row>
      </sheetData>
      <sheetData sheetId="3347">
        <row r="2">
          <cell r="F2" t="str">
            <v>INCH</v>
          </cell>
        </row>
      </sheetData>
      <sheetData sheetId="3348">
        <row r="2">
          <cell r="F2" t="str">
            <v>INCH</v>
          </cell>
        </row>
      </sheetData>
      <sheetData sheetId="3349">
        <row r="2">
          <cell r="F2" t="str">
            <v>INCH</v>
          </cell>
        </row>
      </sheetData>
      <sheetData sheetId="3350">
        <row r="2">
          <cell r="F2" t="str">
            <v>INCH</v>
          </cell>
        </row>
      </sheetData>
      <sheetData sheetId="3351">
        <row r="2">
          <cell r="F2" t="str">
            <v>INCH</v>
          </cell>
        </row>
      </sheetData>
      <sheetData sheetId="3352">
        <row r="2">
          <cell r="F2" t="str">
            <v>INCH</v>
          </cell>
        </row>
      </sheetData>
      <sheetData sheetId="3353">
        <row r="2">
          <cell r="F2" t="str">
            <v>INCH</v>
          </cell>
        </row>
      </sheetData>
      <sheetData sheetId="3354">
        <row r="2">
          <cell r="F2" t="str">
            <v>INCH</v>
          </cell>
        </row>
      </sheetData>
      <sheetData sheetId="3355">
        <row r="2">
          <cell r="F2" t="str">
            <v>INCH</v>
          </cell>
        </row>
      </sheetData>
      <sheetData sheetId="3356">
        <row r="2">
          <cell r="F2" t="str">
            <v>INCH</v>
          </cell>
        </row>
      </sheetData>
      <sheetData sheetId="3357">
        <row r="2">
          <cell r="F2" t="str">
            <v>INCH</v>
          </cell>
        </row>
      </sheetData>
      <sheetData sheetId="3358">
        <row r="2">
          <cell r="F2" t="str">
            <v>INCH</v>
          </cell>
        </row>
      </sheetData>
      <sheetData sheetId="3359">
        <row r="2">
          <cell r="F2" t="str">
            <v>INCH</v>
          </cell>
        </row>
      </sheetData>
      <sheetData sheetId="3360">
        <row r="2">
          <cell r="F2" t="str">
            <v>INCH</v>
          </cell>
        </row>
      </sheetData>
      <sheetData sheetId="3361">
        <row r="2">
          <cell r="F2" t="str">
            <v>INCH</v>
          </cell>
        </row>
      </sheetData>
      <sheetData sheetId="3362">
        <row r="2">
          <cell r="F2" t="str">
            <v>INCH</v>
          </cell>
        </row>
      </sheetData>
      <sheetData sheetId="3363">
        <row r="2">
          <cell r="F2" t="str">
            <v>INCH</v>
          </cell>
        </row>
      </sheetData>
      <sheetData sheetId="3364">
        <row r="2">
          <cell r="F2" t="str">
            <v>INCH</v>
          </cell>
        </row>
      </sheetData>
      <sheetData sheetId="3365">
        <row r="2">
          <cell r="F2" t="str">
            <v>INCH</v>
          </cell>
        </row>
      </sheetData>
      <sheetData sheetId="3366">
        <row r="2">
          <cell r="F2" t="str">
            <v>INCH</v>
          </cell>
        </row>
      </sheetData>
      <sheetData sheetId="3367">
        <row r="2">
          <cell r="F2" t="str">
            <v>INCH</v>
          </cell>
        </row>
      </sheetData>
      <sheetData sheetId="3368">
        <row r="2">
          <cell r="F2" t="str">
            <v>INCH</v>
          </cell>
        </row>
      </sheetData>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ow r="2">
          <cell r="F2" t="str">
            <v>INCH</v>
          </cell>
        </row>
      </sheetData>
      <sheetData sheetId="3378">
        <row r="2">
          <cell r="F2" t="str">
            <v>INCH</v>
          </cell>
        </row>
      </sheetData>
      <sheetData sheetId="3379">
        <row r="2">
          <cell r="F2" t="str">
            <v>INCH</v>
          </cell>
        </row>
      </sheetData>
      <sheetData sheetId="3380"/>
      <sheetData sheetId="338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ow r="2">
          <cell r="F2" t="str">
            <v>INCH</v>
          </cell>
        </row>
      </sheetData>
      <sheetData sheetId="3427">
        <row r="2">
          <cell r="F2" t="str">
            <v>INCH</v>
          </cell>
        </row>
      </sheetData>
      <sheetData sheetId="3428"/>
      <sheetData sheetId="3429"/>
      <sheetData sheetId="3430"/>
      <sheetData sheetId="3431">
        <row r="2">
          <cell r="F2" t="str">
            <v>INCH</v>
          </cell>
        </row>
      </sheetData>
      <sheetData sheetId="3432" refreshError="1"/>
      <sheetData sheetId="3433" refreshError="1"/>
      <sheetData sheetId="3434">
        <row r="2">
          <cell r="F2" t="str">
            <v>INCH</v>
          </cell>
        </row>
      </sheetData>
      <sheetData sheetId="3435">
        <row r="2">
          <cell r="F2" t="str">
            <v>INCH</v>
          </cell>
        </row>
      </sheetData>
      <sheetData sheetId="3436" refreshError="1"/>
      <sheetData sheetId="3437">
        <row r="2">
          <cell r="F2" t="str">
            <v>INCH</v>
          </cell>
        </row>
      </sheetData>
      <sheetData sheetId="3438">
        <row r="2">
          <cell r="F2" t="str">
            <v>INCH</v>
          </cell>
        </row>
      </sheetData>
      <sheetData sheetId="3439" refreshError="1"/>
      <sheetData sheetId="3440" refreshError="1"/>
      <sheetData sheetId="3441" refreshError="1"/>
      <sheetData sheetId="3442" refreshError="1"/>
      <sheetData sheetId="3443" refreshError="1"/>
      <sheetData sheetId="3444">
        <row r="2">
          <cell r="F2" t="str">
            <v>INCH</v>
          </cell>
        </row>
      </sheetData>
      <sheetData sheetId="3445">
        <row r="2">
          <cell r="F2" t="str">
            <v>INCH</v>
          </cell>
        </row>
      </sheetData>
      <sheetData sheetId="3446">
        <row r="2">
          <cell r="F2" t="str">
            <v>INCH</v>
          </cell>
        </row>
      </sheetData>
      <sheetData sheetId="3447" refreshError="1"/>
      <sheetData sheetId="3448">
        <row r="2">
          <cell r="F2" t="str">
            <v>INCH</v>
          </cell>
        </row>
      </sheetData>
      <sheetData sheetId="3449">
        <row r="2">
          <cell r="F2" t="str">
            <v>INCH</v>
          </cell>
        </row>
      </sheetData>
      <sheetData sheetId="3450">
        <row r="2">
          <cell r="F2" t="str">
            <v>INCH</v>
          </cell>
        </row>
      </sheetData>
      <sheetData sheetId="3451">
        <row r="2">
          <cell r="F2" t="str">
            <v>INCH</v>
          </cell>
        </row>
      </sheetData>
      <sheetData sheetId="3452">
        <row r="2">
          <cell r="F2" t="str">
            <v>INCH</v>
          </cell>
        </row>
      </sheetData>
      <sheetData sheetId="3453">
        <row r="2">
          <cell r="F2" t="str">
            <v>INCH</v>
          </cell>
        </row>
      </sheetData>
      <sheetData sheetId="3454">
        <row r="2">
          <cell r="F2" t="str">
            <v>INCH</v>
          </cell>
        </row>
      </sheetData>
      <sheetData sheetId="3455">
        <row r="2">
          <cell r="F2" t="str">
            <v>INCH</v>
          </cell>
        </row>
      </sheetData>
      <sheetData sheetId="3456">
        <row r="2">
          <cell r="F2" t="str">
            <v>INCH</v>
          </cell>
        </row>
      </sheetData>
      <sheetData sheetId="3457">
        <row r="2">
          <cell r="F2" t="str">
            <v>INCH</v>
          </cell>
        </row>
      </sheetData>
      <sheetData sheetId="3458">
        <row r="2">
          <cell r="F2" t="str">
            <v>INCH</v>
          </cell>
        </row>
      </sheetData>
      <sheetData sheetId="3459">
        <row r="2">
          <cell r="F2" t="str">
            <v>INCH</v>
          </cell>
        </row>
      </sheetData>
      <sheetData sheetId="3460">
        <row r="2">
          <cell r="F2" t="str">
            <v>INCH</v>
          </cell>
        </row>
      </sheetData>
      <sheetData sheetId="3461">
        <row r="2">
          <cell r="F2" t="str">
            <v>INCH</v>
          </cell>
        </row>
      </sheetData>
      <sheetData sheetId="3462">
        <row r="2">
          <cell r="F2" t="str">
            <v>INCH</v>
          </cell>
        </row>
      </sheetData>
      <sheetData sheetId="3463">
        <row r="2">
          <cell r="F2" t="str">
            <v>INCH</v>
          </cell>
        </row>
      </sheetData>
      <sheetData sheetId="3464" refreshError="1"/>
      <sheetData sheetId="3465" refreshError="1"/>
      <sheetData sheetId="3466">
        <row r="2">
          <cell r="F2" t="str">
            <v>INCH</v>
          </cell>
        </row>
      </sheetData>
      <sheetData sheetId="3467">
        <row r="2">
          <cell r="F2" t="str">
            <v>INCH</v>
          </cell>
        </row>
      </sheetData>
      <sheetData sheetId="3468">
        <row r="2">
          <cell r="F2" t="str">
            <v>INCH</v>
          </cell>
        </row>
      </sheetData>
      <sheetData sheetId="3469"/>
      <sheetData sheetId="3470">
        <row r="2">
          <cell r="F2" t="str">
            <v>INCH</v>
          </cell>
        </row>
      </sheetData>
      <sheetData sheetId="3471">
        <row r="2">
          <cell r="F2" t="str">
            <v>INCH</v>
          </cell>
        </row>
      </sheetData>
      <sheetData sheetId="3472"/>
      <sheetData sheetId="3473">
        <row r="2">
          <cell r="F2" t="str">
            <v>INCH</v>
          </cell>
        </row>
      </sheetData>
      <sheetData sheetId="3474">
        <row r="2">
          <cell r="F2" t="str">
            <v>INCH</v>
          </cell>
        </row>
      </sheetData>
      <sheetData sheetId="3475">
        <row r="2">
          <cell r="F2" t="str">
            <v>INCH</v>
          </cell>
        </row>
      </sheetData>
      <sheetData sheetId="3476">
        <row r="2">
          <cell r="F2" t="str">
            <v>INCH</v>
          </cell>
        </row>
      </sheetData>
      <sheetData sheetId="3477">
        <row r="2">
          <cell r="F2" t="str">
            <v>INCH</v>
          </cell>
        </row>
      </sheetData>
      <sheetData sheetId="3478">
        <row r="2">
          <cell r="F2" t="str">
            <v>INCH</v>
          </cell>
        </row>
      </sheetData>
      <sheetData sheetId="3479">
        <row r="2">
          <cell r="F2" t="str">
            <v>INCH</v>
          </cell>
        </row>
      </sheetData>
      <sheetData sheetId="3480">
        <row r="2">
          <cell r="F2" t="str">
            <v>INCH</v>
          </cell>
        </row>
      </sheetData>
      <sheetData sheetId="3481">
        <row r="2">
          <cell r="F2" t="str">
            <v>INCH</v>
          </cell>
        </row>
      </sheetData>
      <sheetData sheetId="3482">
        <row r="2">
          <cell r="F2" t="str">
            <v>INCH</v>
          </cell>
        </row>
      </sheetData>
      <sheetData sheetId="3483">
        <row r="2">
          <cell r="F2" t="str">
            <v>INCH</v>
          </cell>
        </row>
      </sheetData>
      <sheetData sheetId="3484" refreshError="1"/>
      <sheetData sheetId="3485" refreshError="1"/>
      <sheetData sheetId="3486" refreshError="1"/>
      <sheetData sheetId="3487">
        <row r="2">
          <cell r="F2" t="str">
            <v>INCH</v>
          </cell>
        </row>
      </sheetData>
      <sheetData sheetId="3488" refreshError="1"/>
      <sheetData sheetId="3489" refreshError="1"/>
      <sheetData sheetId="3490" refreshError="1"/>
      <sheetData sheetId="3491" refreshError="1"/>
      <sheetData sheetId="3492" refreshError="1"/>
      <sheetData sheetId="3493" refreshError="1"/>
      <sheetData sheetId="3494" refreshError="1"/>
      <sheetData sheetId="3495">
        <row r="2">
          <cell r="F2" t="str">
            <v>INCH</v>
          </cell>
        </row>
      </sheetData>
      <sheetData sheetId="3496" refreshError="1"/>
      <sheetData sheetId="3497">
        <row r="2">
          <cell r="F2" t="str">
            <v>INCH</v>
          </cell>
        </row>
      </sheetData>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ow r="2">
          <cell r="F2" t="str">
            <v>INCH</v>
          </cell>
        </row>
      </sheetData>
      <sheetData sheetId="3562">
        <row r="2">
          <cell r="F2" t="str">
            <v>INCH</v>
          </cell>
        </row>
      </sheetData>
      <sheetData sheetId="3563">
        <row r="2">
          <cell r="F2" t="str">
            <v>INCH</v>
          </cell>
        </row>
      </sheetData>
      <sheetData sheetId="3564">
        <row r="2">
          <cell r="F2" t="str">
            <v>INCH</v>
          </cell>
        </row>
      </sheetData>
      <sheetData sheetId="3565"/>
      <sheetData sheetId="3566"/>
      <sheetData sheetId="3567"/>
      <sheetData sheetId="3568"/>
      <sheetData sheetId="3569"/>
      <sheetData sheetId="3570"/>
      <sheetData sheetId="3571">
        <row r="2">
          <cell r="F2" t="str">
            <v>INCH</v>
          </cell>
        </row>
      </sheetData>
      <sheetData sheetId="3572"/>
      <sheetData sheetId="3573">
        <row r="2">
          <cell r="F2" t="str">
            <v>INCH</v>
          </cell>
        </row>
      </sheetData>
      <sheetData sheetId="3574">
        <row r="2">
          <cell r="F2" t="str">
            <v>INCH</v>
          </cell>
        </row>
      </sheetData>
      <sheetData sheetId="3575"/>
      <sheetData sheetId="3576"/>
      <sheetData sheetId="3577"/>
      <sheetData sheetId="3578"/>
      <sheetData sheetId="3579"/>
      <sheetData sheetId="3580"/>
      <sheetData sheetId="3581"/>
      <sheetData sheetId="3582" refreshError="1"/>
      <sheetData sheetId="3583" refreshError="1"/>
      <sheetData sheetId="3584" refreshError="1"/>
      <sheetData sheetId="3585"/>
      <sheetData sheetId="3586" refreshError="1"/>
      <sheetData sheetId="3587" refreshError="1"/>
      <sheetData sheetId="3588" refreshError="1"/>
      <sheetData sheetId="3589" refreshError="1"/>
      <sheetData sheetId="3590" refreshError="1"/>
      <sheetData sheetId="3591"/>
      <sheetData sheetId="3592">
        <row r="2">
          <cell r="F2" t="str">
            <v>INCH</v>
          </cell>
        </row>
      </sheetData>
      <sheetData sheetId="3593">
        <row r="2">
          <cell r="F2" t="str">
            <v>INCH</v>
          </cell>
        </row>
      </sheetData>
      <sheetData sheetId="3594">
        <row r="2">
          <cell r="F2" t="str">
            <v>INCH</v>
          </cell>
        </row>
      </sheetData>
      <sheetData sheetId="3595">
        <row r="2">
          <cell r="F2" t="str">
            <v>INCH</v>
          </cell>
        </row>
      </sheetData>
      <sheetData sheetId="3596">
        <row r="2">
          <cell r="F2" t="str">
            <v>INCH</v>
          </cell>
        </row>
      </sheetData>
      <sheetData sheetId="3597">
        <row r="2">
          <cell r="F2" t="str">
            <v>INCH</v>
          </cell>
        </row>
      </sheetData>
      <sheetData sheetId="3598">
        <row r="2">
          <cell r="F2" t="str">
            <v>INCH</v>
          </cell>
        </row>
      </sheetData>
      <sheetData sheetId="3599">
        <row r="2">
          <cell r="F2" t="str">
            <v>INCH</v>
          </cell>
        </row>
      </sheetData>
      <sheetData sheetId="3600">
        <row r="2">
          <cell r="F2" t="str">
            <v>INCH</v>
          </cell>
        </row>
      </sheetData>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ow r="2">
          <cell r="F2" t="str">
            <v>INCH</v>
          </cell>
        </row>
      </sheetData>
      <sheetData sheetId="3685">
        <row r="2">
          <cell r="F2" t="str">
            <v>INCH</v>
          </cell>
        </row>
      </sheetData>
      <sheetData sheetId="3686">
        <row r="2">
          <cell r="F2" t="str">
            <v>INCH</v>
          </cell>
        </row>
      </sheetData>
      <sheetData sheetId="3687">
        <row r="2">
          <cell r="F2" t="str">
            <v>INCH</v>
          </cell>
        </row>
      </sheetData>
      <sheetData sheetId="3688">
        <row r="2">
          <cell r="F2" t="str">
            <v>INCH</v>
          </cell>
        </row>
      </sheetData>
      <sheetData sheetId="3689">
        <row r="2">
          <cell r="F2" t="str">
            <v>INCH</v>
          </cell>
        </row>
      </sheetData>
      <sheetData sheetId="3690">
        <row r="2">
          <cell r="F2" t="str">
            <v>INCH</v>
          </cell>
        </row>
      </sheetData>
      <sheetData sheetId="3691">
        <row r="2">
          <cell r="F2" t="str">
            <v>INCH</v>
          </cell>
        </row>
      </sheetData>
      <sheetData sheetId="3692">
        <row r="2">
          <cell r="F2" t="str">
            <v>INCH</v>
          </cell>
        </row>
      </sheetData>
      <sheetData sheetId="3693">
        <row r="2">
          <cell r="F2" t="str">
            <v>INCH</v>
          </cell>
        </row>
      </sheetData>
      <sheetData sheetId="3694">
        <row r="2">
          <cell r="F2" t="str">
            <v>INCH</v>
          </cell>
        </row>
      </sheetData>
      <sheetData sheetId="3695">
        <row r="2">
          <cell r="F2" t="str">
            <v>INCH</v>
          </cell>
        </row>
      </sheetData>
      <sheetData sheetId="3696">
        <row r="2">
          <cell r="F2" t="str">
            <v>INCH</v>
          </cell>
        </row>
      </sheetData>
      <sheetData sheetId="3697">
        <row r="2">
          <cell r="F2" t="str">
            <v>INCH</v>
          </cell>
        </row>
      </sheetData>
      <sheetData sheetId="3698">
        <row r="2">
          <cell r="F2" t="str">
            <v>INCH</v>
          </cell>
        </row>
      </sheetData>
      <sheetData sheetId="3699">
        <row r="2">
          <cell r="F2" t="str">
            <v>INCH</v>
          </cell>
        </row>
      </sheetData>
      <sheetData sheetId="3700">
        <row r="2">
          <cell r="F2" t="str">
            <v>INCH</v>
          </cell>
        </row>
      </sheetData>
      <sheetData sheetId="3701">
        <row r="2">
          <cell r="F2" t="str">
            <v>INCH</v>
          </cell>
        </row>
      </sheetData>
      <sheetData sheetId="3702">
        <row r="2">
          <cell r="F2" t="str">
            <v>INCH</v>
          </cell>
        </row>
      </sheetData>
      <sheetData sheetId="3703" refreshError="1"/>
      <sheetData sheetId="3704">
        <row r="2">
          <cell r="F2" t="str">
            <v>INCH</v>
          </cell>
        </row>
      </sheetData>
      <sheetData sheetId="3705">
        <row r="2">
          <cell r="F2" t="str">
            <v>INCH</v>
          </cell>
        </row>
      </sheetData>
      <sheetData sheetId="3706">
        <row r="2">
          <cell r="F2" t="str">
            <v>INCH</v>
          </cell>
        </row>
      </sheetData>
      <sheetData sheetId="3707">
        <row r="2">
          <cell r="F2" t="str">
            <v>INCH</v>
          </cell>
        </row>
      </sheetData>
      <sheetData sheetId="3708">
        <row r="2">
          <cell r="F2" t="str">
            <v>INCH</v>
          </cell>
        </row>
      </sheetData>
      <sheetData sheetId="3709">
        <row r="2">
          <cell r="F2" t="str">
            <v>INCH</v>
          </cell>
        </row>
      </sheetData>
      <sheetData sheetId="3710">
        <row r="2">
          <cell r="F2" t="str">
            <v>INCH</v>
          </cell>
        </row>
      </sheetData>
      <sheetData sheetId="3711">
        <row r="2">
          <cell r="F2" t="str">
            <v>INCH</v>
          </cell>
        </row>
      </sheetData>
      <sheetData sheetId="3712" refreshError="1"/>
      <sheetData sheetId="3713" refreshError="1"/>
      <sheetData sheetId="3714" refreshError="1"/>
      <sheetData sheetId="3715" refreshError="1"/>
      <sheetData sheetId="3716" refreshError="1"/>
      <sheetData sheetId="3717"/>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ow r="2">
          <cell r="F2" t="str">
            <v>INCH</v>
          </cell>
        </row>
      </sheetData>
      <sheetData sheetId="3800">
        <row r="2">
          <cell r="F2" t="str">
            <v>INCH</v>
          </cell>
        </row>
      </sheetData>
      <sheetData sheetId="3801">
        <row r="2">
          <cell r="F2" t="str">
            <v>INCH</v>
          </cell>
        </row>
      </sheetData>
      <sheetData sheetId="3802">
        <row r="2">
          <cell r="F2" t="str">
            <v>INCH</v>
          </cell>
        </row>
      </sheetData>
      <sheetData sheetId="3803">
        <row r="2">
          <cell r="F2" t="str">
            <v>INCH</v>
          </cell>
        </row>
      </sheetData>
      <sheetData sheetId="3804">
        <row r="2">
          <cell r="F2" t="str">
            <v>INCH</v>
          </cell>
        </row>
      </sheetData>
      <sheetData sheetId="3805">
        <row r="2">
          <cell r="F2" t="str">
            <v>INCH</v>
          </cell>
        </row>
      </sheetData>
      <sheetData sheetId="3806">
        <row r="2">
          <cell r="F2" t="str">
            <v>INCH</v>
          </cell>
        </row>
      </sheetData>
      <sheetData sheetId="3807">
        <row r="2">
          <cell r="F2" t="str">
            <v>INCH</v>
          </cell>
        </row>
      </sheetData>
      <sheetData sheetId="3808">
        <row r="2">
          <cell r="F2" t="str">
            <v>INCH</v>
          </cell>
        </row>
      </sheetData>
      <sheetData sheetId="3809">
        <row r="2">
          <cell r="F2" t="str">
            <v>INCH</v>
          </cell>
        </row>
      </sheetData>
      <sheetData sheetId="3810">
        <row r="2">
          <cell r="F2" t="str">
            <v>INCH</v>
          </cell>
        </row>
      </sheetData>
      <sheetData sheetId="3811">
        <row r="2">
          <cell r="F2" t="str">
            <v>INCH</v>
          </cell>
        </row>
      </sheetData>
      <sheetData sheetId="3812">
        <row r="2">
          <cell r="F2" t="str">
            <v>INCH</v>
          </cell>
        </row>
      </sheetData>
      <sheetData sheetId="3813">
        <row r="2">
          <cell r="F2" t="str">
            <v>INCH</v>
          </cell>
        </row>
      </sheetData>
      <sheetData sheetId="3814">
        <row r="2">
          <cell r="F2" t="str">
            <v>INCH</v>
          </cell>
        </row>
      </sheetData>
      <sheetData sheetId="3815">
        <row r="2">
          <cell r="F2" t="str">
            <v>INCH</v>
          </cell>
        </row>
      </sheetData>
      <sheetData sheetId="3816">
        <row r="2">
          <cell r="F2" t="str">
            <v>INCH</v>
          </cell>
        </row>
      </sheetData>
      <sheetData sheetId="3817">
        <row r="2">
          <cell r="F2" t="str">
            <v>INCH</v>
          </cell>
        </row>
      </sheetData>
      <sheetData sheetId="3818">
        <row r="2">
          <cell r="F2" t="str">
            <v>INCH</v>
          </cell>
        </row>
      </sheetData>
      <sheetData sheetId="3819">
        <row r="2">
          <cell r="F2" t="str">
            <v>INCH</v>
          </cell>
        </row>
      </sheetData>
      <sheetData sheetId="3820">
        <row r="2">
          <cell r="F2" t="str">
            <v>INCH</v>
          </cell>
        </row>
      </sheetData>
      <sheetData sheetId="3821">
        <row r="2">
          <cell r="F2" t="str">
            <v>INCH</v>
          </cell>
        </row>
      </sheetData>
      <sheetData sheetId="3822">
        <row r="2">
          <cell r="F2" t="str">
            <v>INCH</v>
          </cell>
        </row>
      </sheetData>
      <sheetData sheetId="3823">
        <row r="2">
          <cell r="F2" t="str">
            <v>INCH</v>
          </cell>
        </row>
      </sheetData>
      <sheetData sheetId="3824">
        <row r="2">
          <cell r="F2" t="str">
            <v>INCH</v>
          </cell>
        </row>
      </sheetData>
      <sheetData sheetId="3825">
        <row r="2">
          <cell r="F2" t="str">
            <v>INCH</v>
          </cell>
        </row>
      </sheetData>
      <sheetData sheetId="3826">
        <row r="2">
          <cell r="F2" t="str">
            <v>INCH</v>
          </cell>
        </row>
      </sheetData>
      <sheetData sheetId="3827">
        <row r="2">
          <cell r="F2" t="str">
            <v>INCH</v>
          </cell>
        </row>
      </sheetData>
      <sheetData sheetId="3828">
        <row r="2">
          <cell r="F2" t="str">
            <v>INCH</v>
          </cell>
        </row>
      </sheetData>
      <sheetData sheetId="3829">
        <row r="2">
          <cell r="F2" t="str">
            <v>INCH</v>
          </cell>
        </row>
      </sheetData>
      <sheetData sheetId="3830">
        <row r="2">
          <cell r="F2" t="str">
            <v>INCH</v>
          </cell>
        </row>
      </sheetData>
      <sheetData sheetId="3831">
        <row r="2">
          <cell r="F2" t="str">
            <v>INCH</v>
          </cell>
        </row>
      </sheetData>
      <sheetData sheetId="3832">
        <row r="2">
          <cell r="F2" t="str">
            <v>INCH</v>
          </cell>
        </row>
      </sheetData>
      <sheetData sheetId="3833">
        <row r="2">
          <cell r="F2" t="str">
            <v>INCH</v>
          </cell>
        </row>
      </sheetData>
      <sheetData sheetId="3834">
        <row r="2">
          <cell r="F2" t="str">
            <v>INCH</v>
          </cell>
        </row>
      </sheetData>
      <sheetData sheetId="3835">
        <row r="2">
          <cell r="F2" t="str">
            <v>INCH</v>
          </cell>
        </row>
      </sheetData>
      <sheetData sheetId="3836">
        <row r="2">
          <cell r="F2" t="str">
            <v>INCH</v>
          </cell>
        </row>
      </sheetData>
      <sheetData sheetId="3837">
        <row r="2">
          <cell r="F2" t="str">
            <v>INCH</v>
          </cell>
        </row>
      </sheetData>
      <sheetData sheetId="3838">
        <row r="2">
          <cell r="F2" t="str">
            <v>INCH</v>
          </cell>
        </row>
      </sheetData>
      <sheetData sheetId="3839">
        <row r="2">
          <cell r="F2" t="str">
            <v>INCH</v>
          </cell>
        </row>
      </sheetData>
      <sheetData sheetId="3840">
        <row r="2">
          <cell r="F2" t="str">
            <v>INCH</v>
          </cell>
        </row>
      </sheetData>
      <sheetData sheetId="3841">
        <row r="2">
          <cell r="F2" t="str">
            <v>INCH</v>
          </cell>
        </row>
      </sheetData>
      <sheetData sheetId="3842">
        <row r="2">
          <cell r="F2" t="str">
            <v>INCH</v>
          </cell>
        </row>
      </sheetData>
      <sheetData sheetId="3843">
        <row r="2">
          <cell r="F2" t="str">
            <v>INCH</v>
          </cell>
        </row>
      </sheetData>
      <sheetData sheetId="3844">
        <row r="2">
          <cell r="F2" t="str">
            <v>INCH</v>
          </cell>
        </row>
      </sheetData>
      <sheetData sheetId="3845">
        <row r="2">
          <cell r="F2" t="str">
            <v>INCH</v>
          </cell>
        </row>
      </sheetData>
      <sheetData sheetId="3846">
        <row r="2">
          <cell r="F2" t="str">
            <v>INCH</v>
          </cell>
        </row>
      </sheetData>
      <sheetData sheetId="3847">
        <row r="2">
          <cell r="F2" t="str">
            <v>INCH</v>
          </cell>
        </row>
      </sheetData>
      <sheetData sheetId="3848">
        <row r="2">
          <cell r="F2" t="str">
            <v>INCH</v>
          </cell>
        </row>
      </sheetData>
      <sheetData sheetId="3849">
        <row r="2">
          <cell r="F2" t="str">
            <v>INCH</v>
          </cell>
        </row>
      </sheetData>
      <sheetData sheetId="3850">
        <row r="2">
          <cell r="F2" t="str">
            <v>INCH</v>
          </cell>
        </row>
      </sheetData>
      <sheetData sheetId="3851">
        <row r="2">
          <cell r="F2" t="str">
            <v>INCH</v>
          </cell>
        </row>
      </sheetData>
      <sheetData sheetId="3852">
        <row r="2">
          <cell r="F2" t="str">
            <v>INCH</v>
          </cell>
        </row>
      </sheetData>
      <sheetData sheetId="3853">
        <row r="2">
          <cell r="F2" t="str">
            <v>INCH</v>
          </cell>
        </row>
      </sheetData>
      <sheetData sheetId="3854">
        <row r="2">
          <cell r="F2" t="str">
            <v>INCH</v>
          </cell>
        </row>
      </sheetData>
      <sheetData sheetId="3855">
        <row r="2">
          <cell r="F2" t="str">
            <v>INCH</v>
          </cell>
        </row>
      </sheetData>
      <sheetData sheetId="3856">
        <row r="2">
          <cell r="F2" t="str">
            <v>INCH</v>
          </cell>
        </row>
      </sheetData>
      <sheetData sheetId="3857">
        <row r="2">
          <cell r="F2" t="str">
            <v>INCH</v>
          </cell>
        </row>
      </sheetData>
      <sheetData sheetId="3858">
        <row r="2">
          <cell r="F2" t="str">
            <v>INCH</v>
          </cell>
        </row>
      </sheetData>
      <sheetData sheetId="3859">
        <row r="2">
          <cell r="F2" t="str">
            <v>INCH</v>
          </cell>
        </row>
      </sheetData>
      <sheetData sheetId="3860">
        <row r="2">
          <cell r="F2" t="str">
            <v>INCH</v>
          </cell>
        </row>
      </sheetData>
      <sheetData sheetId="3861">
        <row r="2">
          <cell r="F2" t="str">
            <v>INCH</v>
          </cell>
        </row>
      </sheetData>
      <sheetData sheetId="3862">
        <row r="2">
          <cell r="F2" t="str">
            <v>INCH</v>
          </cell>
        </row>
      </sheetData>
      <sheetData sheetId="3863">
        <row r="2">
          <cell r="F2" t="str">
            <v>INCH</v>
          </cell>
        </row>
      </sheetData>
      <sheetData sheetId="3864">
        <row r="2">
          <cell r="F2" t="str">
            <v>INCH</v>
          </cell>
        </row>
      </sheetData>
      <sheetData sheetId="3865">
        <row r="2">
          <cell r="F2" t="str">
            <v>INCH</v>
          </cell>
        </row>
      </sheetData>
      <sheetData sheetId="3866">
        <row r="2">
          <cell r="F2" t="str">
            <v>INCH</v>
          </cell>
        </row>
      </sheetData>
      <sheetData sheetId="3867">
        <row r="2">
          <cell r="F2" t="str">
            <v>INCH</v>
          </cell>
        </row>
      </sheetData>
      <sheetData sheetId="3868">
        <row r="2">
          <cell r="F2" t="str">
            <v>INCH</v>
          </cell>
        </row>
      </sheetData>
      <sheetData sheetId="3869">
        <row r="2">
          <cell r="F2" t="str">
            <v>INCH</v>
          </cell>
        </row>
      </sheetData>
      <sheetData sheetId="3870">
        <row r="2">
          <cell r="F2" t="str">
            <v>INCH</v>
          </cell>
        </row>
      </sheetData>
      <sheetData sheetId="3871">
        <row r="2">
          <cell r="F2" t="str">
            <v>INCH</v>
          </cell>
        </row>
      </sheetData>
      <sheetData sheetId="3872">
        <row r="2">
          <cell r="F2" t="str">
            <v>INCH</v>
          </cell>
        </row>
      </sheetData>
      <sheetData sheetId="3873">
        <row r="2">
          <cell r="F2" t="str">
            <v>INCH</v>
          </cell>
        </row>
      </sheetData>
      <sheetData sheetId="3874">
        <row r="2">
          <cell r="F2" t="str">
            <v>INCH</v>
          </cell>
        </row>
      </sheetData>
      <sheetData sheetId="3875">
        <row r="2">
          <cell r="F2" t="str">
            <v>INCH</v>
          </cell>
        </row>
      </sheetData>
      <sheetData sheetId="3876">
        <row r="2">
          <cell r="F2" t="str">
            <v>INCH</v>
          </cell>
        </row>
      </sheetData>
      <sheetData sheetId="3877">
        <row r="2">
          <cell r="F2" t="str">
            <v>INCH</v>
          </cell>
        </row>
      </sheetData>
      <sheetData sheetId="3878">
        <row r="2">
          <cell r="F2" t="str">
            <v>INCH</v>
          </cell>
        </row>
      </sheetData>
      <sheetData sheetId="3879">
        <row r="2">
          <cell r="F2" t="str">
            <v>INCH</v>
          </cell>
        </row>
      </sheetData>
      <sheetData sheetId="3880">
        <row r="2">
          <cell r="F2" t="str">
            <v>INCH</v>
          </cell>
        </row>
      </sheetData>
      <sheetData sheetId="3881">
        <row r="2">
          <cell r="F2" t="str">
            <v>INCH</v>
          </cell>
        </row>
      </sheetData>
      <sheetData sheetId="3882">
        <row r="2">
          <cell r="F2" t="str">
            <v>INCH</v>
          </cell>
        </row>
      </sheetData>
      <sheetData sheetId="3883">
        <row r="2">
          <cell r="F2" t="str">
            <v>INCH</v>
          </cell>
        </row>
      </sheetData>
      <sheetData sheetId="3884">
        <row r="2">
          <cell r="F2" t="str">
            <v>INCH</v>
          </cell>
        </row>
      </sheetData>
      <sheetData sheetId="3885">
        <row r="2">
          <cell r="F2" t="str">
            <v>INCH</v>
          </cell>
        </row>
      </sheetData>
      <sheetData sheetId="3886">
        <row r="2">
          <cell r="F2" t="str">
            <v>INCH</v>
          </cell>
        </row>
      </sheetData>
      <sheetData sheetId="3887">
        <row r="2">
          <cell r="F2" t="str">
            <v>INCH</v>
          </cell>
        </row>
      </sheetData>
      <sheetData sheetId="3888">
        <row r="2">
          <cell r="F2" t="str">
            <v>INCH</v>
          </cell>
        </row>
      </sheetData>
      <sheetData sheetId="3889">
        <row r="2">
          <cell r="F2" t="str">
            <v>INCH</v>
          </cell>
        </row>
      </sheetData>
      <sheetData sheetId="3890">
        <row r="2">
          <cell r="F2" t="str">
            <v>INCH</v>
          </cell>
        </row>
      </sheetData>
      <sheetData sheetId="3891">
        <row r="2">
          <cell r="F2" t="str">
            <v>INCH</v>
          </cell>
        </row>
      </sheetData>
      <sheetData sheetId="3892">
        <row r="2">
          <cell r="F2" t="str">
            <v>INCH</v>
          </cell>
        </row>
      </sheetData>
      <sheetData sheetId="3893">
        <row r="2">
          <cell r="F2" t="str">
            <v>INCH</v>
          </cell>
        </row>
      </sheetData>
      <sheetData sheetId="3894">
        <row r="2">
          <cell r="F2" t="str">
            <v>INCH</v>
          </cell>
        </row>
      </sheetData>
      <sheetData sheetId="3895">
        <row r="2">
          <cell r="F2" t="str">
            <v>INCH</v>
          </cell>
        </row>
      </sheetData>
      <sheetData sheetId="3896">
        <row r="2">
          <cell r="F2" t="str">
            <v>INCH</v>
          </cell>
        </row>
      </sheetData>
      <sheetData sheetId="3897">
        <row r="2">
          <cell r="F2" t="str">
            <v>INCH</v>
          </cell>
        </row>
      </sheetData>
      <sheetData sheetId="3898">
        <row r="2">
          <cell r="F2" t="str">
            <v>INCH</v>
          </cell>
        </row>
      </sheetData>
      <sheetData sheetId="3899" refreshError="1"/>
      <sheetData sheetId="3900" refreshError="1"/>
      <sheetData sheetId="3901"/>
      <sheetData sheetId="3902"/>
      <sheetData sheetId="3903" refreshError="1"/>
      <sheetData sheetId="3904" refreshError="1"/>
      <sheetData sheetId="3905" refreshError="1"/>
      <sheetData sheetId="3906">
        <row r="2">
          <cell r="F2" t="str">
            <v>INCH</v>
          </cell>
        </row>
      </sheetData>
      <sheetData sheetId="3907">
        <row r="2">
          <cell r="F2" t="str">
            <v>INCH</v>
          </cell>
        </row>
      </sheetData>
      <sheetData sheetId="3908">
        <row r="2">
          <cell r="F2" t="str">
            <v>INCH</v>
          </cell>
        </row>
      </sheetData>
      <sheetData sheetId="3909">
        <row r="2">
          <cell r="F2" t="str">
            <v>INCH</v>
          </cell>
        </row>
      </sheetData>
      <sheetData sheetId="3910">
        <row r="2">
          <cell r="F2" t="str">
            <v>INCH</v>
          </cell>
        </row>
      </sheetData>
      <sheetData sheetId="3911">
        <row r="2">
          <cell r="F2" t="str">
            <v>INCH</v>
          </cell>
        </row>
      </sheetData>
      <sheetData sheetId="3912">
        <row r="2">
          <cell r="F2" t="str">
            <v>INCH</v>
          </cell>
        </row>
      </sheetData>
      <sheetData sheetId="3913">
        <row r="2">
          <cell r="F2" t="str">
            <v>INCH</v>
          </cell>
        </row>
      </sheetData>
      <sheetData sheetId="3914">
        <row r="2">
          <cell r="F2" t="str">
            <v>INCH</v>
          </cell>
        </row>
      </sheetData>
      <sheetData sheetId="3915">
        <row r="2">
          <cell r="F2" t="str">
            <v>INCH</v>
          </cell>
        </row>
      </sheetData>
      <sheetData sheetId="3916">
        <row r="2">
          <cell r="F2" t="str">
            <v>INCH</v>
          </cell>
        </row>
      </sheetData>
      <sheetData sheetId="3917">
        <row r="2">
          <cell r="F2" t="str">
            <v>INCH</v>
          </cell>
        </row>
      </sheetData>
      <sheetData sheetId="3918">
        <row r="2">
          <cell r="F2" t="str">
            <v>INCH</v>
          </cell>
        </row>
      </sheetData>
      <sheetData sheetId="3919">
        <row r="2">
          <cell r="F2" t="str">
            <v>INCH</v>
          </cell>
        </row>
      </sheetData>
      <sheetData sheetId="3920">
        <row r="2">
          <cell r="F2" t="str">
            <v>INCH</v>
          </cell>
        </row>
      </sheetData>
      <sheetData sheetId="3921">
        <row r="2">
          <cell r="F2" t="str">
            <v>INCH</v>
          </cell>
        </row>
      </sheetData>
      <sheetData sheetId="3922">
        <row r="2">
          <cell r="F2" t="str">
            <v>INCH</v>
          </cell>
        </row>
      </sheetData>
      <sheetData sheetId="3923">
        <row r="2">
          <cell r="F2" t="str">
            <v>INCH</v>
          </cell>
        </row>
      </sheetData>
      <sheetData sheetId="3924">
        <row r="2">
          <cell r="F2" t="str">
            <v>INCH</v>
          </cell>
        </row>
      </sheetData>
      <sheetData sheetId="3925">
        <row r="2">
          <cell r="F2" t="str">
            <v>INCH</v>
          </cell>
        </row>
      </sheetData>
      <sheetData sheetId="3926">
        <row r="2">
          <cell r="F2" t="str">
            <v>INCH</v>
          </cell>
        </row>
      </sheetData>
      <sheetData sheetId="3927">
        <row r="2">
          <cell r="F2" t="str">
            <v>INCH</v>
          </cell>
        </row>
      </sheetData>
      <sheetData sheetId="3928">
        <row r="2">
          <cell r="F2" t="str">
            <v>INCH</v>
          </cell>
        </row>
      </sheetData>
      <sheetData sheetId="3929">
        <row r="2">
          <cell r="F2" t="str">
            <v>INCH</v>
          </cell>
        </row>
      </sheetData>
      <sheetData sheetId="3930">
        <row r="2">
          <cell r="F2" t="str">
            <v>INCH</v>
          </cell>
        </row>
      </sheetData>
      <sheetData sheetId="3931">
        <row r="2">
          <cell r="F2" t="str">
            <v>INCH</v>
          </cell>
        </row>
      </sheetData>
      <sheetData sheetId="3932">
        <row r="2">
          <cell r="F2" t="str">
            <v>INCH</v>
          </cell>
        </row>
      </sheetData>
      <sheetData sheetId="3933">
        <row r="2">
          <cell r="F2" t="str">
            <v>INCH</v>
          </cell>
        </row>
      </sheetData>
      <sheetData sheetId="3934">
        <row r="2">
          <cell r="F2" t="str">
            <v>INCH</v>
          </cell>
        </row>
      </sheetData>
      <sheetData sheetId="3935">
        <row r="2">
          <cell r="F2" t="str">
            <v>INCH</v>
          </cell>
        </row>
      </sheetData>
      <sheetData sheetId="3936">
        <row r="2">
          <cell r="F2" t="str">
            <v>INCH</v>
          </cell>
        </row>
      </sheetData>
      <sheetData sheetId="3937">
        <row r="2">
          <cell r="F2" t="str">
            <v>INCH</v>
          </cell>
        </row>
      </sheetData>
      <sheetData sheetId="3938">
        <row r="2">
          <cell r="F2" t="str">
            <v>INCH</v>
          </cell>
        </row>
      </sheetData>
      <sheetData sheetId="3939">
        <row r="2">
          <cell r="F2" t="str">
            <v>INCH</v>
          </cell>
        </row>
      </sheetData>
      <sheetData sheetId="3940">
        <row r="2">
          <cell r="F2" t="str">
            <v>INCH</v>
          </cell>
        </row>
      </sheetData>
      <sheetData sheetId="3941">
        <row r="2">
          <cell r="F2" t="str">
            <v>INCH</v>
          </cell>
        </row>
      </sheetData>
      <sheetData sheetId="3942">
        <row r="2">
          <cell r="F2" t="str">
            <v>INCH</v>
          </cell>
        </row>
      </sheetData>
      <sheetData sheetId="3943">
        <row r="2">
          <cell r="F2" t="str">
            <v>INCH</v>
          </cell>
        </row>
      </sheetData>
      <sheetData sheetId="3944">
        <row r="2">
          <cell r="F2" t="str">
            <v>INCH</v>
          </cell>
        </row>
      </sheetData>
      <sheetData sheetId="3945">
        <row r="2">
          <cell r="F2" t="str">
            <v>INCH</v>
          </cell>
        </row>
      </sheetData>
      <sheetData sheetId="3946">
        <row r="2">
          <cell r="F2" t="str">
            <v>INCH</v>
          </cell>
        </row>
      </sheetData>
      <sheetData sheetId="3947">
        <row r="2">
          <cell r="F2" t="str">
            <v>INCH</v>
          </cell>
        </row>
      </sheetData>
      <sheetData sheetId="3948">
        <row r="2">
          <cell r="F2" t="str">
            <v>INCH</v>
          </cell>
        </row>
      </sheetData>
      <sheetData sheetId="3949">
        <row r="2">
          <cell r="F2" t="str">
            <v>INCH</v>
          </cell>
        </row>
      </sheetData>
      <sheetData sheetId="3950">
        <row r="2">
          <cell r="F2" t="str">
            <v>INCH</v>
          </cell>
        </row>
      </sheetData>
      <sheetData sheetId="3951">
        <row r="2">
          <cell r="F2" t="str">
            <v>INCH</v>
          </cell>
        </row>
      </sheetData>
      <sheetData sheetId="3952">
        <row r="2">
          <cell r="F2" t="str">
            <v>INCH</v>
          </cell>
        </row>
      </sheetData>
      <sheetData sheetId="3953">
        <row r="2">
          <cell r="F2" t="str">
            <v>INCH</v>
          </cell>
        </row>
      </sheetData>
      <sheetData sheetId="3954">
        <row r="2">
          <cell r="F2" t="str">
            <v>INCH</v>
          </cell>
        </row>
      </sheetData>
      <sheetData sheetId="3955">
        <row r="2">
          <cell r="F2" t="str">
            <v>INCH</v>
          </cell>
        </row>
      </sheetData>
      <sheetData sheetId="3956">
        <row r="2">
          <cell r="F2" t="str">
            <v>INCH</v>
          </cell>
        </row>
      </sheetData>
      <sheetData sheetId="3957">
        <row r="2">
          <cell r="F2" t="str">
            <v>INCH</v>
          </cell>
        </row>
      </sheetData>
      <sheetData sheetId="3958">
        <row r="2">
          <cell r="F2" t="str">
            <v>INCH</v>
          </cell>
        </row>
      </sheetData>
      <sheetData sheetId="3959">
        <row r="2">
          <cell r="F2" t="str">
            <v>INCH</v>
          </cell>
        </row>
      </sheetData>
      <sheetData sheetId="3960">
        <row r="2">
          <cell r="F2" t="str">
            <v>INCH</v>
          </cell>
        </row>
      </sheetData>
      <sheetData sheetId="3961">
        <row r="2">
          <cell r="F2" t="str">
            <v>INCH</v>
          </cell>
        </row>
      </sheetData>
      <sheetData sheetId="3962">
        <row r="2">
          <cell r="F2" t="str">
            <v>INCH</v>
          </cell>
        </row>
      </sheetData>
      <sheetData sheetId="3963">
        <row r="2">
          <cell r="F2" t="str">
            <v>INCH</v>
          </cell>
        </row>
      </sheetData>
      <sheetData sheetId="3964">
        <row r="2">
          <cell r="F2" t="str">
            <v>INCH</v>
          </cell>
        </row>
      </sheetData>
      <sheetData sheetId="3965">
        <row r="2">
          <cell r="F2" t="str">
            <v>INCH</v>
          </cell>
        </row>
      </sheetData>
      <sheetData sheetId="3966">
        <row r="2">
          <cell r="F2" t="str">
            <v>INCH</v>
          </cell>
        </row>
      </sheetData>
      <sheetData sheetId="3967">
        <row r="2">
          <cell r="F2" t="str">
            <v>INCH</v>
          </cell>
        </row>
      </sheetData>
      <sheetData sheetId="3968">
        <row r="2">
          <cell r="F2" t="str">
            <v>INCH</v>
          </cell>
        </row>
      </sheetData>
      <sheetData sheetId="3969">
        <row r="2">
          <cell r="F2" t="str">
            <v>INCH</v>
          </cell>
        </row>
      </sheetData>
      <sheetData sheetId="3970">
        <row r="2">
          <cell r="F2" t="str">
            <v>INCH</v>
          </cell>
        </row>
      </sheetData>
      <sheetData sheetId="3971">
        <row r="2">
          <cell r="F2" t="str">
            <v>INCH</v>
          </cell>
        </row>
      </sheetData>
      <sheetData sheetId="3972">
        <row r="2">
          <cell r="F2" t="str">
            <v>INCH</v>
          </cell>
        </row>
      </sheetData>
      <sheetData sheetId="3973">
        <row r="2">
          <cell r="F2" t="str">
            <v>INCH</v>
          </cell>
        </row>
      </sheetData>
      <sheetData sheetId="3974">
        <row r="2">
          <cell r="F2" t="str">
            <v>INCH</v>
          </cell>
        </row>
      </sheetData>
      <sheetData sheetId="3975">
        <row r="2">
          <cell r="F2" t="str">
            <v>INCH</v>
          </cell>
        </row>
      </sheetData>
      <sheetData sheetId="3976">
        <row r="2">
          <cell r="F2" t="str">
            <v>INCH</v>
          </cell>
        </row>
      </sheetData>
      <sheetData sheetId="3977">
        <row r="2">
          <cell r="F2" t="str">
            <v>INCH</v>
          </cell>
        </row>
      </sheetData>
      <sheetData sheetId="3978">
        <row r="2">
          <cell r="F2" t="str">
            <v>INCH</v>
          </cell>
        </row>
      </sheetData>
      <sheetData sheetId="3979">
        <row r="2">
          <cell r="F2" t="str">
            <v>INCH</v>
          </cell>
        </row>
      </sheetData>
      <sheetData sheetId="3980">
        <row r="2">
          <cell r="F2" t="str">
            <v>INCH</v>
          </cell>
        </row>
      </sheetData>
      <sheetData sheetId="3981">
        <row r="2">
          <cell r="F2" t="str">
            <v>INCH</v>
          </cell>
        </row>
      </sheetData>
      <sheetData sheetId="3982">
        <row r="2">
          <cell r="F2" t="str">
            <v>INCH</v>
          </cell>
        </row>
      </sheetData>
      <sheetData sheetId="3983">
        <row r="2">
          <cell r="F2" t="str">
            <v>INCH</v>
          </cell>
        </row>
      </sheetData>
      <sheetData sheetId="3984">
        <row r="2">
          <cell r="F2" t="str">
            <v>INCH</v>
          </cell>
        </row>
      </sheetData>
      <sheetData sheetId="3985">
        <row r="2">
          <cell r="F2" t="str">
            <v>INCH</v>
          </cell>
        </row>
      </sheetData>
      <sheetData sheetId="3986">
        <row r="2">
          <cell r="F2" t="str">
            <v>INCH</v>
          </cell>
        </row>
      </sheetData>
      <sheetData sheetId="3987">
        <row r="2">
          <cell r="F2" t="str">
            <v>INCH</v>
          </cell>
        </row>
      </sheetData>
      <sheetData sheetId="3988">
        <row r="2">
          <cell r="F2" t="str">
            <v>INCH</v>
          </cell>
        </row>
      </sheetData>
      <sheetData sheetId="3989">
        <row r="2">
          <cell r="F2" t="str">
            <v>INCH</v>
          </cell>
        </row>
      </sheetData>
      <sheetData sheetId="3990">
        <row r="2">
          <cell r="F2" t="str">
            <v>INCH</v>
          </cell>
        </row>
      </sheetData>
      <sheetData sheetId="3991">
        <row r="2">
          <cell r="F2" t="str">
            <v>INCH</v>
          </cell>
        </row>
      </sheetData>
      <sheetData sheetId="3992">
        <row r="2">
          <cell r="F2" t="str">
            <v>INCH</v>
          </cell>
        </row>
      </sheetData>
      <sheetData sheetId="3993">
        <row r="2">
          <cell r="F2" t="str">
            <v>INCH</v>
          </cell>
        </row>
      </sheetData>
      <sheetData sheetId="3994">
        <row r="2">
          <cell r="F2" t="str">
            <v>INCH</v>
          </cell>
        </row>
      </sheetData>
      <sheetData sheetId="3995">
        <row r="2">
          <cell r="F2" t="str">
            <v>INCH</v>
          </cell>
        </row>
      </sheetData>
      <sheetData sheetId="3996">
        <row r="2">
          <cell r="F2" t="str">
            <v>INCH</v>
          </cell>
        </row>
      </sheetData>
      <sheetData sheetId="3997">
        <row r="2">
          <cell r="F2" t="str">
            <v>INCH</v>
          </cell>
        </row>
      </sheetData>
      <sheetData sheetId="3998">
        <row r="2">
          <cell r="F2" t="str">
            <v>INCH</v>
          </cell>
        </row>
      </sheetData>
      <sheetData sheetId="3999">
        <row r="2">
          <cell r="F2" t="str">
            <v>INCH</v>
          </cell>
        </row>
      </sheetData>
      <sheetData sheetId="4000">
        <row r="2">
          <cell r="F2" t="str">
            <v>INCH</v>
          </cell>
        </row>
      </sheetData>
      <sheetData sheetId="4001">
        <row r="2">
          <cell r="F2" t="str">
            <v>INCH</v>
          </cell>
        </row>
      </sheetData>
      <sheetData sheetId="4002">
        <row r="2">
          <cell r="F2" t="str">
            <v>INCH</v>
          </cell>
        </row>
      </sheetData>
      <sheetData sheetId="4003">
        <row r="2">
          <cell r="F2" t="str">
            <v>INCH</v>
          </cell>
        </row>
      </sheetData>
      <sheetData sheetId="4004">
        <row r="2">
          <cell r="F2" t="str">
            <v>INCH</v>
          </cell>
        </row>
      </sheetData>
      <sheetData sheetId="4005">
        <row r="2">
          <cell r="F2" t="str">
            <v>INCH</v>
          </cell>
        </row>
      </sheetData>
      <sheetData sheetId="4006">
        <row r="2">
          <cell r="F2" t="str">
            <v>INCH</v>
          </cell>
        </row>
      </sheetData>
      <sheetData sheetId="4007">
        <row r="2">
          <cell r="F2" t="str">
            <v>INCH</v>
          </cell>
        </row>
      </sheetData>
      <sheetData sheetId="4008">
        <row r="2">
          <cell r="F2" t="str">
            <v>INCH</v>
          </cell>
        </row>
      </sheetData>
      <sheetData sheetId="4009">
        <row r="2">
          <cell r="F2" t="str">
            <v>INCH</v>
          </cell>
        </row>
      </sheetData>
      <sheetData sheetId="4010">
        <row r="2">
          <cell r="F2" t="str">
            <v>INCH</v>
          </cell>
        </row>
      </sheetData>
      <sheetData sheetId="4011">
        <row r="2">
          <cell r="F2" t="str">
            <v>INCH</v>
          </cell>
        </row>
      </sheetData>
      <sheetData sheetId="4012">
        <row r="2">
          <cell r="F2" t="str">
            <v>INCH</v>
          </cell>
        </row>
      </sheetData>
      <sheetData sheetId="4013">
        <row r="2">
          <cell r="F2" t="str">
            <v>INCH</v>
          </cell>
        </row>
      </sheetData>
      <sheetData sheetId="4014">
        <row r="2">
          <cell r="F2" t="str">
            <v>INCH</v>
          </cell>
        </row>
      </sheetData>
      <sheetData sheetId="4015">
        <row r="2">
          <cell r="F2" t="str">
            <v>INCH</v>
          </cell>
        </row>
      </sheetData>
      <sheetData sheetId="4016">
        <row r="2">
          <cell r="F2" t="str">
            <v>INCH</v>
          </cell>
        </row>
      </sheetData>
      <sheetData sheetId="4017">
        <row r="2">
          <cell r="F2" t="str">
            <v>INCH</v>
          </cell>
        </row>
      </sheetData>
      <sheetData sheetId="4018">
        <row r="2">
          <cell r="F2" t="str">
            <v>INCH</v>
          </cell>
        </row>
      </sheetData>
      <sheetData sheetId="4019">
        <row r="2">
          <cell r="F2" t="str">
            <v>INCH</v>
          </cell>
        </row>
      </sheetData>
      <sheetData sheetId="4020">
        <row r="2">
          <cell r="F2" t="str">
            <v>INCH</v>
          </cell>
        </row>
      </sheetData>
      <sheetData sheetId="4021">
        <row r="2">
          <cell r="F2" t="str">
            <v>INCH</v>
          </cell>
        </row>
      </sheetData>
      <sheetData sheetId="4022">
        <row r="2">
          <cell r="F2" t="str">
            <v>INCH</v>
          </cell>
        </row>
      </sheetData>
      <sheetData sheetId="4023">
        <row r="2">
          <cell r="F2" t="str">
            <v>INCH</v>
          </cell>
        </row>
      </sheetData>
      <sheetData sheetId="4024">
        <row r="2">
          <cell r="F2" t="str">
            <v>INCH</v>
          </cell>
        </row>
      </sheetData>
      <sheetData sheetId="4025">
        <row r="2">
          <cell r="F2" t="str">
            <v>INCH</v>
          </cell>
        </row>
      </sheetData>
      <sheetData sheetId="4026">
        <row r="2">
          <cell r="F2" t="str">
            <v>INCH</v>
          </cell>
        </row>
      </sheetData>
      <sheetData sheetId="4027">
        <row r="2">
          <cell r="F2" t="str">
            <v>INCH</v>
          </cell>
        </row>
      </sheetData>
      <sheetData sheetId="4028">
        <row r="2">
          <cell r="F2" t="str">
            <v>INCH</v>
          </cell>
        </row>
      </sheetData>
      <sheetData sheetId="4029">
        <row r="2">
          <cell r="F2" t="str">
            <v>INCH</v>
          </cell>
        </row>
      </sheetData>
      <sheetData sheetId="4030">
        <row r="2">
          <cell r="F2" t="str">
            <v>INCH</v>
          </cell>
        </row>
      </sheetData>
      <sheetData sheetId="4031">
        <row r="2">
          <cell r="F2" t="str">
            <v>INCH</v>
          </cell>
        </row>
      </sheetData>
      <sheetData sheetId="4032">
        <row r="2">
          <cell r="F2" t="str">
            <v>INCH</v>
          </cell>
        </row>
      </sheetData>
      <sheetData sheetId="4033">
        <row r="2">
          <cell r="F2" t="str">
            <v>INCH</v>
          </cell>
        </row>
      </sheetData>
      <sheetData sheetId="4034">
        <row r="2">
          <cell r="F2" t="str">
            <v>INCH</v>
          </cell>
        </row>
      </sheetData>
      <sheetData sheetId="4035">
        <row r="2">
          <cell r="F2" t="str">
            <v>INCH</v>
          </cell>
        </row>
      </sheetData>
      <sheetData sheetId="4036">
        <row r="2">
          <cell r="F2" t="str">
            <v>INCH</v>
          </cell>
        </row>
      </sheetData>
      <sheetData sheetId="4037">
        <row r="2">
          <cell r="F2" t="str">
            <v>INCH</v>
          </cell>
        </row>
      </sheetData>
      <sheetData sheetId="4038">
        <row r="2">
          <cell r="F2" t="str">
            <v>INCH</v>
          </cell>
        </row>
      </sheetData>
      <sheetData sheetId="4039">
        <row r="2">
          <cell r="F2" t="str">
            <v>INCH</v>
          </cell>
        </row>
      </sheetData>
      <sheetData sheetId="4040">
        <row r="2">
          <cell r="F2" t="str">
            <v>INCH</v>
          </cell>
        </row>
      </sheetData>
      <sheetData sheetId="4041">
        <row r="2">
          <cell r="F2" t="str">
            <v>INCH</v>
          </cell>
        </row>
      </sheetData>
      <sheetData sheetId="4042">
        <row r="2">
          <cell r="F2" t="str">
            <v>INCH</v>
          </cell>
        </row>
      </sheetData>
      <sheetData sheetId="4043">
        <row r="2">
          <cell r="F2" t="str">
            <v>INCH</v>
          </cell>
        </row>
      </sheetData>
      <sheetData sheetId="4044">
        <row r="2">
          <cell r="F2" t="str">
            <v>INCH</v>
          </cell>
        </row>
      </sheetData>
      <sheetData sheetId="4045">
        <row r="2">
          <cell r="F2" t="str">
            <v>INCH</v>
          </cell>
        </row>
      </sheetData>
      <sheetData sheetId="4046">
        <row r="2">
          <cell r="F2" t="str">
            <v>INCH</v>
          </cell>
        </row>
      </sheetData>
      <sheetData sheetId="4047">
        <row r="2">
          <cell r="F2" t="str">
            <v>INCH</v>
          </cell>
        </row>
      </sheetData>
      <sheetData sheetId="4048">
        <row r="2">
          <cell r="F2" t="str">
            <v>INCH</v>
          </cell>
        </row>
      </sheetData>
      <sheetData sheetId="4049">
        <row r="2">
          <cell r="F2" t="str">
            <v>INCH</v>
          </cell>
        </row>
      </sheetData>
      <sheetData sheetId="4050">
        <row r="2">
          <cell r="F2" t="str">
            <v>INCH</v>
          </cell>
        </row>
      </sheetData>
      <sheetData sheetId="4051">
        <row r="2">
          <cell r="F2" t="str">
            <v>INCH</v>
          </cell>
        </row>
      </sheetData>
      <sheetData sheetId="4052">
        <row r="2">
          <cell r="F2" t="str">
            <v>INCH</v>
          </cell>
        </row>
      </sheetData>
      <sheetData sheetId="4053">
        <row r="2">
          <cell r="F2" t="str">
            <v>INCH</v>
          </cell>
        </row>
      </sheetData>
      <sheetData sheetId="4054">
        <row r="2">
          <cell r="F2" t="str">
            <v>INCH</v>
          </cell>
        </row>
      </sheetData>
      <sheetData sheetId="4055">
        <row r="2">
          <cell r="F2" t="str">
            <v>INCH</v>
          </cell>
        </row>
      </sheetData>
      <sheetData sheetId="4056">
        <row r="2">
          <cell r="F2" t="str">
            <v>INCH</v>
          </cell>
        </row>
      </sheetData>
      <sheetData sheetId="4057">
        <row r="2">
          <cell r="F2" t="str">
            <v>INCH</v>
          </cell>
        </row>
      </sheetData>
      <sheetData sheetId="4058">
        <row r="2">
          <cell r="F2" t="str">
            <v>INCH</v>
          </cell>
        </row>
      </sheetData>
      <sheetData sheetId="4059">
        <row r="2">
          <cell r="F2" t="str">
            <v>INCH</v>
          </cell>
        </row>
      </sheetData>
      <sheetData sheetId="4060">
        <row r="2">
          <cell r="F2" t="str">
            <v>INCH</v>
          </cell>
        </row>
      </sheetData>
      <sheetData sheetId="4061">
        <row r="2">
          <cell r="F2" t="str">
            <v>INCH</v>
          </cell>
        </row>
      </sheetData>
      <sheetData sheetId="4062">
        <row r="2">
          <cell r="F2" t="str">
            <v>INCH</v>
          </cell>
        </row>
      </sheetData>
      <sheetData sheetId="4063">
        <row r="2">
          <cell r="F2" t="str">
            <v>INCH</v>
          </cell>
        </row>
      </sheetData>
      <sheetData sheetId="4064">
        <row r="2">
          <cell r="F2" t="str">
            <v>INCH</v>
          </cell>
        </row>
      </sheetData>
      <sheetData sheetId="4065">
        <row r="2">
          <cell r="F2" t="str">
            <v>INCH</v>
          </cell>
        </row>
      </sheetData>
      <sheetData sheetId="4066">
        <row r="2">
          <cell r="F2" t="str">
            <v>INCH</v>
          </cell>
        </row>
      </sheetData>
      <sheetData sheetId="4067">
        <row r="2">
          <cell r="F2" t="str">
            <v>INCH</v>
          </cell>
        </row>
      </sheetData>
      <sheetData sheetId="4068">
        <row r="2">
          <cell r="F2" t="str">
            <v>INCH</v>
          </cell>
        </row>
      </sheetData>
      <sheetData sheetId="4069">
        <row r="2">
          <cell r="F2" t="str">
            <v>INCH</v>
          </cell>
        </row>
      </sheetData>
      <sheetData sheetId="4070">
        <row r="2">
          <cell r="F2" t="str">
            <v>INCH</v>
          </cell>
        </row>
      </sheetData>
      <sheetData sheetId="4071">
        <row r="2">
          <cell r="F2" t="str">
            <v>INCH</v>
          </cell>
        </row>
      </sheetData>
      <sheetData sheetId="4072">
        <row r="2">
          <cell r="F2" t="str">
            <v>INCH</v>
          </cell>
        </row>
      </sheetData>
      <sheetData sheetId="4073">
        <row r="2">
          <cell r="F2" t="str">
            <v>INCH</v>
          </cell>
        </row>
      </sheetData>
      <sheetData sheetId="4074">
        <row r="2">
          <cell r="F2" t="str">
            <v>INCH</v>
          </cell>
        </row>
      </sheetData>
      <sheetData sheetId="4075">
        <row r="2">
          <cell r="F2" t="str">
            <v>INCH</v>
          </cell>
        </row>
      </sheetData>
      <sheetData sheetId="4076">
        <row r="2">
          <cell r="F2" t="str">
            <v>INCH</v>
          </cell>
        </row>
      </sheetData>
      <sheetData sheetId="4077">
        <row r="2">
          <cell r="F2" t="str">
            <v>INCH</v>
          </cell>
        </row>
      </sheetData>
      <sheetData sheetId="4078">
        <row r="2">
          <cell r="F2" t="str">
            <v>INCH</v>
          </cell>
        </row>
      </sheetData>
      <sheetData sheetId="4079">
        <row r="2">
          <cell r="F2" t="str">
            <v>INCH</v>
          </cell>
        </row>
      </sheetData>
      <sheetData sheetId="4080">
        <row r="2">
          <cell r="F2" t="str">
            <v>INCH</v>
          </cell>
        </row>
      </sheetData>
      <sheetData sheetId="4081">
        <row r="2">
          <cell r="F2" t="str">
            <v>INCH</v>
          </cell>
        </row>
      </sheetData>
      <sheetData sheetId="4082">
        <row r="2">
          <cell r="F2" t="str">
            <v>INCH</v>
          </cell>
        </row>
      </sheetData>
      <sheetData sheetId="4083">
        <row r="2">
          <cell r="F2" t="str">
            <v>INCH</v>
          </cell>
        </row>
      </sheetData>
      <sheetData sheetId="4084">
        <row r="2">
          <cell r="F2" t="str">
            <v>INCH</v>
          </cell>
        </row>
      </sheetData>
      <sheetData sheetId="4085">
        <row r="2">
          <cell r="F2" t="str">
            <v>INCH</v>
          </cell>
        </row>
      </sheetData>
      <sheetData sheetId="4086">
        <row r="2">
          <cell r="F2" t="str">
            <v>INCH</v>
          </cell>
        </row>
      </sheetData>
      <sheetData sheetId="4087">
        <row r="2">
          <cell r="F2" t="str">
            <v>INCH</v>
          </cell>
        </row>
      </sheetData>
      <sheetData sheetId="4088">
        <row r="2">
          <cell r="F2" t="str">
            <v>INCH</v>
          </cell>
        </row>
      </sheetData>
      <sheetData sheetId="4089">
        <row r="2">
          <cell r="F2" t="str">
            <v>INCH</v>
          </cell>
        </row>
      </sheetData>
      <sheetData sheetId="4090">
        <row r="2">
          <cell r="F2" t="str">
            <v>INCH</v>
          </cell>
        </row>
      </sheetData>
      <sheetData sheetId="4091">
        <row r="2">
          <cell r="F2" t="str">
            <v>INCH</v>
          </cell>
        </row>
      </sheetData>
      <sheetData sheetId="4092">
        <row r="2">
          <cell r="F2" t="str">
            <v>INCH</v>
          </cell>
        </row>
      </sheetData>
      <sheetData sheetId="4093">
        <row r="2">
          <cell r="F2" t="str">
            <v>INCH</v>
          </cell>
        </row>
      </sheetData>
      <sheetData sheetId="4094">
        <row r="2">
          <cell r="F2" t="str">
            <v>INCH</v>
          </cell>
        </row>
      </sheetData>
      <sheetData sheetId="4095">
        <row r="2">
          <cell r="F2" t="str">
            <v>INCH</v>
          </cell>
        </row>
      </sheetData>
      <sheetData sheetId="4096">
        <row r="2">
          <cell r="F2" t="str">
            <v>INCH</v>
          </cell>
        </row>
      </sheetData>
      <sheetData sheetId="4097">
        <row r="2">
          <cell r="F2" t="str">
            <v>INCH</v>
          </cell>
        </row>
      </sheetData>
      <sheetData sheetId="4098">
        <row r="2">
          <cell r="F2" t="str">
            <v>INCH</v>
          </cell>
        </row>
      </sheetData>
      <sheetData sheetId="4099">
        <row r="2">
          <cell r="F2" t="str">
            <v>INCH</v>
          </cell>
        </row>
      </sheetData>
      <sheetData sheetId="4100">
        <row r="2">
          <cell r="F2" t="str">
            <v>INCH</v>
          </cell>
        </row>
      </sheetData>
      <sheetData sheetId="4101">
        <row r="2">
          <cell r="F2" t="str">
            <v>INCH</v>
          </cell>
        </row>
      </sheetData>
      <sheetData sheetId="4102">
        <row r="2">
          <cell r="F2" t="str">
            <v>INCH</v>
          </cell>
        </row>
      </sheetData>
      <sheetData sheetId="4103">
        <row r="2">
          <cell r="F2" t="str">
            <v>INCH</v>
          </cell>
        </row>
      </sheetData>
      <sheetData sheetId="4104">
        <row r="2">
          <cell r="F2" t="str">
            <v>INCH</v>
          </cell>
        </row>
      </sheetData>
      <sheetData sheetId="4105">
        <row r="2">
          <cell r="F2" t="str">
            <v>INCH</v>
          </cell>
        </row>
      </sheetData>
      <sheetData sheetId="4106">
        <row r="2">
          <cell r="F2" t="str">
            <v>INCH</v>
          </cell>
        </row>
      </sheetData>
      <sheetData sheetId="4107">
        <row r="2">
          <cell r="F2" t="str">
            <v>INCH</v>
          </cell>
        </row>
      </sheetData>
      <sheetData sheetId="4108">
        <row r="2">
          <cell r="F2" t="str">
            <v>INCH</v>
          </cell>
        </row>
      </sheetData>
      <sheetData sheetId="4109">
        <row r="2">
          <cell r="F2" t="str">
            <v>INCH</v>
          </cell>
        </row>
      </sheetData>
      <sheetData sheetId="4110">
        <row r="2">
          <cell r="F2" t="str">
            <v>INCH</v>
          </cell>
        </row>
      </sheetData>
      <sheetData sheetId="4111">
        <row r="2">
          <cell r="F2" t="str">
            <v>INCH</v>
          </cell>
        </row>
      </sheetData>
      <sheetData sheetId="4112">
        <row r="2">
          <cell r="F2" t="str">
            <v>INCH</v>
          </cell>
        </row>
      </sheetData>
      <sheetData sheetId="4113">
        <row r="2">
          <cell r="F2" t="str">
            <v>INCH</v>
          </cell>
        </row>
      </sheetData>
      <sheetData sheetId="4114">
        <row r="2">
          <cell r="F2" t="str">
            <v>INCH</v>
          </cell>
        </row>
      </sheetData>
      <sheetData sheetId="4115">
        <row r="2">
          <cell r="F2" t="str">
            <v>INCH</v>
          </cell>
        </row>
      </sheetData>
      <sheetData sheetId="4116">
        <row r="2">
          <cell r="F2" t="str">
            <v>INCH</v>
          </cell>
        </row>
      </sheetData>
      <sheetData sheetId="4117">
        <row r="2">
          <cell r="F2" t="str">
            <v>INCH</v>
          </cell>
        </row>
      </sheetData>
      <sheetData sheetId="4118">
        <row r="2">
          <cell r="F2" t="str">
            <v>INCH</v>
          </cell>
        </row>
      </sheetData>
      <sheetData sheetId="4119">
        <row r="2">
          <cell r="F2" t="str">
            <v>INCH</v>
          </cell>
        </row>
      </sheetData>
      <sheetData sheetId="4120">
        <row r="2">
          <cell r="F2" t="str">
            <v>INCH</v>
          </cell>
        </row>
      </sheetData>
      <sheetData sheetId="4121">
        <row r="2">
          <cell r="F2" t="str">
            <v>INCH</v>
          </cell>
        </row>
      </sheetData>
      <sheetData sheetId="4122">
        <row r="2">
          <cell r="F2" t="str">
            <v>INCH</v>
          </cell>
        </row>
      </sheetData>
      <sheetData sheetId="4123">
        <row r="2">
          <cell r="F2" t="str">
            <v>INCH</v>
          </cell>
        </row>
      </sheetData>
      <sheetData sheetId="4124">
        <row r="2">
          <cell r="F2" t="str">
            <v>INCH</v>
          </cell>
        </row>
      </sheetData>
      <sheetData sheetId="4125">
        <row r="2">
          <cell r="F2" t="str">
            <v>INCH</v>
          </cell>
        </row>
      </sheetData>
      <sheetData sheetId="4126">
        <row r="2">
          <cell r="F2" t="str">
            <v>INCH</v>
          </cell>
        </row>
      </sheetData>
      <sheetData sheetId="4127">
        <row r="2">
          <cell r="F2" t="str">
            <v>INCH</v>
          </cell>
        </row>
      </sheetData>
      <sheetData sheetId="4128">
        <row r="2">
          <cell r="F2" t="str">
            <v>INCH</v>
          </cell>
        </row>
      </sheetData>
      <sheetData sheetId="4129">
        <row r="2">
          <cell r="F2" t="str">
            <v>INCH</v>
          </cell>
        </row>
      </sheetData>
      <sheetData sheetId="4130">
        <row r="2">
          <cell r="F2" t="str">
            <v>INCH</v>
          </cell>
        </row>
      </sheetData>
      <sheetData sheetId="4131">
        <row r="2">
          <cell r="F2" t="str">
            <v>INCH</v>
          </cell>
        </row>
      </sheetData>
      <sheetData sheetId="4132">
        <row r="2">
          <cell r="F2" t="str">
            <v>INCH</v>
          </cell>
        </row>
      </sheetData>
      <sheetData sheetId="4133">
        <row r="2">
          <cell r="F2" t="str">
            <v>INCH</v>
          </cell>
        </row>
      </sheetData>
      <sheetData sheetId="4134">
        <row r="2">
          <cell r="F2" t="str">
            <v>INCH</v>
          </cell>
        </row>
      </sheetData>
      <sheetData sheetId="4135">
        <row r="2">
          <cell r="F2" t="str">
            <v>INCH</v>
          </cell>
        </row>
      </sheetData>
      <sheetData sheetId="4136">
        <row r="2">
          <cell r="F2" t="str">
            <v>INCH</v>
          </cell>
        </row>
      </sheetData>
      <sheetData sheetId="4137">
        <row r="2">
          <cell r="F2" t="str">
            <v>INCH</v>
          </cell>
        </row>
      </sheetData>
      <sheetData sheetId="4138">
        <row r="2">
          <cell r="F2" t="str">
            <v>INCH</v>
          </cell>
        </row>
      </sheetData>
      <sheetData sheetId="4139">
        <row r="2">
          <cell r="F2" t="str">
            <v>INCH</v>
          </cell>
        </row>
      </sheetData>
      <sheetData sheetId="4140">
        <row r="2">
          <cell r="F2" t="str">
            <v>INCH</v>
          </cell>
        </row>
      </sheetData>
      <sheetData sheetId="4141">
        <row r="2">
          <cell r="F2" t="str">
            <v>INCH</v>
          </cell>
        </row>
      </sheetData>
      <sheetData sheetId="4142">
        <row r="2">
          <cell r="F2" t="str">
            <v>INCH</v>
          </cell>
        </row>
      </sheetData>
      <sheetData sheetId="4143">
        <row r="2">
          <cell r="F2" t="str">
            <v>INCH</v>
          </cell>
        </row>
      </sheetData>
      <sheetData sheetId="4144">
        <row r="2">
          <cell r="F2" t="str">
            <v>INCH</v>
          </cell>
        </row>
      </sheetData>
      <sheetData sheetId="4145">
        <row r="2">
          <cell r="F2" t="str">
            <v>INCH</v>
          </cell>
        </row>
      </sheetData>
      <sheetData sheetId="4146">
        <row r="2">
          <cell r="F2" t="str">
            <v>INCH</v>
          </cell>
        </row>
      </sheetData>
      <sheetData sheetId="4147">
        <row r="2">
          <cell r="F2" t="str">
            <v>INCH</v>
          </cell>
        </row>
      </sheetData>
      <sheetData sheetId="4148">
        <row r="2">
          <cell r="F2" t="str">
            <v>INCH</v>
          </cell>
        </row>
      </sheetData>
      <sheetData sheetId="4149">
        <row r="2">
          <cell r="F2" t="str">
            <v>INCH</v>
          </cell>
        </row>
      </sheetData>
      <sheetData sheetId="4150">
        <row r="2">
          <cell r="F2" t="str">
            <v>INCH</v>
          </cell>
        </row>
      </sheetData>
      <sheetData sheetId="4151">
        <row r="2">
          <cell r="F2" t="str">
            <v>INCH</v>
          </cell>
        </row>
      </sheetData>
      <sheetData sheetId="4152">
        <row r="2">
          <cell r="F2" t="str">
            <v>INCH</v>
          </cell>
        </row>
      </sheetData>
      <sheetData sheetId="4153">
        <row r="2">
          <cell r="F2" t="str">
            <v>INCH</v>
          </cell>
        </row>
      </sheetData>
      <sheetData sheetId="4154">
        <row r="2">
          <cell r="F2" t="str">
            <v>INCH</v>
          </cell>
        </row>
      </sheetData>
      <sheetData sheetId="4155">
        <row r="2">
          <cell r="F2" t="str">
            <v>INCH</v>
          </cell>
        </row>
      </sheetData>
      <sheetData sheetId="4156">
        <row r="2">
          <cell r="F2" t="str">
            <v>INCH</v>
          </cell>
        </row>
      </sheetData>
      <sheetData sheetId="4157">
        <row r="2">
          <cell r="F2" t="str">
            <v>INCH</v>
          </cell>
        </row>
      </sheetData>
      <sheetData sheetId="4158">
        <row r="2">
          <cell r="F2" t="str">
            <v>INCH</v>
          </cell>
        </row>
      </sheetData>
      <sheetData sheetId="4159">
        <row r="2">
          <cell r="F2" t="str">
            <v>INCH</v>
          </cell>
        </row>
      </sheetData>
      <sheetData sheetId="4160">
        <row r="2">
          <cell r="F2" t="str">
            <v>INCH</v>
          </cell>
        </row>
      </sheetData>
      <sheetData sheetId="4161">
        <row r="2">
          <cell r="F2" t="str">
            <v>INCH</v>
          </cell>
        </row>
      </sheetData>
      <sheetData sheetId="4162">
        <row r="2">
          <cell r="F2" t="str">
            <v>INCH</v>
          </cell>
        </row>
      </sheetData>
      <sheetData sheetId="4163">
        <row r="2">
          <cell r="F2" t="str">
            <v>INCH</v>
          </cell>
        </row>
      </sheetData>
      <sheetData sheetId="4164">
        <row r="2">
          <cell r="F2" t="str">
            <v>INCH</v>
          </cell>
        </row>
      </sheetData>
      <sheetData sheetId="4165">
        <row r="2">
          <cell r="F2" t="str">
            <v>INCH</v>
          </cell>
        </row>
      </sheetData>
      <sheetData sheetId="4166">
        <row r="2">
          <cell r="F2" t="str">
            <v>INCH</v>
          </cell>
        </row>
      </sheetData>
      <sheetData sheetId="4167">
        <row r="2">
          <cell r="F2" t="str">
            <v>INCH</v>
          </cell>
        </row>
      </sheetData>
      <sheetData sheetId="4168">
        <row r="2">
          <cell r="F2" t="str">
            <v>INCH</v>
          </cell>
        </row>
      </sheetData>
      <sheetData sheetId="4169">
        <row r="2">
          <cell r="F2" t="str">
            <v>INCH</v>
          </cell>
        </row>
      </sheetData>
      <sheetData sheetId="4170">
        <row r="2">
          <cell r="F2" t="str">
            <v>INCH</v>
          </cell>
        </row>
      </sheetData>
      <sheetData sheetId="4171">
        <row r="2">
          <cell r="F2" t="str">
            <v>INCH</v>
          </cell>
        </row>
      </sheetData>
      <sheetData sheetId="4172">
        <row r="2">
          <cell r="F2" t="str">
            <v>INCH</v>
          </cell>
        </row>
      </sheetData>
      <sheetData sheetId="4173">
        <row r="2">
          <cell r="F2" t="str">
            <v>INCH</v>
          </cell>
        </row>
      </sheetData>
      <sheetData sheetId="4174">
        <row r="2">
          <cell r="F2" t="str">
            <v>INCH</v>
          </cell>
        </row>
      </sheetData>
      <sheetData sheetId="4175">
        <row r="2">
          <cell r="F2" t="str">
            <v>INCH</v>
          </cell>
        </row>
      </sheetData>
      <sheetData sheetId="4176">
        <row r="2">
          <cell r="F2" t="str">
            <v>INCH</v>
          </cell>
        </row>
      </sheetData>
      <sheetData sheetId="4177">
        <row r="2">
          <cell r="F2" t="str">
            <v>INCH</v>
          </cell>
        </row>
      </sheetData>
      <sheetData sheetId="4178">
        <row r="2">
          <cell r="F2" t="str">
            <v>INCH</v>
          </cell>
        </row>
      </sheetData>
      <sheetData sheetId="4179">
        <row r="2">
          <cell r="F2" t="str">
            <v>INCH</v>
          </cell>
        </row>
      </sheetData>
      <sheetData sheetId="4180">
        <row r="2">
          <cell r="F2" t="str">
            <v>INCH</v>
          </cell>
        </row>
      </sheetData>
      <sheetData sheetId="4181">
        <row r="2">
          <cell r="F2" t="str">
            <v>INCH</v>
          </cell>
        </row>
      </sheetData>
      <sheetData sheetId="4182">
        <row r="2">
          <cell r="F2" t="str">
            <v>INCH</v>
          </cell>
        </row>
      </sheetData>
      <sheetData sheetId="4183">
        <row r="2">
          <cell r="F2" t="str">
            <v>INCH</v>
          </cell>
        </row>
      </sheetData>
      <sheetData sheetId="4184">
        <row r="2">
          <cell r="F2" t="str">
            <v>INCH</v>
          </cell>
        </row>
      </sheetData>
      <sheetData sheetId="4185">
        <row r="2">
          <cell r="F2" t="str">
            <v>INCH</v>
          </cell>
        </row>
      </sheetData>
      <sheetData sheetId="4186">
        <row r="2">
          <cell r="F2" t="str">
            <v>INCH</v>
          </cell>
        </row>
      </sheetData>
      <sheetData sheetId="4187">
        <row r="2">
          <cell r="F2" t="str">
            <v>INCH</v>
          </cell>
        </row>
      </sheetData>
      <sheetData sheetId="4188">
        <row r="2">
          <cell r="F2" t="str">
            <v>INCH</v>
          </cell>
        </row>
      </sheetData>
      <sheetData sheetId="4189">
        <row r="2">
          <cell r="F2" t="str">
            <v>INCH</v>
          </cell>
        </row>
      </sheetData>
      <sheetData sheetId="4190">
        <row r="2">
          <cell r="F2" t="str">
            <v>INCH</v>
          </cell>
        </row>
      </sheetData>
      <sheetData sheetId="4191">
        <row r="2">
          <cell r="F2" t="str">
            <v>INCH</v>
          </cell>
        </row>
      </sheetData>
      <sheetData sheetId="4192">
        <row r="2">
          <cell r="F2" t="str">
            <v>INCH</v>
          </cell>
        </row>
      </sheetData>
      <sheetData sheetId="4193">
        <row r="2">
          <cell r="F2" t="str">
            <v>INCH</v>
          </cell>
        </row>
      </sheetData>
      <sheetData sheetId="4194">
        <row r="2">
          <cell r="F2" t="str">
            <v>INCH</v>
          </cell>
        </row>
      </sheetData>
      <sheetData sheetId="4195">
        <row r="2">
          <cell r="F2" t="str">
            <v>INCH</v>
          </cell>
        </row>
      </sheetData>
      <sheetData sheetId="4196">
        <row r="2">
          <cell r="F2" t="str">
            <v>INCH</v>
          </cell>
        </row>
      </sheetData>
      <sheetData sheetId="4197">
        <row r="2">
          <cell r="F2" t="str">
            <v>INCH</v>
          </cell>
        </row>
      </sheetData>
      <sheetData sheetId="4198">
        <row r="2">
          <cell r="F2" t="str">
            <v>INCH</v>
          </cell>
        </row>
      </sheetData>
      <sheetData sheetId="4199">
        <row r="2">
          <cell r="F2" t="str">
            <v>INCH</v>
          </cell>
        </row>
      </sheetData>
      <sheetData sheetId="4200">
        <row r="2">
          <cell r="F2" t="str">
            <v>INCH</v>
          </cell>
        </row>
      </sheetData>
      <sheetData sheetId="4201">
        <row r="2">
          <cell r="F2" t="str">
            <v>INCH</v>
          </cell>
        </row>
      </sheetData>
      <sheetData sheetId="4202">
        <row r="2">
          <cell r="F2" t="str">
            <v>INCH</v>
          </cell>
        </row>
      </sheetData>
      <sheetData sheetId="4203">
        <row r="2">
          <cell r="F2" t="str">
            <v>INCH</v>
          </cell>
        </row>
      </sheetData>
      <sheetData sheetId="4204">
        <row r="2">
          <cell r="F2" t="str">
            <v>INCH</v>
          </cell>
        </row>
      </sheetData>
      <sheetData sheetId="4205">
        <row r="2">
          <cell r="F2" t="str">
            <v>INCH</v>
          </cell>
        </row>
      </sheetData>
      <sheetData sheetId="4206">
        <row r="2">
          <cell r="F2" t="str">
            <v>INCH</v>
          </cell>
        </row>
      </sheetData>
      <sheetData sheetId="4207">
        <row r="2">
          <cell r="F2" t="str">
            <v>INCH</v>
          </cell>
        </row>
      </sheetData>
      <sheetData sheetId="4208">
        <row r="2">
          <cell r="F2" t="str">
            <v>INCH</v>
          </cell>
        </row>
      </sheetData>
      <sheetData sheetId="4209">
        <row r="2">
          <cell r="F2" t="str">
            <v>INCH</v>
          </cell>
        </row>
      </sheetData>
      <sheetData sheetId="4210">
        <row r="2">
          <cell r="F2" t="str">
            <v>INCH</v>
          </cell>
        </row>
      </sheetData>
      <sheetData sheetId="4211">
        <row r="2">
          <cell r="F2" t="str">
            <v>INCH</v>
          </cell>
        </row>
      </sheetData>
      <sheetData sheetId="4212">
        <row r="2">
          <cell r="F2" t="str">
            <v>INCH</v>
          </cell>
        </row>
      </sheetData>
      <sheetData sheetId="4213">
        <row r="2">
          <cell r="F2" t="str">
            <v>INCH</v>
          </cell>
        </row>
      </sheetData>
      <sheetData sheetId="4214">
        <row r="2">
          <cell r="F2" t="str">
            <v>INCH</v>
          </cell>
        </row>
      </sheetData>
      <sheetData sheetId="4215">
        <row r="2">
          <cell r="F2" t="str">
            <v>INCH</v>
          </cell>
        </row>
      </sheetData>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ow r="2">
          <cell r="F2" t="str">
            <v>INCH</v>
          </cell>
        </row>
      </sheetData>
      <sheetData sheetId="4228">
        <row r="2">
          <cell r="F2" t="str">
            <v>INCH</v>
          </cell>
        </row>
      </sheetData>
      <sheetData sheetId="4229">
        <row r="2">
          <cell r="F2" t="str">
            <v>INCH</v>
          </cell>
        </row>
      </sheetData>
      <sheetData sheetId="4230">
        <row r="2">
          <cell r="F2" t="str">
            <v>INCH</v>
          </cell>
        </row>
      </sheetData>
      <sheetData sheetId="4231"/>
      <sheetData sheetId="4232">
        <row r="2">
          <cell r="F2" t="str">
            <v>INCH</v>
          </cell>
        </row>
      </sheetData>
      <sheetData sheetId="4233">
        <row r="2">
          <cell r="F2" t="str">
            <v>INCH</v>
          </cell>
        </row>
      </sheetData>
      <sheetData sheetId="4234"/>
      <sheetData sheetId="4235"/>
      <sheetData sheetId="4236">
        <row r="2">
          <cell r="F2" t="str">
            <v>INCH</v>
          </cell>
        </row>
      </sheetData>
      <sheetData sheetId="4237"/>
      <sheetData sheetId="4238"/>
      <sheetData sheetId="4239">
        <row r="2">
          <cell r="F2" t="str">
            <v>INCH</v>
          </cell>
        </row>
      </sheetData>
      <sheetData sheetId="4240">
        <row r="2">
          <cell r="F2" t="str">
            <v>INCH</v>
          </cell>
        </row>
      </sheetData>
      <sheetData sheetId="4241">
        <row r="2">
          <cell r="F2" t="str">
            <v>INCH</v>
          </cell>
        </row>
      </sheetData>
      <sheetData sheetId="4242">
        <row r="2">
          <cell r="F2" t="str">
            <v>INCH</v>
          </cell>
        </row>
      </sheetData>
      <sheetData sheetId="4243"/>
      <sheetData sheetId="4244"/>
      <sheetData sheetId="4245"/>
      <sheetData sheetId="4246"/>
      <sheetData sheetId="4247">
        <row r="2">
          <cell r="F2" t="str">
            <v>INCH</v>
          </cell>
        </row>
      </sheetData>
      <sheetData sheetId="4248">
        <row r="2">
          <cell r="F2" t="str">
            <v>INCH</v>
          </cell>
        </row>
      </sheetData>
      <sheetData sheetId="4249">
        <row r="2">
          <cell r="F2" t="str">
            <v>INCH</v>
          </cell>
        </row>
      </sheetData>
      <sheetData sheetId="4250"/>
      <sheetData sheetId="4251">
        <row r="2">
          <cell r="F2" t="str">
            <v>INCH</v>
          </cell>
        </row>
      </sheetData>
      <sheetData sheetId="4252">
        <row r="2">
          <cell r="F2" t="str">
            <v>INCH</v>
          </cell>
        </row>
      </sheetData>
      <sheetData sheetId="4253">
        <row r="2">
          <cell r="F2" t="str">
            <v>INCH</v>
          </cell>
        </row>
      </sheetData>
      <sheetData sheetId="4254"/>
      <sheetData sheetId="4255">
        <row r="2">
          <cell r="F2" t="str">
            <v>INCH</v>
          </cell>
        </row>
      </sheetData>
      <sheetData sheetId="4256">
        <row r="2">
          <cell r="F2" t="str">
            <v>INCH</v>
          </cell>
        </row>
      </sheetData>
      <sheetData sheetId="4257">
        <row r="2">
          <cell r="F2" t="str">
            <v>INCH</v>
          </cell>
        </row>
      </sheetData>
      <sheetData sheetId="4258">
        <row r="2">
          <cell r="F2" t="str">
            <v>INCH</v>
          </cell>
        </row>
      </sheetData>
      <sheetData sheetId="4259">
        <row r="2">
          <cell r="F2" t="str">
            <v>INCH</v>
          </cell>
        </row>
      </sheetData>
      <sheetData sheetId="4260">
        <row r="2">
          <cell r="F2" t="str">
            <v>INCH</v>
          </cell>
        </row>
      </sheetData>
      <sheetData sheetId="4261">
        <row r="2">
          <cell r="F2" t="str">
            <v>INCH</v>
          </cell>
        </row>
      </sheetData>
      <sheetData sheetId="4262">
        <row r="2">
          <cell r="F2" t="str">
            <v>INCH</v>
          </cell>
        </row>
      </sheetData>
      <sheetData sheetId="4263">
        <row r="2">
          <cell r="F2" t="str">
            <v>INCH</v>
          </cell>
        </row>
      </sheetData>
      <sheetData sheetId="4264">
        <row r="2">
          <cell r="F2" t="str">
            <v>INCH</v>
          </cell>
        </row>
      </sheetData>
      <sheetData sheetId="4265">
        <row r="2">
          <cell r="F2" t="str">
            <v>INCH</v>
          </cell>
        </row>
      </sheetData>
      <sheetData sheetId="4266"/>
      <sheetData sheetId="4267"/>
      <sheetData sheetId="4268"/>
      <sheetData sheetId="4269"/>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sheetData sheetId="4395">
        <row r="2">
          <cell r="F2" t="str">
            <v>INCH</v>
          </cell>
        </row>
      </sheetData>
      <sheetData sheetId="4396"/>
      <sheetData sheetId="4397"/>
      <sheetData sheetId="4398"/>
      <sheetData sheetId="4399">
        <row r="2">
          <cell r="F2" t="str">
            <v>INCH</v>
          </cell>
        </row>
      </sheetData>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sheetData sheetId="4410"/>
      <sheetData sheetId="4411"/>
      <sheetData sheetId="4412"/>
      <sheetData sheetId="4413"/>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ow r="2">
          <cell r="F2" t="str">
            <v>INCH</v>
          </cell>
        </row>
      </sheetData>
      <sheetData sheetId="4431">
        <row r="2">
          <cell r="F2" t="str">
            <v>INCH</v>
          </cell>
        </row>
      </sheetData>
      <sheetData sheetId="4432">
        <row r="2">
          <cell r="F2" t="str">
            <v>INCH</v>
          </cell>
        </row>
      </sheetData>
      <sheetData sheetId="4433">
        <row r="2">
          <cell r="F2" t="str">
            <v>INCH</v>
          </cell>
        </row>
      </sheetData>
      <sheetData sheetId="4434">
        <row r="2">
          <cell r="F2" t="str">
            <v>INCH</v>
          </cell>
        </row>
      </sheetData>
      <sheetData sheetId="4435">
        <row r="2">
          <cell r="F2" t="str">
            <v>INCH</v>
          </cell>
        </row>
      </sheetData>
      <sheetData sheetId="4436">
        <row r="2">
          <cell r="F2" t="str">
            <v>INCH</v>
          </cell>
        </row>
      </sheetData>
      <sheetData sheetId="4437">
        <row r="2">
          <cell r="F2" t="str">
            <v>INCH</v>
          </cell>
        </row>
      </sheetData>
      <sheetData sheetId="4438">
        <row r="2">
          <cell r="F2" t="str">
            <v>INCH</v>
          </cell>
        </row>
      </sheetData>
      <sheetData sheetId="4439">
        <row r="2">
          <cell r="F2" t="str">
            <v>INCH</v>
          </cell>
        </row>
      </sheetData>
      <sheetData sheetId="4440">
        <row r="2">
          <cell r="F2" t="str">
            <v>INCH</v>
          </cell>
        </row>
      </sheetData>
      <sheetData sheetId="4441">
        <row r="2">
          <cell r="F2" t="str">
            <v>INCH</v>
          </cell>
        </row>
      </sheetData>
      <sheetData sheetId="4442">
        <row r="2">
          <cell r="F2" t="str">
            <v>INCH</v>
          </cell>
        </row>
      </sheetData>
      <sheetData sheetId="4443">
        <row r="2">
          <cell r="F2" t="str">
            <v>INCH</v>
          </cell>
        </row>
      </sheetData>
      <sheetData sheetId="4444">
        <row r="2">
          <cell r="F2" t="str">
            <v>INCH</v>
          </cell>
        </row>
      </sheetData>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sheetData sheetId="4463"/>
      <sheetData sheetId="4464" refreshError="1"/>
      <sheetData sheetId="4465" refreshError="1"/>
      <sheetData sheetId="4466" refreshError="1"/>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row r="2">
          <cell r="F2" t="str">
            <v>INCH</v>
          </cell>
        </row>
      </sheetData>
      <sheetData sheetId="4487">
        <row r="2">
          <cell r="F2" t="str">
            <v>INCH</v>
          </cell>
        </row>
      </sheetData>
      <sheetData sheetId="4488">
        <row r="2">
          <cell r="F2" t="str">
            <v>INCH</v>
          </cell>
        </row>
      </sheetData>
      <sheetData sheetId="4489">
        <row r="2">
          <cell r="F2" t="str">
            <v>INCH</v>
          </cell>
        </row>
      </sheetData>
      <sheetData sheetId="4490">
        <row r="2">
          <cell r="F2" t="str">
            <v>INCH</v>
          </cell>
        </row>
      </sheetData>
      <sheetData sheetId="4491">
        <row r="2">
          <cell r="F2" t="str">
            <v>INCH</v>
          </cell>
        </row>
      </sheetData>
      <sheetData sheetId="4492">
        <row r="2">
          <cell r="F2" t="str">
            <v>INCH</v>
          </cell>
        </row>
      </sheetData>
      <sheetData sheetId="4493">
        <row r="2">
          <cell r="F2" t="str">
            <v>INCH</v>
          </cell>
        </row>
      </sheetData>
      <sheetData sheetId="4494">
        <row r="2">
          <cell r="F2" t="str">
            <v>INCH</v>
          </cell>
        </row>
      </sheetData>
      <sheetData sheetId="4495">
        <row r="2">
          <cell r="F2" t="str">
            <v>INCH</v>
          </cell>
        </row>
      </sheetData>
      <sheetData sheetId="4496">
        <row r="2">
          <cell r="F2" t="str">
            <v>INCH</v>
          </cell>
        </row>
      </sheetData>
      <sheetData sheetId="4497">
        <row r="2">
          <cell r="F2" t="str">
            <v>INCH</v>
          </cell>
        </row>
      </sheetData>
      <sheetData sheetId="4498">
        <row r="2">
          <cell r="F2" t="str">
            <v>INCH</v>
          </cell>
        </row>
      </sheetData>
      <sheetData sheetId="4499">
        <row r="2">
          <cell r="F2" t="str">
            <v>INCH</v>
          </cell>
        </row>
      </sheetData>
      <sheetData sheetId="4500">
        <row r="2">
          <cell r="F2" t="str">
            <v>INCH</v>
          </cell>
        </row>
      </sheetData>
      <sheetData sheetId="4501">
        <row r="2">
          <cell r="F2" t="str">
            <v>INCH</v>
          </cell>
        </row>
      </sheetData>
      <sheetData sheetId="4502">
        <row r="2">
          <cell r="F2" t="str">
            <v>INCH</v>
          </cell>
        </row>
      </sheetData>
      <sheetData sheetId="4503">
        <row r="2">
          <cell r="F2" t="str">
            <v>INCH</v>
          </cell>
        </row>
      </sheetData>
      <sheetData sheetId="4504">
        <row r="2">
          <cell r="F2" t="str">
            <v>INCH</v>
          </cell>
        </row>
      </sheetData>
      <sheetData sheetId="4505">
        <row r="2">
          <cell r="F2" t="str">
            <v>INCH</v>
          </cell>
        </row>
      </sheetData>
      <sheetData sheetId="4506">
        <row r="2">
          <cell r="F2" t="str">
            <v>INCH</v>
          </cell>
        </row>
      </sheetData>
      <sheetData sheetId="4507">
        <row r="2">
          <cell r="F2" t="str">
            <v>INCH</v>
          </cell>
        </row>
      </sheetData>
      <sheetData sheetId="4508">
        <row r="2">
          <cell r="F2" t="str">
            <v>INCH</v>
          </cell>
        </row>
      </sheetData>
      <sheetData sheetId="4509">
        <row r="2">
          <cell r="F2" t="str">
            <v>INCH</v>
          </cell>
        </row>
      </sheetData>
      <sheetData sheetId="4510">
        <row r="2">
          <cell r="F2" t="str">
            <v>INCH</v>
          </cell>
        </row>
      </sheetData>
      <sheetData sheetId="4511">
        <row r="2">
          <cell r="F2" t="str">
            <v>INCH</v>
          </cell>
        </row>
      </sheetData>
      <sheetData sheetId="4512">
        <row r="2">
          <cell r="F2" t="str">
            <v>INCH</v>
          </cell>
        </row>
      </sheetData>
      <sheetData sheetId="4513">
        <row r="2">
          <cell r="F2" t="str">
            <v>INCH</v>
          </cell>
        </row>
      </sheetData>
      <sheetData sheetId="4514">
        <row r="2">
          <cell r="F2" t="str">
            <v>INCH</v>
          </cell>
        </row>
      </sheetData>
      <sheetData sheetId="4515">
        <row r="2">
          <cell r="F2" t="str">
            <v>INCH</v>
          </cell>
        </row>
      </sheetData>
      <sheetData sheetId="4516">
        <row r="2">
          <cell r="F2" t="str">
            <v>INCH</v>
          </cell>
        </row>
      </sheetData>
      <sheetData sheetId="4517">
        <row r="2">
          <cell r="F2" t="str">
            <v>INCH</v>
          </cell>
        </row>
      </sheetData>
      <sheetData sheetId="4518">
        <row r="2">
          <cell r="F2" t="str">
            <v>INCH</v>
          </cell>
        </row>
      </sheetData>
      <sheetData sheetId="4519">
        <row r="2">
          <cell r="F2" t="str">
            <v>INCH</v>
          </cell>
        </row>
      </sheetData>
      <sheetData sheetId="4520">
        <row r="2">
          <cell r="F2" t="str">
            <v>INCH</v>
          </cell>
        </row>
      </sheetData>
      <sheetData sheetId="4521">
        <row r="2">
          <cell r="F2" t="str">
            <v>INCH</v>
          </cell>
        </row>
      </sheetData>
      <sheetData sheetId="4522">
        <row r="2">
          <cell r="F2" t="str">
            <v>INCH</v>
          </cell>
        </row>
      </sheetData>
      <sheetData sheetId="4523">
        <row r="2">
          <cell r="F2" t="str">
            <v>INCH</v>
          </cell>
        </row>
      </sheetData>
      <sheetData sheetId="4524">
        <row r="2">
          <cell r="F2" t="str">
            <v>INCH</v>
          </cell>
        </row>
      </sheetData>
      <sheetData sheetId="4525">
        <row r="2">
          <cell r="F2" t="str">
            <v>INCH</v>
          </cell>
        </row>
      </sheetData>
      <sheetData sheetId="4526">
        <row r="2">
          <cell r="F2" t="str">
            <v>INCH</v>
          </cell>
        </row>
      </sheetData>
      <sheetData sheetId="4527">
        <row r="2">
          <cell r="F2" t="str">
            <v>INCH</v>
          </cell>
        </row>
      </sheetData>
      <sheetData sheetId="4528">
        <row r="2">
          <cell r="F2" t="str">
            <v>INCH</v>
          </cell>
        </row>
      </sheetData>
      <sheetData sheetId="4529">
        <row r="2">
          <cell r="F2" t="str">
            <v>INCH</v>
          </cell>
        </row>
      </sheetData>
      <sheetData sheetId="4530">
        <row r="2">
          <cell r="F2" t="str">
            <v>INCH</v>
          </cell>
        </row>
      </sheetData>
      <sheetData sheetId="4531">
        <row r="2">
          <cell r="F2" t="str">
            <v>INCH</v>
          </cell>
        </row>
      </sheetData>
      <sheetData sheetId="4532">
        <row r="2">
          <cell r="F2" t="str">
            <v>INCH</v>
          </cell>
        </row>
      </sheetData>
      <sheetData sheetId="4533">
        <row r="2">
          <cell r="F2" t="str">
            <v>INCH</v>
          </cell>
        </row>
      </sheetData>
      <sheetData sheetId="4534">
        <row r="2">
          <cell r="F2" t="str">
            <v>INCH</v>
          </cell>
        </row>
      </sheetData>
      <sheetData sheetId="4535">
        <row r="2">
          <cell r="F2" t="str">
            <v>INCH</v>
          </cell>
        </row>
      </sheetData>
      <sheetData sheetId="4536">
        <row r="2">
          <cell r="F2" t="str">
            <v>INCH</v>
          </cell>
        </row>
      </sheetData>
      <sheetData sheetId="4537">
        <row r="2">
          <cell r="F2" t="str">
            <v>INCH</v>
          </cell>
        </row>
      </sheetData>
      <sheetData sheetId="4538">
        <row r="2">
          <cell r="F2" t="str">
            <v>INCH</v>
          </cell>
        </row>
      </sheetData>
      <sheetData sheetId="4539">
        <row r="2">
          <cell r="F2" t="str">
            <v>INCH</v>
          </cell>
        </row>
      </sheetData>
      <sheetData sheetId="4540">
        <row r="2">
          <cell r="F2" t="str">
            <v>INCH</v>
          </cell>
        </row>
      </sheetData>
      <sheetData sheetId="4541">
        <row r="2">
          <cell r="F2" t="str">
            <v>INCH</v>
          </cell>
        </row>
      </sheetData>
      <sheetData sheetId="4542">
        <row r="2">
          <cell r="F2" t="str">
            <v>INCH</v>
          </cell>
        </row>
      </sheetData>
      <sheetData sheetId="4543">
        <row r="2">
          <cell r="F2" t="str">
            <v>INCH</v>
          </cell>
        </row>
      </sheetData>
      <sheetData sheetId="4544">
        <row r="2">
          <cell r="F2" t="str">
            <v>INCH</v>
          </cell>
        </row>
      </sheetData>
      <sheetData sheetId="4545">
        <row r="2">
          <cell r="F2" t="str">
            <v>INCH</v>
          </cell>
        </row>
      </sheetData>
      <sheetData sheetId="4546">
        <row r="2">
          <cell r="F2" t="str">
            <v>INCH</v>
          </cell>
        </row>
      </sheetData>
      <sheetData sheetId="4547">
        <row r="2">
          <cell r="F2" t="str">
            <v>INCH</v>
          </cell>
        </row>
      </sheetData>
      <sheetData sheetId="4548">
        <row r="2">
          <cell r="F2" t="str">
            <v>INCH</v>
          </cell>
        </row>
      </sheetData>
      <sheetData sheetId="4549">
        <row r="2">
          <cell r="F2" t="str">
            <v>INCH</v>
          </cell>
        </row>
      </sheetData>
      <sheetData sheetId="4550">
        <row r="2">
          <cell r="F2" t="str">
            <v>INCH</v>
          </cell>
        </row>
      </sheetData>
      <sheetData sheetId="4551">
        <row r="2">
          <cell r="F2" t="str">
            <v>INCH</v>
          </cell>
        </row>
      </sheetData>
      <sheetData sheetId="4552">
        <row r="2">
          <cell r="F2" t="str">
            <v>INCH</v>
          </cell>
        </row>
      </sheetData>
      <sheetData sheetId="4553">
        <row r="2">
          <cell r="F2" t="str">
            <v>INCH</v>
          </cell>
        </row>
      </sheetData>
      <sheetData sheetId="4554">
        <row r="2">
          <cell r="F2" t="str">
            <v>INCH</v>
          </cell>
        </row>
      </sheetData>
      <sheetData sheetId="4555">
        <row r="2">
          <cell r="F2" t="str">
            <v>INCH</v>
          </cell>
        </row>
      </sheetData>
      <sheetData sheetId="4556">
        <row r="2">
          <cell r="F2" t="str">
            <v>INCH</v>
          </cell>
        </row>
      </sheetData>
      <sheetData sheetId="4557">
        <row r="2">
          <cell r="F2" t="str">
            <v>INCH</v>
          </cell>
        </row>
      </sheetData>
      <sheetData sheetId="4558">
        <row r="2">
          <cell r="F2" t="str">
            <v>INCH</v>
          </cell>
        </row>
      </sheetData>
      <sheetData sheetId="4559">
        <row r="2">
          <cell r="F2" t="str">
            <v>INCH</v>
          </cell>
        </row>
      </sheetData>
      <sheetData sheetId="4560">
        <row r="2">
          <cell r="F2" t="str">
            <v>INCH</v>
          </cell>
        </row>
      </sheetData>
      <sheetData sheetId="4561">
        <row r="2">
          <cell r="F2" t="str">
            <v>INCH</v>
          </cell>
        </row>
      </sheetData>
      <sheetData sheetId="4562">
        <row r="2">
          <cell r="F2" t="str">
            <v>INCH</v>
          </cell>
        </row>
      </sheetData>
      <sheetData sheetId="4563">
        <row r="2">
          <cell r="F2" t="str">
            <v>INCH</v>
          </cell>
        </row>
      </sheetData>
      <sheetData sheetId="4564">
        <row r="2">
          <cell r="F2" t="str">
            <v>INCH</v>
          </cell>
        </row>
      </sheetData>
      <sheetData sheetId="4565">
        <row r="2">
          <cell r="F2" t="str">
            <v>INCH</v>
          </cell>
        </row>
      </sheetData>
      <sheetData sheetId="4566">
        <row r="2">
          <cell r="F2" t="str">
            <v>INCH</v>
          </cell>
        </row>
      </sheetData>
      <sheetData sheetId="4567">
        <row r="2">
          <cell r="F2" t="str">
            <v>INCH</v>
          </cell>
        </row>
      </sheetData>
      <sheetData sheetId="4568">
        <row r="2">
          <cell r="F2" t="str">
            <v>INCH</v>
          </cell>
        </row>
      </sheetData>
      <sheetData sheetId="4569">
        <row r="2">
          <cell r="F2" t="str">
            <v>INCH</v>
          </cell>
        </row>
      </sheetData>
      <sheetData sheetId="4570">
        <row r="2">
          <cell r="F2" t="str">
            <v>INCH</v>
          </cell>
        </row>
      </sheetData>
      <sheetData sheetId="4571">
        <row r="2">
          <cell r="F2" t="str">
            <v>INCH</v>
          </cell>
        </row>
      </sheetData>
      <sheetData sheetId="4572">
        <row r="2">
          <cell r="F2" t="str">
            <v>INCH</v>
          </cell>
        </row>
      </sheetData>
      <sheetData sheetId="4573">
        <row r="2">
          <cell r="F2" t="str">
            <v>INCH</v>
          </cell>
        </row>
      </sheetData>
      <sheetData sheetId="4574">
        <row r="2">
          <cell r="F2" t="str">
            <v>INCH</v>
          </cell>
        </row>
      </sheetData>
      <sheetData sheetId="4575">
        <row r="2">
          <cell r="F2" t="str">
            <v>INCH</v>
          </cell>
        </row>
      </sheetData>
      <sheetData sheetId="4576">
        <row r="2">
          <cell r="F2" t="str">
            <v>INCH</v>
          </cell>
        </row>
      </sheetData>
      <sheetData sheetId="4577">
        <row r="2">
          <cell r="F2" t="str">
            <v>INCH</v>
          </cell>
        </row>
      </sheetData>
      <sheetData sheetId="4578">
        <row r="2">
          <cell r="F2" t="str">
            <v>INCH</v>
          </cell>
        </row>
      </sheetData>
      <sheetData sheetId="4579">
        <row r="2">
          <cell r="F2" t="str">
            <v>INCH</v>
          </cell>
        </row>
      </sheetData>
      <sheetData sheetId="4580">
        <row r="2">
          <cell r="F2" t="str">
            <v>INCH</v>
          </cell>
        </row>
      </sheetData>
      <sheetData sheetId="4581">
        <row r="2">
          <cell r="F2" t="str">
            <v>INCH</v>
          </cell>
        </row>
      </sheetData>
      <sheetData sheetId="4582">
        <row r="2">
          <cell r="F2" t="str">
            <v>INCH</v>
          </cell>
        </row>
      </sheetData>
      <sheetData sheetId="4583"/>
      <sheetData sheetId="4584"/>
      <sheetData sheetId="4585"/>
      <sheetData sheetId="4586"/>
      <sheetData sheetId="4587">
        <row r="2">
          <cell r="F2" t="str">
            <v>INCH</v>
          </cell>
        </row>
      </sheetData>
      <sheetData sheetId="4588">
        <row r="2">
          <cell r="F2" t="str">
            <v>INCH</v>
          </cell>
        </row>
      </sheetData>
      <sheetData sheetId="4589">
        <row r="2">
          <cell r="F2" t="str">
            <v>INCH</v>
          </cell>
        </row>
      </sheetData>
      <sheetData sheetId="4590">
        <row r="2">
          <cell r="F2" t="str">
            <v>INCH</v>
          </cell>
        </row>
      </sheetData>
      <sheetData sheetId="4591">
        <row r="2">
          <cell r="F2" t="str">
            <v>INCH</v>
          </cell>
        </row>
      </sheetData>
      <sheetData sheetId="4592">
        <row r="2">
          <cell r="F2" t="str">
            <v>INCH</v>
          </cell>
        </row>
      </sheetData>
      <sheetData sheetId="4593">
        <row r="2">
          <cell r="F2" t="str">
            <v>INCH</v>
          </cell>
        </row>
      </sheetData>
      <sheetData sheetId="4594">
        <row r="2">
          <cell r="F2" t="str">
            <v>INCH</v>
          </cell>
        </row>
      </sheetData>
      <sheetData sheetId="4595">
        <row r="2">
          <cell r="F2" t="str">
            <v>INCH</v>
          </cell>
        </row>
      </sheetData>
      <sheetData sheetId="4596">
        <row r="2">
          <cell r="F2" t="str">
            <v>INCH</v>
          </cell>
        </row>
      </sheetData>
      <sheetData sheetId="4597">
        <row r="2">
          <cell r="F2" t="str">
            <v>INCH</v>
          </cell>
        </row>
      </sheetData>
      <sheetData sheetId="4598">
        <row r="2">
          <cell r="F2" t="str">
            <v>INCH</v>
          </cell>
        </row>
      </sheetData>
      <sheetData sheetId="4599">
        <row r="2">
          <cell r="F2" t="str">
            <v>INCH</v>
          </cell>
        </row>
      </sheetData>
      <sheetData sheetId="4600">
        <row r="2">
          <cell r="F2" t="str">
            <v>INCH</v>
          </cell>
        </row>
      </sheetData>
      <sheetData sheetId="4601">
        <row r="2">
          <cell r="F2" t="str">
            <v>INCH</v>
          </cell>
        </row>
      </sheetData>
      <sheetData sheetId="4602">
        <row r="2">
          <cell r="F2" t="str">
            <v>INCH</v>
          </cell>
        </row>
      </sheetData>
      <sheetData sheetId="4603"/>
      <sheetData sheetId="4604"/>
      <sheetData sheetId="4605">
        <row r="2">
          <cell r="F2" t="str">
            <v>INCH</v>
          </cell>
        </row>
      </sheetData>
      <sheetData sheetId="4606">
        <row r="2">
          <cell r="F2" t="str">
            <v>INCH</v>
          </cell>
        </row>
      </sheetData>
      <sheetData sheetId="4607">
        <row r="2">
          <cell r="F2" t="str">
            <v>INCH</v>
          </cell>
        </row>
      </sheetData>
      <sheetData sheetId="4608"/>
      <sheetData sheetId="4609">
        <row r="2">
          <cell r="F2" t="str">
            <v>INCH</v>
          </cell>
        </row>
      </sheetData>
      <sheetData sheetId="4610">
        <row r="2">
          <cell r="F2" t="str">
            <v>INCH</v>
          </cell>
        </row>
      </sheetData>
      <sheetData sheetId="4611">
        <row r="2">
          <cell r="F2" t="str">
            <v>INCH</v>
          </cell>
        </row>
      </sheetData>
      <sheetData sheetId="4612"/>
      <sheetData sheetId="4613">
        <row r="2">
          <cell r="F2" t="str">
            <v>INCH</v>
          </cell>
        </row>
      </sheetData>
      <sheetData sheetId="4614">
        <row r="2">
          <cell r="F2" t="str">
            <v>INCH</v>
          </cell>
        </row>
      </sheetData>
      <sheetData sheetId="4615">
        <row r="2">
          <cell r="F2" t="str">
            <v>INCH</v>
          </cell>
        </row>
      </sheetData>
      <sheetData sheetId="4616">
        <row r="2">
          <cell r="F2" t="str">
            <v>INCH</v>
          </cell>
        </row>
      </sheetData>
      <sheetData sheetId="4617">
        <row r="2">
          <cell r="F2" t="str">
            <v>INCH</v>
          </cell>
        </row>
      </sheetData>
      <sheetData sheetId="4618">
        <row r="2">
          <cell r="F2" t="str">
            <v>INCH</v>
          </cell>
        </row>
      </sheetData>
      <sheetData sheetId="4619">
        <row r="2">
          <cell r="F2" t="str">
            <v>INCH</v>
          </cell>
        </row>
      </sheetData>
      <sheetData sheetId="4620">
        <row r="2">
          <cell r="F2" t="str">
            <v>INCH</v>
          </cell>
        </row>
      </sheetData>
      <sheetData sheetId="4621">
        <row r="2">
          <cell r="F2" t="str">
            <v>INCH</v>
          </cell>
        </row>
      </sheetData>
      <sheetData sheetId="4622">
        <row r="2">
          <cell r="F2" t="str">
            <v>INCH</v>
          </cell>
        </row>
      </sheetData>
      <sheetData sheetId="4623">
        <row r="2">
          <cell r="F2" t="str">
            <v>INCH</v>
          </cell>
        </row>
      </sheetData>
      <sheetData sheetId="4624">
        <row r="2">
          <cell r="F2" t="str">
            <v>INCH</v>
          </cell>
        </row>
      </sheetData>
      <sheetData sheetId="4625">
        <row r="2">
          <cell r="F2" t="str">
            <v>INCH</v>
          </cell>
        </row>
      </sheetData>
      <sheetData sheetId="4626"/>
      <sheetData sheetId="4627">
        <row r="2">
          <cell r="F2" t="str">
            <v>INCH</v>
          </cell>
        </row>
      </sheetData>
      <sheetData sheetId="4628">
        <row r="2">
          <cell r="F2" t="str">
            <v>INCH</v>
          </cell>
        </row>
      </sheetData>
      <sheetData sheetId="4629">
        <row r="2">
          <cell r="F2" t="str">
            <v>INCH</v>
          </cell>
        </row>
      </sheetData>
      <sheetData sheetId="4630">
        <row r="2">
          <cell r="F2" t="str">
            <v>INCH</v>
          </cell>
        </row>
      </sheetData>
      <sheetData sheetId="4631">
        <row r="2">
          <cell r="F2" t="str">
            <v>INCH</v>
          </cell>
        </row>
      </sheetData>
      <sheetData sheetId="4632">
        <row r="2">
          <cell r="F2" t="str">
            <v>INCH</v>
          </cell>
        </row>
      </sheetData>
      <sheetData sheetId="4633"/>
      <sheetData sheetId="4634"/>
      <sheetData sheetId="4635">
        <row r="2">
          <cell r="F2" t="str">
            <v>INCH</v>
          </cell>
        </row>
      </sheetData>
      <sheetData sheetId="4636">
        <row r="2">
          <cell r="F2" t="str">
            <v>INCH</v>
          </cell>
        </row>
      </sheetData>
      <sheetData sheetId="4637"/>
      <sheetData sheetId="4638"/>
      <sheetData sheetId="4639">
        <row r="2">
          <cell r="F2" t="str">
            <v>INCH</v>
          </cell>
        </row>
      </sheetData>
      <sheetData sheetId="4640">
        <row r="2">
          <cell r="F2" t="str">
            <v>INCH</v>
          </cell>
        </row>
      </sheetData>
      <sheetData sheetId="4641">
        <row r="2">
          <cell r="F2" t="str">
            <v>INCH</v>
          </cell>
        </row>
      </sheetData>
      <sheetData sheetId="4642">
        <row r="2">
          <cell r="F2" t="str">
            <v>INCH</v>
          </cell>
        </row>
      </sheetData>
      <sheetData sheetId="4643">
        <row r="2">
          <cell r="F2" t="str">
            <v>INCH</v>
          </cell>
        </row>
      </sheetData>
      <sheetData sheetId="4644">
        <row r="2">
          <cell r="F2" t="str">
            <v>INCH</v>
          </cell>
        </row>
      </sheetData>
      <sheetData sheetId="4645">
        <row r="2">
          <cell r="F2" t="str">
            <v>INCH</v>
          </cell>
        </row>
      </sheetData>
      <sheetData sheetId="4646">
        <row r="2">
          <cell r="F2" t="str">
            <v>INCH</v>
          </cell>
        </row>
      </sheetData>
      <sheetData sheetId="4647">
        <row r="2">
          <cell r="F2" t="str">
            <v>INCH</v>
          </cell>
        </row>
      </sheetData>
      <sheetData sheetId="4648">
        <row r="2">
          <cell r="F2" t="str">
            <v>INCH</v>
          </cell>
        </row>
      </sheetData>
      <sheetData sheetId="4649">
        <row r="2">
          <cell r="F2" t="str">
            <v>INCH</v>
          </cell>
        </row>
      </sheetData>
      <sheetData sheetId="4650">
        <row r="2">
          <cell r="F2" t="str">
            <v>INCH</v>
          </cell>
        </row>
      </sheetData>
      <sheetData sheetId="4651">
        <row r="2">
          <cell r="F2" t="str">
            <v>INCH</v>
          </cell>
        </row>
      </sheetData>
      <sheetData sheetId="4652">
        <row r="2">
          <cell r="F2" t="str">
            <v>INCH</v>
          </cell>
        </row>
      </sheetData>
      <sheetData sheetId="4653">
        <row r="2">
          <cell r="F2" t="str">
            <v>INCH</v>
          </cell>
        </row>
      </sheetData>
      <sheetData sheetId="4654">
        <row r="2">
          <cell r="F2" t="str">
            <v>INCH</v>
          </cell>
        </row>
      </sheetData>
      <sheetData sheetId="4655">
        <row r="2">
          <cell r="F2" t="str">
            <v>INCH</v>
          </cell>
        </row>
      </sheetData>
      <sheetData sheetId="4656">
        <row r="2">
          <cell r="F2" t="str">
            <v>INCH</v>
          </cell>
        </row>
      </sheetData>
      <sheetData sheetId="4657">
        <row r="2">
          <cell r="F2" t="str">
            <v>INCH</v>
          </cell>
        </row>
      </sheetData>
      <sheetData sheetId="4658">
        <row r="2">
          <cell r="F2" t="str">
            <v>INCH</v>
          </cell>
        </row>
      </sheetData>
      <sheetData sheetId="4659">
        <row r="2">
          <cell r="F2" t="str">
            <v>INCH</v>
          </cell>
        </row>
      </sheetData>
      <sheetData sheetId="4660">
        <row r="2">
          <cell r="F2" t="str">
            <v>INCH</v>
          </cell>
        </row>
      </sheetData>
      <sheetData sheetId="4661">
        <row r="2">
          <cell r="F2" t="str">
            <v>INCH</v>
          </cell>
        </row>
      </sheetData>
      <sheetData sheetId="4662">
        <row r="2">
          <cell r="F2" t="str">
            <v>INCH</v>
          </cell>
        </row>
      </sheetData>
      <sheetData sheetId="4663">
        <row r="2">
          <cell r="F2" t="str">
            <v>INCH</v>
          </cell>
        </row>
      </sheetData>
      <sheetData sheetId="4664">
        <row r="2">
          <cell r="F2" t="str">
            <v>INCH</v>
          </cell>
        </row>
      </sheetData>
      <sheetData sheetId="4665">
        <row r="2">
          <cell r="F2" t="str">
            <v>INCH</v>
          </cell>
        </row>
      </sheetData>
      <sheetData sheetId="4666">
        <row r="2">
          <cell r="F2" t="str">
            <v>INCH</v>
          </cell>
        </row>
      </sheetData>
      <sheetData sheetId="4667">
        <row r="2">
          <cell r="F2" t="str">
            <v>INCH</v>
          </cell>
        </row>
      </sheetData>
      <sheetData sheetId="4668">
        <row r="2">
          <cell r="F2" t="str">
            <v>INCH</v>
          </cell>
        </row>
      </sheetData>
      <sheetData sheetId="4669">
        <row r="2">
          <cell r="F2" t="str">
            <v>INCH</v>
          </cell>
        </row>
      </sheetData>
      <sheetData sheetId="4670"/>
      <sheetData sheetId="4671"/>
      <sheetData sheetId="4672"/>
      <sheetData sheetId="4673"/>
      <sheetData sheetId="4674"/>
      <sheetData sheetId="4675"/>
      <sheetData sheetId="4676">
        <row r="2">
          <cell r="F2" t="str">
            <v>INCH</v>
          </cell>
        </row>
      </sheetData>
      <sheetData sheetId="4677">
        <row r="2">
          <cell r="F2" t="str">
            <v>INCH</v>
          </cell>
        </row>
      </sheetData>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ow r="2">
          <cell r="F2" t="str">
            <v>INCH</v>
          </cell>
        </row>
      </sheetData>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sheetData sheetId="4770"/>
      <sheetData sheetId="477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cell r="U179">
            <v>218</v>
          </cell>
          <cell r="V179">
            <v>302</v>
          </cell>
          <cell r="W179">
            <v>419</v>
          </cell>
          <cell r="X179">
            <v>433</v>
          </cell>
          <cell r="Y179">
            <v>430</v>
          </cell>
          <cell r="Z179">
            <v>494</v>
          </cell>
          <cell r="AA179">
            <v>520</v>
          </cell>
          <cell r="AB179">
            <v>522</v>
          </cell>
          <cell r="AC179">
            <v>508</v>
          </cell>
          <cell r="AD179">
            <v>581</v>
          </cell>
          <cell r="AE179">
            <v>524</v>
          </cell>
          <cell r="AF179">
            <v>526</v>
          </cell>
          <cell r="AG179">
            <v>502</v>
          </cell>
          <cell r="AH179">
            <v>248</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J16">
            <v>-3100889.7360623879</v>
          </cell>
          <cell r="K16">
            <v>-3100889.7360623879</v>
          </cell>
        </row>
        <row r="17">
          <cell r="G17">
            <v>934385.75607295427</v>
          </cell>
          <cell r="J17">
            <v>3270260.8906708667</v>
          </cell>
          <cell r="K17">
            <v>169371.15460847877</v>
          </cell>
        </row>
        <row r="18">
          <cell r="G18">
            <v>944284.9960087979</v>
          </cell>
          <cell r="J18">
            <v>-441747.35457777925</v>
          </cell>
          <cell r="K18">
            <v>-272376.19996930048</v>
          </cell>
        </row>
        <row r="19">
          <cell r="G19">
            <v>1100235.2378667907</v>
          </cell>
          <cell r="J19">
            <v>-565829.35575965873</v>
          </cell>
          <cell r="K19">
            <v>-838205.55572895915</v>
          </cell>
        </row>
        <row r="20">
          <cell r="G20">
            <v>1079751.2161132174</v>
          </cell>
          <cell r="J20">
            <v>-339427.47117581428</v>
          </cell>
          <cell r="K20">
            <v>-1177633.0269047734</v>
          </cell>
        </row>
        <row r="21">
          <cell r="G21">
            <v>1123783.6778401346</v>
          </cell>
          <cell r="J21">
            <v>-96645.766817710944</v>
          </cell>
          <cell r="K21">
            <v>-1274278.7937224843</v>
          </cell>
        </row>
        <row r="22">
          <cell r="G22">
            <v>1105143.8836787788</v>
          </cell>
          <cell r="J22">
            <v>-43686.328851310071</v>
          </cell>
          <cell r="K22">
            <v>-1317965.1225737943</v>
          </cell>
        </row>
        <row r="23">
          <cell r="G23">
            <v>1211873.7212221269</v>
          </cell>
          <cell r="J23">
            <v>-157770.37578145368</v>
          </cell>
          <cell r="K23">
            <v>-1475735.498355248</v>
          </cell>
        </row>
        <row r="24">
          <cell r="G24">
            <v>1242897.4469518734</v>
          </cell>
          <cell r="J24">
            <v>-31904.301259564934</v>
          </cell>
          <cell r="K24">
            <v>-1507639.7996148129</v>
          </cell>
        </row>
        <row r="25">
          <cell r="G25">
            <v>1242388.6634660121</v>
          </cell>
          <cell r="J25">
            <v>32340.963578523137</v>
          </cell>
          <cell r="K25">
            <v>-1475298.8360362898</v>
          </cell>
        </row>
        <row r="26">
          <cell r="G26">
            <v>1173097.4003922935</v>
          </cell>
          <cell r="J26">
            <v>106535.03291010531</v>
          </cell>
          <cell r="K26">
            <v>-1368763.8031261845</v>
          </cell>
        </row>
        <row r="27">
          <cell r="G27">
            <v>1246958.3770815907</v>
          </cell>
          <cell r="J27">
            <v>-1645.5875842371024</v>
          </cell>
          <cell r="K27">
            <v>-1370409.3907104216</v>
          </cell>
        </row>
        <row r="28">
          <cell r="G28">
            <v>1129849.8697283007</v>
          </cell>
          <cell r="J28">
            <v>294415.34818107402</v>
          </cell>
          <cell r="K28">
            <v>-1075994.0425293476</v>
          </cell>
        </row>
        <row r="29">
          <cell r="G29">
            <v>1362669.9593027527</v>
          </cell>
          <cell r="J29">
            <v>-78134.719742490212</v>
          </cell>
          <cell r="K29">
            <v>-1154128.7622718378</v>
          </cell>
        </row>
        <row r="30">
          <cell r="G30">
            <v>1257111.2537174637</v>
          </cell>
          <cell r="J30">
            <v>32326.792100662133</v>
          </cell>
          <cell r="K30">
            <v>-1121801.9701711757</v>
          </cell>
        </row>
        <row r="31">
          <cell r="G31">
            <v>766806.14375081041</v>
          </cell>
          <cell r="J31">
            <v>463798.22697295237</v>
          </cell>
          <cell r="K31">
            <v>-658003.7431982233</v>
          </cell>
        </row>
        <row r="32">
          <cell r="J32">
            <v>607947.97597508598</v>
          </cell>
          <cell r="K32">
            <v>-50055.767223137314</v>
          </cell>
        </row>
        <row r="33">
          <cell r="J33">
            <v>0</v>
          </cell>
          <cell r="K33">
            <v>-50055.767223137314</v>
          </cell>
        </row>
        <row r="34">
          <cell r="J34">
            <v>0</v>
          </cell>
          <cell r="K34">
            <v>-50055.767223137314</v>
          </cell>
        </row>
        <row r="35">
          <cell r="J35">
            <v>1051161.6616859552</v>
          </cell>
          <cell r="K35">
            <v>1001105.8944628179</v>
          </cell>
        </row>
        <row r="36">
          <cell r="J36">
            <v>0</v>
          </cell>
          <cell r="K36">
            <v>1001105.8944628179</v>
          </cell>
        </row>
      </sheetData>
      <sheetData sheetId="28" refreshError="1"/>
      <sheetData sheetId="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cell r="U179">
            <v>218</v>
          </cell>
          <cell r="V179">
            <v>302</v>
          </cell>
          <cell r="W179">
            <v>419</v>
          </cell>
          <cell r="X179">
            <v>433</v>
          </cell>
          <cell r="Y179">
            <v>430</v>
          </cell>
          <cell r="Z179">
            <v>494</v>
          </cell>
          <cell r="AA179">
            <v>520</v>
          </cell>
          <cell r="AB179">
            <v>522</v>
          </cell>
          <cell r="AC179">
            <v>508</v>
          </cell>
          <cell r="AD179">
            <v>581</v>
          </cell>
          <cell r="AE179">
            <v>524</v>
          </cell>
          <cell r="AF179">
            <v>526</v>
          </cell>
          <cell r="AG179">
            <v>502</v>
          </cell>
          <cell r="AH179">
            <v>248</v>
          </cell>
        </row>
      </sheetData>
      <sheetData sheetId="25" refreshError="1"/>
      <sheetData sheetId="26" refreshError="1"/>
      <sheetData sheetId="27" refreshError="1">
        <row r="16">
          <cell r="G16">
            <v>3100889.7360623879</v>
          </cell>
        </row>
        <row r="17">
          <cell r="G17">
            <v>934385.75607295427</v>
          </cell>
        </row>
        <row r="18">
          <cell r="G18">
            <v>944284.9960087979</v>
          </cell>
        </row>
        <row r="19">
          <cell r="G19">
            <v>1100235.2378667907</v>
          </cell>
        </row>
        <row r="20">
          <cell r="G20">
            <v>1079751.2161132174</v>
          </cell>
        </row>
        <row r="21">
          <cell r="G21">
            <v>1123783.6778401346</v>
          </cell>
        </row>
        <row r="22">
          <cell r="G22">
            <v>1105143.8836787788</v>
          </cell>
        </row>
        <row r="23">
          <cell r="G23">
            <v>1211873.7212221269</v>
          </cell>
        </row>
        <row r="24">
          <cell r="G24">
            <v>1242897.4469518734</v>
          </cell>
        </row>
        <row r="25">
          <cell r="G25">
            <v>1242388.6634660121</v>
          </cell>
        </row>
        <row r="26">
          <cell r="G26">
            <v>1173097.4003922935</v>
          </cell>
        </row>
        <row r="27">
          <cell r="G27">
            <v>1246958.3770815907</v>
          </cell>
        </row>
        <row r="28">
          <cell r="G28">
            <v>1129849.8697283007</v>
          </cell>
        </row>
        <row r="29">
          <cell r="G29">
            <v>1362669.9593027527</v>
          </cell>
        </row>
        <row r="30">
          <cell r="G30">
            <v>1257111.2537174637</v>
          </cell>
        </row>
        <row r="31">
          <cell r="G31">
            <v>766806.14375081041</v>
          </cell>
        </row>
      </sheetData>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산근"/>
      <sheetName val="000000"/>
      <sheetName val="XXXXXX"/>
      <sheetName val="KUWATI(Total) "/>
      <sheetName val="GC-01"/>
      <sheetName val="GC-02"/>
      <sheetName val="GC-03"/>
      <sheetName val="GC-04"/>
      <sheetName val="GC-07"/>
      <sheetName val="GC-08"/>
      <sheetName val="GC-09"/>
      <sheetName val="GC-10"/>
      <sheetName val="GC-19"/>
      <sheetName val="GC-21"/>
      <sheetName val="GC-22"/>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집계표(OPTION)"/>
      <sheetName val="OPTION 2"/>
      <sheetName val="OPTION 3"/>
      <sheetName val="Sheet2"/>
      <sheetName val="Sheet3"/>
      <sheetName val="2002년 현장공사비 국내 실적"/>
      <sheetName val="2003년국내현장공사비 실적"/>
      <sheetName val="집계표_OPTION_"/>
      <sheetName val="_REF"/>
      <sheetName val="당초"/>
      <sheetName val="단가(자재)"/>
      <sheetName val="단가(노임)"/>
      <sheetName val="기초목록"/>
      <sheetName val="노임단가"/>
      <sheetName val="???"/>
      <sheetName val="VC2 10.99"/>
      <sheetName val="예산"/>
      <sheetName val="inter"/>
      <sheetName val="Sheet1"/>
      <sheetName val="KP1590_E"/>
      <sheetName val="영업2"/>
      <sheetName val="INPUT DATA"/>
      <sheetName val="1월"/>
      <sheetName val="영업3"/>
      <sheetName val="공문"/>
      <sheetName val="BQMPALOC"/>
      <sheetName val="연돌일위집계"/>
      <sheetName val="갑지"/>
      <sheetName val="금액내역서"/>
      <sheetName val="??"/>
      <sheetName val="BQ_Utl_Off"/>
      <sheetName val="세금자료"/>
      <sheetName val="ERECIN"/>
      <sheetName val="BD集計用"/>
      <sheetName val="»ê±Ù"/>
      <sheetName val="집계표 (25,26ဩ"/>
      <sheetName val="12CGOU"/>
      <sheetName val="경영혁신본부"/>
      <sheetName val="95삼성급(본사)"/>
      <sheetName val="___"/>
      <sheetName val="General Data"/>
      <sheetName val="수입"/>
      <sheetName val="Form 0"/>
      <sheetName val="COVER"/>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
      <sheetName val="DRUM"/>
      <sheetName val="Final(1)summary"/>
      <sheetName val="DESCRIPTION"/>
      <sheetName val="Form D-1"/>
      <sheetName val="Form B-1"/>
      <sheetName val="Form F-1"/>
      <sheetName val="Assist(B-1)"/>
      <sheetName val="Form A"/>
      <sheetName val="eq_data"/>
      <sheetName val="SANDAN"/>
      <sheetName val="LABOR &amp; 자재"/>
      <sheetName val="제작도"/>
      <sheetName val="입출재고현황 (2)"/>
      <sheetName val="뜃맟뭁돽띿맟?-BLDG"/>
      <sheetName val="INPUT_DATA"/>
      <sheetName val="General_Data"/>
      <sheetName val="집계표_(25,26ဩ"/>
      <sheetName val="Form_0"/>
      <sheetName val="DHEQSUPT"/>
      <sheetName val="B"/>
      <sheetName val="CB"/>
      <sheetName val="SALA-002"/>
      <sheetName val="주간기성"/>
      <sheetName val="기성내역"/>
      <sheetName val="내역ࠜĀ_x0000_M4)"/>
      <sheetName val="노임단가표"/>
      <sheetName val="POWER"/>
      <sheetName val="ESCON"/>
      <sheetName val="뜃맟뭁돽띿맟_-BLDG"/>
      <sheetName val="M-EQPT-Z"/>
      <sheetName val="3.공통공사대비"/>
      <sheetName val="TTL"/>
      <sheetName val="h-013211-2"/>
      <sheetName val="간접비 총괄"/>
      <sheetName val="내역서 耰&quot;_x0000__x0000_"/>
      <sheetName val="_x0008_"/>
      <sheetName val="비교검토"/>
      <sheetName val="내역ࠜĀ"/>
      <sheetName val="당진1,2호기전선관설치및접지4차공사내역서-을지"/>
      <sheetName val="Price Schedule"/>
      <sheetName val="간접비내역-1"/>
      <sheetName val="Lup2"/>
      <sheetName val="BOROUGE2"/>
      <sheetName val="___(OPTION)"/>
      <sheetName val="INSTR"/>
      <sheetName val="合成単価作成表-BLDG"/>
      <sheetName val="PRICES"/>
      <sheetName val="IN"/>
      <sheetName val="CTEMCOST"/>
      <sheetName val="???(OPTION)"/>
      <sheetName val="물량"/>
      <sheetName val="WEIGHT LIST"/>
      <sheetName val="산#2-1 (2)"/>
      <sheetName val="POL6차-PIPING"/>
      <sheetName val="산#3-1"/>
      <sheetName val="BEND LOSS"/>
      <sheetName val="CAL."/>
      <sheetName val="EQT-ESTN"/>
      <sheetName val="???¡§????"/>
      <sheetName val="????¢ç¢®¡¿????"/>
      <sheetName val="??????????¢ç??????"/>
      <sheetName val="???????¢ç¢®¢¯????"/>
      <sheetName val="???????®¡¿????"/>
      <sheetName val="??????????????????"/>
      <sheetName val="Rate Analysis"/>
      <sheetName val="내역"/>
      <sheetName val="단면 (2)"/>
      <sheetName val="표지"/>
      <sheetName val="Q&amp;pl-V"/>
      <sheetName val="F4-F7"/>
      <sheetName val="EQUIPMENT -2"/>
      <sheetName val="찍기"/>
      <sheetName val="WE'T"/>
      <sheetName val="Cash2"/>
      <sheetName val="Z"/>
      <sheetName val="내역서 耰&quot;??"/>
      <sheetName val="A"/>
      <sheetName val="내역ࠜĀ_x005f_x0000_M4)"/>
      <sheetName val="내역서 耰&quot;_x005f_x0000__x005f_x0000_"/>
      <sheetName val="_x005f_x0008_"/>
      <sheetName val="24V"/>
      <sheetName val="SOURCE"/>
      <sheetName val="6PILE  (돌출)"/>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EQUIP"/>
      <sheetName val="jobhist"/>
      <sheetName val="견적"/>
      <sheetName val="실행"/>
      <sheetName val="공사비 내역 (가)"/>
      <sheetName val="LEGEND"/>
      <sheetName val="국내"/>
      <sheetName val="PROCURE"/>
      <sheetName val="DATA"/>
      <sheetName val="Static Equip"/>
      <sheetName val="CAT_5"/>
      <sheetName val="BID"/>
      <sheetName val="Quantity"/>
      <sheetName val="____¢ç¢®¡¿____"/>
      <sheetName val="__________¢ç______"/>
      <sheetName val="___¡§____"/>
      <sheetName val="_______¢ç¢®¢¯____"/>
      <sheetName val="_______®¡¿____"/>
      <sheetName val="__________________"/>
      <sheetName val="내역서 耰&quot;__"/>
      <sheetName val="Summary Sheets"/>
      <sheetName val="내역ࠜĀ?M4)"/>
      <sheetName val="PBS"/>
      <sheetName val="고압수량(철거)"/>
      <sheetName val="기계내역서"/>
      <sheetName val="Form A "/>
      <sheetName val="당초내역서"/>
      <sheetName val="electrical"/>
      <sheetName val="경영혁신본뷀"/>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Sheet6"/>
      <sheetName val="갑지(추정)"/>
      <sheetName val="ELEC_DCI"/>
      <sheetName val="INST_DCI"/>
      <sheetName val="Compare"/>
      <sheetName val="3.Breakdown Direct Paint"/>
      <sheetName val="Spl"/>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내역ࠜĀ_x005f_x005f_x005f_x0000_M4)"/>
      <sheetName val="SummaryC"/>
      <sheetName val="Detail"/>
      <sheetName val="2.2 STAFF Scedule"/>
      <sheetName val="Sheet1 (2)"/>
      <sheetName val="수로보호공"/>
      <sheetName val="갑지1"/>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데이타"/>
      <sheetName val="식재인부"/>
      <sheetName val="입력시트"/>
      <sheetName val="EQUIPOS"/>
      <sheetName val="내역서 耰&quot;_x005f_x005f_x005f_x0000__x005f_x005f_x0000"/>
      <sheetName val="_x005f_x005f_x005f_x0008_"/>
      <sheetName val="내역ࠜĀ_x005f_x005f_x005f_x005f_x005f_x005f_x005f_x0000_M4"/>
      <sheetName val="내역서 耰&quot;_x005f_x005f_x005f_x005f_x005f_x005f_x005f_x0000_"/>
      <sheetName val="_x005f_x005f_x005f_x005f_x005f_x005f_x005f_x0008_"/>
      <sheetName val="직재"/>
      <sheetName val="I一般比"/>
      <sheetName val="AILC004"/>
      <sheetName val="CIVIL"/>
      <sheetName val="ERECT"/>
      <sheetName val="PROSUM"/>
      <sheetName val="Administrative Prices"/>
      <sheetName val="Calc"/>
      <sheetName val="WBS 44"/>
      <sheetName val="WBS 41"/>
      <sheetName val="Precios por Administración"/>
      <sheetName val="Resumen"/>
      <sheetName val="Precios Unitarios"/>
      <sheetName val="Subcon A"/>
      <sheetName val="9906"/>
      <sheetName val="계측 내역서"/>
      <sheetName val="내역ࠜĀ_M4)"/>
      <sheetName val="7. 월별투입내역서"/>
      <sheetName val="내역서_耰&quot;__"/>
      <sheetName val="인부신상자료"/>
      <sheetName val="Z- GENERAL PRICE SUMMARY"/>
      <sheetName val=" Estimate  "/>
      <sheetName val="cable-data"/>
      <sheetName val="T 3"/>
      <sheetName val="HORI. VESSEL"/>
      <sheetName val="BCPAB"/>
      <sheetName val="BM DATA SHEET"/>
      <sheetName val="입찰품의서"/>
      <sheetName val="PI"/>
      <sheetName val="EQUIP LIST"/>
      <sheetName val="수주추정"/>
      <sheetName val="Insts"/>
      <sheetName val="Vind - BtB"/>
      <sheetName val="LV induction motors"/>
      <sheetName val="인원계획"/>
      <sheetName val="BSD (2)"/>
      <sheetName val="COVER-P"/>
      <sheetName val="집계표"/>
      <sheetName val="BATCH"/>
      <sheetName val="MP MOB"/>
      <sheetName val="Sheet4"/>
      <sheetName val="cable"/>
      <sheetName val="내역서"/>
      <sheetName val="Form B"/>
      <sheetName val="배관내역"/>
      <sheetName val="_x0002__x0000_뻘N_x0000__x0000__x0001_ࠀ역서"/>
      <sheetName val="내역ࠜĀ_x005f_x005f_x005f_x005f_x005f_x005f_x005f_x005f_x0"/>
      <sheetName val="내역서 耰&quot;_x005f_x005f_x005f_x005f_x005f_x005f_x005f_x005f_"/>
      <sheetName val="_x005f_x005f_x005f_x005f_x005f_x005f_x005f_x005f_x005f_x005f_"/>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Q-7100-001"/>
      <sheetName val="Monthly Load"/>
      <sheetName val="Weekly Load"/>
      <sheetName val="sum"/>
      <sheetName val="Summary"/>
      <sheetName val="97 사업추정(WEKI)"/>
      <sheetName val="Lstsub"/>
      <sheetName val="Hot"/>
      <sheetName val="K_SURFACES"/>
      <sheetName val="변경집계표"/>
      <sheetName val="Material Selections"/>
      <sheetName val="DB@Acess"/>
      <sheetName val="M_DB"/>
      <sheetName val="All_2"/>
      <sheetName val="trf(36%)"/>
      <sheetName val="총괄표"/>
      <sheetName val="금융"/>
      <sheetName val="Eq. Mobilization"/>
      <sheetName val="DCS"/>
      <sheetName val="FWBS7000,8000"/>
      <sheetName val="ANALYSER"/>
      <sheetName val="Basic_Rate"/>
      <sheetName val="appendix_2_5_final_accounts"/>
      <sheetName val="Format"/>
      <sheetName val="Labour"/>
      <sheetName val="Material"/>
      <sheetName val="Sheet1_(2)"/>
      <sheetName val="출금실적"/>
      <sheetName val="경영현황"/>
      <sheetName val="일일총괄"/>
      <sheetName val="[SANDAN.XLS??"/>
      <sheetName val="RFP002"/>
      <sheetName val="실행집계"/>
      <sheetName val="breakdown of wage rate"/>
      <sheetName val="Indirect Cost"/>
      <sheetName val="Unit"/>
      <sheetName val="criteria"/>
      <sheetName val="품셈"/>
      <sheetName val="1350-A"/>
      <sheetName val="내역서 (∮ἀ嘆ɶ_x0000_᠀㬁_x0000_"/>
      <sheetName val="당초_xd8b4_∸ἀ"/>
      <sheetName val="Piping BQ for one turbine"/>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수량집계"/>
      <sheetName val="총괄집계표"/>
      <sheetName val="Cal"/>
      <sheetName val="BREAKDOWN(철거설치)"/>
      <sheetName val="BREAKDOWN(신규설치)"/>
      <sheetName val="TDTKP"/>
      <sheetName val="DK-KH"/>
      <sheetName val="중기"/>
      <sheetName val="입찰내역 발주처 양식"/>
      <sheetName val="목표세부명세"/>
      <sheetName val="중기일위대가"/>
      <sheetName val="SS2"/>
      <sheetName val="HP-Steamdrum"/>
      <sheetName val="_x0002_?뻘N??_x0001_ࠀ역서"/>
      <sheetName val="Utility and Fire flange"/>
      <sheetName val="_SANDAN.XLS__"/>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BOQ-B.DOWN"/>
      <sheetName val="TOTAL"/>
      <sheetName val="General"/>
      <sheetName val="Menus"/>
      <sheetName val="_x0004__x0000__x000d__x0000__x0003__x0000__x0004__x0000__x0016__x0000__x000d__x0000__x0004_"/>
      <sheetName val="_x000a__x0000__x001b__x0000__x0006__x0000__x0006__x0000__x0008__x0000__x000a__x0000__x0000_"/>
      <sheetName val="Resource table"/>
      <sheetName val="원가"/>
      <sheetName val="97"/>
      <sheetName val="MANP"/>
      <sheetName val="C"/>
      <sheetName val="Equipment List"/>
      <sheetName val="info"/>
      <sheetName val="TP"/>
      <sheetName val="Form1.SQP"/>
      <sheetName val="Resource"/>
      <sheetName val="BM-Elec"/>
      <sheetName val="BM-Inst"/>
      <sheetName val="공정계획(내부계획25%,내부w.f)"/>
      <sheetName val="사급자재집계표"/>
      <sheetName val="HVAC(사급자재)"/>
      <sheetName val="U-W"/>
      <sheetName val="Heavy Equipments"/>
      <sheetName val="AG Pipe Qty Analysis"/>
      <sheetName val="_x0002_"/>
      <sheetName val="SFN ORIG"/>
      <sheetName val="SFN"/>
      <sheetName val="R2564AHDTS"/>
      <sheetName val="CPS"/>
      <sheetName val="w't table"/>
      <sheetName val="결과조달"/>
      <sheetName val="7422CW00"/>
      <sheetName val="D-623D"/>
      <sheetName val="SCHEDD TAMBAHAN"/>
      <sheetName val="수량산출서"/>
      <sheetName val="Preliminaries"/>
      <sheetName val="piping"/>
      <sheetName val="Mech"/>
      <sheetName val="Fire Protection"/>
      <sheetName val="Buildings"/>
      <sheetName val="Instrument"/>
      <sheetName val="LOB"/>
      <sheetName val="실행내역"/>
      <sheetName val="도"/>
      <sheetName val="Proposal"/>
      <sheetName val="단가 (2)"/>
      <sheetName val="4-3LEVEL-5 epic.4"/>
      <sheetName val="부대비율"/>
      <sheetName val="한강운반비"/>
      <sheetName val="내역ࠜĀ_x005f_x005f_x005f_x0000_M4"/>
      <sheetName val="내역서 耰&quot;_x005f_x005f_x005f_x0000_"/>
      <sheetName val="내역ࠜĀ_x005f_x005f_x005f_x005f_x0"/>
      <sheetName val="내역서 耰&quot;_x005f_x005f_x005f_x005f_"/>
      <sheetName val="_x0002__x0000_뻘N_x0000__x0000__"/>
      <sheetName val="_x0004__x0000__x000d__x0000__x0"/>
      <sheetName val="_x000a__x0000__x001b__x0000__x0"/>
      <sheetName val="_x0002__뻘N___x0001_ࠀ역서"/>
      <sheetName val="내역서 耰&quot;_x005f_x0000__x0000"/>
      <sheetName val="_x005f_x005f_x005f_x005f_"/>
      <sheetName val="내역서_耰&quot;_x005f_x0000__x0000"/>
      <sheetName val="plan&amp;section of foundation"/>
      <sheetName val="DESIGN CRITERIA"/>
      <sheetName val="VIZ4"/>
      <sheetName val="VIZ7"/>
      <sheetName val="UZ"/>
      <sheetName val="FWBS 1530"/>
      <sheetName val="내역서 (∮ἀ嘆ɶ"/>
      <sheetName val="Dir Manpower Other Exp."/>
      <sheetName val="Administrative_Prices"/>
      <sheetName val="WBS_44"/>
      <sheetName val="WBS_41"/>
      <sheetName val="Precios_por_Administración"/>
      <sheetName val="Precios_Unitarios"/>
      <sheetName val="Subcon_A"/>
      <sheetName val="ITB COST"/>
      <sheetName val="mto-rev0B"/>
      <sheetName val="실행예산 MM"/>
      <sheetName val="MODULE CONFIRM"/>
      <sheetName val="분전반계산서(석관)"/>
      <sheetName val="설계명세1-1"/>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2_2_STAFF_Scedule"/>
      <sheetName val="내역서_耰&quot;_x005f_x005f_x005f_x0000__x005f_x005f_x0000"/>
      <sheetName val="계측_내역서"/>
      <sheetName val="내역서_耰&quot;_x005f_x005f_x005f_x005f_x005f_x005f_x005f_x0000_"/>
      <sheetName val="Man_Hole"/>
      <sheetName val="7__월별투입내역서"/>
      <sheetName val="MP_MOB"/>
      <sheetName val="Z-_GENERAL_PRICE_SUMMARY"/>
      <sheetName val="_Estimate__"/>
      <sheetName val="T_3"/>
      <sheetName val="EQUIP_LIST"/>
      <sheetName val="HORI__VESSEL"/>
      <sheetName val="Vind_-_BtB"/>
      <sheetName val="LV_induction_motors"/>
      <sheetName val="BSD_(2)"/>
      <sheetName val="내역서_耰&quot;_x005f_x005f_x005f_x005f_x005f_x005f_x005f_x005f_"/>
      <sheetName val="Form_B"/>
      <sheetName val="뻘Nࠀ역서"/>
      <sheetName val="내역서_耰&quot;1"/>
      <sheetName val="97_사업추정(WEKI)"/>
      <sheetName val="INPUT_DATA3"/>
      <sheetName val="집계표_(25,26ဩ3"/>
      <sheetName val="Form_03"/>
      <sheetName val="Form_D-12"/>
      <sheetName val="Form_B-12"/>
      <sheetName val="Form_F-12"/>
      <sheetName val="Form_A2"/>
      <sheetName val="General_Data3"/>
      <sheetName val="LABOR_&amp;_자재2"/>
      <sheetName val="입출재고현황_(2)2"/>
      <sheetName val="3_공통공사대비2"/>
      <sheetName val="간접비_총괄2"/>
      <sheetName val="Price_Schedule2"/>
      <sheetName val="CAL_2"/>
      <sheetName val="Rate_Analysis2"/>
      <sheetName val="EQUIPMENT_-22"/>
      <sheetName val="공사비_내역_(가)1"/>
      <sheetName val="WEIGHT_LIST1"/>
      <sheetName val="산#2-1_(2)1"/>
      <sheetName val="BEND_LOSS1"/>
      <sheetName val="내역서_耰&quot;??2"/>
      <sheetName val="단면_(2)1"/>
      <sheetName val="6PILE__(돌출)1"/>
      <sheetName val="Static_Equip1"/>
      <sheetName val="Form_A_1"/>
      <sheetName val="내역서_耰&quot;_x005f_x0000__x005f_x0000_1"/>
      <sheetName val="3_Breakdown_Direct_Paint1"/>
      <sheetName val="내역서_耰&quot;__2"/>
      <sheetName val="Summary_Sheets1"/>
      <sheetName val="Civil_11"/>
      <sheetName val="Civil_21"/>
      <sheetName val="Civil_31"/>
      <sheetName val="Site_11"/>
      <sheetName val="Site_21"/>
      <sheetName val="Site_31"/>
      <sheetName val="Site_Faci1"/>
      <sheetName val="Sheet1_(2)1"/>
      <sheetName val="BM_DATA_SHEET1"/>
      <sheetName val="breakdown_of_wage_rate"/>
      <sheetName val="Indirect_Cost"/>
      <sheetName val="Monthly_Load"/>
      <sheetName val="Weekly_Load"/>
      <sheetName val="내역서_(∮ἀ嘆ɶ᠀㬁"/>
      <sheetName val="Eq__Mobilization"/>
      <sheetName val="[SANDAN_XLS??"/>
      <sheetName val="Piping_BQ_for_one_turbine"/>
      <sheetName val="Material_Selections"/>
      <sheetName val="Resource_table"/>
      <sheetName val="Utility_and_Fire_flange"/>
      <sheetName val="_x000a__x000a_"/>
      <sheetName val="Equipment_List"/>
      <sheetName val="Form1_SQP"/>
      <sheetName val="AG_Pipe_Qty_Analysis"/>
      <sheetName val="공정계획(내부계획25%,내부w_f)"/>
      <sheetName val="Heavy_Equipments"/>
      <sheetName val="이자율"/>
      <sheetName val="SFN_ORIG"/>
      <sheetName val="?뻘N??ࠀ역서"/>
      <sheetName val="_SANDAN_XLS__"/>
      <sheetName val="강재"/>
      <sheetName val="OD5000"/>
      <sheetName val="Costo-MO"/>
      <sheetName val="WIND"/>
      <sheetName val="상반기손익차2총괄"/>
      <sheetName val="생산계획"/>
      <sheetName val="VLOOKUP"/>
      <sheetName val="cal-foamglass"/>
      <sheetName val="연습"/>
      <sheetName val="운반"/>
      <sheetName val="SCHEDD_TAMBAHAN"/>
      <sheetName val="Dir_Manpower_Other_Exp_"/>
      <sheetName val="w't_table"/>
      <sheetName val="Fire_Protection"/>
      <sheetName val="입찰내역_발주처_양식"/>
      <sheetName val="SEX"/>
      <sheetName val="Currency Rate"/>
      <sheetName val="Personnel"/>
      <sheetName val="dc1"/>
      <sheetName val="master"/>
      <sheetName val="MTO"/>
      <sheetName val="Elect_BOM"/>
      <sheetName val="Elect"/>
      <sheetName val="BQ"/>
      <sheetName val="Labor"/>
      <sheetName val="working load at the btm ft."/>
      <sheetName val="stability check"/>
      <sheetName val="design load"/>
      <sheetName val="INPUT"/>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노임9월"/>
      <sheetName val="FWBS"/>
      <sheetName val="CHANNEL"/>
      <sheetName val="PROTECTION "/>
      <sheetName val="CIBATU5OO"/>
      <sheetName val="실행(ALT1)"/>
      <sheetName val="Cash In-Cash Out Actual"/>
      <sheetName val="내역서1999.8최종"/>
      <sheetName val="실행철강하도"/>
      <sheetName val="전기"/>
      <sheetName val="PROGRESS"/>
      <sheetName val="Database"/>
      <sheetName val="견적대비표"/>
      <sheetName val="일위대가(계측기설치)"/>
      <sheetName val="EP0618"/>
      <sheetName val="SILICATE"/>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ANALISA"/>
      <sheetName val="Unit Price "/>
      <sheetName val="PNT"/>
      <sheetName val="D7(1)"/>
      <sheetName val="BOQ"/>
      <sheetName val="5-ALAT(1)"/>
      <sheetName val="4-Basic Price"/>
      <sheetName val="Rekap"/>
      <sheetName val="AHS"/>
      <sheetName val="Evaluasi Penw"/>
      <sheetName val="Rekapitulasi"/>
      <sheetName val="Man Power &amp; Comp"/>
      <sheetName val="MP-PLAN"/>
      <sheetName val="L-TIGA"/>
      <sheetName val="Data List"/>
      <sheetName val="MP_PLAN"/>
      <sheetName val="10"/>
      <sheetName val="5"/>
      <sheetName val="1"/>
      <sheetName val="CÓDIGOS"/>
      <sheetName val="Sum (Case-3)"/>
      <sheetName val="할증 "/>
      <sheetName val=" _x0000__x001b__x0000__x0006__x0000__x0006__x0000__x0008__x0000_ _x0000__x0000_"/>
      <sheetName val="배수내역"/>
      <sheetName val="판가반영"/>
      <sheetName val="공사내역"/>
      <sheetName val="DESIGN"/>
      <sheetName val="영업소실적"/>
      <sheetName val="PROJECT BRIEF"/>
      <sheetName val="tggwan(mac)"/>
      <sheetName val="예산-내부"/>
      <sheetName val="MTP"/>
      <sheetName val="_x0004_"/>
      <sheetName val="_x000a_"/>
      <sheetName val="REDUCER"/>
      <sheetName val="Checklist-Parameters"/>
      <sheetName val="Fillermetal"/>
      <sheetName val="Updating Form-Oct 2011"/>
      <sheetName val="Weld Consumable"/>
      <sheetName val="WQT"/>
      <sheetName val="NDE Cost-Summary"/>
      <sheetName val="9July Above Ground Pipe"/>
      <sheetName val="M 11"/>
      <sheetName val="Process Data 1"/>
      <sheetName val="BAG-2"/>
      <sheetName val="Overall"/>
      <sheetName val="salary"/>
      <sheetName val="CUADRO DE PRECIOS"/>
      <sheetName val="aa_piping"/>
      <sheetName val="CABLE_DATA"/>
      <sheetName val="CIVIL_UP"/>
      <sheetName val="ETUDE_de_Prix__(2)"/>
      <sheetName val="選單"/>
      <sheetName val="Hoja2"/>
      <sheetName val="경제지표"/>
      <sheetName val="1100-1200-1300-1910-2140-LEV 2"/>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Library"/>
      <sheetName val="첨부1-집행내역(요약)"/>
      <sheetName val="General Notes"/>
      <sheetName val="Item code"/>
      <sheetName val="업체코드"/>
      <sheetName val="Closeout Control"/>
      <sheetName val="Site Findings Status Sheet"/>
      <sheetName val="Weekl_x0004__x0000__x0016__x0000__x000d__x0000_"/>
      <sheetName val="_x0000__x000e__x0000__x0005_"/>
      <sheetName val="ANX3A11"/>
      <sheetName val="5.) Time Delays"/>
      <sheetName val="KP_List"/>
      <sheetName val="내역서_(N _x000e__x000e__x000e_  _x0012__x0010__x000a_"/>
      <sheetName val="ഀࠀကЀЀԀЀԀ̀ᤀഀ؀Ѐༀ"/>
      <sheetName val="CONFIG"/>
      <sheetName val="Datos"/>
      <sheetName val="경상"/>
      <sheetName val="DB"/>
      <sheetName val="노임이"/>
      <sheetName val="Engineering&amp;Management"/>
      <sheetName val="Tools &amp; Settings"/>
      <sheetName val="Data Summary"/>
      <sheetName val="Resources"/>
      <sheetName val="FFA"/>
      <sheetName val="Currencies"/>
      <sheetName val="Crew Costs"/>
      <sheetName val="Spread Costs"/>
      <sheetName val="Unique List_Misc"/>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골조시행"/>
      <sheetName val="RAB AR&amp;STR"/>
      <sheetName val="I-KAMAR"/>
      <sheetName val="HVAC"/>
      <sheetName val="검측서"/>
      <sheetName val="UP MINOR"/>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99. FWBS(Ref)"/>
      <sheetName val="99. Change Rate"/>
      <sheetName val="In-House Summary"/>
      <sheetName val="7422CW_x0013__x0000_"/>
      <sheetName val="??-BLDG"/>
      <sheetName val="Unt rate"/>
      <sheetName val="내역서_(N_x0009__x000e__x000e__x000e__x0009__x0009__x0012__x0010__x000a_"/>
      <sheetName val="Ocean Transporation Charge"/>
      <sheetName val="Codes.Pers"/>
      <sheetName val="시행분석"/>
      <sheetName val="장산"/>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예산실적전체당월"/>
      <sheetName val="Raw data"/>
      <sheetName val="SCH"/>
      <sheetName val="Pengesahan "/>
      <sheetName val="BILL"/>
      <sheetName val="Discounted Cash Flow"/>
      <sheetName val="예가표"/>
      <sheetName val="Cash Flow bulanan"/>
      <sheetName val="schalt"/>
      <sheetName val="schtng"/>
      <sheetName val="schbhn"/>
      <sheetName val="H.Satuan"/>
      <sheetName val="I_KAMAR"/>
      <sheetName val="Direct PMS"/>
      <sheetName val="경비실"/>
      <sheetName val="OPT_x0012__x0000__x0010__x0000__x000a__x0000_"/>
      <sheetName val="_x0000__x0013__x0000__x0014_"/>
      <sheetName val="배수공"/>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Exchange Rate"/>
      <sheetName val="2. 현장 자금투입 집계표"/>
      <sheetName val="수량산출"/>
      <sheetName val="PWA"/>
      <sheetName val="9_1차이내역"/>
      <sheetName val="pipeline-1"/>
      <sheetName val="2003상반기노임기준"/>
      <sheetName val="_도면 및 도서 제출목록 및 일정_170202.xlsx"/>
      <sheetName val="Rates &amp; Legend"/>
      <sheetName val="리스크 분류체계"/>
      <sheetName val="SECL 리스크 분류체계 (2)"/>
      <sheetName val="Material code"/>
      <sheetName val="HO_Site Rates-2011"/>
      <sheetName val="  "/>
      <sheetName val=" "/>
      <sheetName val="breakdown of wage ra`f"/>
      <sheetName val="breakdown of wage ra"/>
      <sheetName val="breakdown of wage rað-"/>
      <sheetName val="00-Summary Information-ABB"/>
      <sheetName val="breakdown of wage rap"/>
      <sheetName val="breakdown of wage ra"/>
      <sheetName val="0. Resource　Code"/>
      <sheetName val="2.Overall Summary "/>
      <sheetName val="OCT.FDN"/>
      <sheetName val="D-3109"/>
      <sheetName val="Chart_Cable"/>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BD"/>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Pipe-Hot"/>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00__x0000_6"/>
      <sheetName val="내역서_耰&quot;_x005f_x0000__x0005"/>
      <sheetName val="내역서_耰&quot;_x005f_x005f_x00005"/>
      <sheetName val="내역서_耰&quot;_x005f_x005f_x005f5"/>
      <sheetName val="내역서_耰&quot;_x005f_x0000_"/>
      <sheetName val="내역서_耰&quot;_x005f_x005f_"/>
      <sheetName val="내역ࠜĀ_x0000_M4"/>
      <sheetName val="내역ࠜĀ_x0"/>
      <sheetName val="내역서 耰&quot;_"/>
      <sheetName val="_"/>
      <sheetName val="내역서_耰&quot;_x0000__x0001"/>
      <sheetName val="내역서_耰&quot;_x00001"/>
      <sheetName val="내역서_耰&quot;_x005f1"/>
      <sheetName val="내역서_耰&quot;_x0000__x0002"/>
      <sheetName val="내역서_耰&quot;_x00002"/>
      <sheetName val="내역서_耰&quot;_x005f2"/>
      <sheetName val="Others"/>
      <sheetName val="Sheet5"/>
      <sheetName val="물량표"/>
      <sheetName val="PABS,Site info"/>
      <sheetName val="Direct_PMS"/>
      <sheetName val="5_)_Time_Delays"/>
      <sheetName val="OPT_x000a_"/>
      <sheetName val="Weekl_x000a_"/>
      <sheetName val="Aux_"/>
      <sheetName val="TYPE"/>
      <sheetName val="DISCIPLINE"/>
      <sheetName val="BQMP"/>
      <sheetName val="CAL1"/>
      <sheetName val="BQ_IMPORT"/>
      <sheetName val="Analysis"/>
      <sheetName val="EVA-004-MEC"/>
      <sheetName val="Distribution Table"/>
      <sheetName val="BA1047集約"/>
      <sheetName val="__x0000__x001b__x0000__x0006__x"/>
      <sheetName val="_뻘N__ࠀ역서"/>
      <sheetName val="차트 (2)"/>
      <sheetName val="도면자료제출일정"/>
      <sheetName val="DROP DOWN"/>
      <sheetName val="유림골조"/>
      <sheetName val="Action Item"/>
      <sheetName val="Equipment Spec List"/>
      <sheetName val="EE-PROP"/>
      <sheetName val="DATA MENTAH"/>
      <sheetName val="용접품"/>
      <sheetName val="절단품"/>
      <sheetName val="Rating"/>
      <sheetName val="ID.CD"/>
      <sheetName val="개시대사 (2)"/>
      <sheetName val="대운산출"/>
      <sheetName val="Header"/>
      <sheetName val="SPEC LIST(EQUP, SYS)"/>
      <sheetName val="drg"/>
      <sheetName val="BM"/>
      <sheetName val="LEGENDA"/>
      <sheetName val="당초?∸ἀ"/>
      <sheetName val="11.자재단가"/>
      <sheetName val="design_criteria1"/>
      <sheetName val="MD"/>
      <sheetName val="SUM "/>
      <sheetName val="Multi-currency"/>
      <sheetName val="Air Cooler-E"/>
      <sheetName val="Al Taweelah"/>
      <sheetName val="TJ1Q47"/>
      <sheetName val="Particular Sch"/>
      <sheetName val="208"/>
      <sheetName val="Leyenda"/>
      <sheetName val="Cashflow Analysis"/>
      <sheetName val="Finansal tamamlanma Eğrisi"/>
      <sheetName val="SIVA"/>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바닥판_x0000_⽷_x0000_"/>
      <sheetName val="Values"/>
      <sheetName val="USDKRW"/>
      <sheetName val="Inquiry"/>
      <sheetName val="품셈TABLE"/>
      <sheetName val="定额"/>
      <sheetName val="Linelist LNGC Process"/>
      <sheetName val="환율"/>
      <sheetName val="TQ Format"/>
      <sheetName val="2_Overall_Summary_"/>
      <sheetName val="구분"/>
      <sheetName val="breakdown of wage raÐ¾"/>
      <sheetName val="Additional data"/>
      <sheetName val="Risk"/>
      <sheetName val="손익차총괄2"/>
      <sheetName val="{}"/>
      <sheetName val="내역서_(N _x000e__x000e__x000e_  _x0012__x0010_ "/>
      <sheetName val="기기리스트"/>
      <sheetName val="광통신 견적내역서1"/>
      <sheetName val="Attach 4-18"/>
      <sheetName val="Codes"/>
      <sheetName val="Orçamento"/>
      <sheetName val="내역서_耰&quot;_x0000__x0003"/>
      <sheetName val="내역서_耰&quot;_x0000__x0004"/>
      <sheetName val="내역서_耰&quot;_x0000__x0005"/>
      <sheetName val="내역서_耰&quot;_"/>
      <sheetName val="내역서_耰&quot;_x00003"/>
      <sheetName val="내역서_耰&quot;_x005f3"/>
      <sheetName val="내역서_耰&quot;_x00004"/>
      <sheetName val="내역서_耰&quot;_x005f4"/>
      <sheetName val="내역서_耰&quot;_x00005"/>
      <sheetName val="내역서_耰&quot;_x005f5"/>
      <sheetName val="목록"/>
      <sheetName val="热力"/>
      <sheetName val="PHSB"/>
      <sheetName val="AN"/>
      <sheetName val="EQUIPMENT_-_x0000_"/>
      <sheetName val="내역서 ᢐ_x001f__x0000__x0000_"/>
      <sheetName val="백분율"/>
      <sheetName val="공사비SUM"/>
      <sheetName val="내역(한신APT)"/>
      <sheetName val="Drop-Downs"/>
      <sheetName val="EXPAN-1"/>
      <sheetName val=" _x0000__x001b__x0000__x0006__x"/>
      <sheetName val="Weekl_x0004__x0000__x0016__x000"/>
      <sheetName val="내역서_(N_x0009__x000e__x000e__x00"/>
      <sheetName val="내역서_(N _x000e__x000e__x000e_  _"/>
      <sheetName val="__-BLDG"/>
      <sheetName val="C1C2"/>
      <sheetName val="LIFE &amp; REP PROVN"/>
      <sheetName val="O&amp;M CREW"/>
      <sheetName val="내역서_(N _x000e__x000e__x00"/>
      <sheetName val="33628-Rev. A"/>
      <sheetName val="Demand"/>
      <sheetName val="Occ"/>
      <sheetName val="CONST"/>
      <sheetName val="Données"/>
      <sheetName val="GraphData"/>
      <sheetName val="BHANDUP"/>
      <sheetName val="Register"/>
      <sheetName val="INPUT DATA OF SCHEDULE"/>
      <sheetName val="#¡REF"/>
      <sheetName val="Master List"/>
      <sheetName val="WIP"/>
      <sheetName val="설산1.나"/>
      <sheetName val="본사S"/>
      <sheetName val="건축내역"/>
      <sheetName val="C-301E~305E"/>
      <sheetName val="KUWATI(Total)_10"/>
      <sheetName val="OPTION_210"/>
      <sheetName val="OPTION_3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2002년_현장공사비_국내_실적10"/>
      <sheetName val="2003년국내현장공사비_실적10"/>
      <sheetName val="VC2_10_9910"/>
      <sheetName val="INPUT_DATA9"/>
      <sheetName val="집계표_(25,26ဩ9"/>
      <sheetName val="Form_09"/>
      <sheetName val="General_Data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내역서_耰&quot;??8"/>
      <sheetName val="EQUIPMENT_-28"/>
      <sheetName val="6PILE__(돌출)7"/>
      <sheetName val="Static_Equip7"/>
      <sheetName val="단면_(2)7"/>
      <sheetName val="Form_A_7"/>
      <sheetName val="Man_Hole6"/>
      <sheetName val="3_Breakdown_Direct_Paint7"/>
      <sheetName val="내역서_耰&quot;_x005f_x0000__x005f_x0000_7"/>
      <sheetName val="내역서_耰&quot;__8"/>
      <sheetName val="Summary_Sheets7"/>
      <sheetName val="Civil_17"/>
      <sheetName val="Civil_27"/>
      <sheetName val="Civil_37"/>
      <sheetName val="Site_17"/>
      <sheetName val="Site_27"/>
      <sheetName val="Site_37"/>
      <sheetName val="Site_Faci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x005f_x005f_x005f_x0000__x005f_x005f_x0006"/>
      <sheetName val="2_2_STAFF_Scedule6"/>
      <sheetName val="Sheet1_(2)7"/>
      <sheetName val="7__월별투입내역서6"/>
      <sheetName val="계측_내역서6"/>
      <sheetName val="내역서_耰&quot;_x005f_x005f_x005f_x005f_x005f_x005f_x00006"/>
      <sheetName val="Z-_GENERAL_PRICE_SUMMARY6"/>
      <sheetName val="_Estimate__6"/>
      <sheetName val="T_36"/>
      <sheetName val="HORI__VESSEL6"/>
      <sheetName val="EQUIP_LIST6"/>
      <sheetName val="MP_MOB6"/>
      <sheetName val="Form_B6"/>
      <sheetName val="Precios_Unitarios6"/>
      <sheetName val="Vind_-_BtB6"/>
      <sheetName val="LV_induction_motors6"/>
      <sheetName val="BSD_(2)6"/>
      <sheetName val="Administrative_Prices6"/>
      <sheetName val="WBS_446"/>
      <sheetName val="WBS_416"/>
      <sheetName val="Precios_por_Administración6"/>
      <sheetName val="Subcon_A6"/>
      <sheetName val="BM_DATA_SHEET7"/>
      <sheetName val="내역서_耰&quot;_x005f_x005f_x005f_x005f_x005f_x005f_x005f6"/>
      <sheetName val="97_사업추정(WEKI)6"/>
      <sheetName val="Heavy_Equipments6"/>
      <sheetName val="Material_Selections6"/>
      <sheetName val="Monthly_Load6"/>
      <sheetName val="Weekly_Load6"/>
      <sheetName val="breakdown_of_wage_rate6"/>
      <sheetName val="Indirect_Cost6"/>
      <sheetName val="[SANDAN_XLS??6"/>
      <sheetName val="Piping_BQ_for_one_turbine6"/>
      <sheetName val="Utility_and_Fire_flange6"/>
      <sheetName val="Eq__Mobilization6"/>
      <sheetName val="_SANDAN_XLS__6"/>
      <sheetName val="내역서_(∮ἀ嘆ɶ5"/>
      <sheetName val="Resource_table6"/>
      <sheetName val="w't_table6"/>
      <sheetName val="Equipment_List6"/>
      <sheetName val="Form1_SQP6"/>
      <sheetName val="SCHEDD_TAMBAHAN6"/>
      <sheetName val="공정계획(내부계획25%,내부w_f)6"/>
      <sheetName val="Fire_Protection6"/>
      <sheetName val="입찰내역_발주처_양식6"/>
      <sheetName val="AG_Pipe_Qty_Analysis6"/>
      <sheetName val="SFN_ORIG6"/>
      <sheetName val="MODULE_CONFIRM5"/>
      <sheetName val="Dir_Manpower_Other_Exp_6"/>
      <sheetName val="FWBS_15305"/>
      <sheetName val="4-3LEVEL-5_epic_45"/>
      <sheetName val="단가_(2)5"/>
      <sheetName val="ITB_COST6"/>
      <sheetName val="BOQ-B_DOWN5"/>
      <sheetName val="실행예산_MM5"/>
      <sheetName val="PROTECTION_5"/>
      <sheetName val="Sum_(Case-3)1"/>
      <sheetName val="Cash_In-Cash_Out_Actual5"/>
      <sheetName val="plan&amp;section_of_foundation2"/>
      <sheetName val="working_load_at_the_btm_ft_2"/>
      <sheetName val="stability_check2"/>
      <sheetName val="design_criteria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Currency_Rate1"/>
      <sheetName val="Unit_Price_1"/>
      <sheetName val="4-Basic_Price1"/>
      <sheetName val="Evaluasi_Penw1"/>
      <sheetName val="Man_Power_&amp;_Comp1"/>
      <sheetName val="Data_List1"/>
      <sheetName val="PROJECT_BRIEF1"/>
      <sheetName val="내역서1999_8최종1"/>
      <sheetName val="1100-1200-1300-1910-2140-LEV_21"/>
      <sheetName val="Material_Price1"/>
      <sheetName val="CUADRO_DE_PRECIOS5"/>
      <sheetName val="In-House_Summary1"/>
      <sheetName val="Updating_Form-Oct_20111"/>
      <sheetName val="Weld_Consumable1"/>
      <sheetName val="NDE_Cost-Summary1"/>
      <sheetName val="9July_Above_Ground_Pipe1"/>
      <sheetName val="M_111"/>
      <sheetName val="Process_Data_11"/>
      <sheetName val="Closeout_Control1"/>
      <sheetName val="Site_Findings_Status_Sheet1"/>
      <sheetName val="내역서_耰&quot;_x005f_x005f_x005f_x0000_1"/>
      <sheetName val="내역서_耰&quot;_x005f_x005f_x005f_x005f_1"/>
      <sheetName val="5_)_Time_Delays1"/>
      <sheetName val="Codes_Pers1"/>
      <sheetName val="0__Resource　Code"/>
      <sheetName val="Tools_&amp;_Settings1"/>
      <sheetName val="Data_Summary1"/>
      <sheetName val="Crew_Costs1"/>
      <sheetName val="Spread_Costs1"/>
      <sheetName val="Unique_List_Misc1"/>
      <sheetName val="Aux_1"/>
      <sheetName val="00-Summary_Information-ABB"/>
      <sheetName val="PABS,Site_info"/>
      <sheetName val="Process_Data_(2)1"/>
      <sheetName val="Direct_PMS1"/>
      <sheetName val="Material_code"/>
      <sheetName val="__1"/>
      <sheetName val="_1"/>
      <sheetName val="breakdown_of_wage_ra`f"/>
      <sheetName val="breakdown_of_wage_ra"/>
      <sheetName val="breakdown_of_wage_rað-"/>
      <sheetName val="Distribution_Table"/>
      <sheetName val="내역서_耰&quot;_x005f_x0000_1"/>
      <sheetName val="내역서_耰&quot;_x005f_x005f_1"/>
      <sheetName val="Weekl"/>
      <sheetName val="Raw_data"/>
      <sheetName val="실행집"/>
      <sheetName val="breakdown_of_wage_rap"/>
      <sheetName val="breakdown_of_wage_ra"/>
      <sheetName val="__x"/>
      <sheetName val="OPT"/>
      <sheetName val="Action_Item"/>
      <sheetName val="Tables 3.1 to 3.5 EXH G"/>
      <sheetName val="내역서 (∮ἀ嘆ɶ?᠀㬁?"/>
      <sheetName val="당초_xd8b4_➴ȭ"/>
      <sheetName val="공사비집계"/>
      <sheetName val="Admin Manu 2-Equipment Type ID"/>
      <sheetName val="BSD ᯷㧓_x0001_"/>
      <sheetName val="Grafico"/>
      <sheetName val="인산"/>
      <sheetName val="Benchmark"/>
      <sheetName val="Pulldown"/>
      <sheetName val="ABUT수량-A1"/>
      <sheetName val="서부산시설"/>
      <sheetName val="SUPTMTO"/>
      <sheetName val="Tender data"/>
      <sheetName val="Basic"/>
      <sheetName val="B_Down"/>
      <sheetName val="Scheme Area Details_Block__ C2"/>
      <sheetName val="14-Eng rate"/>
      <sheetName val="Cash Flow"/>
      <sheetName val="Yield"/>
      <sheetName val="날개벽"/>
      <sheetName val="Precios Unitariԯ_x0000_"/>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Precios_Unitariԯ"/>
      <sheetName val="내역서_(N____x000a_1"/>
      <sheetName val="TQ_Format"/>
      <sheetName val="DROP_DOWN"/>
      <sheetName val="개시대사_(2)"/>
      <sheetName val="ID_CD"/>
      <sheetName val="breakdown_of_wage_raÐ¾"/>
      <sheetName val="Additional_data"/>
      <sheetName val="HO_Site_Rates-2011"/>
      <sheetName val="내역서_(N____"/>
      <sheetName val="5. 월별투입내역서"/>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Activity Form"/>
      <sheetName val="E-160"/>
      <sheetName val="CASH"/>
      <sheetName val="Basis(site)"/>
      <sheetName val="Itembalance Report (18-sep-18)"/>
      <sheetName val="BUDGET SUMMARY "/>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내역서_耰&quot;_x0000__x0000_7"/>
      <sheetName val="내역서_耰&quot;_x005f_x0000__x0006"/>
      <sheetName val="내역서_耰&quot;_x005f_x005f_x00006"/>
      <sheetName val="내역서_耰&quot;_x005f_x005f_x005f6"/>
      <sheetName val="ADMON"/>
      <sheetName val="EQUIPOS DE SEGURIDAD"/>
      <sheetName val="MATERIALES CONSUMIBLES"/>
      <sheetName val="PERSONAL INDIRECTO "/>
      <sheetName val="REF for VV"/>
      <sheetName val="REF"/>
      <sheetName val="터파기및재료"/>
      <sheetName val="인사자료총집계"/>
      <sheetName val="Rate"/>
      <sheetName val="95TOTREV"/>
      <sheetName val="Fig 4-14"/>
      <sheetName val="TABELE"/>
      <sheetName val="GM 000"/>
      <sheetName val="Drop"/>
      <sheetName val="1.설계기준"/>
      <sheetName val="FORM-0"/>
      <sheetName val="일위대가 "/>
      <sheetName val="98수문일위"/>
      <sheetName val="조명시설"/>
      <sheetName val="配管単価"/>
      <sheetName val="Mat"/>
      <sheetName val="제출계산서"/>
      <sheetName val="2857Q&amp;PL"/>
      <sheetName val="SUM_"/>
      <sheetName val="Equipment_Spec_List"/>
      <sheetName val="SPEC_LIST(EQUP,_SYS)"/>
      <sheetName val="Direct Histogram Rev. A (f)"/>
      <sheetName val="Tablas"/>
      <sheetName val="Folha1"/>
      <sheetName val="SPT vs PHI"/>
      <sheetName val="단가"/>
      <sheetName val="간접비"/>
      <sheetName val="달력"/>
      <sheetName val="인원聈2"/>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Dropdown"/>
      <sheetName val="급여"/>
      <sheetName val="Cost Code"/>
      <sheetName val="Data Ref"/>
      <sheetName val="Interdept Rate"/>
      <sheetName val="INSTLIST 1"/>
      <sheetName val="견적서"/>
      <sheetName val="간접노무비"/>
      <sheetName val="BM #1"/>
      <sheetName val="입찰안"/>
      <sheetName val="LOADDAT"/>
      <sheetName val="Perm. Test"/>
      <sheetName val="Galian 1"/>
      <sheetName val="Analisa-Harga"/>
      <sheetName val="Analisa Lump sum"/>
      <sheetName val="data-pendukung"/>
      <sheetName val="CH-RANC"/>
      <sheetName val="351BQMCN"/>
      <sheetName val="rap"/>
      <sheetName val="As"/>
      <sheetName val="Sec I ML"/>
      <sheetName val="단가대비표"/>
      <sheetName val="Graph"/>
      <sheetName val="List register"/>
      <sheetName val="Wellhrs"/>
      <sheetName val=" _x0000__x001b__x0000__x0"/>
      <sheetName val="OPT_x0012__x0000__x0010__x0000_ _x0000_"/>
      <sheetName val="Weekl "/>
      <sheetName val="내역서_(N___ "/>
      <sheetName val="내역서_(N    "/>
      <sheetName val=" _x0"/>
      <sheetName val="OPT "/>
      <sheetName val="16"/>
      <sheetName val="50"/>
      <sheetName val="35"/>
      <sheetName val="37"/>
      <sheetName val="64.4"/>
      <sheetName val="64.5"/>
      <sheetName val="22"/>
      <sheetName val="36.2"/>
      <sheetName val="36.1"/>
      <sheetName val="공사"/>
      <sheetName val="총괄"/>
      <sheetName val="Depreciation"/>
      <sheetName val="Validation"/>
      <sheetName val="合成単価作成表_BLDG"/>
      <sheetName val="품의서(지출)"/>
      <sheetName val="PI-18031-M3-BOQ"/>
      <sheetName val="Void"/>
      <sheetName val="Att-1 CTCI MH rate"/>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7-2"/>
      <sheetName val="MC-1"/>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tifico"/>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Air_Cooler-E"/>
      <sheetName val="Al_Taweelah"/>
      <sheetName val="Particular_Sch"/>
      <sheetName val="회사99"/>
      <sheetName val="Har_mat"/>
      <sheetName val="chitimc"/>
      <sheetName val="dongia (2)"/>
      <sheetName val="LKVL-CK-HT-GD1"/>
      <sheetName val="本体取纏"/>
      <sheetName val="鉄骨纏め"/>
      <sheetName val="34"/>
      <sheetName val="금융비용"/>
      <sheetName val="을지"/>
      <sheetName val="손익합산"/>
      <sheetName val="5. Work load(현재원기준)"/>
      <sheetName val="최종(1)사용"/>
      <sheetName val="전표분개장(공종별)"/>
      <sheetName val="노무비집계"/>
      <sheetName val="공통가설"/>
      <sheetName val="자재비"/>
      <sheetName val="감모비"/>
      <sheetName val="Land Dev't. Ph-1"/>
      <sheetName val="4300 UTILITY BLDG (2)"/>
      <sheetName val="0000"/>
      <sheetName val="P-Ins &amp; Bonds"/>
      <sheetName val="Index"/>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05. Curva S"/>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NP"/>
      <sheetName val="Offer"/>
      <sheetName val="TR Rev vs Commit"/>
      <sheetName val="TR +MMHE PL report"/>
      <sheetName val="P23P2724 _ Commitment "/>
      <sheetName val="공통부대비"/>
      <sheetName val="TESİSAT"/>
      <sheetName val="1.11.b"/>
      <sheetName val="SPEC(RECEPTACLE)"/>
      <sheetName val="SPEC(CABLE &amp; WIRE)"/>
      <sheetName val="_x005f_x005f_x005f_x005f_x005f_x005f_x00ည톐ឮ"/>
      <sheetName val="주차구획선수량"/>
      <sheetName val="Enron Form"/>
      <sheetName val="表三甲"/>
      <sheetName val="6.공정표"/>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실행대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Map"/>
      <sheetName val="내역서(실행)"/>
      <sheetName val="내역서_耰&quot;_x0000__x0006"/>
      <sheetName val="내역서_耰&quot;_x00006"/>
      <sheetName val="내역서_耰&quot;_x005f6"/>
      <sheetName val="0.품의서(전체)"/>
      <sheetName val="LAST UPDATE"/>
      <sheetName val="External Issues"/>
      <sheetName val="SoW"/>
      <sheetName val="Lookup"/>
      <sheetName val="Up"/>
      <sheetName val="DATASHT"/>
      <sheetName val="CCL"/>
      <sheetName val="F&amp;C"/>
      <sheetName val="BazaEL"/>
      <sheetName val="eqpmad2"/>
      <sheetName val="OPT_x0012__x0000__x0010__x0000_"/>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RefG"/>
      <sheetName val="IRR sponsor"/>
      <sheetName val="4-Lane bridge"/>
      <sheetName val="부재치수입력"/>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Sch.6"/>
      <sheetName val="DESBASTE"/>
      <sheetName val="Cash-Flow"/>
      <sheetName val="Master Data"/>
      <sheetName val="ind'l cp"/>
      <sheetName val="coutprod"/>
      <sheetName val="author_spending"/>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내역서_(N___ 1"/>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Budget"/>
      <sheetName val="6BPRO"/>
      <sheetName val="2013电气概算 价目表 (营改增调整)"/>
      <sheetName val="06定额"/>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FAB별"/>
      <sheetName val="재공품기초자료"/>
      <sheetName val="하치장수불부"/>
      <sheetName val="산수배수"/>
      <sheetName val="MEMBER"/>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PROGRAM"/>
      <sheetName val="CASHFLOW"/>
      <sheetName val="CodeSheet"/>
      <sheetName val="CodeSheet(신2)"/>
      <sheetName val="Equipt Rental"/>
      <sheetName val="CFA"/>
      <sheetName val="EQ"/>
      <sheetName val="EQ USED (CORRECTED)"/>
      <sheetName val="CERTIFICATE"/>
      <sheetName val="Rebar Constant"/>
      <sheetName val="CONCRETE TYPE"/>
      <sheetName val="Option"/>
      <sheetName val="기준표"/>
      <sheetName val="BSD_᯷㧓"/>
      <sheetName val="Tender_data"/>
      <sheetName val="Scheme_Area_Details_Block___C2"/>
      <sheetName val="Cash_Flow"/>
      <sheetName val="5__월별투입내역서"/>
      <sheetName val="GM_000"/>
      <sheetName val="1_설계기준"/>
      <sheetName val="일위대가_"/>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name"/>
      <sheetName val="tblg denda"/>
      <sheetName val="304-06"/>
      <sheetName val="F1.4"/>
      <sheetName val="Units"/>
      <sheetName val="Chap 2- Page 4 "/>
      <sheetName val="Instrumentation&amp;Automation"/>
      <sheetName val="SD_Trains_2019"/>
      <sheetName val="Welder"/>
      <sheetName val="5.Cennik"/>
      <sheetName val="5_Cennik"/>
      <sheetName val="Powierzchnie"/>
      <sheetName val=" 토목 처리장도급내역서 "/>
      <sheetName val="동상부 Tact 기준 반입일정 및 수량_0217"/>
      <sheetName val="MOD-MOI-DOT"/>
      <sheetName val="EQUI-CONS"/>
      <sheetName val="견적의뢰"/>
      <sheetName val="내역서_耰&quot;_x0000__x0000_8"/>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Other data"/>
      <sheetName val="05__Curva_S"/>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Vehicle Log"/>
      <sheetName val="M&amp;E Summary"/>
      <sheetName val="rev summary"/>
      <sheetName val="M&amp;E Prelims"/>
      <sheetName val="A-ELECT&amp;ELV"/>
      <sheetName val="B-FP (2)"/>
      <sheetName val="C-ACMV"/>
      <sheetName val="D-P&amp;S"/>
      <sheetName val="equiplist"/>
      <sheetName val="Sch.1"/>
      <sheetName val="내역서_耰&quot;_x005f_x0000__x00004"/>
      <sheetName val="99__FWBS(Ref)3"/>
      <sheetName val="99__Change_Rate3"/>
      <sheetName val="RAB_AR&amp;STR3"/>
      <sheetName val="Discounted_Cash_Flow3"/>
      <sheetName val="할증_3"/>
      <sheetName val="Ocean_Transporation_Charg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Cash_Flow_bulanan3"/>
      <sheetName val="H_Satuan3"/>
      <sheetName val="Unt_rate3"/>
      <sheetName val="Pengesahan_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Item_code3"/>
      <sheetName val="BO䁑-B_䁄OWN3"/>
      <sheetName val="UP_MINOR3"/>
      <sheetName val="Bill_rekap3"/>
      <sheetName val="Harga_Satuan3"/>
      <sheetName val="F_ALARM3"/>
      <sheetName val="OCT_FDN3"/>
      <sheetName val="Exchange_Rate3"/>
      <sheetName val="2__현장_자금투입_집계표3"/>
      <sheetName val="General_Notes3"/>
      <sheetName val="DROP_DOWN2"/>
      <sheetName val="ID_CD2"/>
      <sheetName val="개시대사_(2)2"/>
      <sheetName val="_도면_및_도서_제출목록_및_일정_170202_xlsx3"/>
      <sheetName val="Rates_&amp;_Legend3"/>
      <sheetName val="DATA_MENTAH2"/>
      <sheetName val="차트_(2)3"/>
      <sheetName val="Particular_Sch2"/>
      <sheetName val="HO_Site_Rates-20112"/>
      <sheetName val="Equipment_Spec_List2"/>
      <sheetName val="Al_Taweelah2"/>
      <sheetName val="Air_Cooler-E2"/>
      <sheetName val="SPEC_LIST(EQUP,_SYS)2"/>
      <sheetName val="내역서_(N____x000a_3"/>
      <sheetName val="Linelist_LNGC_Process2"/>
      <sheetName val="TQ_Format2"/>
      <sheetName val="breakdown_of_wage_raÐ¾2"/>
      <sheetName val="Additional_data2"/>
      <sheetName val="SECL_리스크_분류체계_(2)"/>
      <sheetName val="33628-Rev__A1"/>
      <sheetName val="INPUT_DATA_OF_SCHEDULE1"/>
      <sheetName val="Master_List1"/>
      <sheetName val="설산1_나"/>
      <sheetName val="Tables_3_1_to_3_5_EXH_G"/>
      <sheetName val="Admin_Manu_2-Equipment_Type_ID1"/>
      <sheetName val="14-Eng_rate1"/>
      <sheetName val="Activity_Form1"/>
      <sheetName val="Itembalance_Report_(18-sep-18)1"/>
      <sheetName val="BUDGET_SUMMARY_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EQUIPOS_DE_SEGURIDAD"/>
      <sheetName val="MATERIALES_CONSUMIBLES"/>
      <sheetName val="PERSONAL_INDIRECTO_"/>
      <sheetName val="List_register"/>
      <sheetName val="REF_for_VV"/>
      <sheetName val="Analisa_Fave"/>
      <sheetName val="Harsat_Bahan"/>
      <sheetName val="Harsat_Subkon"/>
      <sheetName val="Harsat_Upah"/>
      <sheetName val="Master_1_0"/>
      <sheetName val="Agregat_Halus_&amp;_Kasar"/>
      <sheetName val="HARGA_MATERIAL"/>
      <sheetName val="Harga_Sat_APP"/>
      <sheetName val="Tgh_JGC-Inv_I_clp"/>
      <sheetName val="PCS_"/>
      <sheetName val="Progress_Statement-SI"/>
      <sheetName val="Progress_Payment-3110"/>
      <sheetName val="Perm__Test"/>
      <sheetName val="Galian_1"/>
      <sheetName val="Analisa_Lump_sum"/>
      <sheetName val="Sec_I_ML"/>
      <sheetName val="dongia_(2)"/>
      <sheetName val="Fig_4-14"/>
      <sheetName val="Cost_Code"/>
      <sheetName val="Data_Ref"/>
      <sheetName val="Interdept_Rate"/>
      <sheetName val="INSTLIST_1"/>
      <sheetName val="BM_#1"/>
      <sheetName val="Direct_Histogram_Rev__A_(f)"/>
      <sheetName val="Att-1_CTCI_MH_rate"/>
      <sheetName val="SPT_vs_PHI"/>
      <sheetName val="SUMMARY_MTO_02_2_35"/>
      <sheetName val="N_G_METERING_CALC_"/>
      <sheetName val="N_G_METERING"/>
      <sheetName val="N_G_METERING_(2)"/>
      <sheetName val="CUMENE_METERING"/>
      <sheetName val="N2_METERING_"/>
      <sheetName val="H2_METERING__"/>
      <sheetName val="CO_METERING"/>
      <sheetName val="__x0"/>
      <sheetName val="Weekl_1"/>
      <sheetName val="내역서_(N____2"/>
      <sheetName val="내역서_(N____3"/>
      <sheetName val="OPT_1"/>
      <sheetName val="64_4"/>
      <sheetName val="64_5"/>
      <sheetName val="36_2"/>
      <sheetName val="36_1"/>
      <sheetName val="Enron_Form"/>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P-Ins_&amp;_Bonds"/>
      <sheetName val="Land_Dev't__Ph-1"/>
      <sheetName val="4300_UTILITY_BLDG_(2)"/>
      <sheetName val="TR_Rev_vs_Commit"/>
      <sheetName val="TR_+MMHE_PL_report"/>
      <sheetName val="P23P2724___Commitment_"/>
      <sheetName val="SPEC(CABLE_&amp;_WIRE)"/>
      <sheetName val="원가조정 내역"/>
      <sheetName val="P Staff fac"/>
      <sheetName val="beam-reinft-IIInd floor"/>
      <sheetName val="P-Site fac"/>
      <sheetName val="P-Clients fac"/>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Sheet"/>
      <sheetName val="Statprod gab"/>
      <sheetName val="L 1"/>
      <sheetName val="Equip_Mstr"/>
      <sheetName val="Costing"/>
      <sheetName val="Equip_Mstr FOR 3A1"/>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Garph Work-Cost"/>
      <sheetName val="InsertListDrawing 1 "/>
      <sheetName val="InD Mpower"/>
      <sheetName val="ANAL"/>
      <sheetName val="영동(D)"/>
      <sheetName val="VAT TU DIEN"/>
      <sheetName val="bldg list"/>
      <sheetName val="Eng_Hrs (HO)"/>
      <sheetName val="MFG &amp; DEL"/>
      <sheetName val="EXR"/>
      <sheetName val="구매DWG-정산용"/>
      <sheetName val="6_공정표"/>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Tubing"/>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Manpower Categories"/>
      <sheetName val="Scaffolding Volume"/>
      <sheetName val="Up &amp; bhn"/>
      <sheetName val="Str"/>
      <sheetName val="HRG BHN"/>
      <sheetName val="Analisa (ok punya)"/>
      <sheetName val="SAT-DAS"/>
      <sheetName val="sdm"/>
      <sheetName val="Alat (2)"/>
      <sheetName val="RAB-NEGO"/>
      <sheetName val="DAF-2"/>
      <sheetName val="Anl"/>
      <sheetName val="AC"/>
      <sheetName val="SWALE (구산)"/>
      <sheetName val="1234"/>
      <sheetName val="당초�ἀ"/>
      <sheetName val="Drop-Down"/>
      <sheetName val="Precios_Unitariԯ1"/>
      <sheetName val="Urai _Resap pengikat"/>
      <sheetName val="DAF.HRG"/>
      <sheetName val="7.공정표"/>
      <sheetName val="Kolom UT"/>
      <sheetName val="HB "/>
      <sheetName val="Mobilisasi"/>
      <sheetName val="Default"/>
      <sheetName val="harga"/>
      <sheetName val="upah"/>
      <sheetName val="4-MVAC"/>
      <sheetName val="G_SUMMARY"/>
      <sheetName val="Memb Schd"/>
      <sheetName val="PPC"/>
      <sheetName val="Tableau"/>
      <sheetName val="Coef et données"/>
      <sheetName val="SAP"/>
      <sheetName val="Pag_hal"/>
      <sheetName val="SAT-BHN"/>
      <sheetName val="대비"/>
      <sheetName val="PERSONNELIST"/>
      <sheetName val="Condition"/>
      <sheetName val="빙장비사양"/>
      <sheetName val="장비사양"/>
      <sheetName val="배합비(99-05-25)"/>
      <sheetName val="09월"/>
      <sheetName val="10월"/>
      <sheetName val="내역서(전체)"/>
      <sheetName val="철거산출근거"/>
      <sheetName val="ENE-CAL 1"/>
      <sheetName val="자금신청서"/>
      <sheetName val="매립"/>
      <sheetName val="05__Curva_S1"/>
      <sheetName val="RESUMEN_CD"/>
      <sheetName val="BOQ_REV6"/>
      <sheetName val="Maliyet_Ozet"/>
      <sheetName val="1_1-1_2"/>
      <sheetName val="1_3-_1_4"/>
      <sheetName val="3_1"/>
      <sheetName val="3_2"/>
      <sheetName val="4_1(a)"/>
      <sheetName val="4_1(b)"/>
      <sheetName val="4_1_(c)"/>
      <sheetName val="5_1"/>
      <sheetName val="Other_data"/>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Tabla"/>
      <sheetName val="SKEDULmaterial"/>
      <sheetName val="lab_eng"/>
      <sheetName val="eqp"/>
      <sheetName val="lab"/>
      <sheetName val="pricelist"/>
      <sheetName val="HAL-1"/>
      <sheetName val="a.h ars sum"/>
      <sheetName val="a.h ars"/>
      <sheetName val="3"/>
      <sheetName val="Statprod_gab"/>
      <sheetName val="L_1"/>
      <sheetName val="design_criteria3"/>
      <sheetName val="64_41"/>
      <sheetName val="64_51"/>
      <sheetName val="36_21"/>
      <sheetName val="36_11"/>
      <sheetName val="Statprod_gab1"/>
      <sheetName val="L_11"/>
      <sheetName val="Raw Ref"/>
      <sheetName val="Cost Codes"/>
      <sheetName val="Addendum No.1 BILL 2"/>
      <sheetName val="Code 07"/>
      <sheetName val="SI-1"/>
      <sheetName val="P2-Project Data"/>
      <sheetName val="Setup"/>
      <sheetName val="@"/>
      <sheetName val="Insulation 150108"/>
      <sheetName val="revenue"/>
      <sheetName val="sga"/>
      <sheetName val="engineering"/>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WEIGHT_LIST10"/>
      <sheetName val="산#2-1_(2)10"/>
      <sheetName val="BEND_LOSS10"/>
      <sheetName val="INPUT_DATA12"/>
      <sheetName val="집계표_(25,26ဩ12"/>
      <sheetName val="Form_012"/>
      <sheetName val="General_Data12"/>
      <sheetName val="LABOR_&amp;_자재11"/>
      <sheetName val="입출재고현황_(2)11"/>
      <sheetName val="Form_D-111"/>
      <sheetName val="Form_B-111"/>
      <sheetName val="Form_F-111"/>
      <sheetName val="Form_A11"/>
      <sheetName val="3_공통공사대비11"/>
      <sheetName val="간접비_총괄11"/>
      <sheetName val="Price_Schedule11"/>
      <sheetName val="CAL_11"/>
      <sheetName val="Rate_Analysis11"/>
      <sheetName val="단면_(2)10"/>
      <sheetName val="EQUIPMENT_-211"/>
      <sheetName val="공사비_내역_(가)10"/>
      <sheetName val="내역서_耰&quot;??11"/>
      <sheetName val="내역서_耰&quot;_x005f_x0000__x005f_x0000_10"/>
      <sheetName val="6PILE__(돌출)10"/>
      <sheetName val="Static_Equip10"/>
      <sheetName val="Form_A_10"/>
      <sheetName val="3_Breakdown_Direct_Paint10"/>
      <sheetName val="내역서_耰&quot;__11"/>
      <sheetName val="Summary_Sheets10"/>
      <sheetName val="Civil_110"/>
      <sheetName val="Civil_210"/>
      <sheetName val="Civil_310"/>
      <sheetName val="Site_110"/>
      <sheetName val="Site_210"/>
      <sheetName val="Site_310"/>
      <sheetName val="Site_Faci10"/>
      <sheetName val="7__월별투입내역서9"/>
      <sheetName val="Man_Hole9"/>
      <sheetName val="Sheet1_(2)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계측_내역서9"/>
      <sheetName val="내역서_耰&quot;_x005f_x005f_x005f_x0000__x005f_x005f_x0009"/>
      <sheetName val="2_2_STAFF_Scedule9"/>
      <sheetName val="내역서_耰&quot;_x005f_x005f_x005f_x005f_x005f_x005f_x00009"/>
      <sheetName val="Z-_GENERAL_PRICE_SUMMARY9"/>
      <sheetName val="_Estimate__9"/>
      <sheetName val="T_39"/>
      <sheetName val="HORI__VESSEL9"/>
      <sheetName val="MP_MOB9"/>
      <sheetName val="BM_DATA_SHEET10"/>
      <sheetName val="w't_table9"/>
      <sheetName val="Administrative_Prices9"/>
      <sheetName val="WBS_449"/>
      <sheetName val="WBS_419"/>
      <sheetName val="Precios_por_Administración9"/>
      <sheetName val="Precios_Unitarios9"/>
      <sheetName val="Subcon_A9"/>
      <sheetName val="EQUIP_LIST9"/>
      <sheetName val="Vind_-_BtB9"/>
      <sheetName val="LV_induction_motors9"/>
      <sheetName val="BSD_(2)9"/>
      <sheetName val="Form_B9"/>
      <sheetName val="내역서_耰&quot;_x005f_x005f_x005f_x005f_x005f_x005f_x005f9"/>
      <sheetName val="97_사업추정(WEKI)9"/>
      <sheetName val="[SANDAN_XLS??9"/>
      <sheetName val="Eq__Mobilization9"/>
      <sheetName val="Monthly_Load9"/>
      <sheetName val="Weekly_Load9"/>
      <sheetName val="breakdown_of_wage_rate9"/>
      <sheetName val="Indirect_Cost9"/>
      <sheetName val="Material_Selections9"/>
      <sheetName val="Piping_BQ_for_one_turbine9"/>
      <sheetName val="Item_code4"/>
      <sheetName val="공정계획(내부계획25%,내부w_f)9"/>
      <sheetName val="Utility_and_Fire_flange9"/>
      <sheetName val="SFN_ORIG9"/>
      <sheetName val="Resource_table9"/>
      <sheetName val="AG_Pipe_Qty_Analysis9"/>
      <sheetName val="Equipment_List9"/>
      <sheetName val="Form1_SQP9"/>
      <sheetName val="_SANDAN_XLS__9"/>
      <sheetName val="Heavy_Equipments9"/>
      <sheetName val="입찰내역_발주처_양식9"/>
      <sheetName val="BOQ-B_DOWN8"/>
      <sheetName val="실행예산_MM8"/>
      <sheetName val="Dir_Manpower_Other_Exp_9"/>
      <sheetName val="SCHEDD_TAMBAHAN9"/>
      <sheetName val="Fire_Protection9"/>
      <sheetName val="단가_(2)8"/>
      <sheetName val="4-3LEVEL-5_epic_48"/>
      <sheetName val="FWBS_15308"/>
      <sheetName val="MODULE_CONFIRM8"/>
      <sheetName val="내역서_(∮ἀ嘆ɶ8"/>
      <sheetName val="ITB_COST9"/>
      <sheetName val="PROTECTION_8"/>
      <sheetName val="Cash_In-Cash_Out_Actual8"/>
      <sheetName val="5_)_Time_Delays4"/>
      <sheetName val="Site_Findings_Status_Sheet4"/>
      <sheetName val="CUADRO_DE_PRECIOS8"/>
      <sheetName val="plan&amp;section_of_foundation5"/>
      <sheetName val="working_load_at_the_btm_ft_5"/>
      <sheetName val="stability_check5"/>
      <sheetName val="design_criteria4"/>
      <sheetName val="design_load5"/>
      <sheetName val="1100-1200-1300-1910-2140-LEV_24"/>
      <sheetName val="Material_Price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내역서1999_8최종4"/>
      <sheetName val="Closeout_Control4"/>
      <sheetName val="Currency_Rate4"/>
      <sheetName val="Unit_Price_4"/>
      <sheetName val="4-Basic_Price4"/>
      <sheetName val="Evaluasi_Penw4"/>
      <sheetName val="Man_Power_&amp;_Comp4"/>
      <sheetName val="Data_List4"/>
      <sheetName val="RAB_AR&amp;STR4"/>
      <sheetName val="PROJECT_BRIEF4"/>
      <sheetName val="내역서_耰&quot;_x005f_x005f_x005f_x0000_4"/>
      <sheetName val="내역서_耰&quot;_x005f_x005f_x005f_x005f_4"/>
      <sheetName val="내역서_耰&quot;_x005f_x0000__x00005"/>
      <sheetName val="Updating_Form-Oct_20114"/>
      <sheetName val="Weld_Consumable4"/>
      <sheetName val="NDE_Cost-Summary4"/>
      <sheetName val="9July_Above_Ground_Pipe4"/>
      <sheetName val="M_114"/>
      <sheetName val="Process_Data_14"/>
      <sheetName val="Sum_(Case-3)4"/>
      <sheetName val="할증_4"/>
      <sheetName val="Air_Cooler-E3"/>
      <sheetName val="2__현장_자금투입_집계표4"/>
      <sheetName val="Tools_&amp;_Settings4"/>
      <sheetName val="Data_Summary4"/>
      <sheetName val="Crew_Costs4"/>
      <sheetName val="Spread_Costs4"/>
      <sheetName val="Unique_List_Misc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In-House_Summary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Codes_Pers4"/>
      <sheetName val="General_Notes4"/>
      <sheetName val="BO䁑-B_䁄OWN4"/>
      <sheetName val="_도면_및_도서_제출목록_및_일정_170202_xlsx4"/>
      <sheetName val="Direct_PMS4"/>
      <sheetName val="Aux_4"/>
      <sheetName val="Rates_&amp;_Legend4"/>
      <sheetName val="Pengesahan_4"/>
      <sheetName val="00-Summary_Information-ABB3"/>
      <sheetName val="Harga_Satuan4"/>
      <sheetName val="F_ALARM4"/>
      <sheetName val="Distribution_Table3"/>
      <sheetName val="2_Overall_Summary_3"/>
      <sheetName val="__4"/>
      <sheetName val="_4"/>
      <sheetName val="breakdown_of_wage_ra`f3"/>
      <sheetName val="breakdown_of_wage_ra3"/>
      <sheetName val="breakdown_of_wage_rað-3"/>
      <sheetName val="Raw_data3"/>
      <sheetName val="Exchange_Rate4"/>
      <sheetName val="Bill_rekap4"/>
      <sheetName val="차트_(2)4"/>
      <sheetName val="Action_Item3"/>
      <sheetName val="PABS,Site_info3"/>
      <sheetName val="0__Resource　Code3"/>
      <sheetName val="Material_code3"/>
      <sheetName val="DATA_MENTAH3"/>
      <sheetName val="breakdown_of_wage_rap3"/>
      <sheetName val="내역서_耰&quot;_x005f_x0000_4"/>
      <sheetName val="내역서_耰&quot;_x005f_x005f_4"/>
      <sheetName val="Process_Data_(2)4"/>
      <sheetName val="breakdown_of_wage_ra3"/>
      <sheetName val="Equipment_Spec_List3"/>
      <sheetName val="SPEC_LIST(EQUP,_SYS)3"/>
      <sheetName val="DROP_DOWN3"/>
      <sheetName val="ID_CD3"/>
      <sheetName val="개시대사_(2)3"/>
      <sheetName val="SUM_2"/>
      <sheetName val="내역서_(N____x000a_4"/>
      <sheetName val="HO_Site_Rates-20113"/>
      <sheetName val="Al_Taweelah3"/>
      <sheetName val="Particular_Sch3"/>
      <sheetName val="내역서_耰&quot;_3"/>
      <sheetName val="1_설계기준1"/>
      <sheetName val="5__Work_load(현재원기준)1"/>
      <sheetName val="Linelist_LNGC_Process3"/>
      <sheetName val="Direct_Histogram_Rev__A_(f)1"/>
      <sheetName val="Tender_data1"/>
      <sheetName val="Scheme_Area_Details_Block___C21"/>
      <sheetName val="Cash_Flow1"/>
      <sheetName val="5__월별투입내역서1"/>
      <sheetName val="Fig_4-141"/>
      <sheetName val="GM_0001"/>
      <sheetName val="설산1_나1"/>
      <sheetName val="Tables_3_1_to_3_5_EXH_G1"/>
      <sheetName val="EQUIPOS_DE_SEGURIDAD1"/>
      <sheetName val="MATERIALES_CONSUMIBLES1"/>
      <sheetName val="PERSONAL_INDIRECTO_1"/>
      <sheetName val="일위대가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Cashflow_Analysis2"/>
      <sheetName val="INPUT_DATA_OF_SCHEDULE2"/>
      <sheetName val="Linelist_LNGC_Process4"/>
      <sheetName val="SUM_3"/>
      <sheetName val="11_자재단가2"/>
      <sheetName val="LIFE_&amp;_REP_PROVN2"/>
      <sheetName val="O&amp;M_CREW2"/>
      <sheetName val="Tender_data2"/>
      <sheetName val="TQ_Format3"/>
      <sheetName val="breakdown_of_wage_raÐ¾3"/>
      <sheetName val="Additional_data3"/>
      <sheetName val="Attach_4-182"/>
      <sheetName val="33628-Rev__A2"/>
      <sheetName val="Finansal_tamamlanma_Eğrisi2"/>
      <sheetName val="Master_List2"/>
      <sheetName val="내역서_(∮ἀ嘆ɶ?᠀㬁?2"/>
      <sheetName val="Cash_Flow2"/>
      <sheetName val="Scheme_Area_Details_Block___C22"/>
      <sheetName val="14-Eng_rate2"/>
      <sheetName val="리스크_분류체계2"/>
      <sheetName val="광통신_견적내역서12"/>
      <sheetName val="Admin_Manu_2-Equipment_Type_ID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내역서_(N__x002"/>
      <sheetName val="64_42"/>
      <sheetName val="64_52"/>
      <sheetName val="36_22"/>
      <sheetName val="36_12"/>
      <sheetName val="5__Work_load(현재원기준)2"/>
      <sheetName val="내역서_耰&quot;9"/>
      <sheetName val="공통비총괄표"/>
      <sheetName val="Sch_6"/>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IRR_sponsor"/>
      <sheetName val="4-Lane_bridge"/>
      <sheetName val="List_Equip"/>
      <sheetName val="Process_C_(1-166)"/>
      <sheetName val="TRUCK_HAUL_CYCLE-waste"/>
      <sheetName val="Existing_PC_Pavement"/>
      <sheetName val="Master_Data"/>
      <sheetName val="ind'l_cp"/>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2013电气概算_价目表_(营改增调整)"/>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내역서_(N____11"/>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Assmpns"/>
      <sheetName val="5.5FWBS CODE"/>
      <sheetName val="FC04_2030"/>
      <sheetName val="FC04_203099"/>
      <sheetName val="S1BOQ"/>
      <sheetName val="6.2 Floor Finishes"/>
      <sheetName val="C1 (calcolo)"/>
      <sheetName val="TABLO-3"/>
      <sheetName val="CC"/>
      <sheetName val="LDB"/>
      <sheetName val="ENE-CAL"/>
      <sheetName val="MASTER_RATE ANALYSIS"/>
      <sheetName val="Intro"/>
      <sheetName val="CASHFLOWS"/>
      <sheetName val="MN T.B."/>
      <sheetName val="Headings"/>
      <sheetName val="INDIGINEOUS ITEMS "/>
      <sheetName val="Core Data"/>
      <sheetName val="final abstract"/>
      <sheetName val="Order_Summary"/>
      <sheetName val="Order_Summary_New"/>
      <sheetName val="경영상태"/>
      <sheetName val="MOTORDATA"/>
      <sheetName val="REF.ONLY"/>
      <sheetName val="Expenses"/>
      <sheetName val="Week ending"/>
      <sheetName val="Planners Workload"/>
      <sheetName val="MAY 00-Bobbins"/>
      <sheetName val="BALAN1"/>
      <sheetName val="2.2 띠장의 설계"/>
      <sheetName val="내역서_(N   _"/>
      <sheetName val="(10) Other Costs5"/>
      <sheetName val="breakdown of FA113"/>
      <sheetName val="Sheet 14"/>
      <sheetName val="DivLabor_Report"/>
      <sheetName val="-0.5 TABLA PRESUPUESTOS"/>
      <sheetName val="Sithe-PPL"/>
      <sheetName val="ﾄﾞﾊﾞｲFUEL GAS追見"/>
      <sheetName val="見積書"/>
      <sheetName val="CONCRETE_TYPE"/>
      <sheetName val="Equipt_Rental"/>
      <sheetName val="EQ_USED_(CORRECTED)"/>
      <sheetName val="Rebar_Constant"/>
      <sheetName val="-0_5_TABLA_PRESUPUESTOS"/>
      <sheetName val="ﾄﾞﾊﾞｲFUEL_GAS追見"/>
      <sheetName val="Pomoćni"/>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Arch"/>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MSP-Operator Building-Area C"/>
      <sheetName val="COLUMN"/>
      <sheetName val="3.-RESOURCE LIST"/>
      <sheetName val="0.-SUMMARY"/>
      <sheetName val="3.2.AUX"/>
      <sheetName val="3.3.AUX-2"/>
      <sheetName val="Ana. PU"/>
      <sheetName val="tr-28202"/>
      <sheetName val="Statprod_gab2"/>
      <sheetName val="L_12"/>
      <sheetName val="Analisa_(ok_punya)"/>
      <sheetName val="galian saluran"/>
      <sheetName val="Perhit.Alat"/>
      <sheetName val="CF"/>
      <sheetName val="05 Analisa Teknik"/>
      <sheetName val="見管SＴ"/>
      <sheetName val="見管ＧＴ"/>
      <sheetName val="GRAND SUM"/>
      <sheetName val="DPKlah"/>
      <sheetName val="HARVEST02"/>
      <sheetName val="Dsr Hitung"/>
      <sheetName val="Mat Tower"/>
      <sheetName val="RT13526 CPI"/>
      <sheetName val="RT15918"/>
      <sheetName val="VCC 11110-461"/>
      <sheetName val="7.6.3.J.Inline Instrument"/>
      <sheetName val="F-31"/>
      <sheetName val="Load"/>
      <sheetName val="Data_ST"/>
      <sheetName val="VV_Ped"/>
      <sheetName val="PCV"/>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Site_x0000__x0000_"/>
      <sheetName val="MRS"/>
      <sheetName val="P&amp;L"/>
      <sheetName val="Monthly S Curve SPK"/>
      <sheetName val="UPAH &amp; BHN ARS"/>
      <sheetName val="AHS ARS"/>
      <sheetName val="Analisa HSP"/>
      <sheetName val="입찰내역 발주처 양卤"/>
      <sheetName val="Analisa Neraca"/>
      <sheetName val="내역서_(N___ 2"/>
      <sheetName val="파이프류"/>
      <sheetName val="변수"/>
      <sheetName val="CAP"/>
      <sheetName val="GAEYO"/>
      <sheetName val="CEQ_Master"/>
      <sheetName val="Man_Master"/>
      <sheetName val="여흥"/>
      <sheetName val="Diary"/>
      <sheetName val="RSC"/>
      <sheetName val="TTL_Qty"/>
      <sheetName val="QTY"/>
      <sheetName val="OE (KSB)"/>
      <sheetName val="TEST1"/>
      <sheetName val="Sew-Tahan"/>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chedul"/>
      <sheetName val="1.B"/>
      <sheetName val="EVAL-ANAL"/>
      <sheetName val="div-6"/>
      <sheetName val="RKP"/>
      <sheetName val="div-2"/>
      <sheetName val="BQ_E20_02_Rp_"/>
      <sheetName val="ANAL.BOW"/>
      <sheetName val="Isolasi Luar Dalam"/>
      <sheetName val="Isolasi Luar"/>
      <sheetName val="график финансирования"/>
      <sheetName val="Data Ref."/>
      <sheetName val="KKS System Codes"/>
      <sheetName val="Price Schedule Code"/>
      <sheetName val="Lists"/>
      <sheetName val="Appendix A"/>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6_2_Floor_Finishes"/>
      <sheetName val="일위"/>
      <sheetName val="Áý°èÇ¥_(TOTAN)5"/>
      <sheetName val="phuluc1"/>
      <sheetName val="TONGKE1P"/>
      <sheetName val="TKThep"/>
      <sheetName val="분양가표"/>
      <sheetName val="Bang KL"/>
      <sheetName val="NM2"/>
      <sheetName val="NW1"/>
      <sheetName val="NW2"/>
      <sheetName val="PW3"/>
      <sheetName val="PW4"/>
      <sheetName val="SC1"/>
      <sheetName val="DNW"/>
      <sheetName val="NE"/>
      <sheetName val="PM"/>
      <sheetName val="TR"/>
      <sheetName val="변경내역대비표(2)"/>
      <sheetName val="JGSummit Package 2 (CTCI)"/>
      <sheetName val="LV induction _x0000__x0000__x0005__x0000_묠"/>
      <sheetName val="Addition-ProtectionSummary"/>
      <sheetName val="Project D"/>
      <sheetName val="Tender Summary"/>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소화실적"/>
      <sheetName val="계수"/>
      <sheetName val="수주계획('22)"/>
      <sheetName val="수주계획(22)"/>
      <sheetName val="전계가"/>
      <sheetName val="Monomers"/>
      <sheetName val="Riser-1"/>
      <sheetName val="Elektrikal"/>
      <sheetName val="PESANTREN"/>
      <sheetName val="G"/>
      <sheetName val=" hrg bhn"/>
      <sheetName val="BAHAN"/>
      <sheetName val="CC8"/>
      <sheetName val="SOR"/>
      <sheetName val="FR"/>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BLN_PKG"/>
      <sheetName val="단가표"/>
      <sheetName val="_______x005f_x005f_x005f_x0000__x005f_x005f_x00_2"/>
      <sheetName val="_____x005f_x005f_x005f_x005f_x005f_x005f_x005f_x0000__2"/>
      <sheetName val="_______x005f_x005f_x005f_x005f_x005f_x005f_x000_2"/>
      <sheetName val="음료실행"/>
      <sheetName val="REQDELTA"/>
      <sheetName val="기준"/>
      <sheetName val="IndirectSum"/>
      <sheetName val="2공구산출내역"/>
      <sheetName val="본부소개"/>
      <sheetName val="TEMP PROFILE"/>
      <sheetName val="_선택 속성(잠금)"/>
      <sheetName val="Drop-down lists"/>
      <sheetName val="EST_EQUIPOS"/>
      <sheetName val="P. control"/>
      <sheetName val="EVAL"/>
      <sheetName val="Costing Detailed"/>
      <sheetName val="ER10_Old"/>
      <sheetName val="Basic Data Inputs"/>
      <sheetName val="AIRCOND"/>
      <sheetName val="EXTERNAL"/>
      <sheetName val="MDGAS"/>
      <sheetName val="BILL 1"/>
      <sheetName val="Step2 -&gt; Mat. Cost"/>
      <sheetName val="Section 1"/>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GKP"/>
      <sheetName val="renc mgn"/>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TQ_Format4"/>
      <sheetName val="breakdown_of_wage_raÐ¾4"/>
      <sheetName val="Additional_data4"/>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Attach_4-183"/>
      <sheetName val="11_자재단가3"/>
      <sheetName val="리스크_분류체계3"/>
      <sheetName val="Cashflow_Analysis3"/>
      <sheetName val="INPUT_DATA_OF_SCHEDULE3"/>
      <sheetName val="LIFE_&amp;_REP_PROVN3"/>
      <sheetName val="O&amp;M_CREW3"/>
      <sheetName val="Activity_Form3"/>
      <sheetName val="Master_List3"/>
      <sheetName val="Finansal_tamamlanma_Eğrisi3"/>
      <sheetName val="33628-Rev__A3"/>
      <sheetName val="Admin_Manu_2-Equipment_Type_ID3"/>
      <sheetName val="내역서_(∮ἀ嘆ɶ?᠀㬁?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14-Eng_rate3"/>
      <sheetName val="내역서_(N____7"/>
      <sheetName val="Itembalance_Report_(18-sep-18)3"/>
      <sheetName val="BUDGET_SUMMARY_3"/>
      <sheetName val="SPEC(CABLE_&amp;_WIRE)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1_11_b2"/>
      <sheetName val="내역서_(N__x003"/>
      <sheetName val="SUMMARY_MTO_02_2_352"/>
      <sheetName val="N_G_METERING_CALC_2"/>
      <sheetName val="N_G_METERING2"/>
      <sheetName val="N_G_METERING_(2)2"/>
      <sheetName val="CUMENE_METERING2"/>
      <sheetName val="N2_METERING_2"/>
      <sheetName val="H2_METERING__2"/>
      <sheetName val="CO_METERING2"/>
      <sheetName val="G_R300경비2"/>
      <sheetName val="AS포장복구_2"/>
      <sheetName val="중기조종사_단위단가2"/>
      <sheetName val="설_계2"/>
      <sheetName val="Enron_Form2"/>
      <sheetName val="6_공정표2"/>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0_품의서(전체)2"/>
      <sheetName val="LAST_UPDATE2"/>
      <sheetName val="External_Issues2"/>
      <sheetName val="TR_Rev_vs_Commit2"/>
      <sheetName val="TR_+MMHE_PL_report2"/>
      <sheetName val="P23P2724___Commitment_2"/>
      <sheetName val="CONCRETE_TYPE1"/>
      <sheetName val="내역서_(N____12"/>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IRR_sponsor1"/>
      <sheetName val="List_Equip1"/>
      <sheetName val="Process_C_(1-166)1"/>
      <sheetName val="TRUCK_HAUL_CYCLE-waste1"/>
      <sheetName val="Existing_PC_Pavement1"/>
      <sheetName val="Sch_61"/>
      <sheetName val="Master_Data1"/>
      <sheetName val="ind'l_cp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3_부제O호표1"/>
      <sheetName val="5_소모재료비1"/>
      <sheetName val="8_시멘트제원표1"/>
      <sheetName val="2_품제O호표1"/>
      <sheetName val="동상부_Tact_기준_반입일정_및_수량_02171"/>
      <sheetName val="tblg_denda2"/>
      <sheetName val="5_Cennik2"/>
      <sheetName val="_토목_처리장도급내역서_1"/>
      <sheetName val="Equip_Mstr_FOR_3A11"/>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2013电气概算_价目表_(营改增调整)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내역서_(∮ἀ嘆ɶ_᠀㬁_2"/>
      <sheetName val="M&amp;E_Summary1"/>
      <sheetName val="rev_summary1"/>
      <sheetName val="M&amp;E_Prelims1"/>
      <sheetName val="B-FP_(2)1"/>
      <sheetName val="Sch_11"/>
      <sheetName val="Rekap_Biaya1"/>
      <sheetName val="Kuantitas_&amp;_Harga1"/>
      <sheetName val="Nopember_(2)1"/>
      <sheetName val="GRAND_REKAP1"/>
      <sheetName val="analisa_(2)1"/>
      <sheetName val="Analisa_21"/>
      <sheetName val="F1_41"/>
      <sheetName val="LRK_1"/>
      <sheetName val="Equipt_Rental1"/>
      <sheetName val="EQ_USED_(CORRECTED)1"/>
      <sheetName val="Rebar_Constant1"/>
      <sheetName val="Eng_Hrs_(HO)1"/>
      <sheetName val="Up_&amp;_bhn1"/>
      <sheetName val="HRG_BHN1"/>
      <sheetName val="Analisa_(ok_punya)1"/>
      <sheetName val="Alat_(2)1"/>
      <sheetName val="ENE-CAL_11"/>
      <sheetName val="원가조정_내역1"/>
      <sheetName val="Vehicle_Log1"/>
      <sheetName val="G_R300경비1"/>
      <sheetName val="AS포장복구_1"/>
      <sheetName val="중기조종사_단위단가1"/>
      <sheetName val="설_계1"/>
      <sheetName val="0_품의서(전체)1"/>
      <sheetName val="LAST_UPDATE1"/>
      <sheetName val="External_Issues1"/>
      <sheetName val="TR_Rev_vs_Commit1"/>
      <sheetName val="TR_+MMHE_PL_report1"/>
      <sheetName val="P23P2724___Commitment_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동상부_Tact_기준_반입일정_및_수량_0217"/>
      <sheetName val="_토목_처리장도급내역서_"/>
      <sheetName val="Equip_Mstr_FOR_3A1"/>
      <sheetName val="Rekap_Biaya"/>
      <sheetName val="Kuantitas_&amp;_Harga"/>
      <sheetName val="Nopember_(2)"/>
      <sheetName val="GRAND_REKAP"/>
      <sheetName val="analisa_(2)"/>
      <sheetName val="Analisa_2"/>
      <sheetName val="Eng_Hrs_(HO)"/>
      <sheetName val="Up_&amp;_bhn"/>
      <sheetName val="HRG_BHN"/>
      <sheetName val="Alat_(2)"/>
      <sheetName val="ENE-CAL_1"/>
      <sheetName val="원가조정_내역"/>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Page1"/>
      <sheetName val="내역서_耰&quot;10"/>
      <sheetName val="SANDAN_XLS8"/>
      <sheetName val="내역서_(∮ἀ嘆ɶ᠀㬁1"/>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0__x0007"/>
      <sheetName val="Home Office"/>
      <sheetName val="2_x0010__x0000__x000a__x0000__x0003__x0000__x000d__x0000__x0008__x0000__x0010__x0000__x0004__x0000__x0004__x0000__x0004_"/>
      <sheetName val="9011 EXPAT_MANP"/>
      <sheetName val="2_x0010_"/>
      <sheetName val="PriceSummary"/>
      <sheetName val="App A Basis of Design"/>
      <sheetName val="1.0_Criteria_New"/>
      <sheetName val="TABLE-A"/>
      <sheetName val="BQ Summary"/>
      <sheetName val="FittingR1"/>
      <sheetName val="Gasket"/>
      <sheetName val="Bolt"/>
      <sheetName val="uraian analisa"/>
      <sheetName val="8LT 12"/>
      <sheetName val="Basic Price"/>
      <sheetName val="집계표(2 안)"/>
      <sheetName val="내역서(전기)"/>
      <sheetName val="LV induction "/>
      <sheetName val="LV induction mot_x0000__x0000__x0005_"/>
      <sheetName val="원가&amp;하도급원가"/>
      <sheetName val="건축(을)"/>
      <sheetName val="VS P-Q"/>
      <sheetName val="Harga material_1"/>
      <sheetName val="abcdef"/>
      <sheetName val="bahan,upah,alat"/>
      <sheetName val="Peralatan (2)"/>
      <sheetName val="TL"/>
      <sheetName val="mob"/>
      <sheetName val="igp-03"/>
      <sheetName val="SCOPES"/>
      <sheetName val="表三"/>
      <sheetName val="建筑定额 (2002)"/>
      <sheetName val="ADI"/>
      <sheetName val="运"/>
      <sheetName val="建筑定额"/>
      <sheetName val="原始数据"/>
      <sheetName val="经评"/>
      <sheetName val="G2TempSheet"/>
      <sheetName val="30万表三"/>
      <sheetName val="ADI Edison Termoelettrica"/>
      <sheetName val="내역서 耰&quot;_x005f_x0000__x005f_x005f_x0000"/>
      <sheetName val="P_Staff_fac"/>
      <sheetName val="beam-reinft-IIInd_floor"/>
      <sheetName val="P-Site_fac"/>
      <sheetName val="P-Clients_fac"/>
      <sheetName val="价格取值"/>
      <sheetName val="Daily Forwards"/>
      <sheetName val="PNT-QUOT-#3"/>
      <sheetName val="COAT&amp;WRAP-QIOT-#3"/>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Daily Photo"/>
      <sheetName val="Manpower Status"/>
      <sheetName val="satuan"/>
      <sheetName val="DHSD"/>
      <sheetName val="CBA"/>
      <sheetName val="MH and Unit Cost"/>
      <sheetName val="BOQ_PAINTING"/>
      <sheetName val="Material Cost(as per Nation)"/>
      <sheetName val="내역서_耰&quot;11"/>
      <sheetName val="SANDAN_XLS9"/>
      <sheetName val="내역서_(∮ἀ嘆ɶ᠀㬁2"/>
      <sheetName val="cost curve calc"/>
      <sheetName val="QPL"/>
      <sheetName val="Faktor"/>
      <sheetName val="luar"/>
      <sheetName val="RINC hotel"/>
      <sheetName val="RINC FIN T4 "/>
      <sheetName val="RINC FIN T4  _3_"/>
      <sheetName val="RINC FIN T4  _2_"/>
      <sheetName val="Breadown"/>
      <sheetName val="合成単価作成・-BLDG"/>
      <sheetName val="XL4Poppy"/>
      <sheetName val="kalibrasi-Tank"/>
      <sheetName val="terdistribusi"/>
      <sheetName val="MAT&amp;LABOR"/>
      <sheetName val="MAN-STD"/>
      <sheetName val="ISBL-J10"/>
      <sheetName val="BQ Working"/>
      <sheetName val="PipWT"/>
      <sheetName val="Process Piping"/>
      <sheetName val="Manpower_Categories"/>
      <sheetName val="Garph_Work-Cost"/>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Scheme_Area_Details_Block___C23"/>
      <sheetName val="Tender_data3"/>
      <sheetName val="GM_0003"/>
      <sheetName val="일위대가_3"/>
      <sheetName val="SECL_리스크_분류체계_(2)3"/>
      <sheetName val="1_설계기준3"/>
      <sheetName val="Cash_Flow3"/>
      <sheetName val="REF_for_VV3"/>
      <sheetName val="P-Ins_&amp;_Bonds3"/>
      <sheetName val="INSTLIST_13"/>
      <sheetName val="Fig_4-14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8"/>
      <sheetName val="__x03"/>
      <sheetName val="OPT_4"/>
      <sheetName val="List_register3"/>
      <sheetName val="Direct_Histogram_Rev__A_(f)3"/>
      <sheetName val="Tables_3_1_to_3_5_EXH_G3"/>
      <sheetName val="64_43"/>
      <sheetName val="64_53"/>
      <sheetName val="36_23"/>
      <sheetName val="36_13"/>
      <sheetName val="Precios_Unitariԯ2"/>
      <sheetName val="EQUIPOS_DE_SEGURIDAD3"/>
      <sheetName val="MATERIALES_CONSUMIBLES3"/>
      <sheetName val="PERSONAL_INDIRECTO_3"/>
      <sheetName val="Cost_Code3"/>
      <sheetName val="Data_Ref3"/>
      <sheetName val="Interdept_Rate3"/>
      <sheetName val="4300_UTILITY_BLDG_(2)3"/>
      <sheetName val="5__Work_load(현재원기준)3"/>
      <sheetName val="InD_Mpower1"/>
      <sheetName val="Manpower_Categories1"/>
      <sheetName val="Garph_Work-Cost1"/>
      <sheetName val="Insulation_1501081"/>
      <sheetName val="MASTER_RATE_ANALYSIS1"/>
      <sheetName val="MN_T_B_1"/>
      <sheetName val="INDIGINEOUS_ITEMS_1"/>
      <sheetName val="Core_Data1"/>
      <sheetName val="final_abstract1"/>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MFG_&amp;_DEL"/>
      <sheetName val="InsertListDrawing_1_"/>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05__Curva_S3"/>
      <sheetName val="Cost_Code4"/>
      <sheetName val="Data_Ref4"/>
      <sheetName val="Interdept_Rate4"/>
      <sheetName val="4300_UTILITY_BLDG_(2)4"/>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IRR_sponsor2"/>
      <sheetName val="Sch_62"/>
      <sheetName val="2013电气概算_价目表_(营改增调整)2"/>
      <sheetName val="RESUMEN_CD2"/>
      <sheetName val="BOQ_REV62"/>
      <sheetName val="Maliyet_Ozet2"/>
      <sheetName val="1_1-1_22"/>
      <sheetName val="1_3-_1_42"/>
      <sheetName val="3_12"/>
      <sheetName val="3_22"/>
      <sheetName val="4_1(a)2"/>
      <sheetName val="4_1(b)2"/>
      <sheetName val="4_1_(c)2"/>
      <sheetName val="5_12"/>
      <sheetName val="내역서_(N____13"/>
      <sheetName val="List_Equip2"/>
      <sheetName val="Process_C_(1-166)2"/>
      <sheetName val="TRUCK_HAUL_CYCLE-waste2"/>
      <sheetName val="Existing_PC_Pavement2"/>
      <sheetName val="Master_Data2"/>
      <sheetName val="ind'l_cp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Statprod_gab3"/>
      <sheetName val="L_13"/>
      <sheetName val="Equip_Mstr_FOR_3A1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MFG_&amp;_DEL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MC-P1"/>
      <sheetName val="ANALISA KONST BTN"/>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HM.MEK."/>
      <sheetName val="ANL_TEK.6"/>
      <sheetName val="Pesanan"/>
      <sheetName val="Penjualan"/>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TOWN"/>
      <sheetName val="ALAT1"/>
      <sheetName val="ALAT2 (TDK DIPAKAI)"/>
      <sheetName val="DIV10"/>
      <sheetName val="Fill this out first___"/>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DO NOT DELETE"/>
      <sheetName val="5대총괄"/>
      <sheetName val="breakdown_of_FA113"/>
      <sheetName val="Sheet_14"/>
      <sheetName val="MSP-Operator_Building-Area_C"/>
      <sheetName val="JGSummit_Package_2_(CTCI)"/>
      <sheetName val="-0_5_TABLA_PRESUPUESTOS1"/>
      <sheetName val="ﾄﾞﾊﾞｲFUEL_GAS追見1"/>
      <sheetName val="MenuSheet"/>
      <sheetName val="Forecast"/>
      <sheetName val="Batam Forecast"/>
      <sheetName val="Batam Forecast_jun"/>
      <sheetName val="Fabrication Summary"/>
      <sheetName val="D6978 Mar 21 - FProj07"/>
      <sheetName val="Ecosys-Mar'21"/>
      <sheetName val="GEAC - Dec19"/>
      <sheetName val="Chap_2-_Page_4_1"/>
      <sheetName val="breakdown_of_FA1131"/>
      <sheetName val="Sheet_141"/>
      <sheetName val="Scaffolding_Volume1"/>
      <sheetName val="MSP-Operator_Building-Area_C1"/>
      <sheetName val="JGSummit_Package_2_(CTCI)1"/>
      <sheetName val="VAT_TU_DIEN1"/>
      <sheetName val="bldg_list1"/>
      <sheetName val="-0_5_TABLA_PRESUPUESTOS2"/>
      <sheetName val="ﾄﾞﾊﾞｲFUEL_GAS追見2"/>
      <sheetName val="JP-I.500155"/>
      <sheetName val="Z- GENERAL PRIC橿⿂"/>
      <sheetName val="Z- GENERAL PRIC鋘@俀~橿⿂"/>
      <sheetName val="Z- GENERAL PRIC"/>
      <sheetName val="tabel berat"/>
      <sheetName val="daf_3_OK_"/>
      <sheetName val="daf_7_OK_"/>
      <sheetName val="L_TIGA"/>
      <sheetName val="报价说明 (3)"/>
      <sheetName val="报价说明 (4)"/>
      <sheetName val="2.履约阶段供应链管理计划"/>
      <sheetName val="XREF"/>
      <sheetName val="sis.xlm"/>
      <sheetName val="spot prices"/>
      <sheetName val="Forma E-17"/>
      <sheetName val="1999 BUDGET"/>
      <sheetName val="적용단가"/>
      <sheetName val="현금흐름표"/>
      <sheetName val="Z- GENERAL PRIC橿⿂_x0000__x0000_⒘_x0000__x0000__x0000_ࡈ"/>
      <sheetName val="Z- GENERAL PRIC鋘@俀~橿⿂_x0000__x0000_⍈"/>
      <sheetName val="Z- GENERAL PRIC_x0000__x0000__x0005__x0000_ẹ_x0000__x0000__x0000_"/>
      <sheetName val="MR EUR"/>
      <sheetName val="changes"/>
      <sheetName val="Ind. Budget"/>
      <sheetName val="指數Case"/>
      <sheetName val="Country (kVA-Hz.)"/>
      <sheetName val="Project Grading"/>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R05"/>
      <sheetName val="Basisdaten"/>
      <sheetName val="Materials "/>
      <sheetName val="MAchinery(R1)"/>
      <sheetName val="ENGG_CVL"/>
      <sheetName val="Star Rate"/>
      <sheetName val="당초?➴ȭ"/>
      <sheetName val="N-detail"/>
      <sheetName val="FACSUM"/>
      <sheetName val="1) COMMON FACILITIES"/>
      <sheetName val="Fire Fighting"/>
      <sheetName val="HARGA DASAR"/>
      <sheetName val="MACROS"/>
      <sheetName val="KR2&amp;KVCM(MAR 1-6'99)"/>
      <sheetName val="電源計画"/>
      <sheetName val="AnalisisHSPekerjaan"/>
      <sheetName val="TIE-INS"/>
      <sheetName val="black_out"/>
      <sheetName val="WK"/>
      <sheetName val="IPL_SCHEDULE"/>
      <sheetName val="DAILY"/>
      <sheetName val="Page 2"/>
      <sheetName val="리비아견적작업"/>
      <sheetName val="SUMMARY_철거"/>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onthly_S_Curve_SPK"/>
      <sheetName val="opstat"/>
      <sheetName val="costs"/>
      <sheetName val="배포용표지"/>
      <sheetName val="İnsan Gücü"/>
      <sheetName val="LV induction mot"/>
      <sheetName val="ouse_Summary2_________________2"/>
      <sheetName val="Ana__PU"/>
      <sheetName val="UPAH_&amp;_BHN_ARS"/>
      <sheetName val="AHS_ARS"/>
      <sheetName val="Analisa_HSP"/>
      <sheetName val="Analisa_Neraca"/>
      <sheetName val="입찰내역_발주처_양卤"/>
      <sheetName val="Detail_Eng"/>
      <sheetName val="PAD TR보호대기초"/>
      <sheetName val="가로등기초"/>
      <sheetName val="HANDHOLE(2)"/>
      <sheetName val="KUWATI(Total)_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OPTION_218"/>
      <sheetName val="OPTION_318"/>
      <sheetName val="2002년_현장공사비_국내_실적18"/>
      <sheetName val="2003년국내현장공사비_실적18"/>
      <sheetName val="VC2_10_9918"/>
      <sheetName val="INPUT_DATA17"/>
      <sheetName val="General_Data17"/>
      <sheetName val="집계표_(25,26ဩ17"/>
      <sheetName val="Form_017"/>
      <sheetName val="Form_D-116"/>
      <sheetName val="Form_B-116"/>
      <sheetName val="Form_F-116"/>
      <sheetName val="Form_A16"/>
      <sheetName val="LABOR_&amp;_자재16"/>
      <sheetName val="입출재고현황_(2)16"/>
      <sheetName val="3_공통공사대비16"/>
      <sheetName val="간접비_총괄16"/>
      <sheetName val="Price_Schedule16"/>
      <sheetName val="CAL_16"/>
      <sheetName val="Rate_Analysis16"/>
      <sheetName val="내역서_耰&quot;??16"/>
      <sheetName val="EQUIPMENT_-216"/>
      <sheetName val="WEIGHT_LIST15"/>
      <sheetName val="산#2-1_(2)15"/>
      <sheetName val="BEND_LOSS15"/>
      <sheetName val="공사비_내역_(가)15"/>
      <sheetName val="6PILE__(돌출)15"/>
      <sheetName val="Static_Equip15"/>
      <sheetName val="단면_(2)15"/>
      <sheetName val="Form_A_15"/>
      <sheetName val="내역서_耰&quot;_x005f_x0000__x005f_x0000_15"/>
      <sheetName val="3_Breakdown_Direct_Paint15"/>
      <sheetName val="내역서_耰&quot;__16"/>
      <sheetName val="Summary_Sheets15"/>
      <sheetName val="Civil_115"/>
      <sheetName val="Civil_215"/>
      <sheetName val="Civil_315"/>
      <sheetName val="Site_115"/>
      <sheetName val="Site_215"/>
      <sheetName val="Site_315"/>
      <sheetName val="Site_Faci15"/>
      <sheetName val="Sheet1_(2)15"/>
      <sheetName val="Man_Hole14"/>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x005f_x005f_x005f_x0000__x005f_x005f_x0014"/>
      <sheetName val="계측_내역서14"/>
      <sheetName val="2_2_STAFF_Scedule14"/>
      <sheetName val="내역서_耰&quot;_x005f_x005f_x005f_x005f_x005f_x005f_x00014"/>
      <sheetName val="7__월별투입내역서14"/>
      <sheetName val="Z-_GENERAL_PRICE_SUMMARY14"/>
      <sheetName val="_Estimate__14"/>
      <sheetName val="T_314"/>
      <sheetName val="HORI__VESSEL14"/>
      <sheetName val="EQUIP_LIST14"/>
      <sheetName val="Form_B14"/>
      <sheetName val="Precios_Unitarios14"/>
      <sheetName val="MP_MOB14"/>
      <sheetName val="Vind_-_BtB14"/>
      <sheetName val="LV_induction_motors14"/>
      <sheetName val="BSD_(2)14"/>
      <sheetName val="Administrative_Prices14"/>
      <sheetName val="WBS_4414"/>
      <sheetName val="WBS_4114"/>
      <sheetName val="Precios_por_Administración14"/>
      <sheetName val="Subcon_A14"/>
      <sheetName val="BM_DATA_SHEET15"/>
      <sheetName val="내역서_耰&quot;_x005f_x005f_x005f_x005f_x005f_x005f_x00514"/>
      <sheetName val="breakdown_of_wage_rate14"/>
      <sheetName val="Indirect_Cost14"/>
      <sheetName val="Monthly_Load14"/>
      <sheetName val="Weekly_Load14"/>
      <sheetName val="97_사업추정(WEKI)14"/>
      <sheetName val="[SANDAN_XLS??14"/>
      <sheetName val="Eq__Mobilization14"/>
      <sheetName val="Material_Selections14"/>
      <sheetName val="Piping_BQ_for_one_turbine14"/>
      <sheetName val="Resource_table14"/>
      <sheetName val="Utility_and_Fire_flange14"/>
      <sheetName val="_SANDAN_XLS__14"/>
      <sheetName val="Equipment_List14"/>
      <sheetName val="Form1_SQP14"/>
      <sheetName val="공정계획(내부계획25%,내부w_f)14"/>
      <sheetName val="SFN_ORIG14"/>
      <sheetName val="Heavy_Equipments14"/>
      <sheetName val="AG_Pipe_Qty_Analysis14"/>
      <sheetName val="Cash_In-Cash_Out_Actual13"/>
      <sheetName val="Dir_Manpower_Other_Exp_14"/>
      <sheetName val="SCHEDD_TAMBAHAN14"/>
      <sheetName val="w't_table14"/>
      <sheetName val="Fire_Protection14"/>
      <sheetName val="입찰내역_발주처_양식14"/>
      <sheetName val="MODULE_CONFIRM13"/>
      <sheetName val="ITB_COST14"/>
      <sheetName val="내역서_(∮ἀ嘆ɶ13"/>
      <sheetName val="4-3LEVEL-5_epic_413"/>
      <sheetName val="단가_(2)13"/>
      <sheetName val="BOQ-B_DOWN13"/>
      <sheetName val="FWBS_153013"/>
      <sheetName val="실행예산_MM13"/>
      <sheetName val="PROTECTION_13"/>
      <sheetName val="내역서1999_8최종9"/>
      <sheetName val="plan&amp;section_of_foundation10"/>
      <sheetName val="working_load_at_the_btm_ft_10"/>
      <sheetName val="stability_check10"/>
      <sheetName val="design_load10"/>
      <sheetName val="Closeout_Control9"/>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Unit_Price_9"/>
      <sheetName val="4-Basic_Price9"/>
      <sheetName val="Evaluasi_Penw9"/>
      <sheetName val="Sum_(Case-3)9"/>
      <sheetName val="Man_Power_&amp;_Comp9"/>
      <sheetName val="Data_List9"/>
      <sheetName val="Currency_Rate9"/>
      <sheetName val="CUADRO_DE_PRECIOS13"/>
      <sheetName val="Site_Findings_Status_Sheet9"/>
      <sheetName val="Item_code9"/>
      <sheetName val="Rates_&amp;_Legend9"/>
      <sheetName val="PROJECT_BRIEF9"/>
      <sheetName val="5_)_Time_Delays9"/>
      <sheetName val="RAB_AR&amp;STR9"/>
      <sheetName val="할증_9"/>
      <sheetName val="1100-1200-1300-1910-2140-LEV_29"/>
      <sheetName val="Material_Price15"/>
      <sheetName val="내역서_耰&quot;_x005f_x005f_x005f_x0000_9"/>
      <sheetName val="내역서_耰&quot;_x005f_x005f_x005f_x005f_9"/>
      <sheetName val="내역서_耰&quot;_x005f_x0000__x000010"/>
      <sheetName val="99__FWBS(Ref)9"/>
      <sheetName val="99__Change_Rate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Unt_rat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Tools_&amp;_Settings9"/>
      <sheetName val="Data_Summary9"/>
      <sheetName val="Crew_Costs9"/>
      <sheetName val="Spread_Costs9"/>
      <sheetName val="Unique_List_Misc9"/>
      <sheetName val="UP_MINOR9"/>
      <sheetName val="In-House_Summary9"/>
      <sheetName val="2__현장_자금투입_집계표9"/>
      <sheetName val="Discounted_Cash_Flow9"/>
      <sheetName val="Ocean_Transporation_Charge9"/>
      <sheetName val="Cash_Flow_bulanan9"/>
      <sheetName val="H_Satuan9"/>
      <sheetName val="Aux_9"/>
      <sheetName val="OCT_FDN9"/>
      <sheetName val="General_Notes9"/>
      <sheetName val="Codes_Pers9"/>
      <sheetName val="Raw_data8"/>
      <sheetName val="Exchange_Rate9"/>
      <sheetName val="Direct_PMS9"/>
      <sheetName val="_도면_및_도서_제출목록_및_일정_170202_xlsx9"/>
      <sheetName val="BO䁑-B_䁄OWN9"/>
      <sheetName val="Pengesahan_9"/>
      <sheetName val="0__Resource　Code8"/>
      <sheetName val="breakdown_of_wage_ra8"/>
      <sheetName val="breakdown_of_wage_ra`f8"/>
      <sheetName val="__9"/>
      <sheetName val="_9"/>
      <sheetName val="breakdown_of_wage_rað-8"/>
      <sheetName val="breakdown_of_wage_rap8"/>
      <sheetName val="breakdown_of_wage_ra8"/>
      <sheetName val="00-Summary_Information-ABB8"/>
      <sheetName val="PABS,Site_info8"/>
      <sheetName val="Bill_rekap9"/>
      <sheetName val="2_Overall_Summary_8"/>
      <sheetName val="Harga_Satuan9"/>
      <sheetName val="F_ALARM9"/>
      <sheetName val="DATA_MENTAH8"/>
      <sheetName val="차트_(2)9"/>
      <sheetName val="Material_code8"/>
      <sheetName val="HO_Site_Rates-20118"/>
      <sheetName val="Process_Data_(2)9"/>
      <sheetName val="내역서_耰&quot;_x005f_x0000_9"/>
      <sheetName val="내역서_耰&quot;_x005f_x005f_9"/>
      <sheetName val="Distribution_Table8"/>
      <sheetName val="DROP_DOWN8"/>
      <sheetName val="개시대사_(2)8"/>
      <sheetName val="Action_Item8"/>
      <sheetName val="ID_CD8"/>
      <sheetName val="Equipment_Spec_List8"/>
      <sheetName val="내역서_(N____x000a_9"/>
      <sheetName val="TQ_Format7"/>
      <sheetName val="breakdown_of_wage_raÐ¾7"/>
      <sheetName val="Additional_data7"/>
      <sheetName val="내역서_耰&quot;_8"/>
      <sheetName val="Linelist_LNGC_Process8"/>
      <sheetName val="SPEC_LIST(EQUP,_SYS)8"/>
      <sheetName val="SUM_7"/>
      <sheetName val="Air_Cooler-E8"/>
      <sheetName val="Al_Taweelah8"/>
      <sheetName val="Particular_Sch8"/>
      <sheetName val="11_자재단가6"/>
      <sheetName val="Attach_4-186"/>
      <sheetName val="일위대가_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GM_0006"/>
      <sheetName val="INPUT_DATA_OF_SCHEDULE6"/>
      <sheetName val="Cashflow_Analysis6"/>
      <sheetName val="Finansal_tamamlanma_Eğrisi6"/>
      <sheetName val="33628-Rev__A6"/>
      <sheetName val="Admin_Manu_2-Equipment_Type_ID6"/>
      <sheetName val="LIFE_&amp;_REP_PROVN6"/>
      <sheetName val="O&amp;M_CREW6"/>
      <sheetName val="Tender_data6"/>
      <sheetName val="Activity_Form6"/>
      <sheetName val="Master_List6"/>
      <sheetName val="리스크_분류체계6"/>
      <sheetName val="SECL_리스크_분류체계_(2)6"/>
      <sheetName val="P-Ins_&amp;_Bonds6"/>
      <sheetName val="1_설계기준6"/>
      <sheetName val="Cash_Flow6"/>
      <sheetName val="REF_for_VV6"/>
      <sheetName val="INSTLIST_16"/>
      <sheetName val="내역서_(∮ἀ嘆ɶ?᠀㬁?6"/>
      <sheetName val="Weekl_7"/>
      <sheetName val="내역서_(N____17"/>
      <sheetName val="내역서_(N____18"/>
      <sheetName val="__x06"/>
      <sheetName val="OPT_7"/>
      <sheetName val="Scheme_Area_Details_Block___C26"/>
      <sheetName val="14-Eng_rate6"/>
      <sheetName val="광통신_견적내역서16"/>
      <sheetName val="5__월별투입내역서6"/>
      <sheetName val="BM_#16"/>
      <sheetName val="Itembalance_Report_(18-sep-18)6"/>
      <sheetName val="BUDGET_SUMMARY_6"/>
      <sheetName val="설산1_나6"/>
      <sheetName val="Cost_Code6"/>
      <sheetName val="Data_Ref6"/>
      <sheetName val="Interdept_Rate6"/>
      <sheetName val="Fig_4-14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erm__Test6"/>
      <sheetName val="Galian_16"/>
      <sheetName val="Analisa_Lump_sum6"/>
      <sheetName val="Sec_I_ML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Direct_Histogram_Rev__A_(f)6"/>
      <sheetName val="EQUIPOS_DE_SEGURIDAD6"/>
      <sheetName val="MATERIALES_CONSUMIBLES6"/>
      <sheetName val="PERSONAL_INDIRECTO_6"/>
      <sheetName val="Land_Dev't__Ph-118"/>
      <sheetName val="4300_UTILITY_BLDG_(2)6"/>
      <sheetName val="64_46"/>
      <sheetName val="64_56"/>
      <sheetName val="36_26"/>
      <sheetName val="36_16"/>
      <sheetName val="SPT_vs_PHI4"/>
      <sheetName val="Tables_3_1_to_3_5_EXH_G6"/>
      <sheetName val="1_11_b4"/>
      <sheetName val="내역서_(N__x006"/>
      <sheetName val="List_register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Att-1_CTCI_MH_rate6"/>
      <sheetName val="05__Curva_S5"/>
      <sheetName val="SUMMARY_MTO_02_2_354"/>
      <sheetName val="N_G_METERING_CALC_4"/>
      <sheetName val="N_G_METERING4"/>
      <sheetName val="N_G_METERING_(2)4"/>
      <sheetName val="CUMENE_METERING4"/>
      <sheetName val="N2_METERING_4"/>
      <sheetName val="H2_METERING__4"/>
      <sheetName val="CO_METERING4"/>
      <sheetName val="dongia_(2)6"/>
      <sheetName val="5__Work_load(현재원기준)6"/>
      <sheetName val="G_R300경비4"/>
      <sheetName val="AS포장복구_4"/>
      <sheetName val="중기조종사_단위단가4"/>
      <sheetName val="설_계4"/>
      <sheetName val="SPEC(CABLE_&amp;_WIRE)4"/>
      <sheetName val="Enron_Form4"/>
      <sheetName val="6_공정표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0_품의서(전체)4"/>
      <sheetName val="LAST_UPDATE4"/>
      <sheetName val="External_Issues4"/>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TR_Rev_vs_Commit4"/>
      <sheetName val="TR_+MMHE_PL_report4"/>
      <sheetName val="P23P2724___Commitment_4"/>
      <sheetName val="내역서_(N____19"/>
      <sheetName val="RESUMEN_CD4"/>
      <sheetName val="BOQ_REV64"/>
      <sheetName val="Maliyet_Ozet4"/>
      <sheetName val="1_1-1_24"/>
      <sheetName val="1_3-_1_44"/>
      <sheetName val="3_14"/>
      <sheetName val="3_24"/>
      <sheetName val="4_1(a)4"/>
      <sheetName val="4_1(b)4"/>
      <sheetName val="4_1_(c)4"/>
      <sheetName val="5_14"/>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CONCRETE_TYPE4"/>
      <sheetName val="동상부_Tact_기준_반입일정_및_수량_0217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tblg_denda5"/>
      <sheetName val="IRR_sponsor4"/>
      <sheetName val="4-Lane_bridge18"/>
      <sheetName val="List_Equip4"/>
      <sheetName val="Process_C_(1-166)4"/>
      <sheetName val="TRUCK_HAUL_CYCLE-waste4"/>
      <sheetName val="Existing_PC_Pavement4"/>
      <sheetName val="Sch_64"/>
      <sheetName val="Master_Data4"/>
      <sheetName val="ind'l_cp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3_부제O호표4"/>
      <sheetName val="5_소모재료비4"/>
      <sheetName val="8_시멘트제원표4"/>
      <sheetName val="2_품제O호표4"/>
      <sheetName val="5_Cennik5"/>
      <sheetName val="Equip_Mstr_FOR_3A14"/>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2013电气概算_价目表_(营改增调整)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_토목_처리장도급내역서_4"/>
      <sheetName val="내역서_(∮ἀ嘆ɶ_᠀㬁_5"/>
      <sheetName val="M&amp;E_Summary4"/>
      <sheetName val="rev_summary4"/>
      <sheetName val="M&amp;E_Prelims4"/>
      <sheetName val="B-FP_(2)4"/>
      <sheetName val="Sch_14"/>
      <sheetName val="Rekap_Biaya3"/>
      <sheetName val="Kuantitas_&amp;_Harga3"/>
      <sheetName val="Nopember_(2)3"/>
      <sheetName val="GRAND_REKAP3"/>
      <sheetName val="analisa_(2)3"/>
      <sheetName val="Analisa_23"/>
      <sheetName val="F1_44"/>
      <sheetName val="LRK_4"/>
      <sheetName val="Statprod_gab5"/>
      <sheetName val="L_15"/>
      <sheetName val="ENE-CAL_12"/>
      <sheetName val="원가조정_내역3"/>
      <sheetName val="Other_data4"/>
      <sheetName val="Equipt_Rental4"/>
      <sheetName val="EQ_USED_(CORRECTED)4"/>
      <sheetName val="Rebar_Constant4"/>
      <sheetName val="Eng_Hrs_(HO)3"/>
      <sheetName val="Vehicle_Log4"/>
      <sheetName val="Up_&amp;_bhn3"/>
      <sheetName val="HRG_BHN3"/>
      <sheetName val="Analisa_(ok_punya)3"/>
      <sheetName val="Alat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Manpower_Categories4"/>
      <sheetName val="Garph_Work-Cost4"/>
      <sheetName val="Urai__Resap_pengikat3"/>
      <sheetName val="DAF_HRG3"/>
      <sheetName val="7_공정표3"/>
      <sheetName val="Kolom_UT3"/>
      <sheetName val="HB_3"/>
      <sheetName val="Memb_Schd3"/>
      <sheetName val="Coef_et_données3"/>
      <sheetName val="InsertListDrawing_1_3"/>
      <sheetName val="InD_Mpower4"/>
      <sheetName val="a_h_ars_sum3"/>
      <sheetName val="a_h_ars3"/>
      <sheetName val="P_Staff_fac3"/>
      <sheetName val="beam-reinft-IIInd_floor3"/>
      <sheetName val="P-Site_fac3"/>
      <sheetName val="P-Clients_fac3"/>
      <sheetName val="MFG_&amp;_DEL3"/>
      <sheetName val="SWALE_(구산)"/>
      <sheetName val="내역서_(N____21"/>
      <sheetName val="P2-Project_Data3"/>
      <sheetName val="MASTER_RATE_ANALYSIS4"/>
      <sheetName val="MN_T_B_4"/>
      <sheetName val="INDIGINEOUS_ITEMS_4"/>
      <sheetName val="Core_Data4"/>
      <sheetName val="final_abstract4"/>
      <sheetName val="Raw_Ref"/>
      <sheetName val="Cost_Codes"/>
      <sheetName val="Addendum_No_1_BILL_21"/>
      <sheetName val="내역서_(N____20"/>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график_финансирования"/>
      <sheetName val="ANAL_BOW"/>
      <sheetName val="Isolasi_Luar_Dalam"/>
      <sheetName val="Isolasi_Luar"/>
      <sheetName val="7_6_3_J_Inline_Instrument"/>
      <sheetName val="Data_Ref_"/>
      <sheetName val="KKS_System_Codes"/>
      <sheetName val="Price_Schedule_Code"/>
      <sheetName val="REF_ONLY"/>
      <sheetName val="Appendix_A"/>
      <sheetName val="OE_(KSB)"/>
      <sheetName val="galian_saluran"/>
      <sheetName val="Perhit_Alat"/>
      <sheetName val="05_Analisa_Teknik"/>
      <sheetName val="내역서_耰&quot;_x005f8"/>
      <sheetName val="?_x000a_????_x000a_?"/>
      <sheetName val="_x000a_?????_x000a_??"/>
      <sheetName val="_?????_??"/>
      <sheetName val="Weekl??_x000a_?"/>
      <sheetName val="?뻘N??_"/>
      <sheetName val="?_x000a_?_x0"/>
      <sheetName val="_x000a_??_x0"/>
      <sheetName val="7422CW?"/>
      <sheetName val="OPT??_x000a_?"/>
      <sheetName val="Analisa_SNI_STANDART_"/>
      <sheetName val="1_B"/>
      <sheetName val="Bang_KL"/>
      <sheetName val="Insulation_1501084"/>
      <sheetName val="PLSt_03__"/>
      <sheetName val="П_7_курс_аванса"/>
      <sheetName val="IncStat_03-04"/>
      <sheetName val="IncStat_03__"/>
      <sheetName val="Авансы_по_СНГ"/>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Code_07"/>
      <sheetName val="Week_ending"/>
      <sheetName val="Planners_Workload"/>
      <sheetName val="MAY_00-Bobbins"/>
      <sheetName val="2_2_띠장의_설계"/>
      <sheetName val="(10)_Other_Costs5"/>
      <sheetName val="3_-RESOURCE_LIST"/>
      <sheetName val="0_-SUMMARY"/>
      <sheetName val="3_2_AUX"/>
      <sheetName val="3_3_AUX-2"/>
      <sheetName val="GRAND_SUM"/>
      <sheetName val="VCC_11110-461"/>
      <sheetName val="6_2_Floor_Finishes1"/>
      <sheetName val="C1_(calcolo)"/>
      <sheetName val="5_5FWBS_CODE"/>
      <sheetName val="Harga_Mat_"/>
      <sheetName val="_hrg_bhn"/>
      <sheetName val="Project_D"/>
      <sheetName val="Tender_Summary"/>
      <sheetName val="Main_Control"/>
      <sheetName val="1195_B1"/>
      <sheetName val="page_6"/>
      <sheetName val="Capel_KI"/>
      <sheetName val="Capel_PK"/>
      <sheetName val="Summary_HS_Pipa_CS"/>
      <sheetName val="Raw_Data-Combined"/>
      <sheetName val="Instrument_Proc"/>
      <sheetName val="MTO_Civil_Work"/>
      <sheetName val="Sched_3_(Construction)"/>
      <sheetName val="Sched_1_(Engineering)"/>
      <sheetName val="Sched_2_(Procurement_"/>
      <sheetName val="JOB_Code"/>
      <sheetName val="COVER_RECAP_INSTALL_(2)"/>
      <sheetName val="Rekap_Summary"/>
      <sheetName val="Rekap_Breakdown"/>
      <sheetName val="Equiv_Length"/>
      <sheetName val="lkalibrasi_BENENAIN"/>
      <sheetName val="Integrated-S_Curve"/>
      <sheetName val="Daily_Photo"/>
      <sheetName val="Manpower_Status"/>
      <sheetName val="Rekap_Addendum"/>
      <sheetName val="AT_2"/>
      <sheetName val="Section_1"/>
      <sheetName val="Ra__stair"/>
      <sheetName val="LV_induction_묠"/>
      <sheetName val="Man_Power"/>
      <sheetName val="pro_ra_op"/>
      <sheetName val="analis_standar(8m)"/>
      <sheetName val="ShareCapital_"/>
      <sheetName val="내역서_(∮ἀ嘆ɶ_x005f_x0000_᠀㬁_x005f_x0000_"/>
      <sheetName val="__x005f_x0000__x005f_x001b__x005f_x0000__x005f_x0006__1"/>
      <sheetName val="내역서_耰&quot;_x005f_x005f_x005f_x0000__x00004"/>
      <sheetName val="내역서_(N__x005f_x000e__x005f_x000e__x005f_x000e____"/>
      <sheetName val="내역서_(N____x005f_x000a_3"/>
      <sheetName val="Bangunan_Utama"/>
      <sheetName val="Hrg_Sat"/>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Home_Office"/>
      <sheetName val="P__control"/>
      <sheetName val="Costing_Detailed"/>
      <sheetName val="Basic_Data_Inputs"/>
      <sheetName val="BILL_1"/>
      <sheetName val="Step2_-&gt;_Mat__Cost"/>
      <sheetName val="TEMP_PROFILE"/>
      <sheetName val="_선택_속성(잠금)"/>
      <sheetName val="Drop-down_lists"/>
      <sheetName val="renc_mgn"/>
      <sheetName val="建筑定额_(2002)"/>
      <sheetName val="ADI_Edison_Termoelettrica"/>
      <sheetName val="Daily_Forwards"/>
      <sheetName val="VS_P-Q"/>
      <sheetName val="BQ_Summary"/>
      <sheetName val="Process_Piping"/>
      <sheetName val="Sheetư"/>
      <sheetName val="Sheet፠"/>
      <sheetName val="Sheet팠"/>
      <sheetName val="Sheet⡰"/>
      <sheetName val="Sheet㜰"/>
      <sheetName val="Sheet븰"/>
      <sheetName val="Tra_bang"/>
      <sheetName val="HX"/>
      <sheetName val="LV_induction_"/>
      <sheetName val="LV_induction_mot"/>
      <sheetName val="Harga_material_1"/>
      <sheetName val="Peralatan_(2)"/>
      <sheetName val="Team_3_S-Curve"/>
      <sheetName val="MH_and_Unit_Cost"/>
      <sheetName val="Material_Cost(as_per_Nation)"/>
      <sheetName val="КС2_24.1-8 (4.1.8.11.200)corr"/>
      <sheetName val="SANDAN_XLS10"/>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PROC%"/>
      <sheetName val="Selling_Sheet_cons"/>
      <sheetName val="BG Working Sheet"/>
      <sheetName val="내역서_耰&quot;13"/>
      <sheetName val="Precios_Unitariԯ5"/>
      <sheetName val="Considerations"/>
      <sheetName val="INPUT DATAS"/>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Notes"/>
      <sheetName val="4B-H150"/>
      <sheetName val="8B1s-H440"/>
      <sheetName val="8B0s"/>
      <sheetName val="H244"/>
      <sheetName val="PROG."/>
      <sheetName val="SA516-60,70 (정리)"/>
      <sheetName val="내역(정지)"/>
      <sheetName val="차이내역"/>
      <sheetName val="keyword"/>
      <sheetName val="Appendix_A1"/>
      <sheetName val="cespiti cet2 piombino (2)"/>
      <sheetName val="建筑工程统计表06月份 "/>
      <sheetName val="FlujoTJ"/>
      <sheetName val="Vind -鴃宼蠀"/>
      <sheetName val="TH VL, NC, DDHT Thanhphuoc"/>
      <sheetName val="입력시|"/>
      <sheetName val="Volume"/>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sch 1.2"/>
      <sheetName val="B_6"/>
      <sheetName val="B_7"/>
      <sheetName val="B_8"/>
      <sheetName val="B_9"/>
      <sheetName val="B_10 (4)"/>
      <sheetName val="AGG"/>
      <sheetName val="MT"/>
      <sheetName val="FA_LISTING"/>
      <sheetName val="FA-LISTING"/>
      <sheetName val="6MONTHS"/>
      <sheetName val="負荷集計（断熱不燃）"/>
      <sheetName val="NoDelete_NoHide"/>
      <sheetName val="Cover-L"/>
      <sheetName val="Rev "/>
      <sheetName val="LIST"/>
      <sheetName val="支架原始数据"/>
      <sheetName val="材料规格"/>
      <sheetName val="정산내역서"/>
      <sheetName val="견적단가"/>
      <sheetName val="계약단가"/>
      <sheetName val="ELECTRIC"/>
      <sheetName val="주요자재집계"/>
      <sheetName val="COS_REP.XLS"/>
      <sheetName val="SUP-DET"/>
      <sheetName val="GRSummary"/>
      <sheetName val="WITHOUT C&amp;I PROFIT (3)"/>
      <sheetName val="CCD-SF-405"/>
      <sheetName val="ENQ222394AL NASR_Steel Report"/>
      <sheetName val="SWALE_(구산)1"/>
      <sheetName val="REF_ONLY1"/>
      <sheetName val="Data_Ref_1"/>
      <sheetName val="KKS_System_Codes1"/>
      <sheetName val="Price_Schedule_Code1"/>
      <sheetName val="TBM-T6+5S(Alt1)"/>
      <sheetName val="Sheet1 (4)"/>
      <sheetName val="P-J"/>
      <sheetName val="P.M 별"/>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ABK.04.AWALR+CO+TAB.RUPS"/>
      <sheetName val="9 58&quot;_single"/>
      <sheetName val="COSTPERBBL"/>
      <sheetName val="4334-Summary"/>
      <sheetName val="Eng_Hrs"/>
      <sheetName val="A-11 Steel Str"/>
      <sheetName val="A-03 Pile"/>
      <sheetName val="CONS."/>
      <sheetName val="내역서_耰&quot;_x0000__x0008"/>
      <sheetName val="내역서_耰&quot;_x0000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2. Steel Structural"/>
      <sheetName val="BP"/>
      <sheetName val="Material Groups"/>
      <sheetName val="Material Kind"/>
      <sheetName val="Unit of Measurement "/>
      <sheetName val="Dynamic Query"/>
      <sheetName val="Risk Variables"/>
      <sheetName val="간접비 총괄표"/>
      <sheetName val="BOQ LIST"/>
      <sheetName val="MOBSCH"/>
      <sheetName val="石炭性状"/>
      <sheetName val="SUM-AIR-Submit"/>
      <sheetName val="Projekt4"/>
      <sheetName val="Base_Data"/>
      <sheetName val="Mob2"/>
      <sheetName val="Dia Inch"/>
      <sheetName val="월간보고자료FORM2"/>
      <sheetName val="82巴基斯坦tapal"/>
      <sheetName val="가격조사서"/>
      <sheetName val="3.6M RETAINING WALL"/>
      <sheetName val="FAI-1"/>
      <sheetName val="Ch"/>
      <sheetName val="Perhitungan RAB"/>
      <sheetName val="DPro"/>
      <sheetName val="PercenDiv"/>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소비자가"/>
      <sheetName val="idx-03"/>
      <sheetName val="PERBULAN"/>
      <sheetName val="SUJAKA"/>
      <sheetName val="KALTIM"/>
      <sheetName val="KALSEL"/>
      <sheetName val="IDX06"/>
      <sheetName val="BLOK-BJR"/>
      <sheetName val="5-Peralatan"/>
      <sheetName val="trans"/>
      <sheetName val="PaintBreak"/>
      <sheetName val="INSSUBCON"/>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P"/>
      <sheetName val="내역서_(∮ἀ嘆ɶ᠀㬁3"/>
      <sheetName val="LM001"/>
      <sheetName val="LM002"/>
      <sheetName val="LM003"/>
      <sheetName val="LM005"/>
      <sheetName val="LM006"/>
      <sheetName val="LM008"/>
      <sheetName val="LM004"/>
      <sheetName val="분석"/>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1)_COMMON_FACILITIES"/>
      <sheetName val="cost_curve_calc"/>
      <sheetName val="FPF-Unit Rates"/>
      <sheetName val="PNT-Unit Rates"/>
      <sheetName val="design_criteria6"/>
      <sheetName val="2_x000a__x000a_"/>
      <sheetName val="Z-_GENERAL_PRIC橿⿂⒘ࡈ"/>
      <sheetName val="Z-_GENERAL_PRIC鋘@俀~橿⿂⍈"/>
      <sheetName val="Z-_GENERAL_PRICẹ"/>
      <sheetName val="tabel_berat"/>
      <sheetName val="Z-_GENERAL_PRIC橿⿂"/>
      <sheetName val="Z-_GENERAL_PRIC鋘@俀~橿⿂"/>
      <sheetName val="Z-_GENERAL_PRIC"/>
      <sheetName val="9011_EXPAT_MANP"/>
      <sheetName val="App_A_Basis_of_Design"/>
      <sheetName val="报价说明_(3)"/>
      <sheetName val="报价说明_(4)"/>
      <sheetName val="2_履约阶段供应链管理计划"/>
      <sheetName val="sis_xlm"/>
      <sheetName val="spot_prices"/>
      <sheetName val="Forma_E-17"/>
      <sheetName val="1999_BUDGET"/>
      <sheetName val="1_0_Criteria_New"/>
      <sheetName val="WITHOUT_C&amp;I_PROFIT_(3)"/>
      <sheetName val="Star_Rate"/>
      <sheetName val="ENQ222394AL_NASR_Steel_Report"/>
      <sheetName val="SEK_Vertrieb"/>
      <sheetName val="SEK_Montage"/>
      <sheetName val="SEK_IBN"/>
      <sheetName val="İnsan_Gücü"/>
      <sheetName val="Dynamic_Query"/>
      <sheetName val="BQ_Working"/>
      <sheetName val="PLSt_03__1"/>
      <sheetName val="П_7_курс_аванса1"/>
      <sheetName val="IncStat_03-041"/>
      <sheetName val="IncStat_03__1"/>
      <sheetName val="Авансы_по_СНГ1"/>
      <sheetName val="Ra__stair1"/>
      <sheetName val="UPAH_&amp;_BHN_ARS1"/>
      <sheetName val="AHS_ARS1"/>
      <sheetName val="Analisa_HSP1"/>
      <sheetName val="입찰내역_발주처_양卤1"/>
      <sheetName val="Analisa_Neraca1"/>
      <sheetName val="Project_D1"/>
      <sheetName val="Tender_Summary1"/>
      <sheetName val="Main_Control1"/>
      <sheetName val="5_5FWBS_CODE1"/>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Subcon Rate"/>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COMPLEXALL"/>
      <sheetName val="State List"/>
      <sheetName val="PipTable"/>
      <sheetName val="3. PE Unit "/>
      <sheetName val="Batam_Forecast2"/>
      <sheetName val="Batam_Forecast_jun2"/>
      <sheetName val="Fabrication_Summary2"/>
      <sheetName val="D6978_Mar_21_-_FProj072"/>
      <sheetName val="GEAC_-_Dec192"/>
      <sheetName val="Batam_Forecast"/>
      <sheetName val="Batam_Forecast_jun"/>
      <sheetName val="Fabrication_Summary"/>
      <sheetName val="D6978_Mar_21_-_FProj07"/>
      <sheetName val="GEAC_-_Dec19"/>
      <sheetName val="Batam_Forecast1"/>
      <sheetName val="Batam_Forecast_jun1"/>
      <sheetName val="Fabrication_Summary1"/>
      <sheetName val="D6978_Mar_21_-_FProj071"/>
      <sheetName val="GEAC_-_Dec191"/>
      <sheetName val="Unit-1"/>
      <sheetName val="Chart Data"/>
      <sheetName val="PBAC budget"/>
      <sheetName val="LstsÙÁ"/>
      <sheetName val="Gas Specific Gravities and GHV"/>
      <sheetName val="ELXX"/>
      <sheetName val="Issue Detail (2nd Stage)"/>
      <sheetName val="Committed Cost"/>
      <sheetName val="첨부 #8 기자재 Cost Summary"/>
      <sheetName val="Div26 - Elect"/>
      <sheetName val="Bored Pile"/>
      <sheetName val="mat'ls"/>
      <sheetName val="03-13 Anticipated"/>
      <sheetName val="03-13 Approved"/>
      <sheetName val="hauling"/>
      <sheetName val="IS"/>
      <sheetName val="PR-BF"/>
      <sheetName val="CP_TU_AD"/>
      <sheetName val="SHL"/>
      <sheetName val="S"/>
      <sheetName val="샘플표지"/>
      <sheetName val="일위대가(가설)"/>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Issue Log "/>
      <sheetName val="Basic Rate"/>
      <sheetName val="앉음벽 (2)"/>
      <sheetName val="WORKER"/>
      <sheetName val="5.새들부해석 및 철근배근"/>
      <sheetName val="reinforce"/>
      <sheetName val="Executive Summary (Aug 25)"/>
      <sheetName val="NC"/>
      <sheetName val="Named Range"/>
      <sheetName val="Floor Level"/>
      <sheetName val="DataSheet"/>
      <sheetName val="Chemreq"/>
      <sheetName val="19. drill CD6"/>
      <sheetName val="MASTER AR"/>
      <sheetName val="SWALE_(구산)2"/>
      <sheetName val="Chap_2-_Page_4_2"/>
      <sheetName val="VAT_TU_DIEN2"/>
      <sheetName val="bldg_list2"/>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Ana__PU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КС2_24_1-8_(4_1_8_11_200)corr"/>
      <sheetName val="MR_EUR"/>
      <sheetName val="Ind__Budget"/>
      <sheetName val="범례"/>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본사공가현황"/>
      <sheetName val="Sheet_x0000__x0000__x0005__x0000_"/>
      <sheetName val="チューブ仕様"/>
      <sheetName val="Breakdown Instrument"/>
      <sheetName val="XLR_NoRangeSheet"/>
      <sheetName val="Hujan BUlanan"/>
      <sheetName val="Change Order Log"/>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Unit Rate"/>
      <sheetName val="plant"/>
      <sheetName val="data_val"/>
      <sheetName val="D-3 (M)"/>
      <sheetName val="D-7 (M)"/>
      <sheetName val="Anls-Um"/>
      <sheetName val="01A- RAB"/>
      <sheetName val="SDHU&amp;B"/>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HARGA SAT"/>
      <sheetName val="F3a"/>
      <sheetName val="G1"/>
      <sheetName val="G3"/>
      <sheetName val="G4a"/>
      <sheetName val="F4b"/>
      <sheetName val="F5a"/>
      <sheetName val="TEKNIS"/>
      <sheetName val="Pivot Table"/>
      <sheetName val="5.세운W-A"/>
      <sheetName val="div-4"/>
      <sheetName val="DIV 2"/>
      <sheetName val="DIV 7"/>
      <sheetName val="DIV 8"/>
      <sheetName val="UBA"/>
      <sheetName val="DIV 3"/>
      <sheetName val="Rek.An"/>
      <sheetName val="Rencana Anggaran Biaya"/>
      <sheetName val="8&gt;한국인수당 (Master file)"/>
      <sheetName val="Calc Sheet"/>
      <sheetName val="ECA"/>
      <sheetName val="________"/>
      <sheetName val="_________"/>
      <sheetName val="Weekl____"/>
      <sheetName val="_뻘N___"/>
      <sheetName val="____x0"/>
      <sheetName val="7422CW_"/>
      <sheetName val="OPT____"/>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Curup"/>
      <sheetName val="Prabu"/>
      <sheetName val="SLNK"/>
      <sheetName val="bahan-mos"/>
      <sheetName val="Cycle Time"/>
      <sheetName val="UtilitasTM"/>
      <sheetName val="Process"/>
      <sheetName val="Refinery"/>
      <sheetName val="Fructose"/>
      <sheetName val="Daf 1"/>
      <sheetName val="RAB J18 "/>
      <sheetName val="HARGA J18"/>
      <sheetName val="analisa J18"/>
      <sheetName val="Cash Out Table"/>
      <sheetName val="Net Cash Table"/>
      <sheetName val="Data SRL"/>
      <sheetName val="Data Prod_Graf"/>
      <sheetName val="AP 'S ANALYSIS"/>
      <sheetName val="data-hujan"/>
      <sheetName val="FS-LT"/>
      <sheetName val="5-ALAT"/>
      <sheetName val="4-BASIC"/>
      <sheetName val="23.FILTH "/>
      <sheetName val="29Formalin"/>
      <sheetName val="24TVBN"/>
      <sheetName val="02.01E.coli"/>
      <sheetName val="실행예산갑지"/>
      <sheetName val="현장관리비"/>
      <sheetName val="機器リスト"/>
      <sheetName val="__x000a______x000a__"/>
      <sheetName val="_________1"/>
      <sheetName val="Weekl___x000a__"/>
      <sheetName val="__x000a___x0"/>
      <sheetName val="Bill_of_Qty"/>
      <sheetName val="내역서_耰&quot;_x005f_x0000__x005f_x005f_x00001"/>
      <sheetName val="HM_MEK_"/>
      <sheetName val="RINC_hotel"/>
      <sheetName val="RINC_FIN_T4_"/>
      <sheetName val="RINC_FIN_T4___3_"/>
      <sheetName val="RINC_FIN_T4___2_"/>
      <sheetName val="ANL_TEK_6"/>
      <sheetName val="ALAT2_(TDK_DIPAKAI)"/>
      <sheetName val="Fill_this_out_first___"/>
      <sheetName val="rekap harga satuan pek"/>
      <sheetName val="PERSIAPAN"/>
      <sheetName val="tanah"/>
      <sheetName val="pembesian"/>
      <sheetName val="A-ALAT"/>
      <sheetName val="rab j17"/>
      <sheetName val=" anal hrg sat"/>
      <sheetName val="HS_TRG"/>
      <sheetName val="RAB KapukII"/>
      <sheetName val="BAU"/>
      <sheetName val="환경기계공정표 (3)"/>
      <sheetName val="Detail_Eng1"/>
      <sheetName val="Project_Grading"/>
      <sheetName val="Page_21"/>
      <sheetName val="ExchRate"/>
      <sheetName val="지계"/>
      <sheetName val="Fee Rate Summary"/>
      <sheetName val="설비원가"/>
      <sheetName val="Project Information In-Out"/>
      <sheetName val="KUWATI(Total)_19"/>
      <sheetName val="OPTION_219"/>
      <sheetName val="OPTION_3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2002년_현장공사비_국내_실적19"/>
      <sheetName val="2003년국내현장공사비_실적19"/>
      <sheetName val="VC2_10_9919"/>
      <sheetName val="INPUT_DATA18"/>
      <sheetName val="집계표_(25,26ဩ18"/>
      <sheetName val="General_Data18"/>
      <sheetName val="Form_018"/>
      <sheetName val="Form_D-117"/>
      <sheetName val="Form_B-117"/>
      <sheetName val="Form_F-117"/>
      <sheetName val="Form_A17"/>
      <sheetName val="LABOR_&amp;_자재17"/>
      <sheetName val="입출재고현황_(2)17"/>
      <sheetName val="3_공통공사대비17"/>
      <sheetName val="간접비_총괄17"/>
      <sheetName val="Price_Schedule17"/>
      <sheetName val="CAL_17"/>
      <sheetName val="Rate_Analysis17"/>
      <sheetName val="WEIGHT_LIST16"/>
      <sheetName val="산#2-1_(2)16"/>
      <sheetName val="BEND_LOSS16"/>
      <sheetName val="EQUIPMENT_-217"/>
      <sheetName val="공사비_내역_(가)16"/>
      <sheetName val="내역서_耰&quot;??17"/>
      <sheetName val="단면_(2)16"/>
      <sheetName val="6PILE__(돌출)16"/>
      <sheetName val="Static_Equip16"/>
      <sheetName val="Form_A_16"/>
      <sheetName val="내역서_耰&quot;_x005f_x0000__x005f_x0000_16"/>
      <sheetName val="Sheet1_(2)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Man_Hole15"/>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계측_내역서15"/>
      <sheetName val="7__월별투입내역서15"/>
      <sheetName val="2_2_STAFF_Scedule15"/>
      <sheetName val="내역서_耰&quot;_x005f_x005f_x005f_x005f_x005f_x005f_x00015"/>
      <sheetName val="Z-_GENERAL_PRICE_SUMMARY15"/>
      <sheetName val="_Estimate__15"/>
      <sheetName val="MP_MOB15"/>
      <sheetName val="Form_B15"/>
      <sheetName val="T_315"/>
      <sheetName val="HORI__VESSEL15"/>
      <sheetName val="EQUIP_LIST15"/>
      <sheetName val="Precios_Unitarios15"/>
      <sheetName val="Vind_-_BtB15"/>
      <sheetName val="LV_induction_motors15"/>
      <sheetName val="BSD_(2)15"/>
      <sheetName val="Administrative_Prices15"/>
      <sheetName val="WBS_4415"/>
      <sheetName val="WBS_4115"/>
      <sheetName val="Precios_por_Administración15"/>
      <sheetName val="Subcon_A15"/>
      <sheetName val="BM_DATA_SHEET16"/>
      <sheetName val="Material_Selections15"/>
      <sheetName val="Monthly_Load15"/>
      <sheetName val="Weekly_Load15"/>
      <sheetName val="내역서_耰&quot;_x005f_x005f_x005f_x005f_x005f_x005f_x00515"/>
      <sheetName val="[SANDAN_XLS??15"/>
      <sheetName val="Piping_BQ_for_one_turbine15"/>
      <sheetName val="97_사업추정(WEKI)15"/>
      <sheetName val="Eq__Mobilization15"/>
      <sheetName val="breakdown_of_wage_rate15"/>
      <sheetName val="Indirect_Cost15"/>
      <sheetName val="단가_(2)14"/>
      <sheetName val="4-3LEVEL-5_epic_414"/>
      <sheetName val="Equipment_List15"/>
      <sheetName val="Form1_SQP15"/>
      <sheetName val="Resource_table15"/>
      <sheetName val="SCHEDD_TAMBAHAN15"/>
      <sheetName val="공정계획(내부계획25%,내부w_f)15"/>
      <sheetName val="Fire_Protection15"/>
      <sheetName val="입찰내역_발주처_양식15"/>
      <sheetName val="AG_Pipe_Qty_Analysis15"/>
      <sheetName val="Heavy_Equipments15"/>
      <sheetName val="SFN_ORIG15"/>
      <sheetName val="Dir_Manpower_Other_Exp_15"/>
      <sheetName val="Utility_and_Fire_flange15"/>
      <sheetName val="w't_table15"/>
      <sheetName val="_SANDAN_XLS__15"/>
      <sheetName val="BOQ-B_DOWN14"/>
      <sheetName val="MODULE_CONFIRM14"/>
      <sheetName val="ITB_COST15"/>
      <sheetName val="내역서_(∮ἀ嘆ɶ14"/>
      <sheetName val="실행예산_MM14"/>
      <sheetName val="FWBS_153014"/>
      <sheetName val="plan&amp;section_of_foundation11"/>
      <sheetName val="working_load_at_the_btm_ft_11"/>
      <sheetName val="stability_check11"/>
      <sheetName val="design_load11"/>
      <sheetName val="PROTECTION_14"/>
      <sheetName val="PROJECT_BRIEF10"/>
      <sheetName val="내역서1999_8최종10"/>
      <sheetName val="Cash_In-Cash_Out_Actual14"/>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Closeout_Control10"/>
      <sheetName val="Unit_Price_10"/>
      <sheetName val="4-Basic_Price10"/>
      <sheetName val="Evaluasi_Penw10"/>
      <sheetName val="Sum_(Case-3)10"/>
      <sheetName val="Man_Power_&amp;_Comp10"/>
      <sheetName val="Data_List10"/>
      <sheetName val="Currency_Rate10"/>
      <sheetName val="CUADRO_DE_PRECIOS14"/>
      <sheetName val="Site_Findings_Status_Sheet10"/>
      <sheetName val="5_)_Time_Delays10"/>
      <sheetName val="1100-1200-1300-1910-2140-LEV_10"/>
      <sheetName val="Material_Price16"/>
      <sheetName val="내역서_耰&quot;_x005f_x005f_x005f_x0000_10"/>
      <sheetName val="내역서_耰&quot;_x005f_x005f_x005f_x005f_10"/>
      <sheetName val="내역서_耰&quot;_x005f_x0000__x000011"/>
      <sheetName val="할증_10"/>
      <sheetName val="2__현장_자금투입_집계표10"/>
      <sheetName val="Item_code10"/>
      <sheetName val="RAB_AR&amp;STR10"/>
      <sheetName val="UP_MINOR10"/>
      <sheetName val="Ocean_Transporation_Charge10"/>
      <sheetName val="Codes_Pers10"/>
      <sheetName val="BO䁑-B_䁄OWN10"/>
      <sheetName val="Exchange_Rate10"/>
      <sheetName val="In-House_Summary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Unt_rate10"/>
      <sheetName val="Direct_PMS10"/>
      <sheetName val="Pengesahan_10"/>
      <sheetName val="Aux_10"/>
      <sheetName val="Discounted_Cash_Flow10"/>
      <sheetName val="Cash_Flow_bulanan10"/>
      <sheetName val="H_Satuan10"/>
      <sheetName val="OCT_FDN10"/>
      <sheetName val="General_Notes10"/>
      <sheetName val="_도면_및_도서_제출목록_및_일정_170202_xls10"/>
      <sheetName val="Rates_&amp;_Legend10"/>
      <sheetName val="Raw_data9"/>
      <sheetName val="2_Overall_Summary_9"/>
      <sheetName val="00-Summary_Information-ABB9"/>
      <sheetName val="breakdown_of_wage_ra9"/>
      <sheetName val="breakdown_of_wage_ra`f9"/>
      <sheetName val="__10"/>
      <sheetName val="_10"/>
      <sheetName val="breakdown_of_wage_rað-9"/>
      <sheetName val="breakdown_of_wage_rap9"/>
      <sheetName val="DROP_DOWN9"/>
      <sheetName val="Bill_rekap10"/>
      <sheetName val="Action_Item9"/>
      <sheetName val="Equipment_Spec_List9"/>
      <sheetName val="차트_(2)10"/>
      <sheetName val="breakdown_of_wage_ra9"/>
      <sheetName val="DATA_MENTAH9"/>
      <sheetName val="Material_code9"/>
      <sheetName val="ID_CD9"/>
      <sheetName val="Harga_Satuan10"/>
      <sheetName val="F_ALARM10"/>
      <sheetName val="PABS,Site_info9"/>
      <sheetName val="0__Resource　Code9"/>
      <sheetName val="개시대사_(2)9"/>
      <sheetName val="SPEC_LIST(EQUP,_SYS)9"/>
      <sheetName val="Distribution_Table9"/>
      <sheetName val="내역서_耰&quot;_x005f_x0000_10"/>
      <sheetName val="내역서_耰&quot;_x005f_x005f_10"/>
      <sheetName val="Process_Data_(2)10"/>
      <sheetName val="11_자재단가7"/>
      <sheetName val="SUM_8"/>
      <sheetName val="Air_Cooler-E9"/>
      <sheetName val="HO_Site_Rates-20119"/>
      <sheetName val="Al_Taweelah9"/>
      <sheetName val="Particular_Sch9"/>
      <sheetName val="내역서_耰&quot;_9"/>
      <sheetName val="내역서_(N____x000a_10"/>
      <sheetName val="TQ_Format8"/>
      <sheetName val="breakdown_of_wage_raÐ¾8"/>
      <sheetName val="Additional_data8"/>
      <sheetName val="Linelist_LNGC_Process9"/>
      <sheetName val="리스크_분류체계7"/>
      <sheetName val="SECL_리스크_분류체계_(2)7"/>
      <sheetName val="Cashflow_Analysis7"/>
      <sheetName val="Finansal_tamamlanma_Eğrisi7"/>
      <sheetName val="Attach_4-187"/>
      <sheetName val="33628-Rev__A7"/>
      <sheetName val="내역서_(∮ἀ嘆ɶ?᠀㬁?7"/>
      <sheetName val="INPUT_DATA_OF_SCHEDULE7"/>
      <sheetName val="LIFE_&amp;_REP_PROVN7"/>
      <sheetName val="O&amp;M_CREW7"/>
      <sheetName val="Tender_data7"/>
      <sheetName val="Scheme_Area_Details_Block___C27"/>
      <sheetName val="14-Eng_rate7"/>
      <sheetName val="광통신_견적내역서17"/>
      <sheetName val="Cash_Flow7"/>
      <sheetName val="1_설계기준7"/>
      <sheetName val="REF_for_VV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GM_0007"/>
      <sheetName val="Admin_Manu_2-Equipment_Type_ID7"/>
      <sheetName val="일위대가_7"/>
      <sheetName val="5__월별투입내역서7"/>
      <sheetName val="Master_List7"/>
      <sheetName val="Fig_4-147"/>
      <sheetName val="설산1_나7"/>
      <sheetName val="OPT_8"/>
      <sheetName val="Weekl_8"/>
      <sheetName val="내역서_(N____23"/>
      <sheetName val="__x07"/>
      <sheetName val="BM_#17"/>
      <sheetName val="Activity_Form7"/>
      <sheetName val="Itembalance_Report_(18-sep-18)7"/>
      <sheetName val="BUDGET_SUMMARY_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Direct_Histogram_Rev__A_(f)7"/>
      <sheetName val="Cost_Code7"/>
      <sheetName val="Data_Ref7"/>
      <sheetName val="Interdept_Rate7"/>
      <sheetName val="Perm__Test7"/>
      <sheetName val="Galian_17"/>
      <sheetName val="Analisa_Lump_sum7"/>
      <sheetName val="Sec_I_ML7"/>
      <sheetName val="64_47"/>
      <sheetName val="64_57"/>
      <sheetName val="36_27"/>
      <sheetName val="36_17"/>
      <sheetName val="EQUIPOS_DE_SEGURIDAD7"/>
      <sheetName val="MATERIALES_CONSUMIBLES7"/>
      <sheetName val="PERSONAL_INDIRECTO_7"/>
      <sheetName val="Land_Dev't__Ph-119"/>
      <sheetName val="4300_UTILITY_BLDG_(2)7"/>
      <sheetName val="P-Ins_&amp;_Bonds7"/>
      <sheetName val="INSTLIST_17"/>
      <sheetName val="6_공정표5"/>
      <sheetName val="Tables_3_1_to_3_5_EXH_G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List_register7"/>
      <sheetName val="Att-1_CTCI_MH_rate7"/>
      <sheetName val="dongia_(2)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SPEC(CABLE_&amp;_WIRE)5"/>
      <sheetName val="5__Work_load(현재원기준)7"/>
      <sheetName val="내역서_(N__x007"/>
      <sheetName val="1_11_b5"/>
      <sheetName val="05__Curva_S6"/>
      <sheetName val="TR_Rev_vs_Commit5"/>
      <sheetName val="TR_+MMHE_PL_report5"/>
      <sheetName val="P23P2724___Commitment_5"/>
      <sheetName val="G_R300경비5"/>
      <sheetName val="AS포장복구_5"/>
      <sheetName val="중기조종사_단위단가5"/>
      <sheetName val="설_계5"/>
      <sheetName val="External_Issues5"/>
      <sheetName val="내역서_(N____110"/>
      <sheetName val="RESUMEN_CD5"/>
      <sheetName val="BOQ_REV65"/>
      <sheetName val="Maliyet_Ozet5"/>
      <sheetName val="1_1-1_25"/>
      <sheetName val="1_3-_1_45"/>
      <sheetName val="3_15"/>
      <sheetName val="3_25"/>
      <sheetName val="4_1(a)5"/>
      <sheetName val="4_1(b)5"/>
      <sheetName val="4_1_(c)5"/>
      <sheetName val="5_15"/>
      <sheetName val="4-Lane_bridge19"/>
      <sheetName val="동상부_Tact_기준_반입일정_및_수량_02175"/>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CONCRETE_TYPE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3_부제O호표5"/>
      <sheetName val="5_소모재료비5"/>
      <sheetName val="8_시멘트제원표5"/>
      <sheetName val="2_품제O호표5"/>
      <sheetName val="5_Cennik6"/>
      <sheetName val="내역서_(∮ἀ嘆ɶ_᠀㬁_6"/>
      <sheetName val="Vehicle_Log5"/>
      <sheetName val="M&amp;E_Summary5"/>
      <sheetName val="rev_summary5"/>
      <sheetName val="M&amp;E_Prelims5"/>
      <sheetName val="B-FP_(2)5"/>
      <sheetName val="Sch_15"/>
      <sheetName val="tblg_denda6"/>
      <sheetName val="_토목_처리장도급내역서_5"/>
      <sheetName val="Rekap_Biaya4"/>
      <sheetName val="Kuantitas_&amp;_Harga4"/>
      <sheetName val="Nopember_(2)4"/>
      <sheetName val="GRAND_REKAP4"/>
      <sheetName val="analisa_(2)4"/>
      <sheetName val="Analisa_24"/>
      <sheetName val="F1_45"/>
      <sheetName val="LRK_5"/>
      <sheetName val="Statprod_gab6"/>
      <sheetName val="L_16"/>
      <sheetName val="Equip_Mstr_FOR_3A15"/>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Equipt_Rental5"/>
      <sheetName val="EQ_USED_(CORRECTED)5"/>
      <sheetName val="Rebar_Constant5"/>
      <sheetName val="ENE-CAL_13"/>
      <sheetName val="Memb_Schd4"/>
      <sheetName val="Coef_et_données4"/>
      <sheetName val="Manpower_Categories5"/>
      <sheetName val="Up_&amp;_bhn4"/>
      <sheetName val="HRG_BHN4"/>
      <sheetName val="Analisa_(ok_punya)4"/>
      <sheetName val="Alat_(2)4"/>
      <sheetName val="Garph_Work-Cost5"/>
      <sheetName val="Urai__Resap_pengikat4"/>
      <sheetName val="DAF_HRG4"/>
      <sheetName val="7_공정표4"/>
      <sheetName val="Kolom_UT4"/>
      <sheetName val="HB_4"/>
      <sheetName val="Eng_Hrs_(HO)4"/>
      <sheetName val="MFG_&amp;_DEL4"/>
      <sheetName val="InsertListDrawing_1_4"/>
      <sheetName val="InD_Mpower5"/>
      <sheetName val="원가조정_내역4"/>
      <sheetName val="P_Staff_fac4"/>
      <sheetName val="beam-reinft-IIInd_floor4"/>
      <sheetName val="P-Site_fac4"/>
      <sheetName val="P-Clients_fac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Scaffolding_Volume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Monthly_S_Curve_SPK2"/>
      <sheetName val="a_h_ars_sum4"/>
      <sheetName val="a_h_ars4"/>
      <sheetName val="내역서_(N____25"/>
      <sheetName val="내역서_耰&quot;_x005f9"/>
      <sheetName val="P2-Project_Data4"/>
      <sheetName val="Insulation_1501085"/>
      <sheetName val="MASTER_RATE_ANALYSIS5"/>
      <sheetName val="MN_T_B_5"/>
      <sheetName val="INDIGINEOUS_ITEMS_5"/>
      <sheetName val="Core_Data5"/>
      <sheetName val="final_abstract5"/>
      <sheetName val="Bang_KL1"/>
      <sheetName val="Raw_Ref1"/>
      <sheetName val="Cost_Codes1"/>
      <sheetName val="Addendum_No_1_BILL_22"/>
      <sheetName val="Week_ending1"/>
      <sheetName val="Planners_Workload1"/>
      <sheetName val="MAY_00-Bobbins1"/>
      <sheetName val="2_2_띠장의_설계1"/>
      <sheetName val="(10)_Other_Costs51"/>
      <sheetName val="7_6_3_J_Inline_Instrument1"/>
      <sheetName val="Code_071"/>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Integrated-S_Curv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Equiv_Length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집계표(2_안)1"/>
      <sheetName val="uraian_analisa1"/>
      <sheetName val="8LT_121"/>
      <sheetName val="Basic_Price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BQ_Summary1"/>
      <sheetName val="Process_Piping1"/>
      <sheetName val="Home_Office1"/>
      <sheetName val="renc_mgn1"/>
      <sheetName val="P__control1"/>
      <sheetName val="Costing_Detailed1"/>
      <sheetName val="Basic_Data_Inputs1"/>
      <sheetName val="BILL_11"/>
      <sheetName val="Step2_-&gt;_Mat__Cost1"/>
      <sheetName val="TEMP_PROFILE1"/>
      <sheetName val="_선택_속성(잠금)1"/>
      <sheetName val="Drop-down_lists1"/>
      <sheetName val="VS_P-Q1"/>
      <sheetName val="Daily_Photo1"/>
      <sheetName val="Manpower_Status1"/>
      <sheetName val="LV_induction_1"/>
      <sheetName val="Harga_material_11"/>
      <sheetName val="Peralatan_(2)1"/>
      <sheetName val="建筑定额_(2002)1"/>
      <sheetName val="ADI_Edison_Termoelettrica1"/>
      <sheetName val="Daily_Forwards1"/>
      <sheetName val="Team_3_S-Curve1"/>
      <sheetName val="MH_and_Unit_Cost1"/>
      <sheetName val="Material_Cost(as_per_Nation)1"/>
      <sheetName val="Bilanz_Bus_plan_2002"/>
      <sheetName val="Mei_LD"/>
      <sheetName val="Data_Input"/>
      <sheetName val="Project_budget_BTS"/>
      <sheetName val="Well_Plan_1"/>
      <sheetName val="PAD_TR보호대기초"/>
      <sheetName val="cespiti_cet2_piombino_(2)"/>
      <sheetName val="建筑工程统计表06月份_"/>
      <sheetName val="LV_induction_mot1"/>
      <sheetName val="Fire_Fighting"/>
      <sheetName val="HARGA_DASAR"/>
      <sheetName val="KR2&amp;KVCM(MAR_1-6'99)"/>
      <sheetName val="TH_VL,_NC,_DDHT_Thanhphuoc"/>
      <sheetName val="PSV2701F"/>
      <sheetName val="J直材4"/>
      <sheetName val="GENDATA Sht 1"/>
      <sheetName val="Tmp1"/>
      <sheetName val="N賃率-職"/>
      <sheetName val="날개벽수량표"/>
      <sheetName val="TOSHIBA-Structure"/>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첨부2. 물량소화계획 상세"/>
      <sheetName val="S&amp;M Opex"/>
      <sheetName val="Perhitungan"/>
      <sheetName val="REN2000"/>
      <sheetName val="STEP1.a-JUL03"/>
      <sheetName val="Equip COA Sumry"/>
      <sheetName val="Admin"/>
      <sheetName val="Har_Sat"/>
      <sheetName val="DIV_3"/>
      <sheetName val="DIV_9"/>
      <sheetName val="LOKASI_RIG_Litbang"/>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0_5_TABLA_PRESUPUESTOS3"/>
      <sheetName val="ﾄﾞﾊﾞｲFUEL_GAS追見3"/>
      <sheetName val="breakdown_of_FA1132"/>
      <sheetName val="Sheet_142"/>
      <sheetName val="JGSummit_Package_2_(CTCI)2"/>
      <sheetName val="ANALISA_KONST_BTN"/>
      <sheetName val="Materials_"/>
      <sheetName val="M_MM"/>
      <sheetName val="Sheet1_(4)"/>
      <sheetName val="Rev_"/>
      <sheetName val="struktur_tdk_dipakai"/>
      <sheetName val="sch_1_2"/>
      <sheetName val="B_10_(4)"/>
      <sheetName val="Country_(kVA-Hz_)"/>
      <sheetName val="Vind_-鴃宼蠀"/>
      <sheetName val="HaulingLine_hardware"/>
      <sheetName val="S_Curve"/>
      <sheetName val="Branch_Power"/>
      <sheetName val="C__letter_3rd_QT"/>
      <sheetName val="INPUT_DATAS"/>
      <sheetName val="Perhitungan_RAB"/>
      <sheetName val="ABK_04_AWALR+CO+TAB_RUPS"/>
      <sheetName val="9_58&quot;_single"/>
      <sheetName val="A-11_Steel_Str"/>
      <sheetName val="A-03_Pile"/>
      <sheetName val="CONS_"/>
      <sheetName val="잡철물"/>
      <sheetName val="원하도급내역서(당초)"/>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당초_ȭ"/>
      <sheetName val="당초_➴ȭ"/>
      <sheetName val="TWO PASS"/>
      <sheetName val="THREE PASS"/>
      <sheetName val="Fuel"/>
      <sheetName val="D.Base"/>
      <sheetName val="BBM"/>
      <sheetName val="Neraca"/>
      <sheetName val="R-L"/>
      <sheetName val="DETANAL-AUG"/>
      <sheetName val="YRACCT"/>
      <sheetName val="B表"/>
      <sheetName val="TOWER 12TON"/>
      <sheetName val="TOWER 10TON"/>
      <sheetName val="CW"/>
      <sheetName val="RELACION COSTE"/>
      <sheetName val="New Rates"/>
      <sheetName val="OOC Form"/>
      <sheetName val="11FEB"/>
      <sheetName val="E1"/>
      <sheetName val="개산공사비"/>
      <sheetName val="proj"/>
      <sheetName val="Riesgos y Oportunidades"/>
      <sheetName val="배관쳻᫥"/>
      <sheetName val="배관䳝ᇪ"/>
      <sheetName val="배관᳝᧪"/>
      <sheetName val="U4350"/>
      <sheetName val="Introduction"/>
      <sheetName val="Cover (sh 1)"/>
      <sheetName val="Instructions"/>
      <sheetName val="부하계산서"/>
      <sheetName val="D -12"/>
      <sheetName val="2004"/>
      <sheetName val="SPK"/>
      <sheetName val="BA"/>
      <sheetName val="A H S P"/>
      <sheetName val="Harga Bahan"/>
      <sheetName val="HSA &amp; PAB"/>
      <sheetName val="Format Report-for analysis only"/>
      <sheetName val="Rekap BQ-Pompong"/>
      <sheetName val="DATA(입력)"/>
      <sheetName val="골조"/>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Cause Categories"/>
      <sheetName val="1 间接人工费"/>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内訳書"/>
      <sheetName val="TRENCH"/>
      <sheetName val="Cost Control"/>
      <sheetName val="Factor Sheet"/>
      <sheetName val="Price Sheet"/>
      <sheetName val="Room Type"/>
      <sheetName val="Basement2 DB"/>
      <sheetName val="FAC"/>
      <sheetName val="COST"/>
      <sheetName val="BOQ SUM"/>
      <sheetName val="Cost Factor Sheet"/>
      <sheetName val="Ragama"/>
      <sheetName val="MALZEME"/>
      <sheetName val="IRR_sponsor6"/>
      <sheetName val="Enron_Form6"/>
      <sheetName val="List_Equip6"/>
      <sheetName val="Process_C_(1-166)6"/>
      <sheetName val="TRUCK_HAUL_CYCLE-waste6"/>
      <sheetName val="Existing_PC_Pavement6"/>
      <sheetName val="Sch_66"/>
      <sheetName val="Master_Data6"/>
      <sheetName val="ind'l_cp6"/>
      <sheetName val="LAST_UPDATE6"/>
      <sheetName val="0_품의서(전체)6"/>
      <sheetName val="SUMMARY_MTO_02_2_356"/>
      <sheetName val="N_G_METERING_CALC_6"/>
      <sheetName val="N_G_METERING6"/>
      <sheetName val="N_G_METERING_(2)6"/>
      <sheetName val="CUMENE_METERING6"/>
      <sheetName val="N2_METERING_6"/>
      <sheetName val="H2_METERING__6"/>
      <sheetName val="CO_METERING6"/>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2013电气概算_价目表_(营改增调整)6"/>
      <sheetName val="Other_data6"/>
      <sheetName val="단중"/>
      <sheetName val="품셈표"/>
      <sheetName val="BOKOR TOPSIDE LS_3.17M480R"/>
      <sheetName val="ZKPAOINCURREDTS"/>
      <sheetName val="ZKPAOBALANCETSJKT"/>
      <sheetName val="ZKPAOBALANCETS"/>
      <sheetName val="ZKPAOINCURREDJKT"/>
      <sheetName val="ZKPAOPRJKT"/>
      <sheetName val="ZKPAOPRTS"/>
      <sheetName val="Boq(1)"/>
      <sheetName val="SI No.25"/>
      <sheetName val="Additional Work"/>
      <sheetName val="DPA"/>
      <sheetName val="p17 POP 2"/>
      <sheetName val="p16 POP 1"/>
      <sheetName val="p14 cooling mp 2"/>
      <sheetName val="p15 cooling mp 3"/>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Chap_2-_Page_4_3"/>
      <sheetName val="VAT_TU_DIEN3"/>
      <sheetName val="bldg_list3"/>
      <sheetName val="SWALE_(구산)3"/>
      <sheetName val="REF_ONLY3"/>
      <sheetName val="Data_Ref_3"/>
      <sheetName val="KKS_System_Codes3"/>
      <sheetName val="Price_Schedule_Code3"/>
      <sheetName val="UPAH_&amp;_BHN_ARS2"/>
      <sheetName val="AHS_ARS2"/>
      <sheetName val="Analisa_HSP2"/>
      <sheetName val="입찰내역_발주처_양卤2"/>
      <sheetName val="Analisa_Neraca2"/>
      <sheetName val="ANAL_BOW2"/>
      <sheetName val="Isolasi_Luar_Dalam2"/>
      <sheetName val="Isolasi_Luar2"/>
      <sheetName val="내역서_(N____26"/>
      <sheetName val="график_финансирования2"/>
      <sheetName val="OE_(KSB)2"/>
      <sheetName val="Ana__PU2"/>
      <sheetName val="galian_saluran2"/>
      <sheetName val="Perhit_Alat2"/>
      <sheetName val="05_Analisa_Teknik2"/>
      <sheetName val="Analisa_SNI_STANDART_2"/>
      <sheetName val="1_B2"/>
      <sheetName val="SANDAN_XLS11"/>
      <sheetName val="Project_D2"/>
      <sheetName val="Tender_Summary2"/>
      <sheetName val="6_2_Floor_Finishes3"/>
      <sheetName val="Ra__stair2"/>
      <sheetName val="Harga_Mat_2"/>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BQ_Working1"/>
      <sheetName val="Star_Rate1"/>
      <sheetName val="9011_EXPAT_MANP1"/>
      <sheetName val="App_A_Basis_of_Design1"/>
      <sheetName val="tabel_berat1"/>
      <sheetName val="MR_EUR1"/>
      <sheetName val="Ind__Budget1"/>
      <sheetName val="cost_curve_calc1"/>
      <sheetName val="SEK_Vertrieb1"/>
      <sheetName val="SEK_Montage1"/>
      <sheetName val="SEK_IBN1"/>
      <sheetName val="КС2_24_1-8_(4_1_8_11_200)corr1"/>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PROG_"/>
      <sheetName val="Calc_Sheet"/>
      <sheetName val="Batam_Forecast3"/>
      <sheetName val="Batam_Forecast_jun3"/>
      <sheetName val="Fabrication_Summary3"/>
      <sheetName val="D6978_Mar_21_-_FProj073"/>
      <sheetName val="GEAC_-_Dec193"/>
      <sheetName val="SA516-60,70_(정리)"/>
      <sheetName val="p_mgmt"/>
      <sheetName val="Dati_base"/>
      <sheetName val="Asset_Mansys_Sum"/>
      <sheetName val="Job_List_(2)"/>
      <sheetName val="Constn_&amp;_Install_-_LEV_4"/>
      <sheetName val="LEV_4_Project_Managem"/>
      <sheetName val="Site_Management"/>
      <sheetName val="Manhrs_Sum"/>
      <sheetName val="BG_Working_Sheet"/>
      <sheetName val="2__Steel_Structural"/>
      <sheetName val="DO_NOT_DELETE"/>
      <sheetName val="Risk_Variables"/>
      <sheetName val="간접비_총괄표"/>
      <sheetName val="BOQ_LIST"/>
      <sheetName val="Material_Groups"/>
      <sheetName val="Material_Kind"/>
      <sheetName val="Unit_of_Measurement_"/>
      <sheetName val="COS_REP_XLS"/>
      <sheetName val="upah_bahan"/>
      <sheetName val="AnalisaSIPIL_RIIL"/>
      <sheetName val="Rek_Analisa"/>
      <sheetName val="HRG_BAHAN_&amp;_UPAH_okk"/>
      <sheetName val="TS_MINGGUAN_rev_(2)"/>
      <sheetName val="DAF_ALAT"/>
      <sheetName val="첨부_#8_기자재_Cost_Summary"/>
      <sheetName val="3_6M_RETAINING_WALL"/>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Dia_Inch"/>
      <sheetName val="1_집계표(일반전기)"/>
      <sheetName val="2_집계표(선행공사)"/>
      <sheetName val="3_집계표(소방공사)"/>
      <sheetName val="CABLE_TRAY"/>
      <sheetName val="아파트_기성내역서"/>
      <sheetName val="FPF-Unit_Rates"/>
      <sheetName val="PNT-Unit_Rates"/>
      <sheetName val="교각계산"/>
      <sheetName val="Sheet15"/>
      <sheetName val="Sheet13"/>
      <sheetName val="APT"/>
      <sheetName val="사통"/>
      <sheetName val="공사사진"/>
      <sheetName val="배명(단가)"/>
      <sheetName val="JIB CRANE,HOIST"/>
      <sheetName val="sc"/>
      <sheetName val="1)_COMMON_FACILITIES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내역서_耰&quot;14"/>
      <sheetName val="Precios_Unitariԯ6"/>
      <sheetName val="State_List"/>
      <sheetName val="GIAVLIEU"/>
      <sheetName val="Analisa HS"/>
      <sheetName val="HPS PC"/>
      <sheetName val="Pile Cap"/>
      <sheetName val="SUR-HARGA"/>
      <sheetName val="COMM"/>
      <sheetName val="기타 (3)"/>
      <sheetName val="Varible"/>
      <sheetName val="인원칠ᦑ"/>
      <sheetName val="샘플수"/>
      <sheetName val="drop down list"/>
      <sheetName val="tblTHK"/>
      <sheetName val="MOTOR OPERATED VALVE LIST_1"/>
      <sheetName val="ocean_voyage"/>
      <sheetName val="anal_rab"/>
      <sheetName val="Pivot_Table"/>
      <sheetName val="Sheet_x0000__x0000__x0005__x0000_�"/>
      <sheetName val="输煤冲洗水泵房"/>
      <sheetName val="쬏+쫶&amp;쫹AN.XLS]______x005f_x001f__x000_4"/>
      <sheetName val="쬏+쫶&amp;쫹AN.XLS]______x005f_x001f__x000_2"/>
      <sheetName val="쬏+쫶&amp;쫹AN.XLS]______x005f_x001f__x000_3"/>
      <sheetName val="REC. SALV."/>
      <sheetName val="WORK INDEX"/>
      <sheetName val="Part 3-Cladding"/>
      <sheetName val="cash budget"/>
      <sheetName val="PLAGCoct03"/>
      <sheetName val="单价"/>
      <sheetName val="取费"/>
      <sheetName val="综合预算价格"/>
      <sheetName val="2001概算定额"/>
      <sheetName val="tj定额"/>
      <sheetName val="SS MH"/>
      <sheetName val="__x001b__x0006__x0006__x0008__"/>
      <sheetName val="__x001b__x0"/>
      <sheetName val="OPT_x0012__x0010__"/>
      <sheetName val="2_x0010___x0003__x000d__x0008__x0010__x0004__x0004__x0004_"/>
      <sheetName val="2002년_현장공사비_국내_ꠀꌕ⠃"/>
      <sheetName val="PT_DPT_Manifold (TR)"/>
      <sheetName val="PT_DPT_Seal (TR)"/>
      <sheetName val="Item Details"/>
      <sheetName val="Sheet233"/>
      <sheetName val="Sheet229"/>
      <sheetName val="[SANDAN.XLS€??"/>
      <sheetName val="Twr (15)"/>
      <sheetName val="Shedule"/>
      <sheetName val="_x005f_x005f_x005f_x005f_x005f_x005f_x00Ȋ_x0000_䀀"/>
      <sheetName val="_x005f_x005f_x005f_x005f_x005f_x005f_x00《䕩堤"/>
      <sheetName val="PAY"/>
      <sheetName val="011C101"/>
      <sheetName val="Mix Design"/>
      <sheetName val="Buildg-200"/>
      <sheetName val="B2-UNIT 207"/>
      <sheetName val="BS-Notes"/>
      <sheetName val="BQ INSUL"/>
      <sheetName val="BQ PIPE"/>
      <sheetName val="SHOP FIELD INSTALL %"/>
      <sheetName val="LINE TESTS"/>
      <sheetName val="H"/>
      <sheetName val="D"/>
      <sheetName val="J"/>
      <sheetName val="Working"/>
      <sheetName val="BCC CABLE DATA"/>
      <sheetName val="FJR CABLE DATA"/>
      <sheetName val="JRT CABLE DATA"/>
      <sheetName val="PD CABLE DATA "/>
      <sheetName val="TBA CABLE DATA"/>
      <sheetName val="TY CABLE DATA"/>
      <sheetName val="5a. Code_E"/>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coastal"/>
      <sheetName val="DE-110"/>
      <sheetName val="WBS"/>
      <sheetName val="PUNCH DESCRIPTION"/>
      <sheetName val="Material List "/>
      <sheetName val="REQ_REMARKS"/>
      <sheetName val="Project data"/>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예산작성기준(전기)"/>
      <sheetName val="LIMA-CANTA"/>
      <sheetName val="MOS"/>
      <sheetName val="S-CURVE_OLD"/>
      <sheetName val="WTPLN_Rev A"/>
      <sheetName val="Progress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내역서_(CIVI鷘ș痰"/>
      <sheetName val="내역서_(CIVI痰ā㨬Õ"/>
      <sheetName val="내역서_(CIVI"/>
      <sheetName val="내역서_(∮ἀ嘆ɶ᠀㬁4"/>
      <sheetName val="DД"/>
      <sheetName val="Номенклатура BOE"/>
      <sheetName val="Типы оборудования"/>
      <sheetName val="Basic-Engineering"/>
      <sheetName val="Startphase"/>
      <sheetName val="Katsayilar"/>
      <sheetName val="Номенклатура BOM"/>
      <sheetName val="系数516"/>
      <sheetName val="내역서_耰&quot;15"/>
      <sheetName val="SANDAN_XLS13"/>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Bond &amp; Stamp"/>
      <sheetName val="작성기준"/>
      <sheetName val="CutOffDates"/>
      <sheetName val="Prec.OTS"/>
      <sheetName val="DropList"/>
      <sheetName val="SPIR2"/>
      <sheetName val="Customize Your Invoice"/>
      <sheetName val="Parking B"/>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MPP"/>
      <sheetName val="수량집계표"/>
      <sheetName val="Inputdata"/>
      <sheetName val="Progress Tables"/>
      <sheetName val="L01 Actual Cashflow  Rev 3"/>
      <sheetName val="Price Summary (1)"/>
      <sheetName val="Price Summary (2)"/>
      <sheetName val="Base BM-rebar"/>
      <sheetName val="Bang chi tiet-Direct work"/>
      <sheetName val="rap rinci"/>
      <sheetName val="D8(1)"/>
      <sheetName val="SewerPipe"/>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p_mgmt1"/>
      <sheetName val="Dati_base1"/>
      <sheetName val="Asset_Mansys_Sum1"/>
      <sheetName val="Job_List_(2)1"/>
      <sheetName val="Constn_&amp;_Install_-_LEV_41"/>
      <sheetName val="LEV_4_Project_Managem1"/>
      <sheetName val="Site_Management1"/>
      <sheetName val="Manhrs_Sum1"/>
      <sheetName val="내역서_(N____32"/>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3__PE_Unit_"/>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Control_Panel"/>
      <sheetName val="using_rjs409_progress_data"/>
      <sheetName val="Summary_F-217_R6"/>
      <sheetName val="BEU_btm_nozz_@_tsht"/>
      <sheetName val="Cover_Sheet"/>
      <sheetName val=" __x001b___x0"/>
      <sheetName val="OPT_x0012___x0010__ _"/>
      <sheetName val="2__"/>
      <sheetName val="내역서_(∮ἀ嘆ɶ_᠀㬁_8"/>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OPT_x0012___x0010__"/>
      <sheetName val="내역서_耰&quot;__x00001"/>
      <sheetName val="내역서_耰&quot;__x0006"/>
      <sheetName val="__x0004_"/>
      <sheetName val="Site__"/>
      <sheetName val="내역서_耰&quot;__x00002"/>
      <sheetName val="내역서_耰&quot;__x00003"/>
      <sheetName val="배製㤁"/>
      <sheetName val="15.2 - HVAC Works"/>
      <sheetName val="탈황2팀(밸브)"/>
      <sheetName val="Bored_Pile"/>
      <sheetName val="03-13_Anticipated"/>
      <sheetName val="03-13_Approved"/>
      <sheetName val="2_x0010__x0000_ _x0000__x0003__x0000__x000d__x0000__x0008__x0000__x0010__x0000__x0004__x0000__x0004__x0000__x0004_"/>
      <sheetName val="내역서_(N___ 9"/>
      <sheetName val="? ???? ?"/>
      <sheetName val=" ????? ??"/>
      <sheetName val="Weekl?? ?"/>
      <sheetName val="? ?_x0"/>
      <sheetName val=" ??_x0"/>
      <sheetName val="OPT?? ?"/>
      <sheetName val="bi-mnthly rep Villa"/>
      <sheetName val="TPK(I) Budget"/>
      <sheetName val="L V Separator"/>
      <sheetName val="Nation"/>
      <sheetName val="Analisa ME"/>
      <sheetName val="MTL(AG)"/>
      <sheetName val="rumus"/>
      <sheetName val="Time Schedule"/>
      <sheetName val="선택 속성(잠금)"/>
      <sheetName val="장비명"/>
      <sheetName val="unit_weight"/>
      <sheetName val="업무처리전"/>
      <sheetName val="ES-aLL"/>
      <sheetName val="HASAT"/>
      <sheetName val="Unit Price Analysis"/>
      <sheetName val="Piping_BQ_fMrZone_turbine7"/>
      <sheetName val="3_Breakdown_Direct_Saent9"/>
      <sheetName val="일위대가-1"/>
      <sheetName val="sum1 (2)"/>
      <sheetName val="MIJIBI"/>
      <sheetName val="Lookup Table"/>
      <sheetName val="D 5243-ARAMCO"/>
      <sheetName val="D-4801 OXY"/>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砂石料"/>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11421"/>
      <sheetName val="ArusKas"/>
      <sheetName val="CIMB IDR"/>
      <sheetName val="REKAP A BESAR"/>
      <sheetName val="NAME1"/>
      <sheetName val="CODE2"/>
      <sheetName val="Inert Balls"/>
      <sheetName val="Cancelled"/>
      <sheetName val="Data1"/>
      <sheetName val="DataMO"/>
      <sheetName val="RFI_Bolt"/>
      <sheetName val="UNIT 3"/>
      <sheetName val="LOKASI"/>
      <sheetName val="PLANT LIST"/>
      <sheetName val="Unit_Rate"/>
      <sheetName val="D-3_(M)"/>
      <sheetName val="D-7_(M)"/>
      <sheetName val="01A-_RAB"/>
      <sheetName val="04_09_19_Mufqi(2)"/>
      <sheetName val="04_09_19_Winda(2)"/>
      <sheetName val="Mufqi_29_08_19"/>
      <sheetName val="Ade_30_08_19"/>
      <sheetName val="Pramudibyo_30_08_19"/>
      <sheetName val="Aji_02_09_19"/>
      <sheetName val="Diah_02_09_19"/>
      <sheetName val="_09_19"/>
      <sheetName val="Sewa_Alat"/>
      <sheetName val="BQ_ARS"/>
      <sheetName val="DAFTAR_ISI"/>
      <sheetName val="DAFTAR_TBL___FORM"/>
      <sheetName val="Harga_ME_"/>
      <sheetName val="Form_4___4_A"/>
      <sheetName val="T-3_2_UP_Material"/>
      <sheetName val="Analisa_STR"/>
      <sheetName val="anal_alat"/>
      <sheetName val="Cycle_Time"/>
      <sheetName val="rekap_harga_satuan_pek"/>
      <sheetName val="rab_j17"/>
      <sheetName val="Cover_(sh_1)"/>
      <sheetName val="S&amp;M_Opex"/>
      <sheetName val="DIV_21"/>
      <sheetName val="DIV_7"/>
      <sheetName val="DIV_81"/>
      <sheetName val="DIV_31"/>
      <sheetName val="01A__RAB"/>
      <sheetName val="53_"/>
      <sheetName val="MH_CIVIL"/>
      <sheetName val="Progress_Tables"/>
      <sheetName val="Analis_Kusen_okk"/>
      <sheetName val="Net_Cash_Table"/>
      <sheetName val="Cash_Out_Table"/>
      <sheetName val="Breakdown_Instrument"/>
      <sheetName val="Hujan_BUlanan"/>
      <sheetName val="Gas_Specific_Gravities_and_GHV"/>
      <sheetName val="rekap_str+ars"/>
      <sheetName val="Analisa_ME"/>
      <sheetName val="ctTBA"/>
      <sheetName val="GL"/>
      <sheetName val="구의33고"/>
      <sheetName val="ANALISA railing"/>
      <sheetName val="BELAGIO"/>
      <sheetName val="ARTAGDING"/>
      <sheetName val="POMALA"/>
      <sheetName val="SEMANAN"/>
      <sheetName val="BKPM"/>
      <sheetName val="차액보증"/>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입상내역"/>
      <sheetName val="기성"/>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JER3"/>
      <sheetName val="화전내"/>
      <sheetName val="드롭"/>
      <sheetName val="데구"/>
      <sheetName val="U-TYPE(1)"/>
      <sheetName val="VST재료산출"/>
      <sheetName val="인원_x0008__x0000_"/>
      <sheetName val="Issue_Log_"/>
      <sheetName val="P_M_별"/>
      <sheetName val="실행예산_MM_x0019_2"/>
      <sheetName val="ITB_COST13_x0000_볷檼謀谁臛픉_x0016_"/>
      <sheetName val="SITE DEV,T"/>
      <sheetName val="Change_Order_Log"/>
      <sheetName val="Change_Order_Log1"/>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eqp-rek"/>
      <sheetName val="design_criteria7"/>
      <sheetName val="Precios_Unitariԯ7"/>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INPUT_DATAS1"/>
      <sheetName val="Country_(kVA-Hz_)1"/>
      <sheetName val="ABK_04_AWALR+CO+TAB_RUPS1"/>
      <sheetName val="9_58&quot;_single1"/>
      <sheetName val="A-11_Steel_Str1"/>
      <sheetName val="A-03_Pile1"/>
      <sheetName val="CONS_1"/>
      <sheetName val="BG_Working_Sheet1"/>
      <sheetName val="Perhitungan_RAB1"/>
      <sheetName val="cespiti_cet2_piombino_(2)1"/>
      <sheetName val="建筑工程统计表06月份_1"/>
      <sheetName val="내역서_耰&quot;_x000010"/>
      <sheetName val="Z-_GENERAL_PRIC橿⿂⒘ࡈ1"/>
      <sheetName val="Z-_GENERAL_PRIC鋘@俀~橿⿂⍈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DIV_91"/>
      <sheetName val="LOKASI_RIG_Litbang1"/>
      <sheetName val="struktur_tdk_dipakai1"/>
      <sheetName val="sch_1_21"/>
      <sheetName val="B_10_(4)1"/>
      <sheetName val="Rev_1"/>
      <sheetName val="Sheet1_(4)1"/>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첨부2__물량소화계획_상세"/>
      <sheetName val="upah_bahan1"/>
      <sheetName val="AnalisaSIPIL_RIIL1"/>
      <sheetName val="Har_Sat1"/>
      <sheetName val="Rek_Analisa1"/>
      <sheetName val="HRG_BAHAN_&amp;_UPAH_okk1"/>
      <sheetName val="TS_MINGGUAN_rev_(2)1"/>
      <sheetName val="DAF_ALAT1"/>
      <sheetName val="Deliverable_list"/>
      <sheetName val="member_design"/>
      <sheetName val="Data_basic_price_jgan_diprint"/>
      <sheetName val="Daf_1"/>
      <sheetName val="Data_SRL"/>
      <sheetName val="Data_Prod_Graf"/>
      <sheetName val="RAB_J18_"/>
      <sheetName val="HARGA_J18"/>
      <sheetName val="analisa_J18"/>
      <sheetName val="COS_REP_XLS1"/>
      <sheetName val="JP-I_500155"/>
      <sheetName val="Rek_An"/>
      <sheetName val="Rencana_Anggaran_Biaya"/>
      <sheetName val="State_List1"/>
      <sheetName val="Subcon_Rate"/>
      <sheetName val="Basic_Rate1"/>
      <sheetName val="앉음벽_(2)"/>
      <sheetName val="5_새들부해석_및_철근배근"/>
      <sheetName val="Executive_Summary_(Aug_25)"/>
      <sheetName val="5_세운W-A"/>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D_Base"/>
      <sheetName val="TWO_PASS"/>
      <sheetName val="THREE_PASS"/>
      <sheetName val="19__drill_CD6"/>
      <sheetName val="MASTER_AR"/>
      <sheetName val="_anal_hrg_sat"/>
      <sheetName val="RAB_KapukII"/>
      <sheetName val="Committed_Cost"/>
      <sheetName val="Div26_-_Elect"/>
      <sheetName val="23_FILTH_"/>
      <sheetName val="02_01E_coli"/>
      <sheetName val="用水量"/>
      <sheetName val="Saisie"/>
      <sheetName val="MTO 18 Jul07&amp;19Nov08"/>
      <sheetName val="Grand summary Lot#1"/>
      <sheetName val="Part1 Preliminaries &amp; General"/>
      <sheetName val="Part2 Wastewater System"/>
      <sheetName val="Part3 Stormwater Drainage Syste"/>
      <sheetName val="Part4 Dayworks"/>
      <sheetName val="Part5 O&amp;M Equipment"/>
      <sheetName val="Part6 Training"/>
      <sheetName val="Solieu"/>
      <sheetName val="Xuly Data"/>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5_세운W-A1"/>
      <sheetName val="SA516-60,70_(정리)1"/>
      <sheetName val="Gas_Specific_Gravities_and_GHV1"/>
      <sheetName val="해평견적"/>
      <sheetName val="Common (LOV)"/>
      <sheetName val="Shaft Seal Type (LOV)"/>
      <sheetName val="Item Type II (LOV)"/>
      <sheetName val="Design Code (LOV)"/>
      <sheetName val="Sheet276"/>
      <sheetName val="_x005f_x005f_x005f_x005f_x005f_x005f_x00Ȋ"/>
      <sheetName val="Prog Pay Events_Prog Pay Events"/>
      <sheetName val="Critical - Key Drawings"/>
      <sheetName val="Mat Deliv Vs ZMM071"/>
      <sheetName val="girder"/>
      <sheetName val="GWC"/>
      <sheetName val="NWC"/>
      <sheetName val="WITHOUT_C&amp;I_PROFIT_(3)1"/>
      <sheetName val="환경기계공정표_(3)"/>
      <sheetName val="Project_Information_In-Out"/>
      <sheetName val="Sheet"/>
      <sheetName val="Issue_Detail_(2nd_Stage)"/>
      <sheetName val="원가계산서구조조정"/>
      <sheetName val="토적표"/>
      <sheetName val="Named_Range"/>
      <sheetName val="Floor_Level"/>
      <sheetName val="8&gt;한국인수당_(Master_file)"/>
      <sheetName val="AP_'S_ANALYSIS"/>
      <sheetName val="PBAC_budget"/>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Riesgos_y_Oportunidades"/>
      <sheetName val="TOWER_12TON"/>
      <sheetName val="TOWER_10TON"/>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CCS"/>
      <sheetName val="Environment"/>
      <sheetName val="TIPO 1"/>
      <sheetName val="DPres Calc"/>
      <sheetName val="DTmpData"/>
      <sheetName val="1.FACTORY"/>
      <sheetName val="GENDATA_Sht_1"/>
      <sheetName val="BCC_CABLE_DATA"/>
      <sheetName val="FJR_CABLE_DATA"/>
      <sheetName val="JRT_CABLE_DATA"/>
      <sheetName val="PD_CABLE_DATA_"/>
      <sheetName val="TBA_CABLE_DATA"/>
      <sheetName val="TY_CABLE_DATA"/>
      <sheetName val="5a__Code_E"/>
      <sheetName val="MappingTable"/>
      <sheetName val="2-1"/>
      <sheetName val="投资汇总"/>
      <sheetName val="?????????"/>
      <sheetName val="KUWATI(Total)_22"/>
      <sheetName val="집계표_(TOTAL)22"/>
      <sheetName val="집계표_(CIVIL-23)22"/>
      <sheetName val="집계표_(FGRU)22"/>
      <sheetName val="집계표_(25,26)22"/>
      <sheetName val="집계표_(MEROX)22"/>
      <sheetName val="집계표_(NITROGEN)22"/>
      <sheetName val="집계표_(M4)22"/>
      <sheetName val="집계표_(CIVIL4)22"/>
      <sheetName val="집계표_(CIVIL6)22"/>
      <sheetName val="집계표_(CIVIL7)22"/>
      <sheetName val="내역서(DEMO_TOTAL)22"/>
      <sheetName val="내역서_(CIVIL-23)22"/>
      <sheetName val="내역서_(fgru)22"/>
      <sheetName val="내역서_(25&amp;26)22"/>
      <sheetName val="내역서_(MEROX)22"/>
      <sheetName val="내역서_(NITROGEN)22"/>
      <sheetName val="내역서_(M4)22"/>
      <sheetName val="내역서_(CIVIL-4)22"/>
      <sheetName val="내역서_(CIVIL-6)22"/>
      <sheetName val="내역서_(CIVIL-7)22"/>
      <sheetName val="OPTION_222"/>
      <sheetName val="OPTION_322"/>
      <sheetName val="2002년_현장공사비_국내_실적22"/>
      <sheetName val="2003년국내현장공사비_실적22"/>
      <sheetName val="VC2_10_9922"/>
      <sheetName val="INPUT_DATA21"/>
      <sheetName val="집계표_(25,26ဩ21"/>
      <sheetName val="Form_021"/>
      <sheetName val="General_Data21"/>
      <sheetName val="Form_D-120"/>
      <sheetName val="Form_B-120"/>
      <sheetName val="Form_F-120"/>
      <sheetName val="Form_A20"/>
      <sheetName val="LABOR_&amp;_자재20"/>
      <sheetName val="입출재고현황_(2)20"/>
      <sheetName val="Price_Schedule20"/>
      <sheetName val="간접비_총괄20"/>
      <sheetName val="3_공통공사대비20"/>
      <sheetName val="EQUIPMENT_-220"/>
      <sheetName val="Static_Equip19"/>
      <sheetName val="CAL_20"/>
      <sheetName val="Rate_Analysis20"/>
      <sheetName val="3_Breakdown_Direct_Paint19"/>
      <sheetName val="WEIGHT_LIST19"/>
      <sheetName val="산#2-1_(2)19"/>
      <sheetName val="BEND_LOSS19"/>
      <sheetName val="공사비_내역_(가)19"/>
      <sheetName val="단면_(2)19"/>
      <sheetName val="내역서_耰&quot;??20"/>
      <sheetName val="내역서_耰&quot;_x005f_x0000__x005f_x0000_19"/>
      <sheetName val="6PILE__(돌출)19"/>
      <sheetName val="Form_A_19"/>
      <sheetName val="내역서_耰&quot;__20"/>
      <sheetName val="Summary_Sheets19"/>
      <sheetName val="Z-_GENERAL_PRICE_SUMMARY18"/>
      <sheetName val="_Estimate__18"/>
      <sheetName val="Áý°èÇ¥_(TOTAL)18"/>
      <sheetName val="Áý°èÇ¥_(CIVIL-23)18"/>
      <sheetName val="Áý°èÇ¥_(FGRU)18"/>
      <sheetName val="Áý°èÇ¥_(25,26)18"/>
      <sheetName val="Áý°èÇ¥_(MEROX)18"/>
      <sheetName val="Áý°èÇ¥_(NITROGEN)18"/>
      <sheetName val="Áý°èÇ¥_(M4)18"/>
      <sheetName val="Áý°èÇ¥_(CIVIL4)18"/>
      <sheetName val="Áý°èÇ¥_(CIVIL6)18"/>
      <sheetName val="Áý°èÇ¥_(CIVIL7)18"/>
      <sheetName val="³»¿ª¼­(DEMO_TOTAL)18"/>
      <sheetName val="³»¿ª¼­_(CIVIL-23)18"/>
      <sheetName val="³»¿ª¼­_(fgru)18"/>
      <sheetName val="³»¿ª¼­_(25&amp;26)18"/>
      <sheetName val="³»¿ª¼­_(MEROX)18"/>
      <sheetName val="³»¿ª¼­_(NITROGEN)18"/>
      <sheetName val="³»¿ª¼­_(M4)18"/>
      <sheetName val="³»¿ª¼­_(CIVIL-4)18"/>
      <sheetName val="³»¿ª¼­_(CIVIL-6)18"/>
      <sheetName val="³»¿ª¼­_(CIVIL-7)18"/>
      <sheetName val="2002³â_ÇöÀå°ø»çºñ_±¹³»_½ÇÀû18"/>
      <sheetName val="2003³â±¹³»ÇöÀå°ø»çºñ_½ÇÀû18"/>
      <sheetName val="2_2_STAFF_Scedule18"/>
      <sheetName val="Civil_119"/>
      <sheetName val="Civil_219"/>
      <sheetName val="Civil_319"/>
      <sheetName val="Site_119"/>
      <sheetName val="Site_219"/>
      <sheetName val="Site_319"/>
      <sheetName val="Site_Faci19"/>
      <sheetName val="Man_Hole18"/>
      <sheetName val="내역서_耰&quot;_x005f_x005f_x005f_x0000__x005f_x005f_x0018"/>
      <sheetName val="Precios_Unitarios18"/>
      <sheetName val="내역서_耰&quot;_x005f_x005f_x005f_x005f_x005f_x005f_x00018"/>
      <sheetName val="계측_내역서18"/>
      <sheetName val="[SANDAN_XLS??18"/>
      <sheetName val="EQUIP_LIST18"/>
      <sheetName val="Piping_BQ_for_one_turbine18"/>
      <sheetName val="Administrative_Prices18"/>
      <sheetName val="WBS_4418"/>
      <sheetName val="WBS_4118"/>
      <sheetName val="Precios_por_Administración18"/>
      <sheetName val="Subcon_A18"/>
      <sheetName val="Sheet1_(2)19"/>
      <sheetName val="7__월별투입내역서18"/>
      <sheetName val="T_318"/>
      <sheetName val="HORI__VESSEL18"/>
      <sheetName val="MP_MOB18"/>
      <sheetName val="Form_B18"/>
      <sheetName val="BM_DATA_SHEET19"/>
      <sheetName val="Vind_-_BtB18"/>
      <sheetName val="LV_induction_motors18"/>
      <sheetName val="BSD_(2)18"/>
      <sheetName val="내역서_耰&quot;_x005f_x005f_x005f_x005f_x005f_x005f_x00518"/>
      <sheetName val="Monthly_Load18"/>
      <sheetName val="Weekly_Load18"/>
      <sheetName val="97_사업추정(WEKI)18"/>
      <sheetName val="breakdown_of_wage_rate18"/>
      <sheetName val="Indirect_Cost18"/>
      <sheetName val="Material_Selections18"/>
      <sheetName val="Eq__Mobilization18"/>
      <sheetName val="Fire_Protection18"/>
      <sheetName val="입찰내역_발주처_양식18"/>
      <sheetName val="Resource_table18"/>
      <sheetName val="w't_table18"/>
      <sheetName val="Heavy_Equipments18"/>
      <sheetName val="Equipment_List18"/>
      <sheetName val="Form1_SQP18"/>
      <sheetName val="공정계획(내부계획25%,내부w_f)18"/>
      <sheetName val="Utility_and_Fire_flange18"/>
      <sheetName val="AG_Pipe_Qty_Analysis18"/>
      <sheetName val="PROTECTION_17"/>
      <sheetName val="_SANDAN_XLS__18"/>
      <sheetName val="Closeout_Control13"/>
      <sheetName val="BOQ-B_DOWN17"/>
      <sheetName val="SCHEDD_TAMBAHAN18"/>
      <sheetName val="SFN_ORIG18"/>
      <sheetName val="Dir_Manpower_Other_Exp_18"/>
      <sheetName val="내역서_(∮ἀ嘆ɶ17"/>
      <sheetName val="ITB_COST18"/>
      <sheetName val="4-3LEVEL-5_epic_417"/>
      <sheetName val="단가_(2)17"/>
      <sheetName val="MODULE_CONFIRM17"/>
      <sheetName val="실행예산_MM17"/>
      <sheetName val="FWBS_153017"/>
      <sheetName val="RAB_AR&amp;STR13"/>
      <sheetName val="Unit_Price_13"/>
      <sheetName val="Data_List13"/>
      <sheetName val="Man_Power_&amp;_Comp13"/>
      <sheetName val="Cash_In-Cash_Out_Actual17"/>
      <sheetName val="1100-1200-1300-1910-2140-LEV_13"/>
      <sheetName val="Material_Price19"/>
      <sheetName val="Currency_Rate13"/>
      <sheetName val="내역서_耰&quot;_x005f_x005f_x005f_x0000_13"/>
      <sheetName val="내역서_耰&quot;_x005f_x005f_x005f_x005f_13"/>
      <sheetName val="내역서_耰&quot;_x005f_x0000__x000014"/>
      <sheetName val="TDC_COA_Sumry13"/>
      <sheetName val="TDC_Item_Dets13"/>
      <sheetName val="TDC_Item_Sumry13"/>
      <sheetName val="TDC_Key_Qty_Sumry13"/>
      <sheetName val="List_-_Components13"/>
      <sheetName val="List_-_Equipment13"/>
      <sheetName val="COA_Sumry_-_Std_Imp13"/>
      <sheetName val="Contr_TDC_-_Std_Imp13"/>
      <sheetName val="Item_Sumry_-_Std_Imp13"/>
      <sheetName val="Unit_Costs_-_Std_Imp13"/>
      <sheetName val="Unit_MH_-_Std_Imp13"/>
      <sheetName val="Proj_TIC_-_Std_Imp13"/>
      <sheetName val="4-Basic_Price13"/>
      <sheetName val="Evaluasi_Penw13"/>
      <sheetName val="0__Resource　Code12"/>
      <sheetName val="99__FWBS(Ref)13"/>
      <sheetName val="99__Change_Rate13"/>
      <sheetName val="Site_Findings_Status_Sheet13"/>
      <sheetName val="내역서1999_8최종13"/>
      <sheetName val="Unt_rate13"/>
      <sheetName val="CUADRO_DE_PRECIOS17"/>
      <sheetName val="plan&amp;section_of_foundation14"/>
      <sheetName val="working_load_at_the_btm_ft_14"/>
      <sheetName val="stability_check14"/>
      <sheetName val="design_load14"/>
      <sheetName val="Updating_Form-Oct_201113"/>
      <sheetName val="Weld_Consumable13"/>
      <sheetName val="NDE_Cost-Summary13"/>
      <sheetName val="9July_Above_Ground_Pipe13"/>
      <sheetName val="M_1113"/>
      <sheetName val="Process_Data_113"/>
      <sheetName val="Equip_Rental_Summary_by_Contr13"/>
      <sheetName val="Project_Equip_Rental_Summary13"/>
      <sheetName val="Contractor_Indirect_Sumry13"/>
      <sheetName val="Project_Indirect_Sumry13"/>
      <sheetName val="COA_Sumry_by_Area13"/>
      <sheetName val="COA_Sumry_by_Contr13"/>
      <sheetName val="COA_Sumry_by_RG13"/>
      <sheetName val="TDC_COA_Grp_Sumry13"/>
      <sheetName val="TDC_COA_Grp_Sumry_by_Area13"/>
      <sheetName val="TDC_COA_Grp_Sumry_by_RG13"/>
      <sheetName val="Equipment_Sumry13"/>
      <sheetName val="TDC_Item_Dets-Full13"/>
      <sheetName val="TDC_Item_Dets-IPM-Full13"/>
      <sheetName val="TDC_Item_Sumry_by_Area13"/>
      <sheetName val="TDC_Item_Sumry_by_RG13"/>
      <sheetName val="TDC_Key_Qty_Sumry_by_RG13"/>
      <sheetName val="List_-_Equipment_by_Area13"/>
      <sheetName val="List_-_Equipment_by_Contr13"/>
      <sheetName val="Equipment_-_Unit_Costs_by_Mat13"/>
      <sheetName val="List_-_Equipment_by_Rep_Grp13"/>
      <sheetName val="Craft_Summary_by_Contr13"/>
      <sheetName val="Project_Craft_Summary13"/>
      <sheetName val="Project_Metrics13"/>
      <sheetName val="Cash_Flow_bulanan13"/>
      <sheetName val="H_Satuan13"/>
      <sheetName val="PROJECT_BRIEF13"/>
      <sheetName val="Sum_(Case-3)13"/>
      <sheetName val="Ocean_Transporation_Charge13"/>
      <sheetName val="Exchange_Rate13"/>
      <sheetName val="할증_13"/>
      <sheetName val="UP_MINOR13"/>
      <sheetName val="BO䁑-B_䁄OWN13"/>
      <sheetName val="DATA_MENTAH12"/>
      <sheetName val="SUMMARY_(0A)13"/>
      <sheetName val="SUMMARY_(1A)13"/>
      <sheetName val="SUMMARY_(1B)13"/>
      <sheetName val="SUMMARY_(03)13"/>
      <sheetName val="F1(Cable_Rack)13"/>
      <sheetName val="F2(Cable_Rack)13"/>
      <sheetName val="F3(Cable_Rack)13"/>
      <sheetName val="F1_(POLYMER)13"/>
      <sheetName val="F2_(POLYMER)13"/>
      <sheetName val="F3_(POLYMER)13"/>
      <sheetName val="F4_(POLYMER)13"/>
      <sheetName val="F5(_Polymerization_)13"/>
      <sheetName val="F6_(_Polymerization_)13"/>
      <sheetName val="B1_(Grid_A-7,_-6)13"/>
      <sheetName val="B1_(Grid_A,_B)13"/>
      <sheetName val="B1_(Grid_C-7,_-6)13"/>
      <sheetName val="B2_(Grid_-7_B,_C)_(1)13"/>
      <sheetName val="B2_(Grid_-7_B,_C)_(2)13"/>
      <sheetName val="B2_(Grid_-6_B,_C)_(1)13"/>
      <sheetName val="B2_(Grid_-6_B,_C)_(2)13"/>
      <sheetName val="F1_(MONOMER)13"/>
      <sheetName val="F2_(MONOMER)13"/>
      <sheetName val="F3_(MONOMER)13"/>
      <sheetName val="90K060C_(MONOMER)13"/>
      <sheetName val="F1_(EXTRUSION)13"/>
      <sheetName val="F2_(EXTRUSION)13"/>
      <sheetName val="F3_(EXTRUSION)13"/>
      <sheetName val="F4_(EXTRUSION)13"/>
      <sheetName val="F5_(EXTRUSION)13"/>
      <sheetName val="F6A_(EXTRUSION)13"/>
      <sheetName val="F6D_(EXTRUSION)13"/>
      <sheetName val="F7_(EXTRUSION)13"/>
      <sheetName val="F8_(EXTRUSION)13"/>
      <sheetName val="F9_(EXTRUSION)13"/>
      <sheetName val="F10_(EXTRUSION)13"/>
      <sheetName val="F11_(EXTRUSION)13"/>
      <sheetName val="B1_(Grid_F-5`,_4`)13"/>
      <sheetName val="B2_(Grid_F,E-4`)13"/>
      <sheetName val="B2_(Grid_F,E-5`)13"/>
      <sheetName val="B3_(Grid_C,B-4`)13"/>
      <sheetName val="B4_(Grid_B,A-4`)13"/>
      <sheetName val="B5_(Grid_E-5`)_&amp;_(Grid_D-5`)13"/>
      <sheetName val="B6_(Grid_E,D-5')13"/>
      <sheetName val="B7_(Grid_E,D-5')13"/>
      <sheetName val="95D040,_A50613"/>
      <sheetName val="95P040AB,_A50713"/>
      <sheetName val="95X020-U08,_A60213"/>
      <sheetName val="95X020-U07,_A60613"/>
      <sheetName val="95E040,_A50913"/>
      <sheetName val="95D024;025,_A61513"/>
      <sheetName val="95X020-U05,_A60113"/>
      <sheetName val="95X020-U02,_A20413"/>
      <sheetName val="Extruder_FDN13"/>
      <sheetName val="BOG_COMP__FDN13"/>
      <sheetName val="SOG_COMP__FDN13"/>
      <sheetName val="1G1_(Ground_Beam)13"/>
      <sheetName val="1G2-1(Ground_Beam)13"/>
      <sheetName val="1G2-2(Ground_Beam)13"/>
      <sheetName val="P15,_1613"/>
      <sheetName val="LO_CONSOLE_FDN13"/>
      <sheetName val="OIL_COOLER_FDN13"/>
      <sheetName val="CW_CONSOLE_FDN_(SOG)13"/>
      <sheetName val="PD3_(SOG)13"/>
      <sheetName val="SF1_(SOG)13"/>
      <sheetName val="SF2_(SOG)13"/>
      <sheetName val="SLAB_(1S1-1)13"/>
      <sheetName val="SLAB_(1S1-2)13"/>
      <sheetName val="SLAB_(1S1-3)13"/>
      <sheetName val="COLUMN_(+5500)13"/>
      <sheetName val="COLUMN_(+12500)13"/>
      <sheetName val="COLUMN_(+15500)13"/>
      <sheetName val="ETC_13"/>
      <sheetName val="breakdown_of_wage_ra12"/>
      <sheetName val="breakdown_of_wage_ra`f12"/>
      <sheetName val="Tools_&amp;_Settings13"/>
      <sheetName val="Data_Summary13"/>
      <sheetName val="Crew_Costs13"/>
      <sheetName val="Spread_Costs13"/>
      <sheetName val="Unique_List_Misc13"/>
      <sheetName val="Codes_Pers13"/>
      <sheetName val="5_)_Time_Delays13"/>
      <sheetName val="In-House_Summary13"/>
      <sheetName val="__13"/>
      <sheetName val="_13"/>
      <sheetName val="breakdown_of_wage_rað-12"/>
      <sheetName val="breakdown_of_wage_rap12"/>
      <sheetName val="00-Summary_Information-ABB12"/>
      <sheetName val="Direct_PMS13"/>
      <sheetName val="Item_code13"/>
      <sheetName val="Discounted_Cash_Flow13"/>
      <sheetName val="breakdown_of_wage_ra12"/>
      <sheetName val="Pengesahan_13"/>
      <sheetName val="2_Overall_Summary_12"/>
      <sheetName val="Aux_13"/>
      <sheetName val="OCT_FDN13"/>
      <sheetName val="내역서_耰&quot;_x005f_x0000_13"/>
      <sheetName val="내역서_耰&quot;_x005f_x005f_13"/>
      <sheetName val="General_Notes13"/>
      <sheetName val="Process_Data_(2)13"/>
      <sheetName val="Rates_&amp;_Legend13"/>
      <sheetName val="Bill_rekap13"/>
      <sheetName val="Harga_Satuan13"/>
      <sheetName val="F_ALARM13"/>
      <sheetName val="PABS,Site_info12"/>
      <sheetName val="내역서_耰&quot;_12"/>
      <sheetName val="2__현장_자금투입_집계표13"/>
      <sheetName val="_도면_및_도서_제출목록_및_일정_170202_xls13"/>
      <sheetName val="Distribution_Table12"/>
      <sheetName val="Raw_data12"/>
      <sheetName val="차트_(2)13"/>
      <sheetName val="Material_code12"/>
      <sheetName val="HO_Site_Rates-201112"/>
      <sheetName val="DROP_DOWN12"/>
      <sheetName val="개시대사_(2)12"/>
      <sheetName val="Linelist_LNGC_Process12"/>
      <sheetName val="Action_Item12"/>
      <sheetName val="ID_CD12"/>
      <sheetName val="Equipment_Spec_List12"/>
      <sheetName val="SPEC_LIST(EQUP,_SYS)12"/>
      <sheetName val="Air_Cooler-E12"/>
      <sheetName val="Al_Taweelah12"/>
      <sheetName val="Particular_Sch12"/>
      <sheetName val="내역서_(N____x000a_13"/>
      <sheetName val="SUM_11"/>
      <sheetName val="TQ_Format11"/>
      <sheetName val="11_자재단가10"/>
      <sheetName val="LIFE_&amp;_REP_PROVN10"/>
      <sheetName val="O&amp;M_CREW10"/>
      <sheetName val="33628-Rev__A10"/>
      <sheetName val="breakdown_of_wage_raÐ¾11"/>
      <sheetName val="Additional_data11"/>
      <sheetName val="Attach_4-1810"/>
      <sheetName val="Cashflow_Analysis10"/>
      <sheetName val="Finansal_tamamlanma_Eğrisi10"/>
      <sheetName val="INPUT_DATA_OF_SCHEDULE10"/>
      <sheetName val="Tender_data10"/>
      <sheetName val="내역서_(∮ἀ嘆ɶ?᠀㬁?10"/>
      <sheetName val="Scheme_Area_Details_Block___C10"/>
      <sheetName val="14-Eng_rate10"/>
      <sheetName val="리스크_분류체계10"/>
      <sheetName val="광통신_견적내역서110"/>
      <sheetName val="Cash_Flow10"/>
      <sheetName val="5__월별투입내역서10"/>
      <sheetName val="Analisa_Fave10"/>
      <sheetName val="Harsat_Bahan10"/>
      <sheetName val="Harsat_Subkon10"/>
      <sheetName val="Harsat_Upah10"/>
      <sheetName val="Master_1_010"/>
      <sheetName val="Agregat_Halus_&amp;_Kasar10"/>
      <sheetName val="HARGA_MATERIAL10"/>
      <sheetName val="Harga_Sat_APP10"/>
      <sheetName val="Galian_110"/>
      <sheetName val="Perm__Test10"/>
      <sheetName val="Analisa_Lump_sum10"/>
      <sheetName val="Tgh_JGC-Inv_I_clp10"/>
      <sheetName val="PCS_10"/>
      <sheetName val="Progress_Statement-SI10"/>
      <sheetName val="Progress_Payment-311010"/>
      <sheetName val="OIL_SEPARATOR10"/>
      <sheetName val="CATCH_BASIN10"/>
      <sheetName val="FW_Post_Indicator_Valve_24&quot;10"/>
      <sheetName val="FW_Post_Indicator_Valve_20&quot;10"/>
      <sheetName val="FW_Post_Indicator_Valve_6&quot;10"/>
      <sheetName val="Fire_Monitor_or_Hydrant_6&quot;_FD10"/>
      <sheetName val="SUMP_VB10"/>
      <sheetName val="CLEANOUT_4&quot;10"/>
      <sheetName val="Not_reqd10"/>
      <sheetName val="호환성_보고서10"/>
      <sheetName val="Admin_Manu_2-Equipment_Type_I10"/>
      <sheetName val="64_410"/>
      <sheetName val="64_510"/>
      <sheetName val="36_210"/>
      <sheetName val="36_110"/>
      <sheetName val="Master_List10"/>
      <sheetName val="Itembalance_Report_(18-sep-1810"/>
      <sheetName val="BUDGET_SUMMARY_10"/>
      <sheetName val="Activity_Form10"/>
      <sheetName val="Fig_4-1410"/>
      <sheetName val="GM_00010"/>
      <sheetName val="Schedule_10"/>
      <sheetName val="Loading_Struc10"/>
      <sheetName val="Loading_Pip10"/>
      <sheetName val="Loading_Overall_(BASE_Proposa10"/>
      <sheetName val="Steel_Structure10"/>
      <sheetName val="PIPING_AG-UG_NEW_UNITS10"/>
      <sheetName val="MEC_PIPING_PREFABR10"/>
      <sheetName val="Working_File-Pip10"/>
      <sheetName val="Equip_ISBL_&amp;_OSBL_10"/>
      <sheetName val="Tables_3_1_to_3_5_EXH_G10"/>
      <sheetName val="1_설계기준10"/>
      <sheetName val="REF_for_VV10"/>
      <sheetName val="일위대가_10"/>
      <sheetName val="SECL_리스크_분류체계_(2)10"/>
      <sheetName val="설산1_나10"/>
      <sheetName val="내역서_耰&quot;17"/>
      <sheetName val="SPT_vs_PHI8"/>
      <sheetName val="Direct_Histogram_Rev__A_(f)10"/>
      <sheetName val="List_register10"/>
      <sheetName val="Cost_Code10"/>
      <sheetName val="Data_Ref10"/>
      <sheetName val="Interdept_Rate10"/>
      <sheetName val="EQUIPOS_DE_SEGURIDAD10"/>
      <sheetName val="MATERIALES_CONSUMIBLES10"/>
      <sheetName val="PERSONAL_INDIRECTO_10"/>
      <sheetName val="BM_#110"/>
      <sheetName val="Weekl_11"/>
      <sheetName val="내역서_(N____35"/>
      <sheetName val="내역서_(N____36"/>
      <sheetName val="__x010"/>
      <sheetName val="OPT_11"/>
      <sheetName val="Land_Dev't__Ph-122"/>
      <sheetName val="4300_UTILITY_BLDG_(2)10"/>
      <sheetName val="P-Ins_&amp;_Bonds10"/>
      <sheetName val="INSTLIST_110"/>
      <sheetName val="Att-1_CTCI_MH_rate10"/>
      <sheetName val="1_자금요약8"/>
      <sheetName val="2_실행비투입8"/>
      <sheetName val="3_본사집계8"/>
      <sheetName val="3-1_본사투입8"/>
      <sheetName val="4_지사집계8"/>
      <sheetName val="4-1_지사투입8"/>
      <sheetName val="5_현장총집계8"/>
      <sheetName val="5-1_현금집계8"/>
      <sheetName val="5-2_현금출납8"/>
      <sheetName val="5-3_외상집계8"/>
      <sheetName val="5-4_외상투입8"/>
      <sheetName val="6_미지급금8"/>
      <sheetName val="5-5_기타공제집계8"/>
      <sheetName val="5-6_기타공제8"/>
      <sheetName val="7_기성현황(실)8"/>
      <sheetName val="8_한국인수당8"/>
      <sheetName val="8_한국인수당_(Master_file)8"/>
      <sheetName val="9_기타수입8"/>
      <sheetName val="10_투입집계8"/>
      <sheetName val="5-4_외상투입_(2)8"/>
      <sheetName val="16_기성현황(예)8"/>
      <sheetName val="17_자금요약28"/>
      <sheetName val="18_실행대비투입28"/>
      <sheetName val="05__Curva_S9"/>
      <sheetName val="Precios_Unitariԯ8"/>
      <sheetName val="내역서_ᢐ1"/>
      <sheetName val="내역서_(N__x0010"/>
      <sheetName val="SUMMARY_MTO_02_2_358"/>
      <sheetName val="N_G_METERING_CALC_8"/>
      <sheetName val="N_G_METERING8"/>
      <sheetName val="N_G_METERING_(2)8"/>
      <sheetName val="CUMENE_METERING8"/>
      <sheetName val="N2_METERING_8"/>
      <sheetName val="H2_METERING__8"/>
      <sheetName val="CO_METERING8"/>
      <sheetName val="Sec_I_ML10"/>
      <sheetName val="dongia_(2)10"/>
      <sheetName val="TR_Rev_vs_Commit8"/>
      <sheetName val="TR_+MMHE_PL_report8"/>
      <sheetName val="P23P2724___Commitment_8"/>
      <sheetName val="SPEC(CABLE_&amp;_WIRE)8"/>
      <sheetName val="Payment_Certificate-18"/>
      <sheetName val="Floor_wet8"/>
      <sheetName val="Floor_Balcony8"/>
      <sheetName val="Hard_scape_Floor8"/>
      <sheetName val="P03_Skirting8"/>
      <sheetName val="GF_wall8"/>
      <sheetName val="Kitchen_Wall_wet_LIN-7018"/>
      <sheetName val="Wall_wet_LIN-601_8"/>
      <sheetName val="BOQ_(2)8"/>
      <sheetName val="VO_Schedule-18"/>
      <sheetName val="HOLD_AMOUNT8"/>
      <sheetName val="Back_Charge_(2)8"/>
      <sheetName val="Temporary_Deductions-1_8"/>
      <sheetName val="Contracharges_Check_list-1_8"/>
      <sheetName val="PC_038"/>
      <sheetName val="Measurement_sheet8"/>
      <sheetName val="Material_Only8"/>
      <sheetName val="Man_power_supply8"/>
      <sheetName val="Camp_Deduction8"/>
      <sheetName val="1_11_b8"/>
      <sheetName val="Enron_Form8"/>
      <sheetName val="RESUMEN_CD8"/>
      <sheetName val="BOQ_REV68"/>
      <sheetName val="Maliyet_Ozet8"/>
      <sheetName val="1_1-1_28"/>
      <sheetName val="1_3-_1_48"/>
      <sheetName val="3_18"/>
      <sheetName val="3_28"/>
      <sheetName val="4_1(a)8"/>
      <sheetName val="4_1(b)8"/>
      <sheetName val="4_1_(c)8"/>
      <sheetName val="5_18"/>
      <sheetName val="Other_data8"/>
      <sheetName val="Consortium_VP8"/>
      <sheetName val="Summary_MONTH8"/>
      <sheetName val="DESICON_SUM8"/>
      <sheetName val="DES_TCF_Rental8"/>
      <sheetName val="DES_TCF_Maints_pers8"/>
      <sheetName val="DES_TCF_Heavy_Equipment8"/>
      <sheetName val="BANK_BOND8"/>
      <sheetName val="PHC_WAREHOUSE_-_INFOONLY8"/>
      <sheetName val="CATERING_CONTROL8"/>
      <sheetName val="SUB_CONTRACT8"/>
      <sheetName val="SPDC_-_INFONLY8"/>
      <sheetName val="VENDOR_SCHEDUL8"/>
      <sheetName val="VENDOR_PRESENCE_-_COMM8"/>
      <sheetName val="VENDOR_PRESENCE_-_RECH8"/>
      <sheetName val="VENDOR_PRESENCE_-_COMM_8"/>
      <sheetName val="CONTRACT_RATES8"/>
      <sheetName val="6_공정표8"/>
      <sheetName val="Bill_4_7_Predestain_Bridge_8"/>
      <sheetName val="Bill_4_7_Predestain8"/>
      <sheetName val="1_1_FT_type_18"/>
      <sheetName val="1_2_FT_type_1A8"/>
      <sheetName val="1_3_FT_type_28"/>
      <sheetName val="1_4_FT_type_38"/>
      <sheetName val="1_5_FT_type_48"/>
      <sheetName val="2_1_CL_Outside8"/>
      <sheetName val="2_2_CL_Inside8"/>
      <sheetName val="2_3_CL_Ramp8"/>
      <sheetName val="3_1_CB_Outside8"/>
      <sheetName val="3_2_CB_Inside8"/>
      <sheetName val="4_Stair8"/>
      <sheetName val="5_Ramp8"/>
      <sheetName val="6_Handrail8"/>
      <sheetName val="Invoice_(Interim_No_28)8"/>
      <sheetName val="Cost_Summary8"/>
      <sheetName val="Direct_Cost8"/>
      <sheetName val="Direct_Cost_(2)8"/>
      <sheetName val="Summary_(3)8"/>
      <sheetName val="Indirect_Cost_Summary8"/>
      <sheetName val="Sch_68"/>
      <sheetName val="Ramp_data7"/>
      <sheetName val="Lower_Ground7"/>
      <sheetName val="Cap_Cost7"/>
      <sheetName val="RLV_Calc7"/>
      <sheetName val="Costs_(dev)7"/>
      <sheetName val="Bluewater_NPV_-_sell_January7"/>
      <sheetName val="Upper_Ground7"/>
      <sheetName val="PARK_NE7"/>
      <sheetName val="Financial_Summary7"/>
      <sheetName val="D&amp;C_Calcs7"/>
      <sheetName val="CA_Upside_Downside_Old7"/>
      <sheetName val="EASEL_CA_Example7"/>
      <sheetName val="CONCRETE_TYPE8"/>
      <sheetName val="5__Work_load(현재원기준)10"/>
      <sheetName val="A__ENGINEERING8"/>
      <sheetName val="B-1__배관자재8"/>
      <sheetName val="B-2__전기자재8"/>
      <sheetName val="B-3__계장자재8"/>
      <sheetName val="B-4__기계자재8"/>
      <sheetName val="C-1__공통가설8"/>
      <sheetName val="C-2__토목8"/>
      <sheetName val="C-4__철골8"/>
      <sheetName val="C-5__기계8"/>
      <sheetName val="C-6__배관8"/>
      <sheetName val="C-7__전기8"/>
      <sheetName val="C-8__계장8"/>
      <sheetName val="C-9__중장비8"/>
      <sheetName val="C-10__소방설비8"/>
      <sheetName val="C-11__보온8"/>
      <sheetName val="C-12__CMS8"/>
      <sheetName val="P_Staff_fac7"/>
      <sheetName val="beam-reinft-IIInd_floor7"/>
      <sheetName val="P-Site_fac7"/>
      <sheetName val="P-Clients_fac7"/>
      <sheetName val="내역서_(N____113"/>
      <sheetName val="0_품의서(전체)8"/>
      <sheetName val="LAST_UPDATE8"/>
      <sheetName val="External_Issues8"/>
      <sheetName val="2013电气概算_价目表_(营改增调整)8"/>
      <sheetName val="내역서_(∮ἀ嘆ɶ_᠀㬁_9"/>
      <sheetName val="Vehicle_Log8"/>
      <sheetName val="M&amp;E_Summary8"/>
      <sheetName val="rev_summary8"/>
      <sheetName val="M&amp;E_Prelims8"/>
      <sheetName val="B-FP_(2)8"/>
      <sheetName val="Sch_18"/>
      <sheetName val="IRR_sponsor8"/>
      <sheetName val="4-Lane_bridge22"/>
      <sheetName val="สรุปยอดเหล็กตาม_Cost_Record_VY8"/>
      <sheetName val="แนบ_PR8"/>
      <sheetName val="OR21_Final_Forecast_Rev_28"/>
      <sheetName val="Summary_Forecast_Budget_1&amp;28"/>
      <sheetName val="Summary_Forecast_Budget_Rev_28"/>
      <sheetName val="Backup_OR21_8"/>
      <sheetName val="Budget_for_ENT8"/>
      <sheetName val="ADJ__D-Wall&amp;BR_Ent__Rev_2_18"/>
      <sheetName val="Rebar+Conพื้น_Waste10%8"/>
      <sheetName val="Backup_D-Wall_Ent__13_07_198"/>
      <sheetName val="Backup_BR_ENT__13_07_198"/>
      <sheetName val="Final_Forecast_721118"/>
      <sheetName val="IMP_OR21_2019_07_118"/>
      <sheetName val="Concrete_721128"/>
      <sheetName val="หินเกล็ด_8"/>
      <sheetName val="เปรียบเทียบBudget_BR_8"/>
      <sheetName val="ADJ__BR_Ent__Rev_2_1_(2)8"/>
      <sheetName val="แผนงานBarrette_Pile8"/>
      <sheetName val="BOQ__VI_03_09_19_8"/>
      <sheetName val="Backup_BR_BMA8"/>
      <sheetName val="Sum_Budget&amp;Rev_18"/>
      <sheetName val="Sum_Budget_Rev_18"/>
      <sheetName val="Sum_Budget&amp;Rev_1_Rebar8"/>
      <sheetName val="Sum_Budget_Rev_2_Rebar8"/>
      <sheetName val="Rebar+Conพื้น_Waste10%_Rev_008"/>
      <sheetName val="Rebar+Conพื้น_Waste10%_Rev_01_8"/>
      <sheetName val="Equip_Rev_00_Budget8"/>
      <sheetName val="Budget_Waterpoofing8"/>
      <sheetName val="List_Equip8"/>
      <sheetName val="Process_C_(1-166)8"/>
      <sheetName val="TRUCK_HAUL_CYCLE-waste8"/>
      <sheetName val="Existing_PC_Pavement8"/>
      <sheetName val="Master_Data8"/>
      <sheetName val="ind'l_cp8"/>
      <sheetName val="3_부제O호표8"/>
      <sheetName val="5_소모재료비8"/>
      <sheetName val="8_시멘트제원표8"/>
      <sheetName val="2_품제O호표8"/>
      <sheetName val="본부_SHOP8"/>
      <sheetName val="#6_MDU_일반8"/>
      <sheetName val="#6_MDU엄반장8"/>
      <sheetName val="#6MDU_기계8"/>
      <sheetName val="HOU_COMP`8"/>
      <sheetName val="FCC_OBL-SHOP8"/>
      <sheetName val="NEW_FCC_OBL8"/>
      <sheetName val="#4_MDU8"/>
      <sheetName val="#6_SHOP8"/>
      <sheetName val="NRC_OBL-조연식8"/>
      <sheetName val="광양-조연식_반장8"/>
      <sheetName val="#5MDU_REV8"/>
      <sheetName val="LBO_PROJECT8"/>
      <sheetName val="VENDOR_LIST8"/>
      <sheetName val="BOP_LINE_LIST8"/>
      <sheetName val="Manpower_Categories8"/>
      <sheetName val="tblg_denda9"/>
      <sheetName val="F1_48"/>
      <sheetName val="5_Cennik9"/>
      <sheetName val="ABB_Summary8"/>
      <sheetName val="Man_power_rate8"/>
      <sheetName val="Const_equip_rate8"/>
      <sheetName val="01-Gang_Rate_&amp;_Info8"/>
      <sheetName val="05-Sum_Cost8"/>
      <sheetName val="06-Indirect_Loading8"/>
      <sheetName val="07-Heavy_Equipment8"/>
      <sheetName val="08-RR_Check_List8"/>
      <sheetName val="1)_Risk_and_Opportunities8"/>
      <sheetName val="2)_Full_Cost_Calculation8"/>
      <sheetName val="Equipt_Rental8"/>
      <sheetName val="EQ_USED_(CORRECTED)8"/>
      <sheetName val="Rebar_Constant8"/>
      <sheetName val="Statprod_gab9"/>
      <sheetName val="L_19"/>
      <sheetName val="Equip_Mstr_FOR_3A18"/>
      <sheetName val="G_R300경비8"/>
      <sheetName val="AS포장복구_8"/>
      <sheetName val="중기조종사_단위단가8"/>
      <sheetName val="설_계8"/>
      <sheetName val="_토목_처리장도급내역서_8"/>
      <sheetName val="Garph_Work-Cost8"/>
      <sheetName val="MFG_&amp;_DEL7"/>
      <sheetName val="InsertListDrawing_1_7"/>
      <sheetName val="InD_Mpower8"/>
      <sheetName val="동상부_Tact_기준_반입일정_및_수량_02178"/>
      <sheetName val="LRK_8"/>
      <sheetName val="GRAND_REKAP7"/>
      <sheetName val="analisa_(2)7"/>
      <sheetName val="Analisa_27"/>
      <sheetName val="Up_&amp;_bhn7"/>
      <sheetName val="HRG_BHN7"/>
      <sheetName val="Analisa_(ok_punya)7"/>
      <sheetName val="Alat_(2)7"/>
      <sheetName val="a_h_ars_sum7"/>
      <sheetName val="a_h_ars7"/>
      <sheetName val="DAF_HRG7"/>
      <sheetName val="Urai__Resap_pengikat7"/>
      <sheetName val="Kolom_UT7"/>
      <sheetName val="HB_7"/>
      <sheetName val="7_공정표7"/>
      <sheetName val="P2-Project_Data7"/>
      <sheetName val="Memb_Schd7"/>
      <sheetName val="Coef_et_données7"/>
      <sheetName val="원가조정_내역7"/>
      <sheetName val="Eng_Hrs_(HO)7"/>
      <sheetName val="MR_EUR4"/>
      <sheetName val="Rekap_Biaya7"/>
      <sheetName val="Kuantitas_&amp;_Harga7"/>
      <sheetName val="Nopember_(2)7"/>
      <sheetName val="Chap_2-_Page_4_6"/>
      <sheetName val="Data_Ref_6"/>
      <sheetName val="KKS_System_Codes6"/>
      <sheetName val="Price_Schedule_Code6"/>
      <sheetName val="VAT_TU_DIEN6"/>
      <sheetName val="bldg_list6"/>
      <sheetName val="Appendix_A4"/>
      <sheetName val="SWALE_(구산)6"/>
      <sheetName val="내역서_(N____37"/>
      <sheetName val="Dsr_Hitung5"/>
      <sheetName val="Mat_Tower5"/>
      <sheetName val="RT13526_CPI5"/>
      <sheetName val="Inputs_-_Results5"/>
      <sheetName val="GENERAL_5"/>
      <sheetName val="Tank_Loading5"/>
      <sheetName val="Fdn_Calc5"/>
      <sheetName val="LATERAL_OCDI_BH-025"/>
      <sheetName val="Lateral_Broms5"/>
      <sheetName val="N-SPT_corr5"/>
      <sheetName val="Curve_N-SPT5"/>
      <sheetName val="COST_BD5"/>
      <sheetName val="MSP-Operator_Building-Area_C5"/>
      <sheetName val="Monthly_S_Curve_SPK5"/>
      <sheetName val="ENE-CAL_16"/>
      <sheetName val="UPAH_&amp;_BHN_ARS5"/>
      <sheetName val="AHS_ARS5"/>
      <sheetName val="Analisa_HSP5"/>
      <sheetName val="입찰내역_발주처_양卤5"/>
      <sheetName val="Analisa_Neraca5"/>
      <sheetName val="Scaffolding_Volume5"/>
      <sheetName val="Harga_Mat_5"/>
      <sheetName val="Ana__PU5"/>
      <sheetName val="Project_D5"/>
      <sheetName val="Tender_Summary5"/>
      <sheetName val="REF_ONLY6"/>
      <sheetName val="-0_5_TABLA_PRESUPUESTOS6"/>
      <sheetName val="ﾄﾞﾊﾞｲFUEL_GAS追見6"/>
      <sheetName val="내역서_(N____212"/>
      <sheetName val="MASTER_RATE_ANALYSIS8"/>
      <sheetName val="MN_T_B_8"/>
      <sheetName val="INDIGINEOUS_ITEMS_8"/>
      <sheetName val="Core_Data8"/>
      <sheetName val="final_abstract8"/>
      <sheetName val="Bang_KL4"/>
      <sheetName val="ANAL_BOW5"/>
      <sheetName val="Isolasi_Luar_Dalam5"/>
      <sheetName val="Isolasi_Luar5"/>
      <sheetName val="график_финансирования5"/>
      <sheetName val="Insulation_1501088"/>
      <sheetName val="Raw_Ref4"/>
      <sheetName val="Cost_Codes4"/>
      <sheetName val="Addendum_No_1_BILL_25"/>
      <sheetName val="Code_074"/>
      <sheetName val="Week_ending4"/>
      <sheetName val="Planners_Workload4"/>
      <sheetName val="PLSt_03__4"/>
      <sheetName val="П_7_курс_аванса4"/>
      <sheetName val="IncStat_03-044"/>
      <sheetName val="IncStat_03__4"/>
      <sheetName val="Авансы_по_СНГ4"/>
      <sheetName val="MAY_00-Bobbins4"/>
      <sheetName val="2_2_띠장의_설계4"/>
      <sheetName val="(10)_Other_Costs54"/>
      <sheetName val="breakdown_of_FA1135"/>
      <sheetName val="Sheet_145"/>
      <sheetName val="combined_9-3030"/>
      <sheetName val="worksheet_inchican30"/>
      <sheetName val="combined_9_3030"/>
      <sheetName val="bar_chart-rev30"/>
      <sheetName val="MATERIAL'S_PRICE28"/>
      <sheetName val="Schedule_S-Curve_Revision#326"/>
      <sheetName val="PC_&amp;_PVS24"/>
      <sheetName val="2_223M_due_to_adj_profit19"/>
      <sheetName val="Inchican_Road_Accomplishment22"/>
      <sheetName val="Shut_down19"/>
      <sheetName val="bill_219"/>
      <sheetName val="sorksheet_inchican19"/>
      <sheetName val="sombined_9-3019"/>
      <sheetName val="PH_519"/>
      <sheetName val="remaining_billing19"/>
      <sheetName val="Hac_Lots19"/>
      <sheetName val="Res_Lots19"/>
      <sheetName val="Spine_Road19"/>
      <sheetName val="INPUT_DATA_HERE18"/>
      <sheetName val="option_Y118"/>
      <sheetName val="Summary_(overall)5"/>
      <sheetName val="Adimi_bldg5"/>
      <sheetName val="Pump_House5"/>
      <sheetName val="Fuel_Regu_Station5"/>
      <sheetName val="Footing_Tie_Beam5"/>
      <sheetName val="FINAL_NEGO5"/>
      <sheetName val="RFP_Codes5"/>
      <sheetName val="Bill_summary_of_cost5"/>
      <sheetName val="unit_price5"/>
      <sheetName val="Schedule_S-Curve_(new_scheme)5"/>
      <sheetName val="Fire_Suppression5"/>
      <sheetName val="tabulation_(comparison)5"/>
      <sheetName val="area_comp_2011_01_185"/>
      <sheetName val="Tabulation_4"/>
      <sheetName val="3_-RESOURCE_LIST4"/>
      <sheetName val="0_-SUMMARY4"/>
      <sheetName val="3_2_AUX4"/>
      <sheetName val="3_3_AUX-24"/>
      <sheetName val="galian_saluran5"/>
      <sheetName val="Perhit_Alat5"/>
      <sheetName val="05_Analisa_Teknik5"/>
      <sheetName val="GRAND_SUM4"/>
      <sheetName val="VCC_11110-4614"/>
      <sheetName val="7_6_3_J_Inline_Instrument4"/>
      <sheetName val="6_2_Floor_Finishes6"/>
      <sheetName val="OE_(KSB)5"/>
      <sheetName val="내역서_耰&quot;_x005f12"/>
      <sheetName val="Analisa_SNI_STANDART_5"/>
      <sheetName val="1_B5"/>
      <sheetName val="JGSummit_Package_2_(CTCI)5"/>
      <sheetName val="C1_(calcolo)4"/>
      <sheetName val="5_5FWBS_CODE4"/>
      <sheetName val="1195_B15"/>
      <sheetName val="page_65"/>
      <sheetName val="Capel_KI5"/>
      <sheetName val="Capel_PK5"/>
      <sheetName val="Summary_HS_Pipa_CS5"/>
      <sheetName val="Raw_Data-Combined5"/>
      <sheetName val="Instrument_Proc4"/>
      <sheetName val="MTO_Civil_Work4"/>
      <sheetName val="Sched_3_(Construction)4"/>
      <sheetName val="Sched_1_(Engineering)4"/>
      <sheetName val="Sched_2_(Procurement_4"/>
      <sheetName val="JOB_Code4"/>
      <sheetName val="COVER_RECAP_INSTALL_(2)4"/>
      <sheetName val="Rekap_Summary4"/>
      <sheetName val="Rekap_Breakdown4"/>
      <sheetName val="Detail_Eng4"/>
      <sheetName val="Equiv_Length4"/>
      <sheetName val="lkalibrasi_BENENAIN5"/>
      <sheetName val="Integrated-S_Curve4"/>
      <sheetName val="SANDAN_XLS15"/>
      <sheetName val="Main_Control4"/>
      <sheetName val="Ra__stair5"/>
      <sheetName val="Team_3_S-Curve4"/>
      <sheetName val="Step2_-&gt;_Mat__Cost4"/>
      <sheetName val="BILL_14"/>
      <sheetName val="Rekap_Addendum5"/>
      <sheetName val="AT_25"/>
      <sheetName val="_hrg_bhn5"/>
      <sheetName val="Section_15"/>
      <sheetName val="Ind__Budget4"/>
      <sheetName val="LV_induction_4"/>
      <sheetName val="MH_and_Unit_Cost4"/>
      <sheetName val="Material_Cost(as_per_Nation)4"/>
      <sheetName val="Home_Office4"/>
      <sheetName val="Man_Power4"/>
      <sheetName val="pro_ra_op4"/>
      <sheetName val="analis_standar(8m)4"/>
      <sheetName val="ShareCapital_4"/>
      <sheetName val="내역서_(∮ἀ嘆ɶ_x005f_x0000_᠀㬁_x005f_x0000_4"/>
      <sheetName val="__x005f_x0000__x005f_x001b__x005f_x0000__x005f_x0006__5"/>
      <sheetName val="내역서_耰&quot;_x005f_x005f_x005f_x0000__x00008"/>
      <sheetName val="내역서_(N__x005f_x000e__x005f_x000e__x005f_x000e___4"/>
      <sheetName val="내역서_(N____x005f_x000a_7"/>
      <sheetName val="Bangunan_Utama4"/>
      <sheetName val="Hrg_Sat4"/>
      <sheetName val="TEMP_PROFILE4"/>
      <sheetName val="_선택_속성(잠금)4"/>
      <sheetName val="Drop-down_lists4"/>
      <sheetName val="P__control4"/>
      <sheetName val="Costing_Detailed4"/>
      <sheetName val="Basic_Data_Inputs4"/>
      <sheetName val="renc_mgn4"/>
      <sheetName val="Rekap_Analisa4"/>
      <sheetName val="ANALISA_PEK_UMUM4"/>
      <sheetName val="IN_OUT4"/>
      <sheetName val="내역서_ᢐ_x005f_x001f_4"/>
      <sheetName val="내역서_ᢐ_x005f_x001f__x005f_x0000__x005f_x0000_4"/>
      <sheetName val="Sat_Bah___Up4"/>
      <sheetName val="DATA_PROYEK4"/>
      <sheetName val="rab_me_(by_owner)_4"/>
      <sheetName val="BQ_(by_owner)4"/>
      <sheetName val="rab_me_(fisik)4"/>
      <sheetName val="LIST_ANHARSAT4"/>
      <sheetName val="9011_EXPAT_MANP4"/>
      <sheetName val="App_A_Basis_of_Design4"/>
      <sheetName val="uraian_analisa4"/>
      <sheetName val="8LT_124"/>
      <sheetName val="Basic_Price4"/>
      <sheetName val="BQ_Working4"/>
      <sheetName val="Star_Rate4"/>
      <sheetName val="BQ_Summary4"/>
      <sheetName val="Dinh_muc_CP_KTCB_khac4"/>
      <sheetName val="TH_May_TC4"/>
      <sheetName val="KLDT_DIEN4"/>
      <sheetName val="PTVT_DIEN4"/>
      <sheetName val="TH_kinh_phi4"/>
      <sheetName val="Thong_ke_thiet_bi4"/>
      <sheetName val="TH_vat_tu4"/>
      <sheetName val="A_SIS4"/>
      <sheetName val="gia_vt4"/>
      <sheetName val="1_BILL_MOI_THAU_CAN_THUONG4"/>
      <sheetName val="PHAN_NGAM4"/>
      <sheetName val="tabel_berat4"/>
      <sheetName val="Process_Piping4"/>
      <sheetName val="cost_curve_calc4"/>
      <sheetName val="1_0_Criteria_New3"/>
      <sheetName val="집계표(2_안)4"/>
      <sheetName val="建筑定额_(2002)4"/>
      <sheetName val="ADI_Edison_Termoelettrica4"/>
      <sheetName val="내역서_耰&quot;_x005f_x0000__x005f_x005f_x00004"/>
      <sheetName val="Daily_Forwards4"/>
      <sheetName val="VS_P-Q4"/>
      <sheetName val="Daily_Photo4"/>
      <sheetName val="Manpower_Status4"/>
      <sheetName val="Project_Grading3"/>
      <sheetName val="Bilanz_Bus_plan_20023"/>
      <sheetName val="Mei_LD3"/>
      <sheetName val="Data_Input3"/>
      <sheetName val="Project_budget_BTS3"/>
      <sheetName val="Well_Plan_13"/>
      <sheetName val="Harga_material_14"/>
      <sheetName val="Peralatan_(2)4"/>
      <sheetName val="RINC_hotel3"/>
      <sheetName val="RINC_FIN_T4_3"/>
      <sheetName val="RINC_FIN_T4___3_3"/>
      <sheetName val="RINC_FIN_T4___2_3"/>
      <sheetName val="Fire_Fighting3"/>
      <sheetName val="HARGA_DASAR3"/>
      <sheetName val="KR2&amp;KVCM(MAR_1-6'99)3"/>
      <sheetName val="ANALISA_KONST_BTN3"/>
      <sheetName val="Bill_of_Qty3"/>
      <sheetName val="HM_MEK_3"/>
      <sheetName val="ANL_TEK_63"/>
      <sheetName val="ALAT2_(TDK_DIPAKAI)3"/>
      <sheetName val="Fill_this_out_first___3"/>
      <sheetName val="报价说明_(3)3"/>
      <sheetName val="报价说明_(4)3"/>
      <sheetName val="2_履约阶段供应链管理计划3"/>
      <sheetName val="sis_xlm3"/>
      <sheetName val="spot_prices3"/>
      <sheetName val="Forma_E-173"/>
      <sheetName val="1999_BUDGET3"/>
      <sheetName val="Materials_3"/>
      <sheetName val="Z-_GENERAL_PRIC橿⿂3"/>
      <sheetName val="Z-_GENERAL_PRIC鋘@俀~橿⿂3"/>
      <sheetName val="Z-_GENERAL_PRIC3"/>
      <sheetName val="1)_COMMON_FACILITIES3"/>
      <sheetName val="Page_24"/>
      <sheetName val="İnsan_Gücü3"/>
      <sheetName val="LV_induction_mot4"/>
      <sheetName val="Country_(kVA-Hz_)3"/>
      <sheetName val="ENQ222394AL_NASR_Steel_Report2"/>
      <sheetName val="Batam_Forecast5"/>
      <sheetName val="Batam_Forecast_jun5"/>
      <sheetName val="Fabrication_Summary5"/>
      <sheetName val="D6978_Mar_21_-_FProj075"/>
      <sheetName val="GEAC_-_Dec195"/>
      <sheetName val="SA516-60,70_(정리)3"/>
      <sheetName val="p_mgmt2"/>
      <sheetName val="Dati_base2"/>
      <sheetName val="Asset_Mansys_Sum2"/>
      <sheetName val="Job_List_(2)2"/>
      <sheetName val="Constn_&amp;_Install_-_LEV_42"/>
      <sheetName val="LEV_4_Project_Managem2"/>
      <sheetName val="Site_Management2"/>
      <sheetName val="Manhrs_Sum2"/>
      <sheetName val="BG_Working_Sheet2"/>
      <sheetName val="Dynamic_Query2"/>
      <sheetName val="M_MM3"/>
      <sheetName val="내역서_耰&quot;_x000011"/>
      <sheetName val="PROG_2"/>
      <sheetName val="DO_NOT_DELETE2"/>
      <sheetName val="1_집계표(일반전기)3"/>
      <sheetName val="2_집계표(선행공사)3"/>
      <sheetName val="3_집계표(소방공사)3"/>
      <sheetName val="CABLE_TRAY3"/>
      <sheetName val="HaulingLine_hardware3"/>
      <sheetName val="S_Curve3"/>
      <sheetName val="Branch_Power3"/>
      <sheetName val="C__letter_3rd_QT3"/>
      <sheetName val="TH_VL,_NC,_DDHT_Thanhphuoc3"/>
      <sheetName val="INPUT_DATAS3"/>
      <sheetName val="ABK_04_AWALR+CO+TAB_RUPS3"/>
      <sheetName val="9_58&quot;_single3"/>
      <sheetName val="A-11_Steel_Str3"/>
      <sheetName val="A-03_Pile3"/>
      <sheetName val="CONS_3"/>
      <sheetName val="SEK_Vertrieb4"/>
      <sheetName val="SEK_Montage4"/>
      <sheetName val="SEK_IBN4"/>
      <sheetName val="PAD_TR보호대기초3"/>
      <sheetName val="Vind_-鴃宼蠀3"/>
      <sheetName val="아파트_기성내역서2"/>
      <sheetName val="Perhitungan_RAB3"/>
      <sheetName val="cespiti_cet2_piombino_(2)3"/>
      <sheetName val="建筑工程统计表06月份_3"/>
      <sheetName val="DIV_35"/>
      <sheetName val="DIV_93"/>
      <sheetName val="LOKASI_RIG_Litbang3"/>
      <sheetName val="struktur_tdk_dipakai3"/>
      <sheetName val="sch_1_23"/>
      <sheetName val="B_10_(4)3"/>
      <sheetName val="Rev_3"/>
      <sheetName val="КС2_24_1-8_(4_1_8_11_200)corr4"/>
      <sheetName val="내역서_(N____38"/>
      <sheetName val="내역서_(N____43"/>
      <sheetName val="내역서_(N____53"/>
      <sheetName val="내역서_(N____63"/>
      <sheetName val="내역서_(N____73"/>
      <sheetName val="내역서_(N____83"/>
      <sheetName val="Sheet1_(4)3"/>
      <sheetName val="첨부_#8_기자재_Cost_Summary2"/>
      <sheetName val="Bored_Pile2"/>
      <sheetName val="03-13_Anticipated2"/>
      <sheetName val="03-13_Approved2"/>
      <sheetName val="간접비_총괄표2"/>
      <sheetName val="Issue_Log_2"/>
      <sheetName val="Basic_Rate3"/>
      <sheetName val="앉음벽_(2)2"/>
      <sheetName val="5_새들부해석_및_철근배근2"/>
      <sheetName val="Executive_Summary_(Aug_25)2"/>
      <sheetName val="5_세운W-A3"/>
      <sheetName val="Dia_Inch2"/>
      <sheetName val="Cut_to_spoil_(sound_rock)"/>
      <sheetName val="Cut_to_spoil_(soft_rock)"/>
      <sheetName val="Extra_over_haulages__"/>
      <sheetName val="Fill_from_borrow"/>
      <sheetName val="Milling_10_6_TO_58"/>
      <sheetName val="Removal_Top_Soil"/>
      <sheetName val="Removal_unsuitable"/>
      <sheetName val="Site_clearance"/>
      <sheetName val="COS_REP_XLS2"/>
      <sheetName val="upah_bahan2"/>
      <sheetName val="AnalisaSIPIL_RIIL2"/>
      <sheetName val="Har_Sat2"/>
      <sheetName val="Rek_Analisa2"/>
      <sheetName val="HRG_BAHAN_&amp;_UPAH_okk2"/>
      <sheetName val="TS_MINGGUAN_rev_(2)2"/>
      <sheetName val="DAF_ALAT2"/>
      <sheetName val="WITHOUT_C&amp;I_PROFIT_(3)2"/>
      <sheetName val="JP-I_5001552"/>
      <sheetName val="2__Steel_Structural2"/>
      <sheetName val="Risk_Variables2"/>
      <sheetName val="BOQ_LIST2"/>
      <sheetName val="Material_Groups2"/>
      <sheetName val="Material_Kind2"/>
      <sheetName val="Unit_of_Measurement_2"/>
      <sheetName val="3_6M_RETAINING_WALL2"/>
      <sheetName val="P_M_별2"/>
      <sheetName val="Calc_Sheet2"/>
      <sheetName val="04_09_19_Mufqi(2)2"/>
      <sheetName val="04_09_19_Winda(2)2"/>
      <sheetName val="Mufqi_29_08_192"/>
      <sheetName val="Ade_30_08_192"/>
      <sheetName val="Pramudibyo_30_08_192"/>
      <sheetName val="Aji_02_09_192"/>
      <sheetName val="Diah_02_09_192"/>
      <sheetName val="_09_192"/>
      <sheetName val="Breakdown_Instrument2"/>
      <sheetName val="Hujan_BUlanan2"/>
      <sheetName val="Gas_Specific_Gravities_and_GHV3"/>
      <sheetName val="Committed_Cost2"/>
      <sheetName val="Div26_-_Elect2"/>
      <sheetName val="Cause_Categories"/>
      <sheetName val="3__PE_Unit_2"/>
      <sheetName val="Fee_Rate_Summary"/>
      <sheetName val="RELACION_COSTE"/>
      <sheetName val="Change_Order_Log2"/>
      <sheetName val="Issue_Detail_(2nd_Stage)2"/>
      <sheetName val="환경기계공정표_(3)2"/>
      <sheetName val="Project_Information_In-Out2"/>
      <sheetName val="New_Rates"/>
      <sheetName val="OOC_Form"/>
      <sheetName val="FPF-Unit_Rates1"/>
      <sheetName val="PNT-Unit_Rates1"/>
      <sheetName val="1_间接人工费"/>
      <sheetName val="State_List2"/>
      <sheetName val="Subcon_Rate2"/>
      <sheetName val="PBAC_budget2"/>
      <sheetName val="Cost_Control"/>
      <sheetName val="Factor_Sheet"/>
      <sheetName val="Price_Sheet"/>
      <sheetName val="Room_Type"/>
      <sheetName val="Basement2_DB"/>
      <sheetName val="BOQ_SUM"/>
      <sheetName val="Cost_Factor_Sheet"/>
      <sheetName val="old_BREADKOWN"/>
      <sheetName val="Blk_A"/>
      <sheetName val="Bill_2K"/>
      <sheetName val="Angkatan_Mewah"/>
      <sheetName val="FOL_-_Bar"/>
      <sheetName val="7_조직표_(수정)"/>
      <sheetName val="19__drill_CD62"/>
      <sheetName val="MASTER_AR2"/>
      <sheetName val="Man__Sum_2"/>
      <sheetName val="unit_mh_study2"/>
      <sheetName val="Offer_Sum_2"/>
      <sheetName val="Indirect_Pers_2"/>
      <sheetName val="endirek_ad-sa2"/>
      <sheetName val="Support_Pers_2"/>
      <sheetName val="Indirect_Pers__Assumptions2"/>
      <sheetName val="ind__cost_of_direct2"/>
      <sheetName val="Net_Salary_of_a_Direct2"/>
      <sheetName val="Direct_Cost_Sum_2"/>
      <sheetName val="Water_Cons_2"/>
      <sheetName val="Ind_Sale2"/>
      <sheetName val="GWP3_Outfitting_Works_Indirect2"/>
      <sheetName val="Chart_Data"/>
      <sheetName val="01A__RAB2"/>
      <sheetName val="53_2"/>
      <sheetName val="MH_CIVIL2"/>
      <sheetName val="DIV_23"/>
      <sheetName val="DIV_72"/>
      <sheetName val="DIV_83"/>
      <sheetName val="DIV_36"/>
      <sheetName val="Deliverable_list2"/>
      <sheetName val="member_design2"/>
      <sheetName val="Data_basic_price_jgan_diprint2"/>
      <sheetName val="Unit_Rate2"/>
      <sheetName val="D-3_(M)2"/>
      <sheetName val="D-7_(M)2"/>
      <sheetName val="01A-_RAB2"/>
      <sheetName val="anal_rab2"/>
      <sheetName val="H__Dasar2"/>
      <sheetName val="HRG_BH2"/>
      <sheetName val="CHITIET_VL-NC-TT_-1p2"/>
      <sheetName val="TONG_HOP_VL-NC2"/>
      <sheetName val="TONGKE3p_2"/>
      <sheetName val="DON_GIA2"/>
      <sheetName val="t-h_HA_THE2"/>
      <sheetName val="THPDMoi__(2)2"/>
      <sheetName val="TONG_HOP_VL-NC_TT2"/>
      <sheetName val="TH_XL2"/>
      <sheetName val="CHITIET_VL-NC2"/>
      <sheetName val="HARGA_SAT2"/>
      <sheetName val="Pivot_Table2"/>
      <sheetName val="Rek_An2"/>
      <sheetName val="Rencana_Anggaran_Biaya2"/>
      <sheetName val="Cycle_Time2"/>
      <sheetName val="rekap_harga_satuan_pek2"/>
      <sheetName val="rab_j172"/>
      <sheetName val="첨부2__물량소화계획_상세2"/>
      <sheetName val="Sewa_Alat2"/>
      <sheetName val="BQ_ARS2"/>
      <sheetName val="DAFTAR_ISI2"/>
      <sheetName val="DAFTAR_TBL___FORM2"/>
      <sheetName val="Harga_ME_2"/>
      <sheetName val="Form_4___4_A2"/>
      <sheetName val="T-3_2_UP_Material2"/>
      <sheetName val="Analisa_STR2"/>
      <sheetName val="anal_alat2"/>
      <sheetName val="Daf_12"/>
      <sheetName val="Data_SRL2"/>
      <sheetName val="Data_Prod_Graf2"/>
      <sheetName val="RAB_J18_2"/>
      <sheetName val="HARGA_J182"/>
      <sheetName val="analisa_J182"/>
      <sheetName val="Cash_Out_Table2"/>
      <sheetName val="Net_Cash_Table2"/>
      <sheetName val="내역서_耰&quot;_x005f_x005f_x005f_x005F_x005f_x0000_2"/>
      <sheetName val="내역서_耰&quot;_x005f_x005f_x005f_x005F_x005f_x005f_2"/>
      <sheetName val="내역서_耰&quot;?_x00005"/>
      <sheetName val="Precios_Unitariԯ?1"/>
      <sheetName val="내역서_耰&quot;?4"/>
      <sheetName val="S&amp;M_Opex1"/>
      <sheetName val="Ca_máy2"/>
      <sheetName val="Cước_VC_+_ĐM_CP_Tư_vấn2"/>
      <sheetName val="Dự_toán2"/>
      <sheetName val="Đơn_Giá_TH2"/>
      <sheetName val="Nhân_công2"/>
      <sheetName val="Phân_tích2"/>
      <sheetName val="Hệ_số2"/>
      <sheetName val="C_P_Thiết_bị2"/>
      <sheetName val="T_H_Kinh_phí2"/>
      <sheetName val="Vật_tư2"/>
      <sheetName val="Trang_bìa2"/>
      <sheetName val="Riesgos_y_Oportunidades2"/>
      <sheetName val="REC__SALV_"/>
      <sheetName val="WORK_INDEX"/>
      <sheetName val="Part_3-Cladding"/>
      <sheetName val="cash_budget"/>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Named_Range2"/>
      <sheetName val="Floor_Level2"/>
      <sheetName val="8&gt;한국인수당_(Master_file)2"/>
      <sheetName val="ocean_voyage1"/>
      <sheetName val="SI_No_25"/>
      <sheetName val="Additional_Work"/>
      <sheetName val="D_Base1"/>
      <sheetName val="TOWER_12TON2"/>
      <sheetName val="TOWER_10TON2"/>
      <sheetName val="TWO_PASS1"/>
      <sheetName val="THREE_PASS1"/>
      <sheetName val="STEP1_a-JUL03"/>
      <sheetName val="Equip_COA_Sumry"/>
      <sheetName val="Rekap_Bill"/>
      <sheetName val="Jdw_Alat"/>
      <sheetName val="S_Penawar"/>
      <sheetName val="Analis_harga"/>
      <sheetName val="Sat_Bah_&amp;_Up"/>
      <sheetName val="_PE-F-42_MR_9_Manpower"/>
      <sheetName val="TABEL_BAJA"/>
      <sheetName val="Analis_Kusen_okk1"/>
      <sheetName val="Item_Kompensasi"/>
      <sheetName val="rekap_str+ars1"/>
      <sheetName val="AP_'S_ANALYSIS2"/>
      <sheetName val="23_FILTH_2"/>
      <sheetName val="02_01E_coli2"/>
      <sheetName val="_anal_hrg_sat2"/>
      <sheetName val="RAB_KapukII2"/>
      <sheetName val="BOKOR_TOPSIDE_LS_3_17M480R"/>
      <sheetName val="p17_POP_2"/>
      <sheetName val="p16_POP_1"/>
      <sheetName val="p14_cooling_mp_2"/>
      <sheetName val="p15_cooling_mp_3"/>
      <sheetName val="Control_Panel2"/>
      <sheetName val="using_rjs409_progress_data2"/>
      <sheetName val="Summary_F-217_R62"/>
      <sheetName val="BEU_btm_nozz_@_tsht2"/>
      <sheetName val="Cover_Sheet2"/>
      <sheetName val="PROJECT_MPP"/>
      <sheetName val="HO_mhrs-sum"/>
      <sheetName val="CS_mhrs-sum"/>
      <sheetName val="1_Cover"/>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Cover_(sh_1)2"/>
      <sheetName val="B2-UNIT_207"/>
      <sheetName val="BQ_INSUL"/>
      <sheetName val="BQ_PIPE"/>
      <sheetName val="SHOP_FIELD_INSTALL_%"/>
      <sheetName val="LINE_TESTS"/>
      <sheetName val="JIB_CRANE,HOIST"/>
      <sheetName val="Analisa_HS"/>
      <sheetName val="HPS_PC"/>
      <sheetName val="Pile_Cap"/>
      <sheetName val="기타_(3)"/>
      <sheetName val="drop_down_list"/>
      <sheetName val="MOTOR_OPERATED_VALVE_LIST_1"/>
      <sheetName val="쬏+쫶&amp;쫹AN_XLS]______x005f_x001f__x000_4"/>
      <sheetName val="쬏+쫶&amp;쫹AN_XLS]______x005f_x001f__x000_2"/>
      <sheetName val="쬏+쫶&amp;쫹AN_XLS]______x005f_x001f__x000_3"/>
      <sheetName val="SS_MH"/>
      <sheetName val="2__x000a_"/>
      <sheetName val="PT_DPT_Manifold_(TR)"/>
      <sheetName val="PT_DPT_Seal_(TR)"/>
      <sheetName val="Item_Details"/>
      <sheetName val="[SANDAN_XLS€??"/>
      <sheetName val="Twr_(15)"/>
      <sheetName val="Mix_Design"/>
      <sheetName val="PUNCH_DESCRIPTION"/>
      <sheetName val="Material_List_"/>
      <sheetName val="Project_data"/>
      <sheetName val="Tbl_1y_4"/>
      <sheetName val="WTPLN_Rev_A"/>
      <sheetName val="Progress_%"/>
      <sheetName val="Номенклатура_BOE"/>
      <sheetName val="Типы_оборудования"/>
      <sheetName val="Номенклатура_BOM"/>
      <sheetName val="4_6二构装修工程"/>
      <sheetName val="4_5钢结构工程"/>
      <sheetName val="1成本汇总表_"/>
      <sheetName val="Bond_&amp;_Stamp"/>
      <sheetName val="Prec_OTS"/>
      <sheetName val="Customize_Your_Invoice"/>
      <sheetName val="Parking_B"/>
      <sheetName val="BC_-_Final_Templates"/>
      <sheetName val="RCBC_Reinforcement"/>
      <sheetName val="upa_of_boq"/>
      <sheetName val="Summary_Foreign_Comp"/>
      <sheetName val="grand_summary"/>
      <sheetName val="CREW__RATE"/>
      <sheetName val="BASIS_1"/>
      <sheetName val="New_Bld"/>
      <sheetName val="Sched-Structure_IFB"/>
      <sheetName val="Channel_-_final_template"/>
      <sheetName val="Progress_Tables1"/>
      <sheetName val="L01_Actual_Cashflow__Rev_3"/>
      <sheetName val="Price_Summary_(1)"/>
      <sheetName val="Price_Summary_(2)"/>
      <sheetName val="Base_BM-rebar"/>
      <sheetName val="Bang_chi_tiet-Direct_work"/>
      <sheetName val="rap_rinci"/>
      <sheetName val="____x01"/>
      <sheetName val="OPT____1"/>
      <sheetName val="내역서_耰&quot;__x00004"/>
      <sheetName val="____x"/>
      <sheetName val="내역서_ᢐ__"/>
      <sheetName val="____x1"/>
      <sheetName val="Weekl__x000"/>
      <sheetName val="Precios_Unitariԯ_"/>
      <sheetName val="OPT__"/>
      <sheetName val="15_2_-_HVAC_Works"/>
      <sheetName val="내역서_(N____91"/>
      <sheetName val="?_????_?1"/>
      <sheetName val="_?????_??1"/>
      <sheetName val="Weekl??_?1"/>
      <sheetName val="?_?_x01"/>
      <sheetName val="_??_x01"/>
      <sheetName val="OPT??_?1"/>
      <sheetName val="bi-mnthly_rep_Villa"/>
      <sheetName val="TPK(I)_Budget"/>
      <sheetName val="L_V_Separator"/>
      <sheetName val="2__x000a_1"/>
      <sheetName val="Analisa_ME1"/>
      <sheetName val="Time_Schedule"/>
      <sheetName val="선택_속성(잠금)"/>
      <sheetName val="Unit_Price_Analysis"/>
      <sheetName val="sum1_(2)"/>
      <sheetName val="Lookup_Table"/>
      <sheetName val="D_5243-ARAMCO"/>
      <sheetName val="D-4801_OXY"/>
      <sheetName val="ANALISA_"/>
      <sheetName val="공정회의자료(월요일_10시까지)"/>
      <sheetName val="Divisi_Operasi"/>
      <sheetName val="Divisi_Produksi_&amp;_Distribusi"/>
      <sheetName val="HARGA_ALAT"/>
      <sheetName val="BOQ_INTERN"/>
      <sheetName val="BOQ_EXTERN"/>
      <sheetName val="Sumber_Daya"/>
      <sheetName val="Valuation_Summary"/>
      <sheetName val="Shares_Traded"/>
      <sheetName val="Public_&amp;_Private_Valuation"/>
      <sheetName val="CIMB_IDR"/>
      <sheetName val="REKAP_A_BESAR"/>
      <sheetName val="Inert_Balls"/>
      <sheetName val="UNIT_3"/>
      <sheetName val="PLANT_LIST"/>
      <sheetName val="ANALISA_railing"/>
      <sheetName val="Alat_&amp;_Bahan"/>
      <sheetName val="(참고)_리스크_맵"/>
      <sheetName val="99_7월_당월회수_실적"/>
      <sheetName val="4b_Consolidated_PL"/>
      <sheetName val="Materiality_-_Fin_(계획)"/>
      <sheetName val="CMA_Reconciliation"/>
      <sheetName val="Financial_Statements"/>
      <sheetName val="select_---&gt;_hide"/>
      <sheetName val="Balance_Sheet"/>
      <sheetName val="Income_Statement"/>
      <sheetName val="32_1"/>
      <sheetName val="이자비용_(2)"/>
      <sheetName val="SAPHDB_05"/>
      <sheetName val="SAPHDB_06"/>
      <sheetName val="SAPHDB_10"/>
      <sheetName val="SAPHDB_14"/>
      <sheetName val="SAPHDB_15"/>
      <sheetName val="SAPHDB_16"/>
      <sheetName val="Set_Parameters"/>
      <sheetName val="Non-Statistical_Sampling"/>
      <sheetName val="Non-Statistical_Sampling_Master"/>
      <sheetName val="Materiality_-_Components(계획)"/>
      <sheetName val="IT_Function"/>
      <sheetName val="SAP_23a"/>
      <sheetName val="SAP_24a"/>
      <sheetName val="SAP_25a"/>
      <sheetName val="SAP_26a"/>
      <sheetName val="SAP_13a"/>
      <sheetName val="SAP_21a"/>
      <sheetName val="SAP_15a"/>
      <sheetName val="SAP_18a"/>
      <sheetName val="SAP_05a"/>
      <sheetName val="SAP_11a"/>
      <sheetName val="SAP_27a"/>
      <sheetName val="AR_Drop_Downs"/>
      <sheetName val="Control_Activities"/>
      <sheetName val="Two_Step_Revenue_Testing_Master"/>
      <sheetName val="ARP_Q3_Security_Access_Review"/>
      <sheetName val="AB1_Q3_Security_Access_Review"/>
      <sheetName val="AB1_FY12"/>
      <sheetName val="Global_Data"/>
      <sheetName val="LS_(2)"/>
      <sheetName val="건물_(2)"/>
      <sheetName val="유선방송설비_(2)"/>
      <sheetName val="차량운반구_(2)"/>
      <sheetName val="전송선로설비_(2)"/>
      <sheetName val="집기비품_(2)"/>
      <sheetName val="공구기구_(2)"/>
      <sheetName val="구축물_(2)"/>
      <sheetName val="컨버터_(2)"/>
      <sheetName val="LS_"/>
      <sheetName val="ITB_COST13볷檼謀谁臛픉"/>
      <sheetName val="SITE_DEV,T"/>
      <sheetName val="AGG_A"/>
      <sheetName val="AGG_B"/>
      <sheetName val="DAFTAR_BAHAN"/>
      <sheetName val="DAFTAR_ALAT"/>
      <sheetName val="DAFTAR_UPAH"/>
      <sheetName val="PAS__BATU"/>
      <sheetName val="PRIME_COAT"/>
      <sheetName val="TACK_COAT"/>
      <sheetName val="MTO_18_Jul07&amp;19Nov08"/>
      <sheetName val="Grand_summary_Lot#1"/>
      <sheetName val="Part1_Preliminaries_&amp;_General"/>
      <sheetName val="Part2_Wastewater_System"/>
      <sheetName val="Part3_Stormwater_Drainage_Syste"/>
      <sheetName val="Part4_Dayworks"/>
      <sheetName val="Part5_O&amp;M_Equipment"/>
      <sheetName val="Part6_Training"/>
      <sheetName val="Xuly_Data"/>
      <sheetName val="Dir-Conc_"/>
      <sheetName val="Common_(LOV)"/>
      <sheetName val="Shaft_Seal_Type_(LOV)"/>
      <sheetName val="Item_Type_II_(LOV)"/>
      <sheetName val="Design_Code_(LOV)"/>
      <sheetName val="Prog_Pay_Events_Prog_Pay_Events"/>
      <sheetName val="Critical_-_Key_Drawings"/>
      <sheetName val="Mat_Deliv_Vs_ZMM071"/>
      <sheetName val="TIPO_1"/>
      <sheetName val="DPres_Calc"/>
      <sheetName val="1_FACTORY"/>
      <sheetName val="Harga "/>
      <sheetName val="JUL"/>
      <sheetName val="DAF.INVEN U.O"/>
      <sheetName val="CGS"/>
      <sheetName val="Biaya2"/>
      <sheetName val="COGM"/>
      <sheetName val="方案1表二"/>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Sheet287"/>
      <sheetName val="마감물량"/>
      <sheetName val="Assump (Static)"/>
      <sheetName val="A CONDITIONS"/>
      <sheetName val="Gráficos A"/>
      <sheetName val="Gráficos_A"/>
      <sheetName val="공정표"/>
      <sheetName val="Bahan "/>
      <sheetName val="BOM_TOTAL"/>
      <sheetName val="Pen Macadam"/>
      <sheetName val="BEFORE ALLOCATION"/>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A2-1-S-Curve and MP histogram"/>
      <sheetName val="A6-Registre Gest des risques"/>
      <sheetName val="4. S_Overall Precom &amp; Comm"/>
      <sheetName val="Lvl1 V1"/>
      <sheetName val="집계표(실적)"/>
      <sheetName val="⑤-1. 기계"/>
      <sheetName val="11.별도장부가"/>
      <sheetName val="PBC)주식기준보상부여"/>
      <sheetName val="COA-17"/>
      <sheetName val="C-18"/>
      <sheetName val="Calca"/>
      <sheetName val="_______x00_2"/>
      <sheetName val="__x001b__x0006__1"/>
      <sheetName val="__x0000__x001b__x0000__x0006__2"/>
      <sheetName val="내역서_(N__x000e__x000e__x000e___1"/>
      <sheetName val="내역서_ᢐ_x001f_1"/>
      <sheetName val="쬏+쫶&amp;쫹AN.XLS]______x001f__x000_4"/>
      <sheetName val="쬏+쫶&amp;쫹AN.XLS]______x001f__x000_2"/>
      <sheetName val="쬏+쫶&amp;쫹AN.XLS]______x001f__x000_3"/>
      <sheetName val="내역서_耰&quot;_x0000__x000012"/>
      <sheetName val="__x0000__x001b__x0000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AK-2004 (2)"/>
    </sheetNames>
    <sheetDataSet>
      <sheetData sheetId="0" refreshError="1"/>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4">
          <cell r="I4">
            <v>0</v>
          </cell>
        </row>
      </sheetData>
      <sheetData sheetId="45">
        <row r="4">
          <cell r="I4">
            <v>0</v>
          </cell>
        </row>
      </sheetData>
      <sheetData sheetId="46">
        <row r="4">
          <cell r="I4">
            <v>0</v>
          </cell>
        </row>
      </sheetData>
      <sheetData sheetId="47" refreshError="1"/>
      <sheetData sheetId="48" refreshError="1"/>
      <sheetData sheetId="49" refreshError="1"/>
      <sheetData sheetId="50" refreshError="1"/>
      <sheetData sheetId="51" refreshError="1"/>
      <sheetData sheetId="52">
        <row r="4">
          <cell r="I4">
            <v>0</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refreshError="1"/>
      <sheetData sheetId="661"/>
      <sheetData sheetId="662"/>
      <sheetData sheetId="663" refreshError="1"/>
      <sheetData sheetId="664" refreshError="1"/>
      <sheetData sheetId="665" refreshError="1"/>
      <sheetData sheetId="666"/>
      <sheetData sheetId="667">
        <row r="4">
          <cell r="I4">
            <v>0</v>
          </cell>
        </row>
      </sheetData>
      <sheetData sheetId="668"/>
      <sheetData sheetId="669"/>
      <sheetData sheetId="670"/>
      <sheetData sheetId="671"/>
      <sheetData sheetId="672" refreshError="1"/>
      <sheetData sheetId="673" refreshError="1"/>
      <sheetData sheetId="674" refreshError="1"/>
      <sheetData sheetId="675"/>
      <sheetData sheetId="676"/>
      <sheetData sheetId="677">
        <row r="4">
          <cell r="I4">
            <v>0</v>
          </cell>
        </row>
      </sheetData>
      <sheetData sheetId="678">
        <row r="4">
          <cell r="I4">
            <v>0</v>
          </cell>
        </row>
      </sheetData>
      <sheetData sheetId="679">
        <row r="4">
          <cell r="I4">
            <v>0</v>
          </cell>
        </row>
      </sheetData>
      <sheetData sheetId="680">
        <row r="4">
          <cell r="I4">
            <v>0</v>
          </cell>
        </row>
      </sheetData>
      <sheetData sheetId="681">
        <row r="4">
          <cell r="I4">
            <v>0</v>
          </cell>
        </row>
      </sheetData>
      <sheetData sheetId="682"/>
      <sheetData sheetId="683"/>
      <sheetData sheetId="684"/>
      <sheetData sheetId="685"/>
      <sheetData sheetId="686"/>
      <sheetData sheetId="687">
        <row r="4">
          <cell r="I4">
            <v>0</v>
          </cell>
        </row>
      </sheetData>
      <sheetData sheetId="688"/>
      <sheetData sheetId="689">
        <row r="4">
          <cell r="I4">
            <v>0</v>
          </cell>
        </row>
      </sheetData>
      <sheetData sheetId="690">
        <row r="4">
          <cell r="I4">
            <v>0</v>
          </cell>
        </row>
      </sheetData>
      <sheetData sheetId="691"/>
      <sheetData sheetId="692"/>
      <sheetData sheetId="693"/>
      <sheetData sheetId="694"/>
      <sheetData sheetId="695"/>
      <sheetData sheetId="696"/>
      <sheetData sheetId="697"/>
      <sheetData sheetId="698"/>
      <sheetData sheetId="699"/>
      <sheetData sheetId="700"/>
      <sheetData sheetId="701"/>
      <sheetData sheetId="702">
        <row r="4">
          <cell r="I4">
            <v>0</v>
          </cell>
        </row>
      </sheetData>
      <sheetData sheetId="703"/>
      <sheetData sheetId="704"/>
      <sheetData sheetId="705">
        <row r="4">
          <cell r="I4">
            <v>0</v>
          </cell>
        </row>
      </sheetData>
      <sheetData sheetId="706">
        <row r="4">
          <cell r="I4">
            <v>0</v>
          </cell>
        </row>
      </sheetData>
      <sheetData sheetId="707">
        <row r="4">
          <cell r="I4">
            <v>0</v>
          </cell>
        </row>
      </sheetData>
      <sheetData sheetId="708">
        <row r="4">
          <cell r="I4">
            <v>0</v>
          </cell>
        </row>
      </sheetData>
      <sheetData sheetId="709">
        <row r="4">
          <cell r="I4">
            <v>0</v>
          </cell>
        </row>
      </sheetData>
      <sheetData sheetId="710">
        <row r="4">
          <cell r="I4">
            <v>0</v>
          </cell>
        </row>
      </sheetData>
      <sheetData sheetId="711">
        <row r="4">
          <cell r="I4">
            <v>0</v>
          </cell>
        </row>
      </sheetData>
      <sheetData sheetId="712"/>
      <sheetData sheetId="713">
        <row r="4">
          <cell r="I4">
            <v>0</v>
          </cell>
        </row>
      </sheetData>
      <sheetData sheetId="714">
        <row r="4">
          <cell r="I4">
            <v>0</v>
          </cell>
        </row>
      </sheetData>
      <sheetData sheetId="715">
        <row r="4">
          <cell r="I4">
            <v>0</v>
          </cell>
        </row>
      </sheetData>
      <sheetData sheetId="716">
        <row r="4">
          <cell r="I4">
            <v>0</v>
          </cell>
        </row>
      </sheetData>
      <sheetData sheetId="717">
        <row r="4">
          <cell r="I4">
            <v>0</v>
          </cell>
        </row>
      </sheetData>
      <sheetData sheetId="718">
        <row r="4">
          <cell r="I4">
            <v>0</v>
          </cell>
        </row>
      </sheetData>
      <sheetData sheetId="719">
        <row r="4">
          <cell r="I4">
            <v>0</v>
          </cell>
        </row>
      </sheetData>
      <sheetData sheetId="720">
        <row r="4">
          <cell r="I4">
            <v>0</v>
          </cell>
        </row>
      </sheetData>
      <sheetData sheetId="721">
        <row r="4">
          <cell r="I4">
            <v>0</v>
          </cell>
        </row>
      </sheetData>
      <sheetData sheetId="722">
        <row r="4">
          <cell r="I4">
            <v>0</v>
          </cell>
        </row>
      </sheetData>
      <sheetData sheetId="723"/>
      <sheetData sheetId="724"/>
      <sheetData sheetId="725">
        <row r="4">
          <cell r="I4">
            <v>0</v>
          </cell>
        </row>
      </sheetData>
      <sheetData sheetId="726">
        <row r="4">
          <cell r="I4">
            <v>0</v>
          </cell>
        </row>
      </sheetData>
      <sheetData sheetId="727">
        <row r="4">
          <cell r="I4">
            <v>0</v>
          </cell>
        </row>
      </sheetData>
      <sheetData sheetId="728"/>
      <sheetData sheetId="729">
        <row r="4">
          <cell r="I4">
            <v>0</v>
          </cell>
        </row>
      </sheetData>
      <sheetData sheetId="730"/>
      <sheetData sheetId="731">
        <row r="4">
          <cell r="I4">
            <v>0</v>
          </cell>
        </row>
      </sheetData>
      <sheetData sheetId="732"/>
      <sheetData sheetId="733"/>
      <sheetData sheetId="734"/>
      <sheetData sheetId="735">
        <row r="4">
          <cell r="I4">
            <v>0</v>
          </cell>
        </row>
      </sheetData>
      <sheetData sheetId="736">
        <row r="4">
          <cell r="I4">
            <v>0</v>
          </cell>
        </row>
      </sheetData>
      <sheetData sheetId="737"/>
      <sheetData sheetId="738"/>
      <sheetData sheetId="739"/>
      <sheetData sheetId="740"/>
      <sheetData sheetId="741">
        <row r="4">
          <cell r="I4">
            <v>0</v>
          </cell>
        </row>
      </sheetData>
      <sheetData sheetId="742"/>
      <sheetData sheetId="743">
        <row r="4">
          <cell r="I4">
            <v>0</v>
          </cell>
        </row>
      </sheetData>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row r="4">
          <cell r="I4">
            <v>0</v>
          </cell>
        </row>
      </sheetData>
      <sheetData sheetId="761">
        <row r="4">
          <cell r="M4">
            <v>100</v>
          </cell>
        </row>
      </sheetData>
      <sheetData sheetId="762">
        <row r="4">
          <cell r="I4">
            <v>0</v>
          </cell>
        </row>
      </sheetData>
      <sheetData sheetId="763">
        <row r="4">
          <cell r="I4">
            <v>0</v>
          </cell>
        </row>
      </sheetData>
      <sheetData sheetId="764"/>
      <sheetData sheetId="765"/>
      <sheetData sheetId="766">
        <row r="4">
          <cell r="I4">
            <v>0</v>
          </cell>
        </row>
      </sheetData>
      <sheetData sheetId="767">
        <row r="4">
          <cell r="M4">
            <v>100</v>
          </cell>
        </row>
      </sheetData>
      <sheetData sheetId="768"/>
      <sheetData sheetId="769"/>
      <sheetData sheetId="770">
        <row r="4">
          <cell r="I4">
            <v>0</v>
          </cell>
        </row>
      </sheetData>
      <sheetData sheetId="771"/>
      <sheetData sheetId="772">
        <row r="4">
          <cell r="I4">
            <v>0</v>
          </cell>
        </row>
      </sheetData>
      <sheetData sheetId="773"/>
      <sheetData sheetId="774"/>
      <sheetData sheetId="775">
        <row r="4">
          <cell r="I4">
            <v>0</v>
          </cell>
        </row>
      </sheetData>
      <sheetData sheetId="776">
        <row r="4">
          <cell r="I4">
            <v>0</v>
          </cell>
        </row>
      </sheetData>
      <sheetData sheetId="777"/>
      <sheetData sheetId="778"/>
      <sheetData sheetId="779"/>
      <sheetData sheetId="780"/>
      <sheetData sheetId="781">
        <row r="4">
          <cell r="I4">
            <v>0</v>
          </cell>
        </row>
      </sheetData>
      <sheetData sheetId="782" refreshError="1"/>
      <sheetData sheetId="783" refreshError="1"/>
      <sheetData sheetId="784"/>
      <sheetData sheetId="785"/>
      <sheetData sheetId="786"/>
      <sheetData sheetId="787"/>
      <sheetData sheetId="788"/>
      <sheetData sheetId="789"/>
      <sheetData sheetId="790">
        <row r="4">
          <cell r="M4">
            <v>100</v>
          </cell>
        </row>
      </sheetData>
      <sheetData sheetId="791"/>
      <sheetData sheetId="792"/>
      <sheetData sheetId="793">
        <row r="4">
          <cell r="I4">
            <v>0</v>
          </cell>
        </row>
      </sheetData>
      <sheetData sheetId="794"/>
      <sheetData sheetId="795">
        <row r="4">
          <cell r="I4">
            <v>0</v>
          </cell>
        </row>
      </sheetData>
      <sheetData sheetId="796">
        <row r="4">
          <cell r="I4">
            <v>0</v>
          </cell>
        </row>
      </sheetData>
      <sheetData sheetId="797">
        <row r="4">
          <cell r="I4">
            <v>0</v>
          </cell>
        </row>
      </sheetData>
      <sheetData sheetId="798"/>
      <sheetData sheetId="799" refreshError="1"/>
      <sheetData sheetId="800" refreshError="1"/>
      <sheetData sheetId="801" refreshError="1"/>
      <sheetData sheetId="802">
        <row r="4">
          <cell r="I4">
            <v>0</v>
          </cell>
        </row>
      </sheetData>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refreshError="1"/>
      <sheetData sheetId="834">
        <row r="4">
          <cell r="I4">
            <v>0</v>
          </cell>
        </row>
      </sheetData>
      <sheetData sheetId="835">
        <row r="4">
          <cell r="I4">
            <v>0</v>
          </cell>
        </row>
      </sheetData>
      <sheetData sheetId="836">
        <row r="4">
          <cell r="I4">
            <v>0</v>
          </cell>
        </row>
      </sheetData>
      <sheetData sheetId="837">
        <row r="4">
          <cell r="I4">
            <v>0</v>
          </cell>
        </row>
      </sheetData>
      <sheetData sheetId="838">
        <row r="4">
          <cell r="I4">
            <v>0</v>
          </cell>
        </row>
      </sheetData>
      <sheetData sheetId="839">
        <row r="4">
          <cell r="I4">
            <v>0</v>
          </cell>
        </row>
      </sheetData>
      <sheetData sheetId="840">
        <row r="4">
          <cell r="I4">
            <v>0</v>
          </cell>
        </row>
      </sheetData>
      <sheetData sheetId="841">
        <row r="4">
          <cell r="I4">
            <v>0</v>
          </cell>
        </row>
      </sheetData>
      <sheetData sheetId="842">
        <row r="4">
          <cell r="I4">
            <v>0</v>
          </cell>
        </row>
      </sheetData>
      <sheetData sheetId="843">
        <row r="4">
          <cell r="I4">
            <v>0</v>
          </cell>
        </row>
      </sheetData>
      <sheetData sheetId="844">
        <row r="4">
          <cell r="I4">
            <v>0</v>
          </cell>
        </row>
      </sheetData>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refreshError="1"/>
      <sheetData sheetId="859" refreshError="1"/>
      <sheetData sheetId="860" refreshError="1"/>
      <sheetData sheetId="861" refreshError="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sheetData sheetId="897">
        <row r="4">
          <cell r="I4">
            <v>0</v>
          </cell>
        </row>
      </sheetData>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ow r="4">
          <cell r="I4">
            <v>0</v>
          </cell>
        </row>
      </sheetData>
      <sheetData sheetId="989">
        <row r="4">
          <cell r="I4">
            <v>0</v>
          </cell>
        </row>
      </sheetData>
      <sheetData sheetId="990">
        <row r="4">
          <cell r="I4">
            <v>0</v>
          </cell>
        </row>
      </sheetData>
      <sheetData sheetId="991">
        <row r="4">
          <cell r="I4">
            <v>0</v>
          </cell>
        </row>
      </sheetData>
      <sheetData sheetId="992">
        <row r="4">
          <cell r="I4">
            <v>0</v>
          </cell>
        </row>
      </sheetData>
      <sheetData sheetId="993">
        <row r="4">
          <cell r="I4">
            <v>0</v>
          </cell>
        </row>
      </sheetData>
      <sheetData sheetId="994">
        <row r="4">
          <cell r="I4">
            <v>0</v>
          </cell>
        </row>
      </sheetData>
      <sheetData sheetId="995">
        <row r="4">
          <cell r="I4">
            <v>0</v>
          </cell>
        </row>
      </sheetData>
      <sheetData sheetId="996">
        <row r="4">
          <cell r="I4">
            <v>0</v>
          </cell>
        </row>
      </sheetData>
      <sheetData sheetId="997">
        <row r="4">
          <cell r="I4">
            <v>0</v>
          </cell>
        </row>
      </sheetData>
      <sheetData sheetId="998">
        <row r="4">
          <cell r="I4">
            <v>0</v>
          </cell>
        </row>
      </sheetData>
      <sheetData sheetId="999">
        <row r="4">
          <cell r="I4">
            <v>0</v>
          </cell>
        </row>
      </sheetData>
      <sheetData sheetId="1000">
        <row r="4">
          <cell r="I4">
            <v>0</v>
          </cell>
        </row>
      </sheetData>
      <sheetData sheetId="1001">
        <row r="4">
          <cell r="I4">
            <v>0</v>
          </cell>
        </row>
      </sheetData>
      <sheetData sheetId="1002">
        <row r="4">
          <cell r="I4">
            <v>0</v>
          </cell>
        </row>
      </sheetData>
      <sheetData sheetId="1003">
        <row r="4">
          <cell r="I4">
            <v>0</v>
          </cell>
        </row>
      </sheetData>
      <sheetData sheetId="1004">
        <row r="4">
          <cell r="I4">
            <v>0</v>
          </cell>
        </row>
      </sheetData>
      <sheetData sheetId="1005">
        <row r="4">
          <cell r="I4">
            <v>0</v>
          </cell>
        </row>
      </sheetData>
      <sheetData sheetId="1006">
        <row r="4">
          <cell r="I4">
            <v>0</v>
          </cell>
        </row>
      </sheetData>
      <sheetData sheetId="1007">
        <row r="4">
          <cell r="I4">
            <v>0</v>
          </cell>
        </row>
      </sheetData>
      <sheetData sheetId="1008">
        <row r="4">
          <cell r="I4">
            <v>0</v>
          </cell>
        </row>
      </sheetData>
      <sheetData sheetId="1009">
        <row r="4">
          <cell r="I4">
            <v>0</v>
          </cell>
        </row>
      </sheetData>
      <sheetData sheetId="1010">
        <row r="4">
          <cell r="I4">
            <v>0</v>
          </cell>
        </row>
      </sheetData>
      <sheetData sheetId="1011">
        <row r="4">
          <cell r="I4">
            <v>0</v>
          </cell>
        </row>
      </sheetData>
      <sheetData sheetId="1012">
        <row r="4">
          <cell r="I4">
            <v>0</v>
          </cell>
        </row>
      </sheetData>
      <sheetData sheetId="1013">
        <row r="4">
          <cell r="I4">
            <v>0</v>
          </cell>
        </row>
      </sheetData>
      <sheetData sheetId="1014">
        <row r="4">
          <cell r="I4">
            <v>0</v>
          </cell>
        </row>
      </sheetData>
      <sheetData sheetId="1015">
        <row r="4">
          <cell r="I4">
            <v>0</v>
          </cell>
        </row>
      </sheetData>
      <sheetData sheetId="1016">
        <row r="4">
          <cell r="I4">
            <v>0</v>
          </cell>
        </row>
      </sheetData>
      <sheetData sheetId="1017">
        <row r="4">
          <cell r="I4">
            <v>0</v>
          </cell>
        </row>
      </sheetData>
      <sheetData sheetId="1018">
        <row r="4">
          <cell r="I4">
            <v>0</v>
          </cell>
        </row>
      </sheetData>
      <sheetData sheetId="1019">
        <row r="4">
          <cell r="I4">
            <v>0</v>
          </cell>
        </row>
      </sheetData>
      <sheetData sheetId="1020">
        <row r="4">
          <cell r="I4">
            <v>0</v>
          </cell>
        </row>
      </sheetData>
      <sheetData sheetId="1021">
        <row r="4">
          <cell r="I4">
            <v>0</v>
          </cell>
        </row>
      </sheetData>
      <sheetData sheetId="1022">
        <row r="4">
          <cell r="I4">
            <v>0</v>
          </cell>
        </row>
      </sheetData>
      <sheetData sheetId="1023">
        <row r="4">
          <cell r="I4">
            <v>0</v>
          </cell>
        </row>
      </sheetData>
      <sheetData sheetId="1024">
        <row r="4">
          <cell r="I4">
            <v>0</v>
          </cell>
        </row>
      </sheetData>
      <sheetData sheetId="1025">
        <row r="4">
          <cell r="I4">
            <v>0</v>
          </cell>
        </row>
      </sheetData>
      <sheetData sheetId="1026">
        <row r="4">
          <cell r="I4">
            <v>0</v>
          </cell>
        </row>
      </sheetData>
      <sheetData sheetId="1027">
        <row r="4">
          <cell r="I4">
            <v>0</v>
          </cell>
        </row>
      </sheetData>
      <sheetData sheetId="1028">
        <row r="4">
          <cell r="I4">
            <v>0</v>
          </cell>
        </row>
      </sheetData>
      <sheetData sheetId="1029">
        <row r="4">
          <cell r="I4">
            <v>0</v>
          </cell>
        </row>
      </sheetData>
      <sheetData sheetId="1030">
        <row r="4">
          <cell r="I4">
            <v>0</v>
          </cell>
        </row>
      </sheetData>
      <sheetData sheetId="1031">
        <row r="4">
          <cell r="I4">
            <v>0</v>
          </cell>
        </row>
      </sheetData>
      <sheetData sheetId="1032">
        <row r="4">
          <cell r="I4">
            <v>0</v>
          </cell>
        </row>
      </sheetData>
      <sheetData sheetId="1033">
        <row r="4">
          <cell r="I4">
            <v>0</v>
          </cell>
        </row>
      </sheetData>
      <sheetData sheetId="1034">
        <row r="4">
          <cell r="I4">
            <v>0</v>
          </cell>
        </row>
      </sheetData>
      <sheetData sheetId="1035">
        <row r="4">
          <cell r="I4">
            <v>0</v>
          </cell>
        </row>
      </sheetData>
      <sheetData sheetId="1036">
        <row r="4">
          <cell r="I4">
            <v>0</v>
          </cell>
        </row>
      </sheetData>
      <sheetData sheetId="1037">
        <row r="4">
          <cell r="I4">
            <v>0</v>
          </cell>
        </row>
      </sheetData>
      <sheetData sheetId="1038">
        <row r="4">
          <cell r="I4">
            <v>0</v>
          </cell>
        </row>
      </sheetData>
      <sheetData sheetId="1039">
        <row r="4">
          <cell r="I4">
            <v>0</v>
          </cell>
        </row>
      </sheetData>
      <sheetData sheetId="1040">
        <row r="4">
          <cell r="I4">
            <v>0</v>
          </cell>
        </row>
      </sheetData>
      <sheetData sheetId="1041">
        <row r="4">
          <cell r="I4">
            <v>0</v>
          </cell>
        </row>
      </sheetData>
      <sheetData sheetId="1042">
        <row r="4">
          <cell r="I4">
            <v>0</v>
          </cell>
        </row>
      </sheetData>
      <sheetData sheetId="1043">
        <row r="4">
          <cell r="I4">
            <v>0</v>
          </cell>
        </row>
      </sheetData>
      <sheetData sheetId="1044">
        <row r="4">
          <cell r="I4">
            <v>0</v>
          </cell>
        </row>
      </sheetData>
      <sheetData sheetId="1045">
        <row r="4">
          <cell r="I4">
            <v>0</v>
          </cell>
        </row>
      </sheetData>
      <sheetData sheetId="1046">
        <row r="4">
          <cell r="I4">
            <v>0</v>
          </cell>
        </row>
      </sheetData>
      <sheetData sheetId="1047">
        <row r="4">
          <cell r="I4">
            <v>0</v>
          </cell>
        </row>
      </sheetData>
      <sheetData sheetId="1048">
        <row r="4">
          <cell r="I4">
            <v>0</v>
          </cell>
        </row>
      </sheetData>
      <sheetData sheetId="1049">
        <row r="4">
          <cell r="I4">
            <v>0</v>
          </cell>
        </row>
      </sheetData>
      <sheetData sheetId="1050">
        <row r="4">
          <cell r="I4">
            <v>0</v>
          </cell>
        </row>
      </sheetData>
      <sheetData sheetId="1051">
        <row r="4">
          <cell r="I4">
            <v>0</v>
          </cell>
        </row>
      </sheetData>
      <sheetData sheetId="1052">
        <row r="4">
          <cell r="I4">
            <v>0</v>
          </cell>
        </row>
      </sheetData>
      <sheetData sheetId="1053">
        <row r="4">
          <cell r="I4">
            <v>0</v>
          </cell>
        </row>
      </sheetData>
      <sheetData sheetId="1054">
        <row r="4">
          <cell r="I4">
            <v>0</v>
          </cell>
        </row>
      </sheetData>
      <sheetData sheetId="1055">
        <row r="4">
          <cell r="I4">
            <v>0</v>
          </cell>
        </row>
      </sheetData>
      <sheetData sheetId="1056">
        <row r="4">
          <cell r="I4">
            <v>0</v>
          </cell>
        </row>
      </sheetData>
      <sheetData sheetId="1057">
        <row r="4">
          <cell r="I4">
            <v>0</v>
          </cell>
        </row>
      </sheetData>
      <sheetData sheetId="1058">
        <row r="4">
          <cell r="I4">
            <v>0</v>
          </cell>
        </row>
      </sheetData>
      <sheetData sheetId="1059">
        <row r="4">
          <cell r="I4">
            <v>0</v>
          </cell>
        </row>
      </sheetData>
      <sheetData sheetId="1060">
        <row r="4">
          <cell r="I4">
            <v>0</v>
          </cell>
        </row>
      </sheetData>
      <sheetData sheetId="1061">
        <row r="4">
          <cell r="I4">
            <v>0</v>
          </cell>
        </row>
      </sheetData>
      <sheetData sheetId="1062">
        <row r="4">
          <cell r="I4">
            <v>0</v>
          </cell>
        </row>
      </sheetData>
      <sheetData sheetId="1063">
        <row r="4">
          <cell r="I4">
            <v>0</v>
          </cell>
        </row>
      </sheetData>
      <sheetData sheetId="1064">
        <row r="4">
          <cell r="I4">
            <v>0</v>
          </cell>
        </row>
      </sheetData>
      <sheetData sheetId="1065">
        <row r="4">
          <cell r="I4">
            <v>0</v>
          </cell>
        </row>
      </sheetData>
      <sheetData sheetId="1066">
        <row r="4">
          <cell r="I4">
            <v>0</v>
          </cell>
        </row>
      </sheetData>
      <sheetData sheetId="1067">
        <row r="4">
          <cell r="I4">
            <v>0</v>
          </cell>
        </row>
      </sheetData>
      <sheetData sheetId="1068">
        <row r="4">
          <cell r="I4">
            <v>0</v>
          </cell>
        </row>
      </sheetData>
      <sheetData sheetId="1069">
        <row r="4">
          <cell r="I4">
            <v>0</v>
          </cell>
        </row>
      </sheetData>
      <sheetData sheetId="1070">
        <row r="4">
          <cell r="I4">
            <v>0</v>
          </cell>
        </row>
      </sheetData>
      <sheetData sheetId="1071">
        <row r="4">
          <cell r="I4">
            <v>0</v>
          </cell>
        </row>
      </sheetData>
      <sheetData sheetId="1072">
        <row r="4">
          <cell r="I4">
            <v>0</v>
          </cell>
        </row>
      </sheetData>
      <sheetData sheetId="1073">
        <row r="4">
          <cell r="I4">
            <v>0</v>
          </cell>
        </row>
      </sheetData>
      <sheetData sheetId="1074">
        <row r="4">
          <cell r="I4">
            <v>0</v>
          </cell>
        </row>
      </sheetData>
      <sheetData sheetId="1075">
        <row r="4">
          <cell r="I4">
            <v>0</v>
          </cell>
        </row>
      </sheetData>
      <sheetData sheetId="1076">
        <row r="4">
          <cell r="I4">
            <v>0</v>
          </cell>
        </row>
      </sheetData>
      <sheetData sheetId="1077">
        <row r="4">
          <cell r="I4">
            <v>0</v>
          </cell>
        </row>
      </sheetData>
      <sheetData sheetId="1078">
        <row r="4">
          <cell r="I4">
            <v>0</v>
          </cell>
        </row>
      </sheetData>
      <sheetData sheetId="1079">
        <row r="4">
          <cell r="I4">
            <v>0</v>
          </cell>
        </row>
      </sheetData>
      <sheetData sheetId="1080">
        <row r="4">
          <cell r="I4">
            <v>0</v>
          </cell>
        </row>
      </sheetData>
      <sheetData sheetId="1081">
        <row r="4">
          <cell r="I4">
            <v>0</v>
          </cell>
        </row>
      </sheetData>
      <sheetData sheetId="1082">
        <row r="4">
          <cell r="I4">
            <v>0</v>
          </cell>
        </row>
      </sheetData>
      <sheetData sheetId="1083">
        <row r="4">
          <cell r="I4">
            <v>0</v>
          </cell>
        </row>
      </sheetData>
      <sheetData sheetId="1084">
        <row r="4">
          <cell r="I4">
            <v>0</v>
          </cell>
        </row>
      </sheetData>
      <sheetData sheetId="1085">
        <row r="4">
          <cell r="I4">
            <v>0</v>
          </cell>
        </row>
      </sheetData>
      <sheetData sheetId="1086">
        <row r="4">
          <cell r="I4">
            <v>0</v>
          </cell>
        </row>
      </sheetData>
      <sheetData sheetId="1087">
        <row r="4">
          <cell r="I4">
            <v>0</v>
          </cell>
        </row>
      </sheetData>
      <sheetData sheetId="1088">
        <row r="4">
          <cell r="I4">
            <v>0</v>
          </cell>
        </row>
      </sheetData>
      <sheetData sheetId="1089">
        <row r="4">
          <cell r="I4">
            <v>0</v>
          </cell>
        </row>
      </sheetData>
      <sheetData sheetId="1090">
        <row r="4">
          <cell r="I4">
            <v>0</v>
          </cell>
        </row>
      </sheetData>
      <sheetData sheetId="1091">
        <row r="4">
          <cell r="I4">
            <v>0</v>
          </cell>
        </row>
      </sheetData>
      <sheetData sheetId="1092">
        <row r="4">
          <cell r="I4">
            <v>0</v>
          </cell>
        </row>
      </sheetData>
      <sheetData sheetId="1093">
        <row r="4">
          <cell r="I4">
            <v>0</v>
          </cell>
        </row>
      </sheetData>
      <sheetData sheetId="1094">
        <row r="4">
          <cell r="I4">
            <v>0</v>
          </cell>
        </row>
      </sheetData>
      <sheetData sheetId="1095">
        <row r="4">
          <cell r="I4">
            <v>0</v>
          </cell>
        </row>
      </sheetData>
      <sheetData sheetId="1096">
        <row r="4">
          <cell r="I4">
            <v>0</v>
          </cell>
        </row>
      </sheetData>
      <sheetData sheetId="1097">
        <row r="4">
          <cell r="I4">
            <v>0</v>
          </cell>
        </row>
      </sheetData>
      <sheetData sheetId="1098">
        <row r="4">
          <cell r="I4">
            <v>0</v>
          </cell>
        </row>
      </sheetData>
      <sheetData sheetId="1099">
        <row r="4">
          <cell r="I4">
            <v>0</v>
          </cell>
        </row>
      </sheetData>
      <sheetData sheetId="1100">
        <row r="4">
          <cell r="I4">
            <v>0</v>
          </cell>
        </row>
      </sheetData>
      <sheetData sheetId="1101">
        <row r="4">
          <cell r="I4">
            <v>0</v>
          </cell>
        </row>
      </sheetData>
      <sheetData sheetId="1102">
        <row r="4">
          <cell r="I4">
            <v>0</v>
          </cell>
        </row>
      </sheetData>
      <sheetData sheetId="1103">
        <row r="4">
          <cell r="I4">
            <v>0</v>
          </cell>
        </row>
      </sheetData>
      <sheetData sheetId="1104">
        <row r="4">
          <cell r="I4">
            <v>0</v>
          </cell>
        </row>
      </sheetData>
      <sheetData sheetId="1105">
        <row r="4">
          <cell r="I4">
            <v>0</v>
          </cell>
        </row>
      </sheetData>
      <sheetData sheetId="1106">
        <row r="4">
          <cell r="I4">
            <v>0</v>
          </cell>
        </row>
      </sheetData>
      <sheetData sheetId="1107">
        <row r="4">
          <cell r="I4">
            <v>0</v>
          </cell>
        </row>
      </sheetData>
      <sheetData sheetId="1108">
        <row r="4">
          <cell r="I4">
            <v>0</v>
          </cell>
        </row>
      </sheetData>
      <sheetData sheetId="1109">
        <row r="4">
          <cell r="I4">
            <v>0</v>
          </cell>
        </row>
      </sheetData>
      <sheetData sheetId="1110">
        <row r="4">
          <cell r="I4">
            <v>0</v>
          </cell>
        </row>
      </sheetData>
      <sheetData sheetId="1111">
        <row r="4">
          <cell r="I4">
            <v>0</v>
          </cell>
        </row>
      </sheetData>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row r="4">
          <cell r="I4">
            <v>0</v>
          </cell>
        </row>
      </sheetData>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ow r="4">
          <cell r="I4">
            <v>0</v>
          </cell>
        </row>
      </sheetData>
      <sheetData sheetId="1184" refreshError="1"/>
      <sheetData sheetId="1185" refreshError="1"/>
      <sheetData sheetId="1186" refreshError="1"/>
      <sheetData sheetId="1187" refreshError="1"/>
      <sheetData sheetId="1188" refreshError="1"/>
      <sheetData sheetId="1189" refreshError="1"/>
      <sheetData sheetId="1190">
        <row r="4">
          <cell r="I4">
            <v>0</v>
          </cell>
        </row>
      </sheetData>
      <sheetData sheetId="1191"/>
      <sheetData sheetId="1192">
        <row r="4">
          <cell r="I4">
            <v>0</v>
          </cell>
        </row>
      </sheetData>
      <sheetData sheetId="1193">
        <row r="4">
          <cell r="I4">
            <v>0</v>
          </cell>
        </row>
      </sheetData>
      <sheetData sheetId="1194">
        <row r="4">
          <cell r="I4">
            <v>0</v>
          </cell>
        </row>
      </sheetData>
      <sheetData sheetId="1195">
        <row r="4">
          <cell r="I4">
            <v>0</v>
          </cell>
        </row>
      </sheetData>
      <sheetData sheetId="1196">
        <row r="4">
          <cell r="I4">
            <v>0</v>
          </cell>
        </row>
      </sheetData>
      <sheetData sheetId="1197">
        <row r="4">
          <cell r="I4">
            <v>0</v>
          </cell>
        </row>
      </sheetData>
      <sheetData sheetId="1198">
        <row r="4">
          <cell r="I4">
            <v>0</v>
          </cell>
        </row>
      </sheetData>
      <sheetData sheetId="1199">
        <row r="4">
          <cell r="I4">
            <v>0</v>
          </cell>
        </row>
      </sheetData>
      <sheetData sheetId="1200">
        <row r="4">
          <cell r="I4">
            <v>0</v>
          </cell>
        </row>
      </sheetData>
      <sheetData sheetId="1201">
        <row r="4">
          <cell r="I4">
            <v>0</v>
          </cell>
        </row>
      </sheetData>
      <sheetData sheetId="1202">
        <row r="4">
          <cell r="I4">
            <v>0</v>
          </cell>
        </row>
      </sheetData>
      <sheetData sheetId="1203">
        <row r="4">
          <cell r="I4">
            <v>0</v>
          </cell>
        </row>
      </sheetData>
      <sheetData sheetId="1204">
        <row r="4">
          <cell r="I4">
            <v>0</v>
          </cell>
        </row>
      </sheetData>
      <sheetData sheetId="1205">
        <row r="4">
          <cell r="I4">
            <v>0</v>
          </cell>
        </row>
      </sheetData>
      <sheetData sheetId="1206">
        <row r="4">
          <cell r="I4">
            <v>0</v>
          </cell>
        </row>
      </sheetData>
      <sheetData sheetId="1207">
        <row r="4">
          <cell r="I4">
            <v>0</v>
          </cell>
        </row>
      </sheetData>
      <sheetData sheetId="1208">
        <row r="4">
          <cell r="I4">
            <v>0</v>
          </cell>
        </row>
      </sheetData>
      <sheetData sheetId="1209">
        <row r="4">
          <cell r="I4">
            <v>0</v>
          </cell>
        </row>
      </sheetData>
      <sheetData sheetId="1210">
        <row r="4">
          <cell r="I4">
            <v>0</v>
          </cell>
        </row>
      </sheetData>
      <sheetData sheetId="1211">
        <row r="4">
          <cell r="I4">
            <v>0</v>
          </cell>
        </row>
      </sheetData>
      <sheetData sheetId="1212">
        <row r="4">
          <cell r="I4">
            <v>0</v>
          </cell>
        </row>
      </sheetData>
      <sheetData sheetId="1213">
        <row r="4">
          <cell r="I4">
            <v>0</v>
          </cell>
        </row>
      </sheetData>
      <sheetData sheetId="1214">
        <row r="4">
          <cell r="I4">
            <v>0</v>
          </cell>
        </row>
      </sheetData>
      <sheetData sheetId="1215">
        <row r="4">
          <cell r="I4">
            <v>0</v>
          </cell>
        </row>
      </sheetData>
      <sheetData sheetId="1216">
        <row r="4">
          <cell r="I4">
            <v>0</v>
          </cell>
        </row>
      </sheetData>
      <sheetData sheetId="1217">
        <row r="4">
          <cell r="I4">
            <v>0</v>
          </cell>
        </row>
      </sheetData>
      <sheetData sheetId="1218">
        <row r="4">
          <cell r="I4">
            <v>0</v>
          </cell>
        </row>
      </sheetData>
      <sheetData sheetId="1219">
        <row r="4">
          <cell r="I4">
            <v>0</v>
          </cell>
        </row>
      </sheetData>
      <sheetData sheetId="1220">
        <row r="4">
          <cell r="I4">
            <v>0</v>
          </cell>
        </row>
      </sheetData>
      <sheetData sheetId="1221">
        <row r="4">
          <cell r="I4">
            <v>0</v>
          </cell>
        </row>
      </sheetData>
      <sheetData sheetId="1222">
        <row r="4">
          <cell r="I4">
            <v>0</v>
          </cell>
        </row>
      </sheetData>
      <sheetData sheetId="1223">
        <row r="4">
          <cell r="I4">
            <v>0</v>
          </cell>
        </row>
      </sheetData>
      <sheetData sheetId="1224">
        <row r="4">
          <cell r="I4">
            <v>0</v>
          </cell>
        </row>
      </sheetData>
      <sheetData sheetId="1225">
        <row r="4">
          <cell r="I4">
            <v>0</v>
          </cell>
        </row>
      </sheetData>
      <sheetData sheetId="1226">
        <row r="4">
          <cell r="I4">
            <v>0</v>
          </cell>
        </row>
      </sheetData>
      <sheetData sheetId="1227">
        <row r="4">
          <cell r="I4">
            <v>0</v>
          </cell>
        </row>
      </sheetData>
      <sheetData sheetId="1228">
        <row r="4">
          <cell r="I4">
            <v>0</v>
          </cell>
        </row>
      </sheetData>
      <sheetData sheetId="1229">
        <row r="4">
          <cell r="I4">
            <v>0</v>
          </cell>
        </row>
      </sheetData>
      <sheetData sheetId="1230">
        <row r="4">
          <cell r="I4">
            <v>0</v>
          </cell>
        </row>
      </sheetData>
      <sheetData sheetId="1231">
        <row r="4">
          <cell r="I4">
            <v>0</v>
          </cell>
        </row>
      </sheetData>
      <sheetData sheetId="1232">
        <row r="4">
          <cell r="I4">
            <v>0</v>
          </cell>
        </row>
      </sheetData>
      <sheetData sheetId="1233">
        <row r="4">
          <cell r="I4">
            <v>0</v>
          </cell>
        </row>
      </sheetData>
      <sheetData sheetId="1234">
        <row r="4">
          <cell r="I4">
            <v>0</v>
          </cell>
        </row>
      </sheetData>
      <sheetData sheetId="1235">
        <row r="4">
          <cell r="I4">
            <v>0</v>
          </cell>
        </row>
      </sheetData>
      <sheetData sheetId="1236">
        <row r="4">
          <cell r="I4">
            <v>0</v>
          </cell>
        </row>
      </sheetData>
      <sheetData sheetId="1237">
        <row r="4">
          <cell r="I4">
            <v>0</v>
          </cell>
        </row>
      </sheetData>
      <sheetData sheetId="1238">
        <row r="4">
          <cell r="I4">
            <v>0</v>
          </cell>
        </row>
      </sheetData>
      <sheetData sheetId="1239">
        <row r="4">
          <cell r="I4">
            <v>0</v>
          </cell>
        </row>
      </sheetData>
      <sheetData sheetId="1240">
        <row r="4">
          <cell r="I4">
            <v>0</v>
          </cell>
        </row>
      </sheetData>
      <sheetData sheetId="1241">
        <row r="4">
          <cell r="I4">
            <v>0</v>
          </cell>
        </row>
      </sheetData>
      <sheetData sheetId="1242">
        <row r="4">
          <cell r="I4">
            <v>0</v>
          </cell>
        </row>
      </sheetData>
      <sheetData sheetId="1243">
        <row r="4">
          <cell r="I4">
            <v>0</v>
          </cell>
        </row>
      </sheetData>
      <sheetData sheetId="1244">
        <row r="4">
          <cell r="I4">
            <v>0</v>
          </cell>
        </row>
      </sheetData>
      <sheetData sheetId="1245">
        <row r="4">
          <cell r="I4">
            <v>0</v>
          </cell>
        </row>
      </sheetData>
      <sheetData sheetId="1246">
        <row r="4">
          <cell r="I4">
            <v>0</v>
          </cell>
        </row>
      </sheetData>
      <sheetData sheetId="1247">
        <row r="4">
          <cell r="I4">
            <v>0</v>
          </cell>
        </row>
      </sheetData>
      <sheetData sheetId="1248">
        <row r="4">
          <cell r="I4">
            <v>0</v>
          </cell>
        </row>
      </sheetData>
      <sheetData sheetId="1249">
        <row r="4">
          <cell r="I4">
            <v>0</v>
          </cell>
        </row>
      </sheetData>
      <sheetData sheetId="1250">
        <row r="4">
          <cell r="I4">
            <v>0</v>
          </cell>
        </row>
      </sheetData>
      <sheetData sheetId="1251">
        <row r="4">
          <cell r="I4">
            <v>0</v>
          </cell>
        </row>
      </sheetData>
      <sheetData sheetId="1252">
        <row r="4">
          <cell r="I4">
            <v>0</v>
          </cell>
        </row>
      </sheetData>
      <sheetData sheetId="1253">
        <row r="4">
          <cell r="I4">
            <v>0</v>
          </cell>
        </row>
      </sheetData>
      <sheetData sheetId="1254">
        <row r="4">
          <cell r="I4">
            <v>0</v>
          </cell>
        </row>
      </sheetData>
      <sheetData sheetId="1255">
        <row r="4">
          <cell r="I4">
            <v>0</v>
          </cell>
        </row>
      </sheetData>
      <sheetData sheetId="1256">
        <row r="4">
          <cell r="I4">
            <v>0</v>
          </cell>
        </row>
      </sheetData>
      <sheetData sheetId="1257">
        <row r="4">
          <cell r="I4">
            <v>0</v>
          </cell>
        </row>
      </sheetData>
      <sheetData sheetId="1258">
        <row r="4">
          <cell r="I4">
            <v>0</v>
          </cell>
        </row>
      </sheetData>
      <sheetData sheetId="1259">
        <row r="4">
          <cell r="I4">
            <v>0</v>
          </cell>
        </row>
      </sheetData>
      <sheetData sheetId="1260">
        <row r="4">
          <cell r="I4">
            <v>0</v>
          </cell>
        </row>
      </sheetData>
      <sheetData sheetId="1261">
        <row r="4">
          <cell r="I4">
            <v>0</v>
          </cell>
        </row>
      </sheetData>
      <sheetData sheetId="1262">
        <row r="4">
          <cell r="I4">
            <v>0</v>
          </cell>
        </row>
      </sheetData>
      <sheetData sheetId="1263">
        <row r="4">
          <cell r="I4">
            <v>0</v>
          </cell>
        </row>
      </sheetData>
      <sheetData sheetId="1264">
        <row r="4">
          <cell r="I4">
            <v>0</v>
          </cell>
        </row>
      </sheetData>
      <sheetData sheetId="1265">
        <row r="4">
          <cell r="I4">
            <v>0</v>
          </cell>
        </row>
      </sheetData>
      <sheetData sheetId="1266">
        <row r="4">
          <cell r="I4">
            <v>0</v>
          </cell>
        </row>
      </sheetData>
      <sheetData sheetId="1267">
        <row r="4">
          <cell r="I4">
            <v>0</v>
          </cell>
        </row>
      </sheetData>
      <sheetData sheetId="1268">
        <row r="4">
          <cell r="I4">
            <v>0</v>
          </cell>
        </row>
      </sheetData>
      <sheetData sheetId="1269">
        <row r="4">
          <cell r="I4">
            <v>0</v>
          </cell>
        </row>
      </sheetData>
      <sheetData sheetId="1270">
        <row r="4">
          <cell r="I4">
            <v>0</v>
          </cell>
        </row>
      </sheetData>
      <sheetData sheetId="1271">
        <row r="4">
          <cell r="I4">
            <v>0</v>
          </cell>
        </row>
      </sheetData>
      <sheetData sheetId="1272">
        <row r="4">
          <cell r="I4">
            <v>0</v>
          </cell>
        </row>
      </sheetData>
      <sheetData sheetId="1273">
        <row r="4">
          <cell r="I4">
            <v>0</v>
          </cell>
        </row>
      </sheetData>
      <sheetData sheetId="1274">
        <row r="4">
          <cell r="I4">
            <v>0</v>
          </cell>
        </row>
      </sheetData>
      <sheetData sheetId="1275">
        <row r="4">
          <cell r="I4">
            <v>0</v>
          </cell>
        </row>
      </sheetData>
      <sheetData sheetId="1276">
        <row r="4">
          <cell r="I4">
            <v>0</v>
          </cell>
        </row>
      </sheetData>
      <sheetData sheetId="1277">
        <row r="4">
          <cell r="I4">
            <v>0</v>
          </cell>
        </row>
      </sheetData>
      <sheetData sheetId="1278">
        <row r="4">
          <cell r="I4">
            <v>0</v>
          </cell>
        </row>
      </sheetData>
      <sheetData sheetId="1279">
        <row r="4">
          <cell r="I4">
            <v>0</v>
          </cell>
        </row>
      </sheetData>
      <sheetData sheetId="1280">
        <row r="4">
          <cell r="I4">
            <v>0</v>
          </cell>
        </row>
      </sheetData>
      <sheetData sheetId="1281">
        <row r="4">
          <cell r="I4">
            <v>0</v>
          </cell>
        </row>
      </sheetData>
      <sheetData sheetId="1282">
        <row r="4">
          <cell r="I4">
            <v>0</v>
          </cell>
        </row>
      </sheetData>
      <sheetData sheetId="1283">
        <row r="4">
          <cell r="I4">
            <v>0</v>
          </cell>
        </row>
      </sheetData>
      <sheetData sheetId="1284">
        <row r="4">
          <cell r="I4">
            <v>0</v>
          </cell>
        </row>
      </sheetData>
      <sheetData sheetId="1285">
        <row r="4">
          <cell r="I4">
            <v>0</v>
          </cell>
        </row>
      </sheetData>
      <sheetData sheetId="1286">
        <row r="4">
          <cell r="I4">
            <v>0</v>
          </cell>
        </row>
      </sheetData>
      <sheetData sheetId="1287">
        <row r="4">
          <cell r="I4">
            <v>0</v>
          </cell>
        </row>
      </sheetData>
      <sheetData sheetId="1288">
        <row r="4">
          <cell r="I4">
            <v>0</v>
          </cell>
        </row>
      </sheetData>
      <sheetData sheetId="1289">
        <row r="4">
          <cell r="I4">
            <v>0</v>
          </cell>
        </row>
      </sheetData>
      <sheetData sheetId="1290">
        <row r="4">
          <cell r="I4">
            <v>0</v>
          </cell>
        </row>
      </sheetData>
      <sheetData sheetId="1291">
        <row r="4">
          <cell r="I4">
            <v>0</v>
          </cell>
        </row>
      </sheetData>
      <sheetData sheetId="1292">
        <row r="4">
          <cell r="I4">
            <v>0</v>
          </cell>
        </row>
      </sheetData>
      <sheetData sheetId="1293">
        <row r="4">
          <cell r="I4">
            <v>0</v>
          </cell>
        </row>
      </sheetData>
      <sheetData sheetId="1294">
        <row r="4">
          <cell r="I4">
            <v>0</v>
          </cell>
        </row>
      </sheetData>
      <sheetData sheetId="1295">
        <row r="4">
          <cell r="I4">
            <v>0</v>
          </cell>
        </row>
      </sheetData>
      <sheetData sheetId="1296">
        <row r="4">
          <cell r="I4">
            <v>0</v>
          </cell>
        </row>
      </sheetData>
      <sheetData sheetId="1297">
        <row r="4">
          <cell r="I4">
            <v>0</v>
          </cell>
        </row>
      </sheetData>
      <sheetData sheetId="1298">
        <row r="4">
          <cell r="I4">
            <v>0</v>
          </cell>
        </row>
      </sheetData>
      <sheetData sheetId="1299">
        <row r="4">
          <cell r="I4">
            <v>0</v>
          </cell>
        </row>
      </sheetData>
      <sheetData sheetId="1300">
        <row r="4">
          <cell r="I4">
            <v>0</v>
          </cell>
        </row>
      </sheetData>
      <sheetData sheetId="1301">
        <row r="4">
          <cell r="I4">
            <v>0</v>
          </cell>
        </row>
      </sheetData>
      <sheetData sheetId="1302">
        <row r="4">
          <cell r="I4">
            <v>0</v>
          </cell>
        </row>
      </sheetData>
      <sheetData sheetId="1303">
        <row r="4">
          <cell r="I4">
            <v>0</v>
          </cell>
        </row>
      </sheetData>
      <sheetData sheetId="1304">
        <row r="4">
          <cell r="I4">
            <v>0</v>
          </cell>
        </row>
      </sheetData>
      <sheetData sheetId="1305">
        <row r="4">
          <cell r="I4">
            <v>0</v>
          </cell>
        </row>
      </sheetData>
      <sheetData sheetId="1306">
        <row r="4">
          <cell r="I4">
            <v>0</v>
          </cell>
        </row>
      </sheetData>
      <sheetData sheetId="1307">
        <row r="4">
          <cell r="I4">
            <v>0</v>
          </cell>
        </row>
      </sheetData>
      <sheetData sheetId="1308">
        <row r="4">
          <cell r="I4">
            <v>0</v>
          </cell>
        </row>
      </sheetData>
      <sheetData sheetId="1309">
        <row r="4">
          <cell r="I4">
            <v>0</v>
          </cell>
        </row>
      </sheetData>
      <sheetData sheetId="1310">
        <row r="4">
          <cell r="I4">
            <v>0</v>
          </cell>
        </row>
      </sheetData>
      <sheetData sheetId="1311">
        <row r="4">
          <cell r="I4">
            <v>0</v>
          </cell>
        </row>
      </sheetData>
      <sheetData sheetId="1312">
        <row r="4">
          <cell r="I4">
            <v>0</v>
          </cell>
        </row>
      </sheetData>
      <sheetData sheetId="1313">
        <row r="4">
          <cell r="I4">
            <v>0</v>
          </cell>
        </row>
      </sheetData>
      <sheetData sheetId="1314">
        <row r="4">
          <cell r="I4">
            <v>0</v>
          </cell>
        </row>
      </sheetData>
      <sheetData sheetId="1315">
        <row r="4">
          <cell r="I4">
            <v>0</v>
          </cell>
        </row>
      </sheetData>
      <sheetData sheetId="1316">
        <row r="4">
          <cell r="I4">
            <v>0</v>
          </cell>
        </row>
      </sheetData>
      <sheetData sheetId="1317">
        <row r="4">
          <cell r="I4">
            <v>0</v>
          </cell>
        </row>
      </sheetData>
      <sheetData sheetId="1318">
        <row r="4">
          <cell r="I4">
            <v>0</v>
          </cell>
        </row>
      </sheetData>
      <sheetData sheetId="1319">
        <row r="4">
          <cell r="I4">
            <v>0</v>
          </cell>
        </row>
      </sheetData>
      <sheetData sheetId="1320">
        <row r="4">
          <cell r="I4">
            <v>0</v>
          </cell>
        </row>
      </sheetData>
      <sheetData sheetId="1321">
        <row r="4">
          <cell r="I4">
            <v>0</v>
          </cell>
        </row>
      </sheetData>
      <sheetData sheetId="1322">
        <row r="4">
          <cell r="I4">
            <v>0</v>
          </cell>
        </row>
      </sheetData>
      <sheetData sheetId="1323">
        <row r="4">
          <cell r="I4">
            <v>0</v>
          </cell>
        </row>
      </sheetData>
      <sheetData sheetId="1324">
        <row r="4">
          <cell r="I4">
            <v>0</v>
          </cell>
        </row>
      </sheetData>
      <sheetData sheetId="1325">
        <row r="4">
          <cell r="I4">
            <v>0</v>
          </cell>
        </row>
      </sheetData>
      <sheetData sheetId="1326">
        <row r="4">
          <cell r="I4">
            <v>0</v>
          </cell>
        </row>
      </sheetData>
      <sheetData sheetId="1327">
        <row r="4">
          <cell r="I4">
            <v>0</v>
          </cell>
        </row>
      </sheetData>
      <sheetData sheetId="1328">
        <row r="4">
          <cell r="I4">
            <v>0</v>
          </cell>
        </row>
      </sheetData>
      <sheetData sheetId="1329">
        <row r="4">
          <cell r="I4">
            <v>0</v>
          </cell>
        </row>
      </sheetData>
      <sheetData sheetId="1330">
        <row r="4">
          <cell r="I4">
            <v>0</v>
          </cell>
        </row>
      </sheetData>
      <sheetData sheetId="1331">
        <row r="4">
          <cell r="I4">
            <v>0</v>
          </cell>
        </row>
      </sheetData>
      <sheetData sheetId="1332">
        <row r="4">
          <cell r="I4">
            <v>0</v>
          </cell>
        </row>
      </sheetData>
      <sheetData sheetId="1333">
        <row r="4">
          <cell r="I4">
            <v>0</v>
          </cell>
        </row>
      </sheetData>
      <sheetData sheetId="1334">
        <row r="4">
          <cell r="I4">
            <v>0</v>
          </cell>
        </row>
      </sheetData>
      <sheetData sheetId="1335">
        <row r="4">
          <cell r="I4">
            <v>0</v>
          </cell>
        </row>
      </sheetData>
      <sheetData sheetId="1336">
        <row r="4">
          <cell r="I4">
            <v>0</v>
          </cell>
        </row>
      </sheetData>
      <sheetData sheetId="1337">
        <row r="4">
          <cell r="I4">
            <v>0</v>
          </cell>
        </row>
      </sheetData>
      <sheetData sheetId="1338">
        <row r="4">
          <cell r="I4">
            <v>0</v>
          </cell>
        </row>
      </sheetData>
      <sheetData sheetId="1339">
        <row r="4">
          <cell r="I4">
            <v>0</v>
          </cell>
        </row>
      </sheetData>
      <sheetData sheetId="1340">
        <row r="4">
          <cell r="I4">
            <v>0</v>
          </cell>
        </row>
      </sheetData>
      <sheetData sheetId="1341">
        <row r="4">
          <cell r="I4">
            <v>0</v>
          </cell>
        </row>
      </sheetData>
      <sheetData sheetId="1342">
        <row r="4">
          <cell r="I4">
            <v>0</v>
          </cell>
        </row>
      </sheetData>
      <sheetData sheetId="1343">
        <row r="4">
          <cell r="I4">
            <v>0</v>
          </cell>
        </row>
      </sheetData>
      <sheetData sheetId="1344">
        <row r="4">
          <cell r="I4">
            <v>0</v>
          </cell>
        </row>
      </sheetData>
      <sheetData sheetId="1345">
        <row r="4">
          <cell r="I4">
            <v>0</v>
          </cell>
        </row>
      </sheetData>
      <sheetData sheetId="1346">
        <row r="4">
          <cell r="I4">
            <v>0</v>
          </cell>
        </row>
      </sheetData>
      <sheetData sheetId="1347">
        <row r="4">
          <cell r="I4">
            <v>0</v>
          </cell>
        </row>
      </sheetData>
      <sheetData sheetId="1348">
        <row r="4">
          <cell r="I4">
            <v>0</v>
          </cell>
        </row>
      </sheetData>
      <sheetData sheetId="1349">
        <row r="4">
          <cell r="I4">
            <v>0</v>
          </cell>
        </row>
      </sheetData>
      <sheetData sheetId="1350">
        <row r="4">
          <cell r="I4">
            <v>0</v>
          </cell>
        </row>
      </sheetData>
      <sheetData sheetId="1351">
        <row r="4">
          <cell r="I4">
            <v>0</v>
          </cell>
        </row>
      </sheetData>
      <sheetData sheetId="1352">
        <row r="4">
          <cell r="I4">
            <v>0</v>
          </cell>
        </row>
      </sheetData>
      <sheetData sheetId="1353">
        <row r="4">
          <cell r="I4">
            <v>0</v>
          </cell>
        </row>
      </sheetData>
      <sheetData sheetId="1354">
        <row r="4">
          <cell r="I4">
            <v>0</v>
          </cell>
        </row>
      </sheetData>
      <sheetData sheetId="1355">
        <row r="4">
          <cell r="I4">
            <v>0</v>
          </cell>
        </row>
      </sheetData>
      <sheetData sheetId="1356">
        <row r="4">
          <cell r="I4">
            <v>0</v>
          </cell>
        </row>
      </sheetData>
      <sheetData sheetId="1357">
        <row r="4">
          <cell r="I4">
            <v>0</v>
          </cell>
        </row>
      </sheetData>
      <sheetData sheetId="1358">
        <row r="4">
          <cell r="I4">
            <v>0</v>
          </cell>
        </row>
      </sheetData>
      <sheetData sheetId="1359">
        <row r="4">
          <cell r="I4">
            <v>0</v>
          </cell>
        </row>
      </sheetData>
      <sheetData sheetId="1360">
        <row r="4">
          <cell r="I4">
            <v>0</v>
          </cell>
        </row>
      </sheetData>
      <sheetData sheetId="1361">
        <row r="4">
          <cell r="I4">
            <v>0</v>
          </cell>
        </row>
      </sheetData>
      <sheetData sheetId="1362">
        <row r="4">
          <cell r="I4">
            <v>0</v>
          </cell>
        </row>
      </sheetData>
      <sheetData sheetId="1363">
        <row r="4">
          <cell r="I4">
            <v>0</v>
          </cell>
        </row>
      </sheetData>
      <sheetData sheetId="1364">
        <row r="4">
          <cell r="I4">
            <v>0</v>
          </cell>
        </row>
      </sheetData>
      <sheetData sheetId="1365">
        <row r="4">
          <cell r="I4">
            <v>0</v>
          </cell>
        </row>
      </sheetData>
      <sheetData sheetId="1366">
        <row r="4">
          <cell r="I4">
            <v>0</v>
          </cell>
        </row>
      </sheetData>
      <sheetData sheetId="1367">
        <row r="4">
          <cell r="I4">
            <v>0</v>
          </cell>
        </row>
      </sheetData>
      <sheetData sheetId="1368">
        <row r="4">
          <cell r="I4">
            <v>0</v>
          </cell>
        </row>
      </sheetData>
      <sheetData sheetId="1369">
        <row r="4">
          <cell r="I4">
            <v>0</v>
          </cell>
        </row>
      </sheetData>
      <sheetData sheetId="1370">
        <row r="4">
          <cell r="I4">
            <v>0</v>
          </cell>
        </row>
      </sheetData>
      <sheetData sheetId="1371">
        <row r="4">
          <cell r="I4">
            <v>0</v>
          </cell>
        </row>
      </sheetData>
      <sheetData sheetId="1372">
        <row r="4">
          <cell r="I4">
            <v>0</v>
          </cell>
        </row>
      </sheetData>
      <sheetData sheetId="1373">
        <row r="4">
          <cell r="I4">
            <v>0</v>
          </cell>
        </row>
      </sheetData>
      <sheetData sheetId="1374">
        <row r="4">
          <cell r="I4">
            <v>0</v>
          </cell>
        </row>
      </sheetData>
      <sheetData sheetId="1375">
        <row r="4">
          <cell r="I4">
            <v>0</v>
          </cell>
        </row>
      </sheetData>
      <sheetData sheetId="1376">
        <row r="4">
          <cell r="I4">
            <v>0</v>
          </cell>
        </row>
      </sheetData>
      <sheetData sheetId="1377">
        <row r="4">
          <cell r="I4">
            <v>0</v>
          </cell>
        </row>
      </sheetData>
      <sheetData sheetId="1378">
        <row r="4">
          <cell r="I4">
            <v>0</v>
          </cell>
        </row>
      </sheetData>
      <sheetData sheetId="1379">
        <row r="4">
          <cell r="I4">
            <v>0</v>
          </cell>
        </row>
      </sheetData>
      <sheetData sheetId="1380">
        <row r="4">
          <cell r="I4">
            <v>0</v>
          </cell>
        </row>
      </sheetData>
      <sheetData sheetId="1381">
        <row r="4">
          <cell r="I4">
            <v>0</v>
          </cell>
        </row>
      </sheetData>
      <sheetData sheetId="1382">
        <row r="4">
          <cell r="I4">
            <v>0</v>
          </cell>
        </row>
      </sheetData>
      <sheetData sheetId="1383">
        <row r="4">
          <cell r="I4">
            <v>0</v>
          </cell>
        </row>
      </sheetData>
      <sheetData sheetId="1384">
        <row r="4">
          <cell r="I4">
            <v>0</v>
          </cell>
        </row>
      </sheetData>
      <sheetData sheetId="1385">
        <row r="4">
          <cell r="I4">
            <v>0</v>
          </cell>
        </row>
      </sheetData>
      <sheetData sheetId="1386">
        <row r="4">
          <cell r="I4">
            <v>0</v>
          </cell>
        </row>
      </sheetData>
      <sheetData sheetId="1387">
        <row r="4">
          <cell r="I4">
            <v>0</v>
          </cell>
        </row>
      </sheetData>
      <sheetData sheetId="1388">
        <row r="4">
          <cell r="I4">
            <v>0</v>
          </cell>
        </row>
      </sheetData>
      <sheetData sheetId="1389">
        <row r="4">
          <cell r="I4">
            <v>0</v>
          </cell>
        </row>
      </sheetData>
      <sheetData sheetId="1390">
        <row r="4">
          <cell r="I4">
            <v>0</v>
          </cell>
        </row>
      </sheetData>
      <sheetData sheetId="1391">
        <row r="4">
          <cell r="I4">
            <v>0</v>
          </cell>
        </row>
      </sheetData>
      <sheetData sheetId="1392">
        <row r="4">
          <cell r="I4">
            <v>0</v>
          </cell>
        </row>
      </sheetData>
      <sheetData sheetId="1393">
        <row r="4">
          <cell r="I4">
            <v>0</v>
          </cell>
        </row>
      </sheetData>
      <sheetData sheetId="1394">
        <row r="4">
          <cell r="I4">
            <v>0</v>
          </cell>
        </row>
      </sheetData>
      <sheetData sheetId="1395">
        <row r="4">
          <cell r="I4">
            <v>0</v>
          </cell>
        </row>
      </sheetData>
      <sheetData sheetId="1396">
        <row r="4">
          <cell r="I4">
            <v>0</v>
          </cell>
        </row>
      </sheetData>
      <sheetData sheetId="1397">
        <row r="4">
          <cell r="I4">
            <v>0</v>
          </cell>
        </row>
      </sheetData>
      <sheetData sheetId="1398">
        <row r="4">
          <cell r="I4">
            <v>0</v>
          </cell>
        </row>
      </sheetData>
      <sheetData sheetId="1399">
        <row r="4">
          <cell r="I4">
            <v>0</v>
          </cell>
        </row>
      </sheetData>
      <sheetData sheetId="1400">
        <row r="4">
          <cell r="I4">
            <v>0</v>
          </cell>
        </row>
      </sheetData>
      <sheetData sheetId="1401">
        <row r="4">
          <cell r="I4">
            <v>0</v>
          </cell>
        </row>
      </sheetData>
      <sheetData sheetId="1402">
        <row r="4">
          <cell r="I4">
            <v>0</v>
          </cell>
        </row>
      </sheetData>
      <sheetData sheetId="1403">
        <row r="4">
          <cell r="I4">
            <v>0</v>
          </cell>
        </row>
      </sheetData>
      <sheetData sheetId="1404">
        <row r="4">
          <cell r="I4">
            <v>0</v>
          </cell>
        </row>
      </sheetData>
      <sheetData sheetId="1405">
        <row r="4">
          <cell r="I4">
            <v>0</v>
          </cell>
        </row>
      </sheetData>
      <sheetData sheetId="1406">
        <row r="4">
          <cell r="I4">
            <v>0</v>
          </cell>
        </row>
      </sheetData>
      <sheetData sheetId="1407">
        <row r="4">
          <cell r="I4">
            <v>0</v>
          </cell>
        </row>
      </sheetData>
      <sheetData sheetId="1408">
        <row r="4">
          <cell r="I4">
            <v>0</v>
          </cell>
        </row>
      </sheetData>
      <sheetData sheetId="1409">
        <row r="4">
          <cell r="I4">
            <v>0</v>
          </cell>
        </row>
      </sheetData>
      <sheetData sheetId="1410">
        <row r="4">
          <cell r="I4">
            <v>0</v>
          </cell>
        </row>
      </sheetData>
      <sheetData sheetId="1411">
        <row r="4">
          <cell r="I4">
            <v>0</v>
          </cell>
        </row>
      </sheetData>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ow r="4">
          <cell r="I4">
            <v>0</v>
          </cell>
        </row>
      </sheetData>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ow r="4">
          <cell r="I4">
            <v>0</v>
          </cell>
        </row>
      </sheetData>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ow r="4">
          <cell r="I4">
            <v>0</v>
          </cell>
        </row>
      </sheetData>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ow r="4">
          <cell r="I4">
            <v>0</v>
          </cell>
        </row>
      </sheetData>
      <sheetData sheetId="1506">
        <row r="4">
          <cell r="I4">
            <v>0</v>
          </cell>
        </row>
      </sheetData>
      <sheetData sheetId="1507"/>
      <sheetData sheetId="1508">
        <row r="4">
          <cell r="I4">
            <v>0</v>
          </cell>
        </row>
      </sheetData>
      <sheetData sheetId="1509">
        <row r="4">
          <cell r="I4">
            <v>0</v>
          </cell>
        </row>
      </sheetData>
      <sheetData sheetId="1510"/>
      <sheetData sheetId="1511">
        <row r="4">
          <cell r="I4">
            <v>0</v>
          </cell>
        </row>
      </sheetData>
      <sheetData sheetId="1512">
        <row r="4">
          <cell r="I4">
            <v>0</v>
          </cell>
        </row>
      </sheetData>
      <sheetData sheetId="1513">
        <row r="4">
          <cell r="I4">
            <v>0</v>
          </cell>
        </row>
      </sheetData>
      <sheetData sheetId="1514">
        <row r="4">
          <cell r="I4">
            <v>0</v>
          </cell>
        </row>
      </sheetData>
      <sheetData sheetId="1515">
        <row r="4">
          <cell r="I4">
            <v>0</v>
          </cell>
        </row>
      </sheetData>
      <sheetData sheetId="1516">
        <row r="4">
          <cell r="I4">
            <v>0</v>
          </cell>
        </row>
      </sheetData>
      <sheetData sheetId="1517">
        <row r="4">
          <cell r="I4">
            <v>0</v>
          </cell>
        </row>
      </sheetData>
      <sheetData sheetId="1518">
        <row r="4">
          <cell r="I4">
            <v>0</v>
          </cell>
        </row>
      </sheetData>
      <sheetData sheetId="1519">
        <row r="4">
          <cell r="I4">
            <v>0</v>
          </cell>
        </row>
      </sheetData>
      <sheetData sheetId="1520">
        <row r="4">
          <cell r="I4">
            <v>0</v>
          </cell>
        </row>
      </sheetData>
      <sheetData sheetId="1521">
        <row r="4">
          <cell r="I4">
            <v>0</v>
          </cell>
        </row>
      </sheetData>
      <sheetData sheetId="1522">
        <row r="4">
          <cell r="I4">
            <v>0</v>
          </cell>
        </row>
      </sheetData>
      <sheetData sheetId="1523">
        <row r="4">
          <cell r="I4">
            <v>0</v>
          </cell>
        </row>
      </sheetData>
      <sheetData sheetId="1524">
        <row r="4">
          <cell r="I4">
            <v>0</v>
          </cell>
        </row>
      </sheetData>
      <sheetData sheetId="1525">
        <row r="4">
          <cell r="I4">
            <v>0</v>
          </cell>
        </row>
      </sheetData>
      <sheetData sheetId="1526">
        <row r="4">
          <cell r="I4">
            <v>0</v>
          </cell>
        </row>
      </sheetData>
      <sheetData sheetId="1527">
        <row r="4">
          <cell r="I4">
            <v>0</v>
          </cell>
        </row>
      </sheetData>
      <sheetData sheetId="1528">
        <row r="4">
          <cell r="I4">
            <v>0</v>
          </cell>
        </row>
      </sheetData>
      <sheetData sheetId="1529">
        <row r="4">
          <cell r="I4">
            <v>0</v>
          </cell>
        </row>
      </sheetData>
      <sheetData sheetId="1530">
        <row r="4">
          <cell r="I4">
            <v>0</v>
          </cell>
        </row>
      </sheetData>
      <sheetData sheetId="1531">
        <row r="4">
          <cell r="I4">
            <v>0</v>
          </cell>
        </row>
      </sheetData>
      <sheetData sheetId="1532">
        <row r="4">
          <cell r="I4">
            <v>0</v>
          </cell>
        </row>
      </sheetData>
      <sheetData sheetId="1533">
        <row r="4">
          <cell r="I4">
            <v>0</v>
          </cell>
        </row>
      </sheetData>
      <sheetData sheetId="1534">
        <row r="4">
          <cell r="I4">
            <v>0</v>
          </cell>
        </row>
      </sheetData>
      <sheetData sheetId="1535">
        <row r="4">
          <cell r="I4">
            <v>0</v>
          </cell>
        </row>
      </sheetData>
      <sheetData sheetId="1536">
        <row r="4">
          <cell r="I4">
            <v>0</v>
          </cell>
        </row>
      </sheetData>
      <sheetData sheetId="1537">
        <row r="4">
          <cell r="I4">
            <v>0</v>
          </cell>
        </row>
      </sheetData>
      <sheetData sheetId="1538">
        <row r="4">
          <cell r="I4">
            <v>0</v>
          </cell>
        </row>
      </sheetData>
      <sheetData sheetId="1539">
        <row r="4">
          <cell r="I4">
            <v>0</v>
          </cell>
        </row>
      </sheetData>
      <sheetData sheetId="1540">
        <row r="4">
          <cell r="I4">
            <v>0</v>
          </cell>
        </row>
      </sheetData>
      <sheetData sheetId="1541">
        <row r="4">
          <cell r="I4">
            <v>0</v>
          </cell>
        </row>
      </sheetData>
      <sheetData sheetId="1542">
        <row r="4">
          <cell r="I4">
            <v>0</v>
          </cell>
        </row>
      </sheetData>
      <sheetData sheetId="1543">
        <row r="4">
          <cell r="I4">
            <v>0</v>
          </cell>
        </row>
      </sheetData>
      <sheetData sheetId="1544">
        <row r="4">
          <cell r="I4">
            <v>0</v>
          </cell>
        </row>
      </sheetData>
      <sheetData sheetId="1545">
        <row r="4">
          <cell r="I4">
            <v>0</v>
          </cell>
        </row>
      </sheetData>
      <sheetData sheetId="1546">
        <row r="4">
          <cell r="I4">
            <v>0</v>
          </cell>
        </row>
      </sheetData>
      <sheetData sheetId="1547">
        <row r="4">
          <cell r="I4">
            <v>0</v>
          </cell>
        </row>
      </sheetData>
      <sheetData sheetId="1548">
        <row r="4">
          <cell r="I4">
            <v>0</v>
          </cell>
        </row>
      </sheetData>
      <sheetData sheetId="1549">
        <row r="4">
          <cell r="I4">
            <v>0</v>
          </cell>
        </row>
      </sheetData>
      <sheetData sheetId="1550">
        <row r="4">
          <cell r="I4">
            <v>0</v>
          </cell>
        </row>
      </sheetData>
      <sheetData sheetId="1551">
        <row r="4">
          <cell r="I4">
            <v>0</v>
          </cell>
        </row>
      </sheetData>
      <sheetData sheetId="1552">
        <row r="4">
          <cell r="I4">
            <v>0</v>
          </cell>
        </row>
      </sheetData>
      <sheetData sheetId="1553">
        <row r="4">
          <cell r="I4">
            <v>0</v>
          </cell>
        </row>
      </sheetData>
      <sheetData sheetId="1554">
        <row r="4">
          <cell r="I4">
            <v>0</v>
          </cell>
        </row>
      </sheetData>
      <sheetData sheetId="1555">
        <row r="4">
          <cell r="I4">
            <v>0</v>
          </cell>
        </row>
      </sheetData>
      <sheetData sheetId="1556">
        <row r="4">
          <cell r="I4">
            <v>0</v>
          </cell>
        </row>
      </sheetData>
      <sheetData sheetId="1557">
        <row r="4">
          <cell r="I4">
            <v>0</v>
          </cell>
        </row>
      </sheetData>
      <sheetData sheetId="1558">
        <row r="4">
          <cell r="I4">
            <v>0</v>
          </cell>
        </row>
      </sheetData>
      <sheetData sheetId="1559">
        <row r="4">
          <cell r="I4">
            <v>0</v>
          </cell>
        </row>
      </sheetData>
      <sheetData sheetId="1560">
        <row r="4">
          <cell r="I4">
            <v>0</v>
          </cell>
        </row>
      </sheetData>
      <sheetData sheetId="1561">
        <row r="4">
          <cell r="I4">
            <v>0</v>
          </cell>
        </row>
      </sheetData>
      <sheetData sheetId="1562">
        <row r="4">
          <cell r="I4">
            <v>0</v>
          </cell>
        </row>
      </sheetData>
      <sheetData sheetId="1563">
        <row r="4">
          <cell r="I4">
            <v>0</v>
          </cell>
        </row>
      </sheetData>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ow r="4">
          <cell r="I4">
            <v>0</v>
          </cell>
        </row>
      </sheetData>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ow r="4">
          <cell r="I4">
            <v>0</v>
          </cell>
        </row>
      </sheetData>
      <sheetData sheetId="1630">
        <row r="4">
          <cell r="I4">
            <v>0</v>
          </cell>
        </row>
      </sheetData>
      <sheetData sheetId="1631">
        <row r="4">
          <cell r="I4">
            <v>0</v>
          </cell>
        </row>
      </sheetData>
      <sheetData sheetId="1632">
        <row r="4">
          <cell r="I4">
            <v>0</v>
          </cell>
        </row>
      </sheetData>
      <sheetData sheetId="1633">
        <row r="4">
          <cell r="I4">
            <v>0</v>
          </cell>
        </row>
      </sheetData>
      <sheetData sheetId="1634">
        <row r="4">
          <cell r="I4">
            <v>0</v>
          </cell>
        </row>
      </sheetData>
      <sheetData sheetId="1635">
        <row r="4">
          <cell r="I4">
            <v>0</v>
          </cell>
        </row>
      </sheetData>
      <sheetData sheetId="1636">
        <row r="4">
          <cell r="I4">
            <v>0</v>
          </cell>
        </row>
      </sheetData>
      <sheetData sheetId="1637">
        <row r="4">
          <cell r="I4">
            <v>0</v>
          </cell>
        </row>
      </sheetData>
      <sheetData sheetId="1638">
        <row r="4">
          <cell r="I4">
            <v>0</v>
          </cell>
        </row>
      </sheetData>
      <sheetData sheetId="1639">
        <row r="4">
          <cell r="I4">
            <v>0</v>
          </cell>
        </row>
      </sheetData>
      <sheetData sheetId="1640">
        <row r="4">
          <cell r="I4">
            <v>0</v>
          </cell>
        </row>
      </sheetData>
      <sheetData sheetId="1641">
        <row r="4">
          <cell r="I4">
            <v>0</v>
          </cell>
        </row>
      </sheetData>
      <sheetData sheetId="1642">
        <row r="4">
          <cell r="I4">
            <v>0</v>
          </cell>
        </row>
      </sheetData>
      <sheetData sheetId="1643">
        <row r="4">
          <cell r="I4">
            <v>0</v>
          </cell>
        </row>
      </sheetData>
      <sheetData sheetId="1644">
        <row r="4">
          <cell r="I4">
            <v>0</v>
          </cell>
        </row>
      </sheetData>
      <sheetData sheetId="1645">
        <row r="4">
          <cell r="I4">
            <v>0</v>
          </cell>
        </row>
      </sheetData>
      <sheetData sheetId="1646">
        <row r="4">
          <cell r="I4">
            <v>0</v>
          </cell>
        </row>
      </sheetData>
      <sheetData sheetId="1647">
        <row r="4">
          <cell r="I4">
            <v>0</v>
          </cell>
        </row>
      </sheetData>
      <sheetData sheetId="1648">
        <row r="4">
          <cell r="I4">
            <v>0</v>
          </cell>
        </row>
      </sheetData>
      <sheetData sheetId="1649">
        <row r="4">
          <cell r="I4">
            <v>0</v>
          </cell>
        </row>
      </sheetData>
      <sheetData sheetId="1650">
        <row r="4">
          <cell r="I4">
            <v>0</v>
          </cell>
        </row>
      </sheetData>
      <sheetData sheetId="1651">
        <row r="4">
          <cell r="I4">
            <v>0</v>
          </cell>
        </row>
      </sheetData>
      <sheetData sheetId="1652">
        <row r="4">
          <cell r="I4">
            <v>0</v>
          </cell>
        </row>
      </sheetData>
      <sheetData sheetId="1653">
        <row r="4">
          <cell r="I4">
            <v>0</v>
          </cell>
        </row>
      </sheetData>
      <sheetData sheetId="1654">
        <row r="4">
          <cell r="I4">
            <v>0</v>
          </cell>
        </row>
      </sheetData>
      <sheetData sheetId="1655">
        <row r="4">
          <cell r="I4">
            <v>0</v>
          </cell>
        </row>
      </sheetData>
      <sheetData sheetId="1656">
        <row r="4">
          <cell r="I4">
            <v>0</v>
          </cell>
        </row>
      </sheetData>
      <sheetData sheetId="1657">
        <row r="4">
          <cell r="I4">
            <v>0</v>
          </cell>
        </row>
      </sheetData>
      <sheetData sheetId="1658">
        <row r="4">
          <cell r="I4">
            <v>0</v>
          </cell>
        </row>
      </sheetData>
      <sheetData sheetId="1659">
        <row r="4">
          <cell r="I4">
            <v>0</v>
          </cell>
        </row>
      </sheetData>
      <sheetData sheetId="1660">
        <row r="4">
          <cell r="I4">
            <v>0</v>
          </cell>
        </row>
      </sheetData>
      <sheetData sheetId="1661">
        <row r="4">
          <cell r="I4">
            <v>0</v>
          </cell>
        </row>
      </sheetData>
      <sheetData sheetId="1662">
        <row r="4">
          <cell r="I4">
            <v>0</v>
          </cell>
        </row>
      </sheetData>
      <sheetData sheetId="1663">
        <row r="4">
          <cell r="I4">
            <v>0</v>
          </cell>
        </row>
      </sheetData>
      <sheetData sheetId="1664">
        <row r="4">
          <cell r="I4">
            <v>0</v>
          </cell>
        </row>
      </sheetData>
      <sheetData sheetId="1665">
        <row r="4">
          <cell r="I4">
            <v>0</v>
          </cell>
        </row>
      </sheetData>
      <sheetData sheetId="1666">
        <row r="4">
          <cell r="I4">
            <v>0</v>
          </cell>
        </row>
      </sheetData>
      <sheetData sheetId="1667">
        <row r="4">
          <cell r="I4">
            <v>0</v>
          </cell>
        </row>
      </sheetData>
      <sheetData sheetId="1668">
        <row r="4">
          <cell r="I4">
            <v>0</v>
          </cell>
        </row>
      </sheetData>
      <sheetData sheetId="1669">
        <row r="4">
          <cell r="I4">
            <v>0</v>
          </cell>
        </row>
      </sheetData>
      <sheetData sheetId="1670">
        <row r="4">
          <cell r="I4">
            <v>0</v>
          </cell>
        </row>
      </sheetData>
      <sheetData sheetId="1671">
        <row r="4">
          <cell r="I4">
            <v>0</v>
          </cell>
        </row>
      </sheetData>
      <sheetData sheetId="1672">
        <row r="4">
          <cell r="I4">
            <v>0</v>
          </cell>
        </row>
      </sheetData>
      <sheetData sheetId="1673">
        <row r="4">
          <cell r="I4">
            <v>0</v>
          </cell>
        </row>
      </sheetData>
      <sheetData sheetId="1674">
        <row r="4">
          <cell r="I4">
            <v>0</v>
          </cell>
        </row>
      </sheetData>
      <sheetData sheetId="1675">
        <row r="4">
          <cell r="I4">
            <v>0</v>
          </cell>
        </row>
      </sheetData>
      <sheetData sheetId="1676">
        <row r="4">
          <cell r="I4">
            <v>0</v>
          </cell>
        </row>
      </sheetData>
      <sheetData sheetId="1677">
        <row r="4">
          <cell r="I4">
            <v>0</v>
          </cell>
        </row>
      </sheetData>
      <sheetData sheetId="1678">
        <row r="4">
          <cell r="I4">
            <v>0</v>
          </cell>
        </row>
      </sheetData>
      <sheetData sheetId="1679">
        <row r="4">
          <cell r="I4">
            <v>0</v>
          </cell>
        </row>
      </sheetData>
      <sheetData sheetId="1680">
        <row r="4">
          <cell r="I4">
            <v>0</v>
          </cell>
        </row>
      </sheetData>
      <sheetData sheetId="1681">
        <row r="4">
          <cell r="I4">
            <v>0</v>
          </cell>
        </row>
      </sheetData>
      <sheetData sheetId="1682">
        <row r="4">
          <cell r="I4">
            <v>0</v>
          </cell>
        </row>
      </sheetData>
      <sheetData sheetId="1683">
        <row r="4">
          <cell r="I4">
            <v>0</v>
          </cell>
        </row>
      </sheetData>
      <sheetData sheetId="1684">
        <row r="4">
          <cell r="I4">
            <v>0</v>
          </cell>
        </row>
      </sheetData>
      <sheetData sheetId="1685">
        <row r="4">
          <cell r="I4">
            <v>0</v>
          </cell>
        </row>
      </sheetData>
      <sheetData sheetId="1686">
        <row r="4">
          <cell r="I4">
            <v>0</v>
          </cell>
        </row>
      </sheetData>
      <sheetData sheetId="1687">
        <row r="4">
          <cell r="I4">
            <v>0</v>
          </cell>
        </row>
      </sheetData>
      <sheetData sheetId="1688">
        <row r="4">
          <cell r="I4">
            <v>0</v>
          </cell>
        </row>
      </sheetData>
      <sheetData sheetId="1689">
        <row r="4">
          <cell r="I4">
            <v>0</v>
          </cell>
        </row>
      </sheetData>
      <sheetData sheetId="1690">
        <row r="4">
          <cell r="I4">
            <v>0</v>
          </cell>
        </row>
      </sheetData>
      <sheetData sheetId="1691">
        <row r="4">
          <cell r="I4">
            <v>0</v>
          </cell>
        </row>
      </sheetData>
      <sheetData sheetId="1692">
        <row r="4">
          <cell r="I4">
            <v>0</v>
          </cell>
        </row>
      </sheetData>
      <sheetData sheetId="1693">
        <row r="4">
          <cell r="I4">
            <v>0</v>
          </cell>
        </row>
      </sheetData>
      <sheetData sheetId="1694">
        <row r="4">
          <cell r="I4">
            <v>0</v>
          </cell>
        </row>
      </sheetData>
      <sheetData sheetId="1695">
        <row r="4">
          <cell r="I4">
            <v>0</v>
          </cell>
        </row>
      </sheetData>
      <sheetData sheetId="1696">
        <row r="4">
          <cell r="I4">
            <v>0</v>
          </cell>
        </row>
      </sheetData>
      <sheetData sheetId="1697">
        <row r="4">
          <cell r="I4">
            <v>0</v>
          </cell>
        </row>
      </sheetData>
      <sheetData sheetId="1698">
        <row r="4">
          <cell r="I4">
            <v>0</v>
          </cell>
        </row>
      </sheetData>
      <sheetData sheetId="1699">
        <row r="4">
          <cell r="I4">
            <v>0</v>
          </cell>
        </row>
      </sheetData>
      <sheetData sheetId="1700">
        <row r="4">
          <cell r="I4">
            <v>0</v>
          </cell>
        </row>
      </sheetData>
      <sheetData sheetId="1701">
        <row r="4">
          <cell r="I4">
            <v>0</v>
          </cell>
        </row>
      </sheetData>
      <sheetData sheetId="1702">
        <row r="4">
          <cell r="I4">
            <v>0</v>
          </cell>
        </row>
      </sheetData>
      <sheetData sheetId="1703">
        <row r="4">
          <cell r="I4">
            <v>0</v>
          </cell>
        </row>
      </sheetData>
      <sheetData sheetId="1704">
        <row r="4">
          <cell r="I4">
            <v>0</v>
          </cell>
        </row>
      </sheetData>
      <sheetData sheetId="1705">
        <row r="4">
          <cell r="I4">
            <v>0</v>
          </cell>
        </row>
      </sheetData>
      <sheetData sheetId="1706">
        <row r="4">
          <cell r="I4">
            <v>0</v>
          </cell>
        </row>
      </sheetData>
      <sheetData sheetId="1707">
        <row r="4">
          <cell r="I4">
            <v>0</v>
          </cell>
        </row>
      </sheetData>
      <sheetData sheetId="1708">
        <row r="4">
          <cell r="I4">
            <v>0</v>
          </cell>
        </row>
      </sheetData>
      <sheetData sheetId="1709">
        <row r="4">
          <cell r="I4">
            <v>0</v>
          </cell>
        </row>
      </sheetData>
      <sheetData sheetId="1710">
        <row r="4">
          <cell r="I4">
            <v>0</v>
          </cell>
        </row>
      </sheetData>
      <sheetData sheetId="1711">
        <row r="4">
          <cell r="I4">
            <v>0</v>
          </cell>
        </row>
      </sheetData>
      <sheetData sheetId="1712">
        <row r="4">
          <cell r="I4">
            <v>0</v>
          </cell>
        </row>
      </sheetData>
      <sheetData sheetId="1713">
        <row r="4">
          <cell r="I4">
            <v>0</v>
          </cell>
        </row>
      </sheetData>
      <sheetData sheetId="1714">
        <row r="4">
          <cell r="I4">
            <v>0</v>
          </cell>
        </row>
      </sheetData>
      <sheetData sheetId="1715">
        <row r="4">
          <cell r="I4">
            <v>0</v>
          </cell>
        </row>
      </sheetData>
      <sheetData sheetId="1716">
        <row r="4">
          <cell r="I4">
            <v>0</v>
          </cell>
        </row>
      </sheetData>
      <sheetData sheetId="1717">
        <row r="4">
          <cell r="I4">
            <v>0</v>
          </cell>
        </row>
      </sheetData>
      <sheetData sheetId="1718">
        <row r="4">
          <cell r="I4">
            <v>0</v>
          </cell>
        </row>
      </sheetData>
      <sheetData sheetId="1719">
        <row r="4">
          <cell r="I4">
            <v>0</v>
          </cell>
        </row>
      </sheetData>
      <sheetData sheetId="1720">
        <row r="4">
          <cell r="I4">
            <v>0</v>
          </cell>
        </row>
      </sheetData>
      <sheetData sheetId="1721">
        <row r="4">
          <cell r="I4">
            <v>0</v>
          </cell>
        </row>
      </sheetData>
      <sheetData sheetId="1722">
        <row r="4">
          <cell r="I4">
            <v>0</v>
          </cell>
        </row>
      </sheetData>
      <sheetData sheetId="1723">
        <row r="4">
          <cell r="I4">
            <v>0</v>
          </cell>
        </row>
      </sheetData>
      <sheetData sheetId="1724">
        <row r="4">
          <cell r="I4">
            <v>0</v>
          </cell>
        </row>
      </sheetData>
      <sheetData sheetId="1725">
        <row r="4">
          <cell r="I4">
            <v>0</v>
          </cell>
        </row>
      </sheetData>
      <sheetData sheetId="1726">
        <row r="4">
          <cell r="I4">
            <v>0</v>
          </cell>
        </row>
      </sheetData>
      <sheetData sheetId="1727">
        <row r="4">
          <cell r="I4">
            <v>0</v>
          </cell>
        </row>
      </sheetData>
      <sheetData sheetId="1728">
        <row r="4">
          <cell r="I4">
            <v>0</v>
          </cell>
        </row>
      </sheetData>
      <sheetData sheetId="1729">
        <row r="4">
          <cell r="I4">
            <v>0</v>
          </cell>
        </row>
      </sheetData>
      <sheetData sheetId="1730">
        <row r="4">
          <cell r="I4">
            <v>0</v>
          </cell>
        </row>
      </sheetData>
      <sheetData sheetId="1731">
        <row r="4">
          <cell r="I4">
            <v>0</v>
          </cell>
        </row>
      </sheetData>
      <sheetData sheetId="1732">
        <row r="4">
          <cell r="I4">
            <v>0</v>
          </cell>
        </row>
      </sheetData>
      <sheetData sheetId="1733">
        <row r="4">
          <cell r="I4">
            <v>0</v>
          </cell>
        </row>
      </sheetData>
      <sheetData sheetId="1734">
        <row r="4">
          <cell r="I4">
            <v>0</v>
          </cell>
        </row>
      </sheetData>
      <sheetData sheetId="1735">
        <row r="4">
          <cell r="I4">
            <v>0</v>
          </cell>
        </row>
      </sheetData>
      <sheetData sheetId="1736">
        <row r="4">
          <cell r="I4">
            <v>0</v>
          </cell>
        </row>
      </sheetData>
      <sheetData sheetId="1737">
        <row r="4">
          <cell r="I4">
            <v>0</v>
          </cell>
        </row>
      </sheetData>
      <sheetData sheetId="1738">
        <row r="4">
          <cell r="I4">
            <v>0</v>
          </cell>
        </row>
      </sheetData>
      <sheetData sheetId="1739">
        <row r="4">
          <cell r="I4">
            <v>0</v>
          </cell>
        </row>
      </sheetData>
      <sheetData sheetId="1740">
        <row r="4">
          <cell r="I4">
            <v>0</v>
          </cell>
        </row>
      </sheetData>
      <sheetData sheetId="1741">
        <row r="4">
          <cell r="I4">
            <v>0</v>
          </cell>
        </row>
      </sheetData>
      <sheetData sheetId="1742">
        <row r="4">
          <cell r="I4">
            <v>0</v>
          </cell>
        </row>
      </sheetData>
      <sheetData sheetId="1743">
        <row r="4">
          <cell r="I4">
            <v>0</v>
          </cell>
        </row>
      </sheetData>
      <sheetData sheetId="1744">
        <row r="4">
          <cell r="I4">
            <v>0</v>
          </cell>
        </row>
      </sheetData>
      <sheetData sheetId="1745">
        <row r="4">
          <cell r="I4">
            <v>0</v>
          </cell>
        </row>
      </sheetData>
      <sheetData sheetId="1746">
        <row r="4">
          <cell r="I4">
            <v>0</v>
          </cell>
        </row>
      </sheetData>
      <sheetData sheetId="1747">
        <row r="4">
          <cell r="I4">
            <v>0</v>
          </cell>
        </row>
      </sheetData>
      <sheetData sheetId="1748">
        <row r="4">
          <cell r="I4">
            <v>0</v>
          </cell>
        </row>
      </sheetData>
      <sheetData sheetId="1749">
        <row r="4">
          <cell r="I4">
            <v>0</v>
          </cell>
        </row>
      </sheetData>
      <sheetData sheetId="1750">
        <row r="4">
          <cell r="I4">
            <v>0</v>
          </cell>
        </row>
      </sheetData>
      <sheetData sheetId="1751">
        <row r="4">
          <cell r="I4">
            <v>0</v>
          </cell>
        </row>
      </sheetData>
      <sheetData sheetId="1752">
        <row r="4">
          <cell r="I4">
            <v>0</v>
          </cell>
        </row>
      </sheetData>
      <sheetData sheetId="1753">
        <row r="4">
          <cell r="I4">
            <v>0</v>
          </cell>
        </row>
      </sheetData>
      <sheetData sheetId="1754">
        <row r="4">
          <cell r="I4">
            <v>0</v>
          </cell>
        </row>
      </sheetData>
      <sheetData sheetId="1755">
        <row r="4">
          <cell r="I4">
            <v>0</v>
          </cell>
        </row>
      </sheetData>
      <sheetData sheetId="1756">
        <row r="4">
          <cell r="I4">
            <v>0</v>
          </cell>
        </row>
      </sheetData>
      <sheetData sheetId="1757">
        <row r="4">
          <cell r="I4">
            <v>0</v>
          </cell>
        </row>
      </sheetData>
      <sheetData sheetId="1758">
        <row r="4">
          <cell r="I4">
            <v>0</v>
          </cell>
        </row>
      </sheetData>
      <sheetData sheetId="1759">
        <row r="4">
          <cell r="I4">
            <v>0</v>
          </cell>
        </row>
      </sheetData>
      <sheetData sheetId="1760">
        <row r="4">
          <cell r="I4">
            <v>0</v>
          </cell>
        </row>
      </sheetData>
      <sheetData sheetId="1761">
        <row r="4">
          <cell r="I4">
            <v>0</v>
          </cell>
        </row>
      </sheetData>
      <sheetData sheetId="1762">
        <row r="4">
          <cell r="I4">
            <v>0</v>
          </cell>
        </row>
      </sheetData>
      <sheetData sheetId="1763">
        <row r="4">
          <cell r="I4">
            <v>0</v>
          </cell>
        </row>
      </sheetData>
      <sheetData sheetId="1764">
        <row r="4">
          <cell r="I4">
            <v>0</v>
          </cell>
        </row>
      </sheetData>
      <sheetData sheetId="1765">
        <row r="4">
          <cell r="I4">
            <v>0</v>
          </cell>
        </row>
      </sheetData>
      <sheetData sheetId="1766">
        <row r="4">
          <cell r="I4">
            <v>0</v>
          </cell>
        </row>
      </sheetData>
      <sheetData sheetId="1767">
        <row r="4">
          <cell r="I4">
            <v>0</v>
          </cell>
        </row>
      </sheetData>
      <sheetData sheetId="1768">
        <row r="4">
          <cell r="I4">
            <v>0</v>
          </cell>
        </row>
      </sheetData>
      <sheetData sheetId="1769">
        <row r="4">
          <cell r="I4">
            <v>0</v>
          </cell>
        </row>
      </sheetData>
      <sheetData sheetId="1770">
        <row r="4">
          <cell r="I4">
            <v>0</v>
          </cell>
        </row>
      </sheetData>
      <sheetData sheetId="1771">
        <row r="4">
          <cell r="I4">
            <v>0</v>
          </cell>
        </row>
      </sheetData>
      <sheetData sheetId="1772">
        <row r="4">
          <cell r="I4">
            <v>0</v>
          </cell>
        </row>
      </sheetData>
      <sheetData sheetId="1773">
        <row r="4">
          <cell r="I4">
            <v>0</v>
          </cell>
        </row>
      </sheetData>
      <sheetData sheetId="1774">
        <row r="4">
          <cell r="I4">
            <v>0</v>
          </cell>
        </row>
      </sheetData>
      <sheetData sheetId="1775">
        <row r="4">
          <cell r="I4">
            <v>0</v>
          </cell>
        </row>
      </sheetData>
      <sheetData sheetId="1776">
        <row r="4">
          <cell r="I4">
            <v>0</v>
          </cell>
        </row>
      </sheetData>
      <sheetData sheetId="1777">
        <row r="4">
          <cell r="I4">
            <v>0</v>
          </cell>
        </row>
      </sheetData>
      <sheetData sheetId="1778">
        <row r="4">
          <cell r="I4">
            <v>0</v>
          </cell>
        </row>
      </sheetData>
      <sheetData sheetId="1779">
        <row r="4">
          <cell r="I4">
            <v>0</v>
          </cell>
        </row>
      </sheetData>
      <sheetData sheetId="1780">
        <row r="4">
          <cell r="I4">
            <v>0</v>
          </cell>
        </row>
      </sheetData>
      <sheetData sheetId="1781">
        <row r="4">
          <cell r="I4">
            <v>0</v>
          </cell>
        </row>
      </sheetData>
      <sheetData sheetId="1782">
        <row r="4">
          <cell r="I4">
            <v>0</v>
          </cell>
        </row>
      </sheetData>
      <sheetData sheetId="1783">
        <row r="4">
          <cell r="I4">
            <v>0</v>
          </cell>
        </row>
      </sheetData>
      <sheetData sheetId="1784">
        <row r="4">
          <cell r="I4">
            <v>0</v>
          </cell>
        </row>
      </sheetData>
      <sheetData sheetId="1785">
        <row r="4">
          <cell r="I4">
            <v>0</v>
          </cell>
        </row>
      </sheetData>
      <sheetData sheetId="1786">
        <row r="4">
          <cell r="I4">
            <v>0</v>
          </cell>
        </row>
      </sheetData>
      <sheetData sheetId="1787">
        <row r="4">
          <cell r="I4">
            <v>0</v>
          </cell>
        </row>
      </sheetData>
      <sheetData sheetId="1788">
        <row r="4">
          <cell r="I4">
            <v>0</v>
          </cell>
        </row>
      </sheetData>
      <sheetData sheetId="1789">
        <row r="4">
          <cell r="I4">
            <v>0</v>
          </cell>
        </row>
      </sheetData>
      <sheetData sheetId="1790">
        <row r="4">
          <cell r="I4">
            <v>0</v>
          </cell>
        </row>
      </sheetData>
      <sheetData sheetId="1791">
        <row r="4">
          <cell r="I4">
            <v>0</v>
          </cell>
        </row>
      </sheetData>
      <sheetData sheetId="1792">
        <row r="4">
          <cell r="I4">
            <v>0</v>
          </cell>
        </row>
      </sheetData>
      <sheetData sheetId="1793">
        <row r="4">
          <cell r="I4">
            <v>0</v>
          </cell>
        </row>
      </sheetData>
      <sheetData sheetId="1794">
        <row r="4">
          <cell r="I4">
            <v>0</v>
          </cell>
        </row>
      </sheetData>
      <sheetData sheetId="1795">
        <row r="4">
          <cell r="I4">
            <v>0</v>
          </cell>
        </row>
      </sheetData>
      <sheetData sheetId="1796">
        <row r="4">
          <cell r="I4">
            <v>0</v>
          </cell>
        </row>
      </sheetData>
      <sheetData sheetId="1797">
        <row r="4">
          <cell r="I4">
            <v>0</v>
          </cell>
        </row>
      </sheetData>
      <sheetData sheetId="1798">
        <row r="4">
          <cell r="I4">
            <v>0</v>
          </cell>
        </row>
      </sheetData>
      <sheetData sheetId="1799">
        <row r="4">
          <cell r="I4">
            <v>0</v>
          </cell>
        </row>
      </sheetData>
      <sheetData sheetId="1800">
        <row r="4">
          <cell r="I4">
            <v>0</v>
          </cell>
        </row>
      </sheetData>
      <sheetData sheetId="1801">
        <row r="4">
          <cell r="I4">
            <v>0</v>
          </cell>
        </row>
      </sheetData>
      <sheetData sheetId="1802">
        <row r="4">
          <cell r="I4">
            <v>0</v>
          </cell>
        </row>
      </sheetData>
      <sheetData sheetId="1803">
        <row r="4">
          <cell r="I4">
            <v>0</v>
          </cell>
        </row>
      </sheetData>
      <sheetData sheetId="1804">
        <row r="4">
          <cell r="I4">
            <v>0</v>
          </cell>
        </row>
      </sheetData>
      <sheetData sheetId="1805">
        <row r="4">
          <cell r="I4">
            <v>0</v>
          </cell>
        </row>
      </sheetData>
      <sheetData sheetId="1806">
        <row r="4">
          <cell r="I4">
            <v>0</v>
          </cell>
        </row>
      </sheetData>
      <sheetData sheetId="1807">
        <row r="4">
          <cell r="I4">
            <v>0</v>
          </cell>
        </row>
      </sheetData>
      <sheetData sheetId="1808">
        <row r="4">
          <cell r="I4">
            <v>0</v>
          </cell>
        </row>
      </sheetData>
      <sheetData sheetId="1809">
        <row r="4">
          <cell r="I4">
            <v>0</v>
          </cell>
        </row>
      </sheetData>
      <sheetData sheetId="1810">
        <row r="4">
          <cell r="I4">
            <v>0</v>
          </cell>
        </row>
      </sheetData>
      <sheetData sheetId="1811">
        <row r="4">
          <cell r="I4">
            <v>0</v>
          </cell>
        </row>
      </sheetData>
      <sheetData sheetId="1812">
        <row r="4">
          <cell r="I4">
            <v>0</v>
          </cell>
        </row>
      </sheetData>
      <sheetData sheetId="1813">
        <row r="4">
          <cell r="I4">
            <v>0</v>
          </cell>
        </row>
      </sheetData>
      <sheetData sheetId="1814">
        <row r="4">
          <cell r="I4">
            <v>0</v>
          </cell>
        </row>
      </sheetData>
      <sheetData sheetId="1815">
        <row r="4">
          <cell r="I4">
            <v>0</v>
          </cell>
        </row>
      </sheetData>
      <sheetData sheetId="1816">
        <row r="4">
          <cell r="I4">
            <v>0</v>
          </cell>
        </row>
      </sheetData>
      <sheetData sheetId="1817">
        <row r="4">
          <cell r="I4">
            <v>0</v>
          </cell>
        </row>
      </sheetData>
      <sheetData sheetId="1818">
        <row r="4">
          <cell r="I4">
            <v>0</v>
          </cell>
        </row>
      </sheetData>
      <sheetData sheetId="1819">
        <row r="4">
          <cell r="I4">
            <v>0</v>
          </cell>
        </row>
      </sheetData>
      <sheetData sheetId="1820">
        <row r="4">
          <cell r="I4">
            <v>0</v>
          </cell>
        </row>
      </sheetData>
      <sheetData sheetId="1821">
        <row r="4">
          <cell r="I4">
            <v>0</v>
          </cell>
        </row>
      </sheetData>
      <sheetData sheetId="1822">
        <row r="4">
          <cell r="I4">
            <v>0</v>
          </cell>
        </row>
      </sheetData>
      <sheetData sheetId="1823">
        <row r="4">
          <cell r="I4">
            <v>0</v>
          </cell>
        </row>
      </sheetData>
      <sheetData sheetId="1824">
        <row r="4">
          <cell r="I4">
            <v>0</v>
          </cell>
        </row>
      </sheetData>
      <sheetData sheetId="1825">
        <row r="4">
          <cell r="I4">
            <v>0</v>
          </cell>
        </row>
      </sheetData>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ow r="4">
          <cell r="I4">
            <v>0</v>
          </cell>
        </row>
      </sheetData>
      <sheetData sheetId="1838">
        <row r="4">
          <cell r="I4">
            <v>0</v>
          </cell>
        </row>
      </sheetData>
      <sheetData sheetId="1839">
        <row r="4">
          <cell r="I4">
            <v>0</v>
          </cell>
        </row>
      </sheetData>
      <sheetData sheetId="1840">
        <row r="4">
          <cell r="I4">
            <v>0</v>
          </cell>
        </row>
      </sheetData>
      <sheetData sheetId="1841">
        <row r="4">
          <cell r="I4">
            <v>0</v>
          </cell>
        </row>
      </sheetData>
      <sheetData sheetId="1842">
        <row r="4">
          <cell r="I4">
            <v>0</v>
          </cell>
        </row>
      </sheetData>
      <sheetData sheetId="1843">
        <row r="4">
          <cell r="I4">
            <v>0</v>
          </cell>
        </row>
      </sheetData>
      <sheetData sheetId="1844">
        <row r="4">
          <cell r="I4">
            <v>0</v>
          </cell>
        </row>
      </sheetData>
      <sheetData sheetId="1845">
        <row r="4">
          <cell r="I4">
            <v>0</v>
          </cell>
        </row>
      </sheetData>
      <sheetData sheetId="1846">
        <row r="4">
          <cell r="I4">
            <v>0</v>
          </cell>
        </row>
      </sheetData>
      <sheetData sheetId="1847">
        <row r="4">
          <cell r="I4">
            <v>0</v>
          </cell>
        </row>
      </sheetData>
      <sheetData sheetId="1848" refreshError="1"/>
      <sheetData sheetId="1849">
        <row r="4">
          <cell r="I4">
            <v>0</v>
          </cell>
        </row>
      </sheetData>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ow r="4">
          <cell r="I4">
            <v>0</v>
          </cell>
        </row>
      </sheetData>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ow r="4">
          <cell r="I4">
            <v>0</v>
          </cell>
        </row>
      </sheetData>
      <sheetData sheetId="1889"/>
      <sheetData sheetId="1890">
        <row r="4">
          <cell r="I4">
            <v>0</v>
          </cell>
        </row>
      </sheetData>
      <sheetData sheetId="1891">
        <row r="4">
          <cell r="I4">
            <v>0</v>
          </cell>
        </row>
      </sheetData>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ow r="4">
          <cell r="I4">
            <v>0</v>
          </cell>
        </row>
      </sheetData>
      <sheetData sheetId="1907">
        <row r="4">
          <cell r="I4">
            <v>0</v>
          </cell>
        </row>
      </sheetData>
      <sheetData sheetId="1908">
        <row r="4">
          <cell r="I4">
            <v>0</v>
          </cell>
        </row>
      </sheetData>
      <sheetData sheetId="1909">
        <row r="4">
          <cell r="I4">
            <v>0</v>
          </cell>
        </row>
      </sheetData>
      <sheetData sheetId="1910">
        <row r="4">
          <cell r="I4">
            <v>0</v>
          </cell>
        </row>
      </sheetData>
      <sheetData sheetId="1911">
        <row r="4">
          <cell r="I4">
            <v>0</v>
          </cell>
        </row>
      </sheetData>
      <sheetData sheetId="1912">
        <row r="4">
          <cell r="I4">
            <v>0</v>
          </cell>
        </row>
      </sheetData>
      <sheetData sheetId="1913">
        <row r="4">
          <cell r="I4">
            <v>0</v>
          </cell>
        </row>
      </sheetData>
      <sheetData sheetId="1914">
        <row r="4">
          <cell r="I4">
            <v>0</v>
          </cell>
        </row>
      </sheetData>
      <sheetData sheetId="1915">
        <row r="4">
          <cell r="I4">
            <v>0</v>
          </cell>
        </row>
      </sheetData>
      <sheetData sheetId="1916">
        <row r="4">
          <cell r="I4">
            <v>0</v>
          </cell>
        </row>
      </sheetData>
      <sheetData sheetId="1917">
        <row r="4">
          <cell r="I4">
            <v>0</v>
          </cell>
        </row>
      </sheetData>
      <sheetData sheetId="1918">
        <row r="4">
          <cell r="I4">
            <v>0</v>
          </cell>
        </row>
      </sheetData>
      <sheetData sheetId="1919">
        <row r="4">
          <cell r="I4">
            <v>0</v>
          </cell>
        </row>
      </sheetData>
      <sheetData sheetId="1920">
        <row r="4">
          <cell r="I4">
            <v>0</v>
          </cell>
        </row>
      </sheetData>
      <sheetData sheetId="1921">
        <row r="4">
          <cell r="I4">
            <v>0</v>
          </cell>
        </row>
      </sheetData>
      <sheetData sheetId="1922">
        <row r="4">
          <cell r="I4">
            <v>0</v>
          </cell>
        </row>
      </sheetData>
      <sheetData sheetId="1923">
        <row r="4">
          <cell r="I4">
            <v>0</v>
          </cell>
        </row>
      </sheetData>
      <sheetData sheetId="1924">
        <row r="4">
          <cell r="I4">
            <v>0</v>
          </cell>
        </row>
      </sheetData>
      <sheetData sheetId="1925">
        <row r="4">
          <cell r="I4">
            <v>0</v>
          </cell>
        </row>
      </sheetData>
      <sheetData sheetId="1926">
        <row r="4">
          <cell r="I4">
            <v>0</v>
          </cell>
        </row>
      </sheetData>
      <sheetData sheetId="1927">
        <row r="4">
          <cell r="I4">
            <v>0</v>
          </cell>
        </row>
      </sheetData>
      <sheetData sheetId="1928">
        <row r="4">
          <cell r="I4">
            <v>0</v>
          </cell>
        </row>
      </sheetData>
      <sheetData sheetId="1929">
        <row r="4">
          <cell r="I4">
            <v>0</v>
          </cell>
        </row>
      </sheetData>
      <sheetData sheetId="1930">
        <row r="4">
          <cell r="I4">
            <v>0</v>
          </cell>
        </row>
      </sheetData>
      <sheetData sheetId="1931">
        <row r="4">
          <cell r="I4">
            <v>0</v>
          </cell>
        </row>
      </sheetData>
      <sheetData sheetId="1932">
        <row r="4">
          <cell r="I4">
            <v>0</v>
          </cell>
        </row>
      </sheetData>
      <sheetData sheetId="1933"/>
      <sheetData sheetId="1934">
        <row r="4">
          <cell r="I4">
            <v>0</v>
          </cell>
        </row>
      </sheetData>
      <sheetData sheetId="1935">
        <row r="4">
          <cell r="I4">
            <v>0</v>
          </cell>
        </row>
      </sheetData>
      <sheetData sheetId="1936"/>
      <sheetData sheetId="1937">
        <row r="4">
          <cell r="I4">
            <v>0</v>
          </cell>
        </row>
      </sheetData>
      <sheetData sheetId="1938">
        <row r="4">
          <cell r="I4">
            <v>0</v>
          </cell>
        </row>
      </sheetData>
      <sheetData sheetId="1939">
        <row r="4">
          <cell r="I4">
            <v>0</v>
          </cell>
        </row>
      </sheetData>
      <sheetData sheetId="1940">
        <row r="4">
          <cell r="I4">
            <v>0</v>
          </cell>
        </row>
      </sheetData>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sheetData sheetId="1952">
        <row r="4">
          <cell r="I4">
            <v>0</v>
          </cell>
        </row>
      </sheetData>
      <sheetData sheetId="1953"/>
      <sheetData sheetId="1954">
        <row r="4">
          <cell r="I4">
            <v>0</v>
          </cell>
        </row>
      </sheetData>
      <sheetData sheetId="1955">
        <row r="4">
          <cell r="I4">
            <v>0</v>
          </cell>
        </row>
      </sheetData>
      <sheetData sheetId="1956" refreshError="1"/>
      <sheetData sheetId="1957" refreshError="1"/>
      <sheetData sheetId="1958" refreshError="1"/>
      <sheetData sheetId="1959"/>
      <sheetData sheetId="1960"/>
      <sheetData sheetId="1961" refreshError="1"/>
      <sheetData sheetId="1962" refreshError="1"/>
      <sheetData sheetId="1963">
        <row r="4">
          <cell r="I4">
            <v>0</v>
          </cell>
        </row>
      </sheetData>
      <sheetData sheetId="1964"/>
      <sheetData sheetId="1965" refreshError="1"/>
      <sheetData sheetId="1966"/>
      <sheetData sheetId="1967"/>
      <sheetData sheetId="1968"/>
      <sheetData sheetId="1969" refreshError="1"/>
      <sheetData sheetId="1970" refreshError="1"/>
      <sheetData sheetId="1971" refreshError="1"/>
      <sheetData sheetId="1972">
        <row r="4">
          <cell r="I4">
            <v>0</v>
          </cell>
        </row>
      </sheetData>
      <sheetData sheetId="1973">
        <row r="4">
          <cell r="I4">
            <v>0</v>
          </cell>
        </row>
      </sheetData>
      <sheetData sheetId="1974">
        <row r="4">
          <cell r="I4">
            <v>0</v>
          </cell>
        </row>
      </sheetData>
      <sheetData sheetId="1975"/>
      <sheetData sheetId="1976">
        <row r="4">
          <cell r="I4">
            <v>0</v>
          </cell>
        </row>
      </sheetData>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ow r="4">
          <cell r="I4">
            <v>0</v>
          </cell>
        </row>
      </sheetData>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ow r="4">
          <cell r="I4">
            <v>0</v>
          </cell>
        </row>
      </sheetData>
      <sheetData sheetId="2023">
        <row r="4">
          <cell r="I4">
            <v>0</v>
          </cell>
        </row>
      </sheetData>
      <sheetData sheetId="2024">
        <row r="4">
          <cell r="I4">
            <v>0</v>
          </cell>
        </row>
      </sheetData>
      <sheetData sheetId="2025">
        <row r="4">
          <cell r="I4">
            <v>0</v>
          </cell>
        </row>
      </sheetData>
      <sheetData sheetId="2026">
        <row r="4">
          <cell r="I4">
            <v>0</v>
          </cell>
        </row>
      </sheetData>
      <sheetData sheetId="2027">
        <row r="4">
          <cell r="I4">
            <v>0</v>
          </cell>
        </row>
      </sheetData>
      <sheetData sheetId="2028">
        <row r="4">
          <cell r="I4">
            <v>0</v>
          </cell>
        </row>
      </sheetData>
      <sheetData sheetId="2029">
        <row r="4">
          <cell r="I4">
            <v>0</v>
          </cell>
        </row>
      </sheetData>
      <sheetData sheetId="2030">
        <row r="4">
          <cell r="I4">
            <v>0</v>
          </cell>
        </row>
      </sheetData>
      <sheetData sheetId="2031">
        <row r="4">
          <cell r="I4">
            <v>0</v>
          </cell>
        </row>
      </sheetData>
      <sheetData sheetId="2032">
        <row r="4">
          <cell r="I4">
            <v>0</v>
          </cell>
        </row>
      </sheetData>
      <sheetData sheetId="2033">
        <row r="4">
          <cell r="I4">
            <v>0</v>
          </cell>
        </row>
      </sheetData>
      <sheetData sheetId="2034">
        <row r="4">
          <cell r="I4">
            <v>0</v>
          </cell>
        </row>
      </sheetData>
      <sheetData sheetId="2035">
        <row r="4">
          <cell r="I4">
            <v>0</v>
          </cell>
        </row>
      </sheetData>
      <sheetData sheetId="2036">
        <row r="4">
          <cell r="I4">
            <v>0</v>
          </cell>
        </row>
      </sheetData>
      <sheetData sheetId="2037">
        <row r="4">
          <cell r="I4">
            <v>0</v>
          </cell>
        </row>
      </sheetData>
      <sheetData sheetId="2038">
        <row r="4">
          <cell r="I4">
            <v>0</v>
          </cell>
        </row>
      </sheetData>
      <sheetData sheetId="2039">
        <row r="4">
          <cell r="I4">
            <v>0</v>
          </cell>
        </row>
      </sheetData>
      <sheetData sheetId="2040">
        <row r="4">
          <cell r="I4">
            <v>0</v>
          </cell>
        </row>
      </sheetData>
      <sheetData sheetId="2041">
        <row r="4">
          <cell r="I4">
            <v>0</v>
          </cell>
        </row>
      </sheetData>
      <sheetData sheetId="2042">
        <row r="4">
          <cell r="I4">
            <v>0</v>
          </cell>
        </row>
      </sheetData>
      <sheetData sheetId="2043">
        <row r="4">
          <cell r="I4">
            <v>0</v>
          </cell>
        </row>
      </sheetData>
      <sheetData sheetId="2044">
        <row r="4">
          <cell r="I4">
            <v>0</v>
          </cell>
        </row>
      </sheetData>
      <sheetData sheetId="2045">
        <row r="4">
          <cell r="I4">
            <v>0</v>
          </cell>
        </row>
      </sheetData>
      <sheetData sheetId="2046">
        <row r="4">
          <cell r="I4">
            <v>0</v>
          </cell>
        </row>
      </sheetData>
      <sheetData sheetId="2047">
        <row r="4">
          <cell r="I4">
            <v>0</v>
          </cell>
        </row>
      </sheetData>
      <sheetData sheetId="2048">
        <row r="4">
          <cell r="I4">
            <v>0</v>
          </cell>
        </row>
      </sheetData>
      <sheetData sheetId="2049">
        <row r="4">
          <cell r="I4">
            <v>0</v>
          </cell>
        </row>
      </sheetData>
      <sheetData sheetId="2050">
        <row r="4">
          <cell r="I4">
            <v>0</v>
          </cell>
        </row>
      </sheetData>
      <sheetData sheetId="2051">
        <row r="4">
          <cell r="I4">
            <v>0</v>
          </cell>
        </row>
      </sheetData>
      <sheetData sheetId="2052">
        <row r="4">
          <cell r="I4">
            <v>0</v>
          </cell>
        </row>
      </sheetData>
      <sheetData sheetId="2053">
        <row r="4">
          <cell r="I4">
            <v>0</v>
          </cell>
        </row>
      </sheetData>
      <sheetData sheetId="2054">
        <row r="4">
          <cell r="I4">
            <v>0</v>
          </cell>
        </row>
      </sheetData>
      <sheetData sheetId="2055">
        <row r="4">
          <cell r="I4">
            <v>0</v>
          </cell>
        </row>
      </sheetData>
      <sheetData sheetId="2056">
        <row r="4">
          <cell r="I4">
            <v>0</v>
          </cell>
        </row>
      </sheetData>
      <sheetData sheetId="2057">
        <row r="4">
          <cell r="I4">
            <v>0</v>
          </cell>
        </row>
      </sheetData>
      <sheetData sheetId="2058">
        <row r="4">
          <cell r="I4">
            <v>0</v>
          </cell>
        </row>
      </sheetData>
      <sheetData sheetId="2059">
        <row r="4">
          <cell r="I4">
            <v>0</v>
          </cell>
        </row>
      </sheetData>
      <sheetData sheetId="2060">
        <row r="4">
          <cell r="I4">
            <v>0</v>
          </cell>
        </row>
      </sheetData>
      <sheetData sheetId="2061">
        <row r="4">
          <cell r="I4">
            <v>0</v>
          </cell>
        </row>
      </sheetData>
      <sheetData sheetId="2062">
        <row r="4">
          <cell r="I4">
            <v>0</v>
          </cell>
        </row>
      </sheetData>
      <sheetData sheetId="2063">
        <row r="4">
          <cell r="I4">
            <v>0</v>
          </cell>
        </row>
      </sheetData>
      <sheetData sheetId="2064">
        <row r="4">
          <cell r="I4">
            <v>0</v>
          </cell>
        </row>
      </sheetData>
      <sheetData sheetId="2065">
        <row r="4">
          <cell r="I4">
            <v>0</v>
          </cell>
        </row>
      </sheetData>
      <sheetData sheetId="2066">
        <row r="4">
          <cell r="I4">
            <v>0</v>
          </cell>
        </row>
      </sheetData>
      <sheetData sheetId="2067">
        <row r="4">
          <cell r="I4">
            <v>0</v>
          </cell>
        </row>
      </sheetData>
      <sheetData sheetId="2068">
        <row r="4">
          <cell r="I4">
            <v>0</v>
          </cell>
        </row>
      </sheetData>
      <sheetData sheetId="2069">
        <row r="4">
          <cell r="I4">
            <v>0</v>
          </cell>
        </row>
      </sheetData>
      <sheetData sheetId="2070">
        <row r="4">
          <cell r="I4">
            <v>0</v>
          </cell>
        </row>
      </sheetData>
      <sheetData sheetId="2071">
        <row r="4">
          <cell r="I4">
            <v>0</v>
          </cell>
        </row>
      </sheetData>
      <sheetData sheetId="2072">
        <row r="4">
          <cell r="I4">
            <v>0</v>
          </cell>
        </row>
      </sheetData>
      <sheetData sheetId="2073">
        <row r="4">
          <cell r="I4">
            <v>0</v>
          </cell>
        </row>
      </sheetData>
      <sheetData sheetId="2074">
        <row r="4">
          <cell r="I4">
            <v>0</v>
          </cell>
        </row>
      </sheetData>
      <sheetData sheetId="2075">
        <row r="4">
          <cell r="I4">
            <v>0</v>
          </cell>
        </row>
      </sheetData>
      <sheetData sheetId="2076">
        <row r="4">
          <cell r="I4">
            <v>0</v>
          </cell>
        </row>
      </sheetData>
      <sheetData sheetId="2077">
        <row r="4">
          <cell r="I4">
            <v>0</v>
          </cell>
        </row>
      </sheetData>
      <sheetData sheetId="2078">
        <row r="4">
          <cell r="I4">
            <v>0</v>
          </cell>
        </row>
      </sheetData>
      <sheetData sheetId="2079">
        <row r="4">
          <cell r="I4">
            <v>0</v>
          </cell>
        </row>
      </sheetData>
      <sheetData sheetId="2080">
        <row r="4">
          <cell r="I4">
            <v>0</v>
          </cell>
        </row>
      </sheetData>
      <sheetData sheetId="2081">
        <row r="4">
          <cell r="I4">
            <v>0</v>
          </cell>
        </row>
      </sheetData>
      <sheetData sheetId="2082">
        <row r="4">
          <cell r="I4">
            <v>0</v>
          </cell>
        </row>
      </sheetData>
      <sheetData sheetId="2083">
        <row r="4">
          <cell r="I4">
            <v>0</v>
          </cell>
        </row>
      </sheetData>
      <sheetData sheetId="2084">
        <row r="4">
          <cell r="I4">
            <v>0</v>
          </cell>
        </row>
      </sheetData>
      <sheetData sheetId="2085">
        <row r="4">
          <cell r="I4">
            <v>0</v>
          </cell>
        </row>
      </sheetData>
      <sheetData sheetId="2086">
        <row r="4">
          <cell r="I4">
            <v>0</v>
          </cell>
        </row>
      </sheetData>
      <sheetData sheetId="2087">
        <row r="4">
          <cell r="I4">
            <v>0</v>
          </cell>
        </row>
      </sheetData>
      <sheetData sheetId="2088">
        <row r="4">
          <cell r="I4">
            <v>0</v>
          </cell>
        </row>
      </sheetData>
      <sheetData sheetId="2089">
        <row r="4">
          <cell r="I4">
            <v>0</v>
          </cell>
        </row>
      </sheetData>
      <sheetData sheetId="2090">
        <row r="4">
          <cell r="I4">
            <v>0</v>
          </cell>
        </row>
      </sheetData>
      <sheetData sheetId="2091">
        <row r="4">
          <cell r="I4">
            <v>0</v>
          </cell>
        </row>
      </sheetData>
      <sheetData sheetId="2092">
        <row r="4">
          <cell r="I4">
            <v>0</v>
          </cell>
        </row>
      </sheetData>
      <sheetData sheetId="2093">
        <row r="4">
          <cell r="I4">
            <v>0</v>
          </cell>
        </row>
      </sheetData>
      <sheetData sheetId="2094">
        <row r="4">
          <cell r="I4">
            <v>0</v>
          </cell>
        </row>
      </sheetData>
      <sheetData sheetId="2095">
        <row r="4">
          <cell r="I4">
            <v>0</v>
          </cell>
        </row>
      </sheetData>
      <sheetData sheetId="2096">
        <row r="4">
          <cell r="I4">
            <v>0</v>
          </cell>
        </row>
      </sheetData>
      <sheetData sheetId="2097">
        <row r="4">
          <cell r="I4">
            <v>0</v>
          </cell>
        </row>
      </sheetData>
      <sheetData sheetId="2098">
        <row r="4">
          <cell r="I4">
            <v>0</v>
          </cell>
        </row>
      </sheetData>
      <sheetData sheetId="2099">
        <row r="4">
          <cell r="I4">
            <v>0</v>
          </cell>
        </row>
      </sheetData>
      <sheetData sheetId="2100">
        <row r="4">
          <cell r="I4">
            <v>0</v>
          </cell>
        </row>
      </sheetData>
      <sheetData sheetId="2101">
        <row r="4">
          <cell r="I4">
            <v>0</v>
          </cell>
        </row>
      </sheetData>
      <sheetData sheetId="2102">
        <row r="4">
          <cell r="I4">
            <v>0</v>
          </cell>
        </row>
      </sheetData>
      <sheetData sheetId="2103">
        <row r="4">
          <cell r="I4">
            <v>0</v>
          </cell>
        </row>
      </sheetData>
      <sheetData sheetId="2104">
        <row r="4">
          <cell r="I4">
            <v>0</v>
          </cell>
        </row>
      </sheetData>
      <sheetData sheetId="2105">
        <row r="4">
          <cell r="I4">
            <v>0</v>
          </cell>
        </row>
      </sheetData>
      <sheetData sheetId="2106">
        <row r="4">
          <cell r="I4">
            <v>0</v>
          </cell>
        </row>
      </sheetData>
      <sheetData sheetId="2107">
        <row r="4">
          <cell r="I4">
            <v>0</v>
          </cell>
        </row>
      </sheetData>
      <sheetData sheetId="2108">
        <row r="4">
          <cell r="I4">
            <v>0</v>
          </cell>
        </row>
      </sheetData>
      <sheetData sheetId="2109">
        <row r="4">
          <cell r="I4">
            <v>0</v>
          </cell>
        </row>
      </sheetData>
      <sheetData sheetId="2110">
        <row r="4">
          <cell r="I4">
            <v>0</v>
          </cell>
        </row>
      </sheetData>
      <sheetData sheetId="2111">
        <row r="4">
          <cell r="I4">
            <v>0</v>
          </cell>
        </row>
      </sheetData>
      <sheetData sheetId="2112">
        <row r="4">
          <cell r="I4">
            <v>0</v>
          </cell>
        </row>
      </sheetData>
      <sheetData sheetId="2113">
        <row r="4">
          <cell r="I4">
            <v>0</v>
          </cell>
        </row>
      </sheetData>
      <sheetData sheetId="2114">
        <row r="4">
          <cell r="I4">
            <v>0</v>
          </cell>
        </row>
      </sheetData>
      <sheetData sheetId="2115">
        <row r="4">
          <cell r="I4">
            <v>0</v>
          </cell>
        </row>
      </sheetData>
      <sheetData sheetId="2116">
        <row r="4">
          <cell r="I4">
            <v>0</v>
          </cell>
        </row>
      </sheetData>
      <sheetData sheetId="2117">
        <row r="4">
          <cell r="I4">
            <v>0</v>
          </cell>
        </row>
      </sheetData>
      <sheetData sheetId="2118">
        <row r="4">
          <cell r="I4">
            <v>0</v>
          </cell>
        </row>
      </sheetData>
      <sheetData sheetId="2119">
        <row r="4">
          <cell r="I4">
            <v>0</v>
          </cell>
        </row>
      </sheetData>
      <sheetData sheetId="2120">
        <row r="4">
          <cell r="I4">
            <v>0</v>
          </cell>
        </row>
      </sheetData>
      <sheetData sheetId="2121">
        <row r="4">
          <cell r="I4">
            <v>0</v>
          </cell>
        </row>
      </sheetData>
      <sheetData sheetId="2122">
        <row r="4">
          <cell r="I4">
            <v>0</v>
          </cell>
        </row>
      </sheetData>
      <sheetData sheetId="2123">
        <row r="4">
          <cell r="I4">
            <v>0</v>
          </cell>
        </row>
      </sheetData>
      <sheetData sheetId="2124">
        <row r="4">
          <cell r="I4">
            <v>0</v>
          </cell>
        </row>
      </sheetData>
      <sheetData sheetId="2125">
        <row r="4">
          <cell r="I4">
            <v>0</v>
          </cell>
        </row>
      </sheetData>
      <sheetData sheetId="2126">
        <row r="4">
          <cell r="I4">
            <v>0</v>
          </cell>
        </row>
      </sheetData>
      <sheetData sheetId="2127">
        <row r="4">
          <cell r="I4">
            <v>0</v>
          </cell>
        </row>
      </sheetData>
      <sheetData sheetId="2128">
        <row r="4">
          <cell r="I4">
            <v>0</v>
          </cell>
        </row>
      </sheetData>
      <sheetData sheetId="2129">
        <row r="4">
          <cell r="I4">
            <v>0</v>
          </cell>
        </row>
      </sheetData>
      <sheetData sheetId="2130">
        <row r="4">
          <cell r="I4">
            <v>0</v>
          </cell>
        </row>
      </sheetData>
      <sheetData sheetId="2131">
        <row r="4">
          <cell r="I4">
            <v>0</v>
          </cell>
        </row>
      </sheetData>
      <sheetData sheetId="2132">
        <row r="4">
          <cell r="I4">
            <v>0</v>
          </cell>
        </row>
      </sheetData>
      <sheetData sheetId="2133">
        <row r="4">
          <cell r="I4">
            <v>0</v>
          </cell>
        </row>
      </sheetData>
      <sheetData sheetId="2134">
        <row r="4">
          <cell r="I4">
            <v>0</v>
          </cell>
        </row>
      </sheetData>
      <sheetData sheetId="2135">
        <row r="4">
          <cell r="I4">
            <v>0</v>
          </cell>
        </row>
      </sheetData>
      <sheetData sheetId="2136">
        <row r="4">
          <cell r="I4">
            <v>0</v>
          </cell>
        </row>
      </sheetData>
      <sheetData sheetId="2137">
        <row r="4">
          <cell r="I4">
            <v>0</v>
          </cell>
        </row>
      </sheetData>
      <sheetData sheetId="2138">
        <row r="4">
          <cell r="I4">
            <v>0</v>
          </cell>
        </row>
      </sheetData>
      <sheetData sheetId="2139">
        <row r="4">
          <cell r="I4">
            <v>0</v>
          </cell>
        </row>
      </sheetData>
      <sheetData sheetId="2140">
        <row r="4">
          <cell r="I4">
            <v>0</v>
          </cell>
        </row>
      </sheetData>
      <sheetData sheetId="2141">
        <row r="4">
          <cell r="I4">
            <v>0</v>
          </cell>
        </row>
      </sheetData>
      <sheetData sheetId="2142">
        <row r="4">
          <cell r="I4">
            <v>0</v>
          </cell>
        </row>
      </sheetData>
      <sheetData sheetId="2143">
        <row r="4">
          <cell r="I4">
            <v>0</v>
          </cell>
        </row>
      </sheetData>
      <sheetData sheetId="2144">
        <row r="4">
          <cell r="I4">
            <v>0</v>
          </cell>
        </row>
      </sheetData>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ow r="4">
          <cell r="I4">
            <v>0</v>
          </cell>
        </row>
      </sheetData>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ow r="4">
          <cell r="I4">
            <v>0</v>
          </cell>
        </row>
      </sheetData>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ow r="4">
          <cell r="I4">
            <v>0</v>
          </cell>
        </row>
      </sheetData>
      <sheetData sheetId="2212" refreshError="1"/>
      <sheetData sheetId="2213">
        <row r="4">
          <cell r="I4">
            <v>0</v>
          </cell>
        </row>
      </sheetData>
      <sheetData sheetId="2214">
        <row r="4">
          <cell r="I4">
            <v>0</v>
          </cell>
        </row>
      </sheetData>
      <sheetData sheetId="2215">
        <row r="4">
          <cell r="I4">
            <v>0</v>
          </cell>
        </row>
      </sheetData>
      <sheetData sheetId="2216">
        <row r="4">
          <cell r="I4">
            <v>0</v>
          </cell>
        </row>
      </sheetData>
      <sheetData sheetId="2217">
        <row r="4">
          <cell r="I4">
            <v>0</v>
          </cell>
        </row>
      </sheetData>
      <sheetData sheetId="2218">
        <row r="4">
          <cell r="I4">
            <v>0</v>
          </cell>
        </row>
      </sheetData>
      <sheetData sheetId="2219">
        <row r="4">
          <cell r="I4">
            <v>0</v>
          </cell>
        </row>
      </sheetData>
      <sheetData sheetId="2220">
        <row r="4">
          <cell r="I4">
            <v>0</v>
          </cell>
        </row>
      </sheetData>
      <sheetData sheetId="2221">
        <row r="4">
          <cell r="I4">
            <v>0</v>
          </cell>
        </row>
      </sheetData>
      <sheetData sheetId="2222">
        <row r="4">
          <cell r="I4">
            <v>0</v>
          </cell>
        </row>
      </sheetData>
      <sheetData sheetId="2223">
        <row r="4">
          <cell r="I4">
            <v>0</v>
          </cell>
        </row>
      </sheetData>
      <sheetData sheetId="2224">
        <row r="4">
          <cell r="I4">
            <v>0</v>
          </cell>
        </row>
      </sheetData>
      <sheetData sheetId="2225">
        <row r="4">
          <cell r="I4">
            <v>0</v>
          </cell>
        </row>
      </sheetData>
      <sheetData sheetId="2226">
        <row r="4">
          <cell r="I4">
            <v>0</v>
          </cell>
        </row>
      </sheetData>
      <sheetData sheetId="2227">
        <row r="4">
          <cell r="I4">
            <v>0</v>
          </cell>
        </row>
      </sheetData>
      <sheetData sheetId="2228">
        <row r="4">
          <cell r="I4">
            <v>0</v>
          </cell>
        </row>
      </sheetData>
      <sheetData sheetId="2229">
        <row r="4">
          <cell r="I4">
            <v>0</v>
          </cell>
        </row>
      </sheetData>
      <sheetData sheetId="2230">
        <row r="4">
          <cell r="I4">
            <v>0</v>
          </cell>
        </row>
      </sheetData>
      <sheetData sheetId="2231">
        <row r="4">
          <cell r="I4">
            <v>0</v>
          </cell>
        </row>
      </sheetData>
      <sheetData sheetId="2232">
        <row r="4">
          <cell r="I4">
            <v>0</v>
          </cell>
        </row>
      </sheetData>
      <sheetData sheetId="2233">
        <row r="4">
          <cell r="I4">
            <v>0</v>
          </cell>
        </row>
      </sheetData>
      <sheetData sheetId="2234">
        <row r="4">
          <cell r="I4">
            <v>0</v>
          </cell>
        </row>
      </sheetData>
      <sheetData sheetId="2235">
        <row r="4">
          <cell r="I4">
            <v>0</v>
          </cell>
        </row>
      </sheetData>
      <sheetData sheetId="2236">
        <row r="4">
          <cell r="I4">
            <v>0</v>
          </cell>
        </row>
      </sheetData>
      <sheetData sheetId="2237">
        <row r="4">
          <cell r="I4">
            <v>0</v>
          </cell>
        </row>
      </sheetData>
      <sheetData sheetId="2238">
        <row r="4">
          <cell r="I4">
            <v>0</v>
          </cell>
        </row>
      </sheetData>
      <sheetData sheetId="2239">
        <row r="4">
          <cell r="I4">
            <v>0</v>
          </cell>
        </row>
      </sheetData>
      <sheetData sheetId="2240">
        <row r="4">
          <cell r="I4">
            <v>0</v>
          </cell>
        </row>
      </sheetData>
      <sheetData sheetId="2241">
        <row r="4">
          <cell r="I4">
            <v>0</v>
          </cell>
        </row>
      </sheetData>
      <sheetData sheetId="2242">
        <row r="4">
          <cell r="I4">
            <v>0</v>
          </cell>
        </row>
      </sheetData>
      <sheetData sheetId="2243">
        <row r="4">
          <cell r="I4">
            <v>0</v>
          </cell>
        </row>
      </sheetData>
      <sheetData sheetId="2244">
        <row r="4">
          <cell r="I4">
            <v>0</v>
          </cell>
        </row>
      </sheetData>
      <sheetData sheetId="2245">
        <row r="4">
          <cell r="I4">
            <v>0</v>
          </cell>
        </row>
      </sheetData>
      <sheetData sheetId="2246">
        <row r="4">
          <cell r="I4">
            <v>0</v>
          </cell>
        </row>
      </sheetData>
      <sheetData sheetId="2247">
        <row r="4">
          <cell r="I4">
            <v>0</v>
          </cell>
        </row>
      </sheetData>
      <sheetData sheetId="2248">
        <row r="4">
          <cell r="I4">
            <v>0</v>
          </cell>
        </row>
      </sheetData>
      <sheetData sheetId="2249">
        <row r="4">
          <cell r="I4">
            <v>0</v>
          </cell>
        </row>
      </sheetData>
      <sheetData sheetId="2250">
        <row r="4">
          <cell r="I4">
            <v>0</v>
          </cell>
        </row>
      </sheetData>
      <sheetData sheetId="2251">
        <row r="4">
          <cell r="I4">
            <v>0</v>
          </cell>
        </row>
      </sheetData>
      <sheetData sheetId="2252">
        <row r="4">
          <cell r="I4">
            <v>0</v>
          </cell>
        </row>
      </sheetData>
      <sheetData sheetId="2253">
        <row r="4">
          <cell r="I4">
            <v>0</v>
          </cell>
        </row>
      </sheetData>
      <sheetData sheetId="2254">
        <row r="4">
          <cell r="I4">
            <v>0</v>
          </cell>
        </row>
      </sheetData>
      <sheetData sheetId="2255">
        <row r="4">
          <cell r="I4">
            <v>0</v>
          </cell>
        </row>
      </sheetData>
      <sheetData sheetId="2256">
        <row r="4">
          <cell r="I4">
            <v>0</v>
          </cell>
        </row>
      </sheetData>
      <sheetData sheetId="2257">
        <row r="4">
          <cell r="I4">
            <v>0</v>
          </cell>
        </row>
      </sheetData>
      <sheetData sheetId="2258">
        <row r="4">
          <cell r="I4">
            <v>0</v>
          </cell>
        </row>
      </sheetData>
      <sheetData sheetId="2259">
        <row r="4">
          <cell r="I4">
            <v>0</v>
          </cell>
        </row>
      </sheetData>
      <sheetData sheetId="2260">
        <row r="4">
          <cell r="I4">
            <v>0</v>
          </cell>
        </row>
      </sheetData>
      <sheetData sheetId="2261">
        <row r="4">
          <cell r="I4">
            <v>0</v>
          </cell>
        </row>
      </sheetData>
      <sheetData sheetId="2262">
        <row r="4">
          <cell r="I4">
            <v>0</v>
          </cell>
        </row>
      </sheetData>
      <sheetData sheetId="2263">
        <row r="4">
          <cell r="I4">
            <v>0</v>
          </cell>
        </row>
      </sheetData>
      <sheetData sheetId="2264">
        <row r="4">
          <cell r="I4">
            <v>0</v>
          </cell>
        </row>
      </sheetData>
      <sheetData sheetId="2265">
        <row r="4">
          <cell r="I4">
            <v>0</v>
          </cell>
        </row>
      </sheetData>
      <sheetData sheetId="2266">
        <row r="4">
          <cell r="I4">
            <v>0</v>
          </cell>
        </row>
      </sheetData>
      <sheetData sheetId="2267">
        <row r="4">
          <cell r="I4">
            <v>0</v>
          </cell>
        </row>
      </sheetData>
      <sheetData sheetId="2268">
        <row r="4">
          <cell r="I4">
            <v>0</v>
          </cell>
        </row>
      </sheetData>
      <sheetData sheetId="2269">
        <row r="4">
          <cell r="I4">
            <v>0</v>
          </cell>
        </row>
      </sheetData>
      <sheetData sheetId="2270">
        <row r="4">
          <cell r="I4">
            <v>0</v>
          </cell>
        </row>
      </sheetData>
      <sheetData sheetId="2271">
        <row r="4">
          <cell r="I4">
            <v>0</v>
          </cell>
        </row>
      </sheetData>
      <sheetData sheetId="2272">
        <row r="4">
          <cell r="I4">
            <v>0</v>
          </cell>
        </row>
      </sheetData>
      <sheetData sheetId="2273">
        <row r="4">
          <cell r="I4">
            <v>0</v>
          </cell>
        </row>
      </sheetData>
      <sheetData sheetId="2274">
        <row r="4">
          <cell r="I4">
            <v>0</v>
          </cell>
        </row>
      </sheetData>
      <sheetData sheetId="2275">
        <row r="4">
          <cell r="I4">
            <v>0</v>
          </cell>
        </row>
      </sheetData>
      <sheetData sheetId="2276">
        <row r="4">
          <cell r="I4">
            <v>0</v>
          </cell>
        </row>
      </sheetData>
      <sheetData sheetId="2277">
        <row r="4">
          <cell r="I4">
            <v>0</v>
          </cell>
        </row>
      </sheetData>
      <sheetData sheetId="2278">
        <row r="4">
          <cell r="I4">
            <v>0</v>
          </cell>
        </row>
      </sheetData>
      <sheetData sheetId="2279">
        <row r="4">
          <cell r="I4">
            <v>0</v>
          </cell>
        </row>
      </sheetData>
      <sheetData sheetId="2280">
        <row r="4">
          <cell r="I4">
            <v>0</v>
          </cell>
        </row>
      </sheetData>
      <sheetData sheetId="2281">
        <row r="4">
          <cell r="I4">
            <v>0</v>
          </cell>
        </row>
      </sheetData>
      <sheetData sheetId="2282">
        <row r="4">
          <cell r="I4">
            <v>0</v>
          </cell>
        </row>
      </sheetData>
      <sheetData sheetId="2283">
        <row r="4">
          <cell r="I4">
            <v>0</v>
          </cell>
        </row>
      </sheetData>
      <sheetData sheetId="2284">
        <row r="4">
          <cell r="I4">
            <v>0</v>
          </cell>
        </row>
      </sheetData>
      <sheetData sheetId="2285">
        <row r="4">
          <cell r="I4">
            <v>0</v>
          </cell>
        </row>
      </sheetData>
      <sheetData sheetId="2286">
        <row r="4">
          <cell r="I4">
            <v>0</v>
          </cell>
        </row>
      </sheetData>
      <sheetData sheetId="2287">
        <row r="4">
          <cell r="I4">
            <v>0</v>
          </cell>
        </row>
      </sheetData>
      <sheetData sheetId="2288">
        <row r="4">
          <cell r="I4">
            <v>0</v>
          </cell>
        </row>
      </sheetData>
      <sheetData sheetId="2289">
        <row r="4">
          <cell r="I4">
            <v>0</v>
          </cell>
        </row>
      </sheetData>
      <sheetData sheetId="2290">
        <row r="4">
          <cell r="I4">
            <v>0</v>
          </cell>
        </row>
      </sheetData>
      <sheetData sheetId="2291">
        <row r="4">
          <cell r="I4">
            <v>0</v>
          </cell>
        </row>
      </sheetData>
      <sheetData sheetId="2292">
        <row r="4">
          <cell r="I4">
            <v>0</v>
          </cell>
        </row>
      </sheetData>
      <sheetData sheetId="2293">
        <row r="4">
          <cell r="I4">
            <v>0</v>
          </cell>
        </row>
      </sheetData>
      <sheetData sheetId="2294">
        <row r="4">
          <cell r="I4">
            <v>0</v>
          </cell>
        </row>
      </sheetData>
      <sheetData sheetId="2295">
        <row r="4">
          <cell r="I4">
            <v>0</v>
          </cell>
        </row>
      </sheetData>
      <sheetData sheetId="2296">
        <row r="4">
          <cell r="I4">
            <v>0</v>
          </cell>
        </row>
      </sheetData>
      <sheetData sheetId="2297">
        <row r="4">
          <cell r="I4">
            <v>0</v>
          </cell>
        </row>
      </sheetData>
      <sheetData sheetId="2298">
        <row r="4">
          <cell r="I4">
            <v>0</v>
          </cell>
        </row>
      </sheetData>
      <sheetData sheetId="2299">
        <row r="4">
          <cell r="I4">
            <v>0</v>
          </cell>
        </row>
      </sheetData>
      <sheetData sheetId="2300">
        <row r="4">
          <cell r="I4">
            <v>0</v>
          </cell>
        </row>
      </sheetData>
      <sheetData sheetId="2301">
        <row r="4">
          <cell r="I4">
            <v>0</v>
          </cell>
        </row>
      </sheetData>
      <sheetData sheetId="2302">
        <row r="4">
          <cell r="I4">
            <v>0</v>
          </cell>
        </row>
      </sheetData>
      <sheetData sheetId="2303">
        <row r="4">
          <cell r="I4">
            <v>0</v>
          </cell>
        </row>
      </sheetData>
      <sheetData sheetId="2304">
        <row r="4">
          <cell r="I4">
            <v>0</v>
          </cell>
        </row>
      </sheetData>
      <sheetData sheetId="2305">
        <row r="4">
          <cell r="I4">
            <v>0</v>
          </cell>
        </row>
      </sheetData>
      <sheetData sheetId="2306">
        <row r="4">
          <cell r="I4">
            <v>0</v>
          </cell>
        </row>
      </sheetData>
      <sheetData sheetId="2307">
        <row r="4">
          <cell r="I4">
            <v>0</v>
          </cell>
        </row>
      </sheetData>
      <sheetData sheetId="2308">
        <row r="4">
          <cell r="I4">
            <v>0</v>
          </cell>
        </row>
      </sheetData>
      <sheetData sheetId="2309">
        <row r="4">
          <cell r="I4">
            <v>0</v>
          </cell>
        </row>
      </sheetData>
      <sheetData sheetId="2310">
        <row r="4">
          <cell r="I4">
            <v>0</v>
          </cell>
        </row>
      </sheetData>
      <sheetData sheetId="2311">
        <row r="4">
          <cell r="I4">
            <v>0</v>
          </cell>
        </row>
      </sheetData>
      <sheetData sheetId="2312">
        <row r="4">
          <cell r="I4">
            <v>0</v>
          </cell>
        </row>
      </sheetData>
      <sheetData sheetId="2313">
        <row r="4">
          <cell r="I4">
            <v>0</v>
          </cell>
        </row>
      </sheetData>
      <sheetData sheetId="2314">
        <row r="4">
          <cell r="I4">
            <v>0</v>
          </cell>
        </row>
      </sheetData>
      <sheetData sheetId="2315">
        <row r="4">
          <cell r="I4">
            <v>0</v>
          </cell>
        </row>
      </sheetData>
      <sheetData sheetId="2316">
        <row r="4">
          <cell r="I4">
            <v>0</v>
          </cell>
        </row>
      </sheetData>
      <sheetData sheetId="2317">
        <row r="4">
          <cell r="I4">
            <v>0</v>
          </cell>
        </row>
      </sheetData>
      <sheetData sheetId="2318">
        <row r="4">
          <cell r="I4">
            <v>0</v>
          </cell>
        </row>
      </sheetData>
      <sheetData sheetId="2319">
        <row r="4">
          <cell r="I4">
            <v>0</v>
          </cell>
        </row>
      </sheetData>
      <sheetData sheetId="2320">
        <row r="4">
          <cell r="I4">
            <v>0</v>
          </cell>
        </row>
      </sheetData>
      <sheetData sheetId="2321">
        <row r="4">
          <cell r="I4">
            <v>0</v>
          </cell>
        </row>
      </sheetData>
      <sheetData sheetId="2322">
        <row r="4">
          <cell r="I4">
            <v>0</v>
          </cell>
        </row>
      </sheetData>
      <sheetData sheetId="2323">
        <row r="4">
          <cell r="I4">
            <v>0</v>
          </cell>
        </row>
      </sheetData>
      <sheetData sheetId="2324">
        <row r="4">
          <cell r="I4">
            <v>0</v>
          </cell>
        </row>
      </sheetData>
      <sheetData sheetId="2325">
        <row r="4">
          <cell r="I4">
            <v>0</v>
          </cell>
        </row>
      </sheetData>
      <sheetData sheetId="2326">
        <row r="4">
          <cell r="I4">
            <v>0</v>
          </cell>
        </row>
      </sheetData>
      <sheetData sheetId="2327">
        <row r="4">
          <cell r="I4">
            <v>0</v>
          </cell>
        </row>
      </sheetData>
      <sheetData sheetId="2328">
        <row r="4">
          <cell r="I4">
            <v>0</v>
          </cell>
        </row>
      </sheetData>
      <sheetData sheetId="2329">
        <row r="4">
          <cell r="I4">
            <v>0</v>
          </cell>
        </row>
      </sheetData>
      <sheetData sheetId="2330">
        <row r="4">
          <cell r="I4">
            <v>0</v>
          </cell>
        </row>
      </sheetData>
      <sheetData sheetId="2331">
        <row r="4">
          <cell r="I4">
            <v>0</v>
          </cell>
        </row>
      </sheetData>
      <sheetData sheetId="2332">
        <row r="4">
          <cell r="I4">
            <v>0</v>
          </cell>
        </row>
      </sheetData>
      <sheetData sheetId="2333">
        <row r="4">
          <cell r="I4">
            <v>0</v>
          </cell>
        </row>
      </sheetData>
      <sheetData sheetId="2334">
        <row r="4">
          <cell r="I4">
            <v>0</v>
          </cell>
        </row>
      </sheetData>
      <sheetData sheetId="2335">
        <row r="4">
          <cell r="I4">
            <v>0</v>
          </cell>
        </row>
      </sheetData>
      <sheetData sheetId="2336">
        <row r="4">
          <cell r="I4">
            <v>0</v>
          </cell>
        </row>
      </sheetData>
      <sheetData sheetId="2337">
        <row r="4">
          <cell r="I4">
            <v>0</v>
          </cell>
        </row>
      </sheetData>
      <sheetData sheetId="2338">
        <row r="4">
          <cell r="I4">
            <v>0</v>
          </cell>
        </row>
      </sheetData>
      <sheetData sheetId="2339">
        <row r="4">
          <cell r="I4">
            <v>0</v>
          </cell>
        </row>
      </sheetData>
      <sheetData sheetId="2340">
        <row r="4">
          <cell r="I4">
            <v>0</v>
          </cell>
        </row>
      </sheetData>
      <sheetData sheetId="2341">
        <row r="4">
          <cell r="I4">
            <v>0</v>
          </cell>
        </row>
      </sheetData>
      <sheetData sheetId="2342">
        <row r="4">
          <cell r="I4">
            <v>0</v>
          </cell>
        </row>
      </sheetData>
      <sheetData sheetId="2343">
        <row r="4">
          <cell r="I4">
            <v>0</v>
          </cell>
        </row>
      </sheetData>
      <sheetData sheetId="2344">
        <row r="4">
          <cell r="I4">
            <v>0</v>
          </cell>
        </row>
      </sheetData>
      <sheetData sheetId="2345">
        <row r="4">
          <cell r="I4">
            <v>0</v>
          </cell>
        </row>
      </sheetData>
      <sheetData sheetId="2346">
        <row r="4">
          <cell r="I4">
            <v>0</v>
          </cell>
        </row>
      </sheetData>
      <sheetData sheetId="2347">
        <row r="4">
          <cell r="I4">
            <v>0</v>
          </cell>
        </row>
      </sheetData>
      <sheetData sheetId="2348">
        <row r="4">
          <cell r="I4">
            <v>0</v>
          </cell>
        </row>
      </sheetData>
      <sheetData sheetId="2349">
        <row r="4">
          <cell r="I4">
            <v>0</v>
          </cell>
        </row>
      </sheetData>
      <sheetData sheetId="2350">
        <row r="4">
          <cell r="I4">
            <v>0</v>
          </cell>
        </row>
      </sheetData>
      <sheetData sheetId="2351">
        <row r="4">
          <cell r="I4">
            <v>0</v>
          </cell>
        </row>
      </sheetData>
      <sheetData sheetId="2352">
        <row r="4">
          <cell r="I4">
            <v>0</v>
          </cell>
        </row>
      </sheetData>
      <sheetData sheetId="2353">
        <row r="4">
          <cell r="I4">
            <v>0</v>
          </cell>
        </row>
      </sheetData>
      <sheetData sheetId="2354">
        <row r="4">
          <cell r="I4">
            <v>0</v>
          </cell>
        </row>
      </sheetData>
      <sheetData sheetId="2355">
        <row r="4">
          <cell r="I4">
            <v>0</v>
          </cell>
        </row>
      </sheetData>
      <sheetData sheetId="2356">
        <row r="4">
          <cell r="I4">
            <v>0</v>
          </cell>
        </row>
      </sheetData>
      <sheetData sheetId="2357">
        <row r="4">
          <cell r="I4">
            <v>0</v>
          </cell>
        </row>
      </sheetData>
      <sheetData sheetId="2358">
        <row r="4">
          <cell r="I4">
            <v>0</v>
          </cell>
        </row>
      </sheetData>
      <sheetData sheetId="2359">
        <row r="4">
          <cell r="I4">
            <v>0</v>
          </cell>
        </row>
      </sheetData>
      <sheetData sheetId="2360">
        <row r="4">
          <cell r="I4">
            <v>0</v>
          </cell>
        </row>
      </sheetData>
      <sheetData sheetId="2361">
        <row r="4">
          <cell r="I4">
            <v>0</v>
          </cell>
        </row>
      </sheetData>
      <sheetData sheetId="2362">
        <row r="4">
          <cell r="I4">
            <v>0</v>
          </cell>
        </row>
      </sheetData>
      <sheetData sheetId="2363">
        <row r="4">
          <cell r="I4">
            <v>0</v>
          </cell>
        </row>
      </sheetData>
      <sheetData sheetId="2364">
        <row r="4">
          <cell r="I4">
            <v>0</v>
          </cell>
        </row>
      </sheetData>
      <sheetData sheetId="2365">
        <row r="4">
          <cell r="I4">
            <v>0</v>
          </cell>
        </row>
      </sheetData>
      <sheetData sheetId="2366">
        <row r="4">
          <cell r="I4">
            <v>0</v>
          </cell>
        </row>
      </sheetData>
      <sheetData sheetId="2367">
        <row r="4">
          <cell r="I4">
            <v>0</v>
          </cell>
        </row>
      </sheetData>
      <sheetData sheetId="2368">
        <row r="4">
          <cell r="I4">
            <v>0</v>
          </cell>
        </row>
      </sheetData>
      <sheetData sheetId="2369">
        <row r="4">
          <cell r="I4">
            <v>0</v>
          </cell>
        </row>
      </sheetData>
      <sheetData sheetId="2370">
        <row r="4">
          <cell r="I4">
            <v>0</v>
          </cell>
        </row>
      </sheetData>
      <sheetData sheetId="2371">
        <row r="4">
          <cell r="I4">
            <v>0</v>
          </cell>
        </row>
      </sheetData>
      <sheetData sheetId="2372">
        <row r="4">
          <cell r="I4">
            <v>0</v>
          </cell>
        </row>
      </sheetData>
      <sheetData sheetId="2373">
        <row r="4">
          <cell r="I4">
            <v>0</v>
          </cell>
        </row>
      </sheetData>
      <sheetData sheetId="2374">
        <row r="4">
          <cell r="I4">
            <v>0</v>
          </cell>
        </row>
      </sheetData>
      <sheetData sheetId="2375">
        <row r="4">
          <cell r="I4">
            <v>0</v>
          </cell>
        </row>
      </sheetData>
      <sheetData sheetId="2376">
        <row r="4">
          <cell r="I4">
            <v>0</v>
          </cell>
        </row>
      </sheetData>
      <sheetData sheetId="2377">
        <row r="4">
          <cell r="I4">
            <v>0</v>
          </cell>
        </row>
      </sheetData>
      <sheetData sheetId="2378">
        <row r="4">
          <cell r="I4">
            <v>0</v>
          </cell>
        </row>
      </sheetData>
      <sheetData sheetId="2379">
        <row r="4">
          <cell r="I4">
            <v>0</v>
          </cell>
        </row>
      </sheetData>
      <sheetData sheetId="2380">
        <row r="4">
          <cell r="I4">
            <v>0</v>
          </cell>
        </row>
      </sheetData>
      <sheetData sheetId="2381">
        <row r="4">
          <cell r="I4">
            <v>0</v>
          </cell>
        </row>
      </sheetData>
      <sheetData sheetId="2382">
        <row r="4">
          <cell r="I4">
            <v>0</v>
          </cell>
        </row>
      </sheetData>
      <sheetData sheetId="2383">
        <row r="4">
          <cell r="I4">
            <v>0</v>
          </cell>
        </row>
      </sheetData>
      <sheetData sheetId="2384">
        <row r="4">
          <cell r="I4">
            <v>0</v>
          </cell>
        </row>
      </sheetData>
      <sheetData sheetId="2385">
        <row r="4">
          <cell r="I4">
            <v>0</v>
          </cell>
        </row>
      </sheetData>
      <sheetData sheetId="2386">
        <row r="4">
          <cell r="I4">
            <v>0</v>
          </cell>
        </row>
      </sheetData>
      <sheetData sheetId="2387">
        <row r="4">
          <cell r="I4">
            <v>0</v>
          </cell>
        </row>
      </sheetData>
      <sheetData sheetId="2388">
        <row r="4">
          <cell r="I4">
            <v>0</v>
          </cell>
        </row>
      </sheetData>
      <sheetData sheetId="2389">
        <row r="4">
          <cell r="I4">
            <v>0</v>
          </cell>
        </row>
      </sheetData>
      <sheetData sheetId="2390">
        <row r="4">
          <cell r="I4">
            <v>0</v>
          </cell>
        </row>
      </sheetData>
      <sheetData sheetId="2391">
        <row r="4">
          <cell r="I4">
            <v>0</v>
          </cell>
        </row>
      </sheetData>
      <sheetData sheetId="2392">
        <row r="4">
          <cell r="I4">
            <v>0</v>
          </cell>
        </row>
      </sheetData>
      <sheetData sheetId="2393">
        <row r="4">
          <cell r="I4">
            <v>0</v>
          </cell>
        </row>
      </sheetData>
      <sheetData sheetId="2394">
        <row r="4">
          <cell r="I4">
            <v>0</v>
          </cell>
        </row>
      </sheetData>
      <sheetData sheetId="2395">
        <row r="4">
          <cell r="I4">
            <v>0</v>
          </cell>
        </row>
      </sheetData>
      <sheetData sheetId="2396">
        <row r="4">
          <cell r="I4">
            <v>0</v>
          </cell>
        </row>
      </sheetData>
      <sheetData sheetId="2397">
        <row r="4">
          <cell r="I4">
            <v>0</v>
          </cell>
        </row>
      </sheetData>
      <sheetData sheetId="2398">
        <row r="4">
          <cell r="I4">
            <v>0</v>
          </cell>
        </row>
      </sheetData>
      <sheetData sheetId="2399">
        <row r="4">
          <cell r="I4">
            <v>0</v>
          </cell>
        </row>
      </sheetData>
      <sheetData sheetId="2400">
        <row r="4">
          <cell r="I4">
            <v>0</v>
          </cell>
        </row>
      </sheetData>
      <sheetData sheetId="2401">
        <row r="4">
          <cell r="I4">
            <v>0</v>
          </cell>
        </row>
      </sheetData>
      <sheetData sheetId="2402">
        <row r="4">
          <cell r="I4">
            <v>0</v>
          </cell>
        </row>
      </sheetData>
      <sheetData sheetId="2403">
        <row r="4">
          <cell r="I4">
            <v>0</v>
          </cell>
        </row>
      </sheetData>
      <sheetData sheetId="2404">
        <row r="4">
          <cell r="I4">
            <v>0</v>
          </cell>
        </row>
      </sheetData>
      <sheetData sheetId="2405">
        <row r="4">
          <cell r="I4">
            <v>0</v>
          </cell>
        </row>
      </sheetData>
      <sheetData sheetId="2406">
        <row r="4">
          <cell r="I4">
            <v>0</v>
          </cell>
        </row>
      </sheetData>
      <sheetData sheetId="2407">
        <row r="4">
          <cell r="I4">
            <v>0</v>
          </cell>
        </row>
      </sheetData>
      <sheetData sheetId="2408">
        <row r="4">
          <cell r="I4">
            <v>0</v>
          </cell>
        </row>
      </sheetData>
      <sheetData sheetId="2409">
        <row r="4">
          <cell r="I4">
            <v>0</v>
          </cell>
        </row>
      </sheetData>
      <sheetData sheetId="2410">
        <row r="4">
          <cell r="I4">
            <v>0</v>
          </cell>
        </row>
      </sheetData>
      <sheetData sheetId="2411">
        <row r="4">
          <cell r="I4">
            <v>0</v>
          </cell>
        </row>
      </sheetData>
      <sheetData sheetId="2412">
        <row r="4">
          <cell r="I4">
            <v>0</v>
          </cell>
        </row>
      </sheetData>
      <sheetData sheetId="2413">
        <row r="4">
          <cell r="I4">
            <v>0</v>
          </cell>
        </row>
      </sheetData>
      <sheetData sheetId="2414">
        <row r="4">
          <cell r="I4">
            <v>0</v>
          </cell>
        </row>
      </sheetData>
      <sheetData sheetId="2415">
        <row r="4">
          <cell r="I4">
            <v>0</v>
          </cell>
        </row>
      </sheetData>
      <sheetData sheetId="2416">
        <row r="4">
          <cell r="I4">
            <v>0</v>
          </cell>
        </row>
      </sheetData>
      <sheetData sheetId="2417">
        <row r="4">
          <cell r="I4">
            <v>0</v>
          </cell>
        </row>
      </sheetData>
      <sheetData sheetId="2418">
        <row r="4">
          <cell r="I4">
            <v>0</v>
          </cell>
        </row>
      </sheetData>
      <sheetData sheetId="2419">
        <row r="4">
          <cell r="I4">
            <v>0</v>
          </cell>
        </row>
      </sheetData>
      <sheetData sheetId="2420">
        <row r="4">
          <cell r="I4">
            <v>0</v>
          </cell>
        </row>
      </sheetData>
      <sheetData sheetId="2421">
        <row r="4">
          <cell r="I4">
            <v>0</v>
          </cell>
        </row>
      </sheetData>
      <sheetData sheetId="2422">
        <row r="4">
          <cell r="I4">
            <v>0</v>
          </cell>
        </row>
      </sheetData>
      <sheetData sheetId="2423">
        <row r="4">
          <cell r="I4">
            <v>0</v>
          </cell>
        </row>
      </sheetData>
      <sheetData sheetId="2424" refreshError="1"/>
      <sheetData sheetId="2425" refreshError="1"/>
      <sheetData sheetId="2426" refreshError="1"/>
      <sheetData sheetId="2427" refreshError="1"/>
      <sheetData sheetId="2428" refreshError="1"/>
      <sheetData sheetId="2429" refreshError="1"/>
      <sheetData sheetId="2430" refreshError="1"/>
      <sheetData sheetId="2431">
        <row r="4">
          <cell r="I4">
            <v>0</v>
          </cell>
        </row>
      </sheetData>
      <sheetData sheetId="2432" refreshError="1"/>
      <sheetData sheetId="2433" refreshError="1"/>
      <sheetData sheetId="2434">
        <row r="4">
          <cell r="I4">
            <v>0</v>
          </cell>
        </row>
      </sheetData>
      <sheetData sheetId="2435" refreshError="1"/>
      <sheetData sheetId="2436" refreshError="1"/>
      <sheetData sheetId="2437" refreshError="1"/>
      <sheetData sheetId="2438" refreshError="1"/>
      <sheetData sheetId="2439" refreshError="1"/>
      <sheetData sheetId="2440" refreshError="1"/>
      <sheetData sheetId="2441" refreshError="1"/>
      <sheetData sheetId="2442">
        <row r="4">
          <cell r="I4">
            <v>0</v>
          </cell>
        </row>
      </sheetData>
      <sheetData sheetId="2443" refreshError="1"/>
      <sheetData sheetId="2444" refreshError="1"/>
      <sheetData sheetId="2445" refreshError="1"/>
      <sheetData sheetId="2446" refreshError="1"/>
      <sheetData sheetId="2447">
        <row r="4">
          <cell r="I4">
            <v>0</v>
          </cell>
        </row>
      </sheetData>
      <sheetData sheetId="2448">
        <row r="4">
          <cell r="I4">
            <v>0</v>
          </cell>
        </row>
      </sheetData>
      <sheetData sheetId="2449">
        <row r="4">
          <cell r="I4">
            <v>0</v>
          </cell>
        </row>
      </sheetData>
      <sheetData sheetId="2450">
        <row r="4">
          <cell r="I4">
            <v>0</v>
          </cell>
        </row>
      </sheetData>
      <sheetData sheetId="2451">
        <row r="4">
          <cell r="I4">
            <v>0</v>
          </cell>
        </row>
      </sheetData>
      <sheetData sheetId="2452">
        <row r="4">
          <cell r="I4">
            <v>0</v>
          </cell>
        </row>
      </sheetData>
      <sheetData sheetId="2453">
        <row r="4">
          <cell r="I4">
            <v>0</v>
          </cell>
        </row>
      </sheetData>
      <sheetData sheetId="2454">
        <row r="4">
          <cell r="I4">
            <v>0</v>
          </cell>
        </row>
      </sheetData>
      <sheetData sheetId="2455">
        <row r="4">
          <cell r="I4">
            <v>0</v>
          </cell>
        </row>
      </sheetData>
      <sheetData sheetId="2456">
        <row r="4">
          <cell r="I4">
            <v>0</v>
          </cell>
        </row>
      </sheetData>
      <sheetData sheetId="2457">
        <row r="4">
          <cell r="I4">
            <v>0</v>
          </cell>
        </row>
      </sheetData>
      <sheetData sheetId="2458">
        <row r="4">
          <cell r="I4">
            <v>0</v>
          </cell>
        </row>
      </sheetData>
      <sheetData sheetId="2459">
        <row r="4">
          <cell r="I4">
            <v>0</v>
          </cell>
        </row>
      </sheetData>
      <sheetData sheetId="2460">
        <row r="4">
          <cell r="I4">
            <v>0</v>
          </cell>
        </row>
      </sheetData>
      <sheetData sheetId="2461">
        <row r="4">
          <cell r="I4">
            <v>0</v>
          </cell>
        </row>
      </sheetData>
      <sheetData sheetId="2462">
        <row r="4">
          <cell r="I4">
            <v>0</v>
          </cell>
        </row>
      </sheetData>
      <sheetData sheetId="2463">
        <row r="4">
          <cell r="I4">
            <v>0</v>
          </cell>
        </row>
      </sheetData>
      <sheetData sheetId="2464">
        <row r="4">
          <cell r="I4">
            <v>0</v>
          </cell>
        </row>
      </sheetData>
      <sheetData sheetId="2465">
        <row r="4">
          <cell r="I4">
            <v>0</v>
          </cell>
        </row>
      </sheetData>
      <sheetData sheetId="2466">
        <row r="4">
          <cell r="I4">
            <v>0</v>
          </cell>
        </row>
      </sheetData>
      <sheetData sheetId="2467">
        <row r="4">
          <cell r="I4">
            <v>0</v>
          </cell>
        </row>
      </sheetData>
      <sheetData sheetId="2468">
        <row r="4">
          <cell r="I4">
            <v>0</v>
          </cell>
        </row>
      </sheetData>
      <sheetData sheetId="2469">
        <row r="4">
          <cell r="I4">
            <v>0</v>
          </cell>
        </row>
      </sheetData>
      <sheetData sheetId="2470">
        <row r="4">
          <cell r="I4">
            <v>0</v>
          </cell>
        </row>
      </sheetData>
      <sheetData sheetId="2471">
        <row r="4">
          <cell r="I4">
            <v>0</v>
          </cell>
        </row>
      </sheetData>
      <sheetData sheetId="2472">
        <row r="4">
          <cell r="I4">
            <v>0</v>
          </cell>
        </row>
      </sheetData>
      <sheetData sheetId="2473">
        <row r="4">
          <cell r="I4">
            <v>0</v>
          </cell>
        </row>
      </sheetData>
      <sheetData sheetId="2474">
        <row r="4">
          <cell r="I4">
            <v>0</v>
          </cell>
        </row>
      </sheetData>
      <sheetData sheetId="2475">
        <row r="4">
          <cell r="I4">
            <v>0</v>
          </cell>
        </row>
      </sheetData>
      <sheetData sheetId="2476">
        <row r="4">
          <cell r="I4">
            <v>0</v>
          </cell>
        </row>
      </sheetData>
      <sheetData sheetId="2477">
        <row r="4">
          <cell r="I4">
            <v>0</v>
          </cell>
        </row>
      </sheetData>
      <sheetData sheetId="2478">
        <row r="4">
          <cell r="I4">
            <v>0</v>
          </cell>
        </row>
      </sheetData>
      <sheetData sheetId="2479">
        <row r="4">
          <cell r="I4">
            <v>0</v>
          </cell>
        </row>
      </sheetData>
      <sheetData sheetId="2480">
        <row r="4">
          <cell r="I4">
            <v>0</v>
          </cell>
        </row>
      </sheetData>
      <sheetData sheetId="2481">
        <row r="4">
          <cell r="I4">
            <v>0</v>
          </cell>
        </row>
      </sheetData>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ow r="4">
          <cell r="I4">
            <v>0</v>
          </cell>
        </row>
      </sheetData>
      <sheetData sheetId="2493">
        <row r="4">
          <cell r="I4">
            <v>0</v>
          </cell>
        </row>
      </sheetData>
      <sheetData sheetId="2494">
        <row r="4">
          <cell r="I4">
            <v>0</v>
          </cell>
        </row>
      </sheetData>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ow r="4">
          <cell r="I4">
            <v>0</v>
          </cell>
        </row>
      </sheetData>
      <sheetData sheetId="2514">
        <row r="4">
          <cell r="I4">
            <v>0</v>
          </cell>
        </row>
      </sheetData>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ow r="4">
          <cell r="I4">
            <v>0</v>
          </cell>
        </row>
      </sheetData>
      <sheetData sheetId="2595">
        <row r="4">
          <cell r="I4">
            <v>0</v>
          </cell>
        </row>
      </sheetData>
      <sheetData sheetId="2596" refreshError="1"/>
      <sheetData sheetId="2597" refreshError="1"/>
      <sheetData sheetId="2598" refreshError="1"/>
      <sheetData sheetId="2599" refreshError="1"/>
      <sheetData sheetId="2600" refreshError="1"/>
      <sheetData sheetId="2601" refreshError="1"/>
      <sheetData sheetId="2602">
        <row r="4">
          <cell r="I4">
            <v>0</v>
          </cell>
        </row>
      </sheetData>
      <sheetData sheetId="2603">
        <row r="4">
          <cell r="I4">
            <v>0</v>
          </cell>
        </row>
      </sheetData>
      <sheetData sheetId="2604">
        <row r="4">
          <cell r="I4">
            <v>0</v>
          </cell>
        </row>
      </sheetData>
      <sheetData sheetId="2605">
        <row r="4">
          <cell r="I4">
            <v>0</v>
          </cell>
        </row>
      </sheetData>
      <sheetData sheetId="2606">
        <row r="4">
          <cell r="I4">
            <v>0</v>
          </cell>
        </row>
      </sheetData>
      <sheetData sheetId="2607">
        <row r="4">
          <cell r="I4">
            <v>0</v>
          </cell>
        </row>
      </sheetData>
      <sheetData sheetId="2608">
        <row r="4">
          <cell r="I4">
            <v>0</v>
          </cell>
        </row>
      </sheetData>
      <sheetData sheetId="2609">
        <row r="4">
          <cell r="I4">
            <v>0</v>
          </cell>
        </row>
      </sheetData>
      <sheetData sheetId="2610">
        <row r="4">
          <cell r="I4">
            <v>0</v>
          </cell>
        </row>
      </sheetData>
      <sheetData sheetId="2611">
        <row r="4">
          <cell r="I4">
            <v>0</v>
          </cell>
        </row>
      </sheetData>
      <sheetData sheetId="2612">
        <row r="4">
          <cell r="I4">
            <v>0</v>
          </cell>
        </row>
      </sheetData>
      <sheetData sheetId="2613">
        <row r="4">
          <cell r="I4">
            <v>0</v>
          </cell>
        </row>
      </sheetData>
      <sheetData sheetId="2614">
        <row r="4">
          <cell r="I4">
            <v>0</v>
          </cell>
        </row>
      </sheetData>
      <sheetData sheetId="2615">
        <row r="4">
          <cell r="I4">
            <v>0</v>
          </cell>
        </row>
      </sheetData>
      <sheetData sheetId="2616">
        <row r="4">
          <cell r="I4">
            <v>0</v>
          </cell>
        </row>
      </sheetData>
      <sheetData sheetId="2617">
        <row r="4">
          <cell r="I4">
            <v>0</v>
          </cell>
        </row>
      </sheetData>
      <sheetData sheetId="2618">
        <row r="4">
          <cell r="I4">
            <v>0</v>
          </cell>
        </row>
      </sheetData>
      <sheetData sheetId="2619">
        <row r="4">
          <cell r="I4">
            <v>0</v>
          </cell>
        </row>
      </sheetData>
      <sheetData sheetId="2620">
        <row r="4">
          <cell r="I4">
            <v>0</v>
          </cell>
        </row>
      </sheetData>
      <sheetData sheetId="2621">
        <row r="4">
          <cell r="I4">
            <v>0</v>
          </cell>
        </row>
      </sheetData>
      <sheetData sheetId="2622">
        <row r="4">
          <cell r="I4">
            <v>0</v>
          </cell>
        </row>
      </sheetData>
      <sheetData sheetId="2623">
        <row r="4">
          <cell r="I4">
            <v>0</v>
          </cell>
        </row>
      </sheetData>
      <sheetData sheetId="2624">
        <row r="4">
          <cell r="I4">
            <v>0</v>
          </cell>
        </row>
      </sheetData>
      <sheetData sheetId="2625">
        <row r="4">
          <cell r="I4">
            <v>0</v>
          </cell>
        </row>
      </sheetData>
      <sheetData sheetId="2626">
        <row r="4">
          <cell r="I4">
            <v>0</v>
          </cell>
        </row>
      </sheetData>
      <sheetData sheetId="2627">
        <row r="4">
          <cell r="I4">
            <v>0</v>
          </cell>
        </row>
      </sheetData>
      <sheetData sheetId="2628">
        <row r="4">
          <cell r="I4">
            <v>0</v>
          </cell>
        </row>
      </sheetData>
      <sheetData sheetId="2629">
        <row r="4">
          <cell r="I4">
            <v>0</v>
          </cell>
        </row>
      </sheetData>
      <sheetData sheetId="2630">
        <row r="4">
          <cell r="I4">
            <v>0</v>
          </cell>
        </row>
      </sheetData>
      <sheetData sheetId="2631">
        <row r="4">
          <cell r="I4">
            <v>0</v>
          </cell>
        </row>
      </sheetData>
      <sheetData sheetId="2632">
        <row r="4">
          <cell r="I4">
            <v>0</v>
          </cell>
        </row>
      </sheetData>
      <sheetData sheetId="2633">
        <row r="4">
          <cell r="I4">
            <v>0</v>
          </cell>
        </row>
      </sheetData>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ow r="4">
          <cell r="I4">
            <v>0</v>
          </cell>
        </row>
      </sheetData>
      <sheetData sheetId="2659" refreshError="1"/>
      <sheetData sheetId="2660" refreshError="1"/>
      <sheetData sheetId="2661" refreshError="1"/>
      <sheetData sheetId="2662">
        <row r="4">
          <cell r="I4">
            <v>0</v>
          </cell>
        </row>
      </sheetData>
      <sheetData sheetId="2663">
        <row r="4">
          <cell r="I4">
            <v>0</v>
          </cell>
        </row>
      </sheetData>
      <sheetData sheetId="2664">
        <row r="4">
          <cell r="I4">
            <v>0</v>
          </cell>
        </row>
      </sheetData>
      <sheetData sheetId="2665">
        <row r="4">
          <cell r="I4">
            <v>0</v>
          </cell>
        </row>
      </sheetData>
      <sheetData sheetId="2666">
        <row r="4">
          <cell r="I4">
            <v>0</v>
          </cell>
        </row>
      </sheetData>
      <sheetData sheetId="2667">
        <row r="4">
          <cell r="I4">
            <v>0</v>
          </cell>
        </row>
      </sheetData>
      <sheetData sheetId="2668">
        <row r="4">
          <cell r="I4">
            <v>0</v>
          </cell>
        </row>
      </sheetData>
      <sheetData sheetId="2669">
        <row r="4">
          <cell r="I4">
            <v>0</v>
          </cell>
        </row>
      </sheetData>
      <sheetData sheetId="2670">
        <row r="4">
          <cell r="I4">
            <v>0</v>
          </cell>
        </row>
      </sheetData>
      <sheetData sheetId="2671">
        <row r="4">
          <cell r="I4">
            <v>0</v>
          </cell>
        </row>
      </sheetData>
      <sheetData sheetId="2672">
        <row r="4">
          <cell r="I4">
            <v>0</v>
          </cell>
        </row>
      </sheetData>
      <sheetData sheetId="2673">
        <row r="4">
          <cell r="I4">
            <v>0</v>
          </cell>
        </row>
      </sheetData>
      <sheetData sheetId="2674">
        <row r="4">
          <cell r="I4">
            <v>0</v>
          </cell>
        </row>
      </sheetData>
      <sheetData sheetId="2675">
        <row r="4">
          <cell r="I4">
            <v>0</v>
          </cell>
        </row>
      </sheetData>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sheetData sheetId="2704"/>
      <sheetData sheetId="2705"/>
      <sheetData sheetId="2706"/>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ow r="4">
          <cell r="I4">
            <v>0</v>
          </cell>
        </row>
      </sheetData>
      <sheetData sheetId="2722">
        <row r="4">
          <cell r="I4">
            <v>0</v>
          </cell>
        </row>
      </sheetData>
      <sheetData sheetId="2723" refreshError="1"/>
      <sheetData sheetId="2724" refreshError="1"/>
      <sheetData sheetId="2725" refreshError="1"/>
      <sheetData sheetId="2726">
        <row r="4">
          <cell r="I4">
            <v>0</v>
          </cell>
        </row>
      </sheetData>
      <sheetData sheetId="2727">
        <row r="4">
          <cell r="I4">
            <v>0</v>
          </cell>
        </row>
      </sheetData>
      <sheetData sheetId="2728">
        <row r="4">
          <cell r="I4">
            <v>0</v>
          </cell>
        </row>
      </sheetData>
      <sheetData sheetId="2729" refreshError="1"/>
      <sheetData sheetId="2730" refreshError="1"/>
      <sheetData sheetId="2731">
        <row r="4">
          <cell r="I4">
            <v>0</v>
          </cell>
        </row>
      </sheetData>
      <sheetData sheetId="2732">
        <row r="4">
          <cell r="I4">
            <v>0</v>
          </cell>
        </row>
      </sheetData>
      <sheetData sheetId="2733" refreshError="1"/>
      <sheetData sheetId="2734" refreshError="1"/>
      <sheetData sheetId="2735" refreshError="1"/>
      <sheetData sheetId="2736" refreshError="1"/>
      <sheetData sheetId="2737">
        <row r="4">
          <cell r="I4">
            <v>0</v>
          </cell>
        </row>
      </sheetData>
      <sheetData sheetId="2738">
        <row r="4">
          <cell r="I4">
            <v>0</v>
          </cell>
        </row>
      </sheetData>
      <sheetData sheetId="2739">
        <row r="4">
          <cell r="I4">
            <v>0</v>
          </cell>
        </row>
      </sheetData>
      <sheetData sheetId="2740">
        <row r="4">
          <cell r="I4">
            <v>0</v>
          </cell>
        </row>
      </sheetData>
      <sheetData sheetId="2741">
        <row r="4">
          <cell r="I4">
            <v>0</v>
          </cell>
        </row>
      </sheetData>
      <sheetData sheetId="2742">
        <row r="4">
          <cell r="I4">
            <v>0</v>
          </cell>
        </row>
      </sheetData>
      <sheetData sheetId="2743">
        <row r="4">
          <cell r="I4">
            <v>0</v>
          </cell>
        </row>
      </sheetData>
      <sheetData sheetId="2744" refreshError="1"/>
      <sheetData sheetId="2745" refreshError="1"/>
      <sheetData sheetId="2746">
        <row r="4">
          <cell r="I4">
            <v>0</v>
          </cell>
        </row>
      </sheetData>
      <sheetData sheetId="2747">
        <row r="4">
          <cell r="I4">
            <v>0</v>
          </cell>
        </row>
      </sheetData>
      <sheetData sheetId="2748">
        <row r="4">
          <cell r="I4">
            <v>0</v>
          </cell>
        </row>
      </sheetData>
      <sheetData sheetId="2749">
        <row r="4">
          <cell r="I4">
            <v>0</v>
          </cell>
        </row>
      </sheetData>
      <sheetData sheetId="2750">
        <row r="4">
          <cell r="I4">
            <v>0</v>
          </cell>
        </row>
      </sheetData>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ow r="4">
          <cell r="I4">
            <v>0</v>
          </cell>
        </row>
      </sheetData>
      <sheetData sheetId="2763">
        <row r="4">
          <cell r="I4">
            <v>0</v>
          </cell>
        </row>
      </sheetData>
      <sheetData sheetId="2764">
        <row r="4">
          <cell r="I4">
            <v>0</v>
          </cell>
        </row>
      </sheetData>
      <sheetData sheetId="2765">
        <row r="4">
          <cell r="I4">
            <v>0</v>
          </cell>
        </row>
      </sheetData>
      <sheetData sheetId="2766">
        <row r="4">
          <cell r="I4">
            <v>0</v>
          </cell>
        </row>
      </sheetData>
      <sheetData sheetId="2767">
        <row r="4">
          <cell r="I4">
            <v>0</v>
          </cell>
        </row>
      </sheetData>
      <sheetData sheetId="2768">
        <row r="4">
          <cell r="I4">
            <v>0</v>
          </cell>
        </row>
      </sheetData>
      <sheetData sheetId="2769">
        <row r="4">
          <cell r="I4">
            <v>0</v>
          </cell>
        </row>
      </sheetData>
      <sheetData sheetId="2770">
        <row r="4">
          <cell r="I4">
            <v>0</v>
          </cell>
        </row>
      </sheetData>
      <sheetData sheetId="2771">
        <row r="4">
          <cell r="I4">
            <v>0</v>
          </cell>
        </row>
      </sheetData>
      <sheetData sheetId="2772">
        <row r="4">
          <cell r="I4">
            <v>0</v>
          </cell>
        </row>
      </sheetData>
      <sheetData sheetId="2773">
        <row r="4">
          <cell r="I4">
            <v>0</v>
          </cell>
        </row>
      </sheetData>
      <sheetData sheetId="2774">
        <row r="4">
          <cell r="I4">
            <v>0</v>
          </cell>
        </row>
      </sheetData>
      <sheetData sheetId="2775">
        <row r="4">
          <cell r="I4">
            <v>0</v>
          </cell>
        </row>
      </sheetData>
      <sheetData sheetId="2776">
        <row r="4">
          <cell r="I4">
            <v>0</v>
          </cell>
        </row>
      </sheetData>
      <sheetData sheetId="2777">
        <row r="4">
          <cell r="I4">
            <v>0</v>
          </cell>
        </row>
      </sheetData>
      <sheetData sheetId="2778">
        <row r="4">
          <cell r="I4">
            <v>0</v>
          </cell>
        </row>
      </sheetData>
      <sheetData sheetId="2779">
        <row r="4">
          <cell r="I4">
            <v>0</v>
          </cell>
        </row>
      </sheetData>
      <sheetData sheetId="2780">
        <row r="4">
          <cell r="I4">
            <v>0</v>
          </cell>
        </row>
      </sheetData>
      <sheetData sheetId="2781">
        <row r="4">
          <cell r="I4">
            <v>0</v>
          </cell>
        </row>
      </sheetData>
      <sheetData sheetId="2782">
        <row r="4">
          <cell r="I4">
            <v>0</v>
          </cell>
        </row>
      </sheetData>
      <sheetData sheetId="2783">
        <row r="4">
          <cell r="I4">
            <v>0</v>
          </cell>
        </row>
      </sheetData>
      <sheetData sheetId="2784">
        <row r="4">
          <cell r="I4">
            <v>0</v>
          </cell>
        </row>
      </sheetData>
      <sheetData sheetId="2785">
        <row r="4">
          <cell r="I4">
            <v>0</v>
          </cell>
        </row>
      </sheetData>
      <sheetData sheetId="2786" refreshError="1"/>
      <sheetData sheetId="2787" refreshError="1"/>
      <sheetData sheetId="2788">
        <row r="4">
          <cell r="I4">
            <v>0</v>
          </cell>
        </row>
      </sheetData>
      <sheetData sheetId="2789">
        <row r="4">
          <cell r="I4">
            <v>0</v>
          </cell>
        </row>
      </sheetData>
      <sheetData sheetId="2790">
        <row r="4">
          <cell r="I4">
            <v>0</v>
          </cell>
        </row>
      </sheetData>
      <sheetData sheetId="2791">
        <row r="4">
          <cell r="I4">
            <v>0</v>
          </cell>
        </row>
      </sheetData>
      <sheetData sheetId="2792">
        <row r="4">
          <cell r="I4">
            <v>0</v>
          </cell>
        </row>
      </sheetData>
      <sheetData sheetId="2793">
        <row r="4">
          <cell r="I4">
            <v>0</v>
          </cell>
        </row>
      </sheetData>
      <sheetData sheetId="2794">
        <row r="4">
          <cell r="I4">
            <v>0</v>
          </cell>
        </row>
      </sheetData>
      <sheetData sheetId="2795">
        <row r="4">
          <cell r="I4">
            <v>0</v>
          </cell>
        </row>
      </sheetData>
      <sheetData sheetId="2796">
        <row r="4">
          <cell r="I4">
            <v>0</v>
          </cell>
        </row>
      </sheetData>
      <sheetData sheetId="2797">
        <row r="4">
          <cell r="I4">
            <v>0</v>
          </cell>
        </row>
      </sheetData>
      <sheetData sheetId="2798">
        <row r="4">
          <cell r="I4">
            <v>0</v>
          </cell>
        </row>
      </sheetData>
      <sheetData sheetId="2799">
        <row r="4">
          <cell r="I4">
            <v>0</v>
          </cell>
        </row>
      </sheetData>
      <sheetData sheetId="2800">
        <row r="4">
          <cell r="I4">
            <v>0</v>
          </cell>
        </row>
      </sheetData>
      <sheetData sheetId="2801" refreshError="1"/>
      <sheetData sheetId="2802">
        <row r="4">
          <cell r="I4">
            <v>0</v>
          </cell>
        </row>
      </sheetData>
      <sheetData sheetId="2803">
        <row r="4">
          <cell r="I4">
            <v>0</v>
          </cell>
        </row>
      </sheetData>
      <sheetData sheetId="2804">
        <row r="4">
          <cell r="I4">
            <v>0</v>
          </cell>
        </row>
      </sheetData>
      <sheetData sheetId="2805">
        <row r="4">
          <cell r="I4">
            <v>0</v>
          </cell>
        </row>
      </sheetData>
      <sheetData sheetId="2806">
        <row r="4">
          <cell r="I4">
            <v>0</v>
          </cell>
        </row>
      </sheetData>
      <sheetData sheetId="2807">
        <row r="4">
          <cell r="I4">
            <v>0</v>
          </cell>
        </row>
      </sheetData>
      <sheetData sheetId="2808">
        <row r="4">
          <cell r="I4">
            <v>0</v>
          </cell>
        </row>
      </sheetData>
      <sheetData sheetId="2809">
        <row r="4">
          <cell r="I4">
            <v>0</v>
          </cell>
        </row>
      </sheetData>
      <sheetData sheetId="2810">
        <row r="4">
          <cell r="I4">
            <v>0</v>
          </cell>
        </row>
      </sheetData>
      <sheetData sheetId="2811">
        <row r="4">
          <cell r="I4">
            <v>0</v>
          </cell>
        </row>
      </sheetData>
      <sheetData sheetId="2812">
        <row r="4">
          <cell r="I4">
            <v>0</v>
          </cell>
        </row>
      </sheetData>
      <sheetData sheetId="2813">
        <row r="4">
          <cell r="I4">
            <v>0</v>
          </cell>
        </row>
      </sheetData>
      <sheetData sheetId="2814">
        <row r="4">
          <cell r="I4">
            <v>0</v>
          </cell>
        </row>
      </sheetData>
      <sheetData sheetId="2815">
        <row r="4">
          <cell r="I4">
            <v>0</v>
          </cell>
        </row>
      </sheetData>
      <sheetData sheetId="2816">
        <row r="4">
          <cell r="I4">
            <v>0</v>
          </cell>
        </row>
      </sheetData>
      <sheetData sheetId="2817">
        <row r="4">
          <cell r="I4">
            <v>0</v>
          </cell>
        </row>
      </sheetData>
      <sheetData sheetId="2818">
        <row r="4">
          <cell r="I4">
            <v>0</v>
          </cell>
        </row>
      </sheetData>
      <sheetData sheetId="2819">
        <row r="4">
          <cell r="I4">
            <v>0</v>
          </cell>
        </row>
      </sheetData>
      <sheetData sheetId="2820">
        <row r="4">
          <cell r="I4">
            <v>0</v>
          </cell>
        </row>
      </sheetData>
      <sheetData sheetId="2821">
        <row r="4">
          <cell r="I4">
            <v>0</v>
          </cell>
        </row>
      </sheetData>
      <sheetData sheetId="2822">
        <row r="4">
          <cell r="I4">
            <v>0</v>
          </cell>
        </row>
      </sheetData>
      <sheetData sheetId="2823">
        <row r="4">
          <cell r="I4">
            <v>0</v>
          </cell>
        </row>
      </sheetData>
      <sheetData sheetId="2824">
        <row r="4">
          <cell r="I4">
            <v>0</v>
          </cell>
        </row>
      </sheetData>
      <sheetData sheetId="2825">
        <row r="4">
          <cell r="I4">
            <v>0</v>
          </cell>
        </row>
      </sheetData>
      <sheetData sheetId="2826">
        <row r="4">
          <cell r="I4">
            <v>0</v>
          </cell>
        </row>
      </sheetData>
      <sheetData sheetId="2827">
        <row r="4">
          <cell r="I4">
            <v>0</v>
          </cell>
        </row>
      </sheetData>
      <sheetData sheetId="2828">
        <row r="4">
          <cell r="I4">
            <v>0</v>
          </cell>
        </row>
      </sheetData>
      <sheetData sheetId="2829">
        <row r="4">
          <cell r="I4">
            <v>0</v>
          </cell>
        </row>
      </sheetData>
      <sheetData sheetId="2830">
        <row r="4">
          <cell r="I4">
            <v>0</v>
          </cell>
        </row>
      </sheetData>
      <sheetData sheetId="2831">
        <row r="4">
          <cell r="I4">
            <v>0</v>
          </cell>
        </row>
      </sheetData>
      <sheetData sheetId="2832">
        <row r="4">
          <cell r="I4">
            <v>0</v>
          </cell>
        </row>
      </sheetData>
      <sheetData sheetId="2833">
        <row r="4">
          <cell r="I4">
            <v>0</v>
          </cell>
        </row>
      </sheetData>
      <sheetData sheetId="2834">
        <row r="4">
          <cell r="I4">
            <v>0</v>
          </cell>
        </row>
      </sheetData>
      <sheetData sheetId="2835">
        <row r="4">
          <cell r="I4">
            <v>0</v>
          </cell>
        </row>
      </sheetData>
      <sheetData sheetId="2836">
        <row r="4">
          <cell r="I4">
            <v>0</v>
          </cell>
        </row>
      </sheetData>
      <sheetData sheetId="2837">
        <row r="4">
          <cell r="I4">
            <v>0</v>
          </cell>
        </row>
      </sheetData>
      <sheetData sheetId="2838">
        <row r="4">
          <cell r="I4">
            <v>0</v>
          </cell>
        </row>
      </sheetData>
      <sheetData sheetId="2839">
        <row r="4">
          <cell r="I4">
            <v>0</v>
          </cell>
        </row>
      </sheetData>
      <sheetData sheetId="2840">
        <row r="4">
          <cell r="I4">
            <v>0</v>
          </cell>
        </row>
      </sheetData>
      <sheetData sheetId="2841">
        <row r="4">
          <cell r="I4">
            <v>0</v>
          </cell>
        </row>
      </sheetData>
      <sheetData sheetId="2842">
        <row r="4">
          <cell r="I4">
            <v>0</v>
          </cell>
        </row>
      </sheetData>
      <sheetData sheetId="2843">
        <row r="4">
          <cell r="I4">
            <v>0</v>
          </cell>
        </row>
      </sheetData>
      <sheetData sheetId="2844">
        <row r="4">
          <cell r="I4">
            <v>0</v>
          </cell>
        </row>
      </sheetData>
      <sheetData sheetId="2845">
        <row r="4">
          <cell r="I4">
            <v>0</v>
          </cell>
        </row>
      </sheetData>
      <sheetData sheetId="2846">
        <row r="4">
          <cell r="I4">
            <v>0</v>
          </cell>
        </row>
      </sheetData>
      <sheetData sheetId="2847">
        <row r="4">
          <cell r="I4">
            <v>0</v>
          </cell>
        </row>
      </sheetData>
      <sheetData sheetId="2848">
        <row r="4">
          <cell r="I4">
            <v>0</v>
          </cell>
        </row>
      </sheetData>
      <sheetData sheetId="2849">
        <row r="4">
          <cell r="I4">
            <v>0</v>
          </cell>
        </row>
      </sheetData>
      <sheetData sheetId="2850">
        <row r="4">
          <cell r="I4">
            <v>0</v>
          </cell>
        </row>
      </sheetData>
      <sheetData sheetId="2851">
        <row r="4">
          <cell r="I4">
            <v>0</v>
          </cell>
        </row>
      </sheetData>
      <sheetData sheetId="2852">
        <row r="4">
          <cell r="I4">
            <v>0</v>
          </cell>
        </row>
      </sheetData>
      <sheetData sheetId="2853">
        <row r="4">
          <cell r="I4">
            <v>0</v>
          </cell>
        </row>
      </sheetData>
      <sheetData sheetId="2854">
        <row r="4">
          <cell r="I4">
            <v>0</v>
          </cell>
        </row>
      </sheetData>
      <sheetData sheetId="2855">
        <row r="4">
          <cell r="I4">
            <v>0</v>
          </cell>
        </row>
      </sheetData>
      <sheetData sheetId="2856">
        <row r="4">
          <cell r="I4">
            <v>0</v>
          </cell>
        </row>
      </sheetData>
      <sheetData sheetId="2857">
        <row r="4">
          <cell r="I4">
            <v>0</v>
          </cell>
        </row>
      </sheetData>
      <sheetData sheetId="2858">
        <row r="4">
          <cell r="I4">
            <v>0</v>
          </cell>
        </row>
      </sheetData>
      <sheetData sheetId="2859">
        <row r="4">
          <cell r="I4">
            <v>0</v>
          </cell>
        </row>
      </sheetData>
      <sheetData sheetId="2860">
        <row r="4">
          <cell r="I4">
            <v>0</v>
          </cell>
        </row>
      </sheetData>
      <sheetData sheetId="2861">
        <row r="4">
          <cell r="I4">
            <v>0</v>
          </cell>
        </row>
      </sheetData>
      <sheetData sheetId="2862">
        <row r="4">
          <cell r="I4">
            <v>0</v>
          </cell>
        </row>
      </sheetData>
      <sheetData sheetId="2863">
        <row r="4">
          <cell r="I4">
            <v>0</v>
          </cell>
        </row>
      </sheetData>
      <sheetData sheetId="2864">
        <row r="4">
          <cell r="I4">
            <v>0</v>
          </cell>
        </row>
      </sheetData>
      <sheetData sheetId="2865">
        <row r="4">
          <cell r="I4">
            <v>0</v>
          </cell>
        </row>
      </sheetData>
      <sheetData sheetId="2866">
        <row r="4">
          <cell r="I4">
            <v>0</v>
          </cell>
        </row>
      </sheetData>
      <sheetData sheetId="2867">
        <row r="4">
          <cell r="I4">
            <v>0</v>
          </cell>
        </row>
      </sheetData>
      <sheetData sheetId="2868">
        <row r="4">
          <cell r="I4">
            <v>0</v>
          </cell>
        </row>
      </sheetData>
      <sheetData sheetId="2869">
        <row r="4">
          <cell r="I4">
            <v>0</v>
          </cell>
        </row>
      </sheetData>
      <sheetData sheetId="2870">
        <row r="4">
          <cell r="I4">
            <v>0</v>
          </cell>
        </row>
      </sheetData>
      <sheetData sheetId="2871">
        <row r="4">
          <cell r="I4">
            <v>0</v>
          </cell>
        </row>
      </sheetData>
      <sheetData sheetId="2872">
        <row r="4">
          <cell r="I4">
            <v>0</v>
          </cell>
        </row>
      </sheetData>
      <sheetData sheetId="2873">
        <row r="4">
          <cell r="I4">
            <v>0</v>
          </cell>
        </row>
      </sheetData>
      <sheetData sheetId="2874">
        <row r="4">
          <cell r="I4">
            <v>0</v>
          </cell>
        </row>
      </sheetData>
      <sheetData sheetId="2875">
        <row r="4">
          <cell r="I4">
            <v>0</v>
          </cell>
        </row>
      </sheetData>
      <sheetData sheetId="2876">
        <row r="4">
          <cell r="I4">
            <v>0</v>
          </cell>
        </row>
      </sheetData>
      <sheetData sheetId="2877">
        <row r="4">
          <cell r="I4">
            <v>0</v>
          </cell>
        </row>
      </sheetData>
      <sheetData sheetId="2878">
        <row r="4">
          <cell r="I4">
            <v>0</v>
          </cell>
        </row>
      </sheetData>
      <sheetData sheetId="2879">
        <row r="4">
          <cell r="I4">
            <v>0</v>
          </cell>
        </row>
      </sheetData>
      <sheetData sheetId="2880">
        <row r="4">
          <cell r="I4">
            <v>0</v>
          </cell>
        </row>
      </sheetData>
      <sheetData sheetId="2881">
        <row r="4">
          <cell r="I4">
            <v>0</v>
          </cell>
        </row>
      </sheetData>
      <sheetData sheetId="2882">
        <row r="4">
          <cell r="I4">
            <v>0</v>
          </cell>
        </row>
      </sheetData>
      <sheetData sheetId="2883">
        <row r="4">
          <cell r="I4">
            <v>0</v>
          </cell>
        </row>
      </sheetData>
      <sheetData sheetId="2884">
        <row r="4">
          <cell r="I4">
            <v>0</v>
          </cell>
        </row>
      </sheetData>
      <sheetData sheetId="2885">
        <row r="4">
          <cell r="I4">
            <v>0</v>
          </cell>
        </row>
      </sheetData>
      <sheetData sheetId="2886">
        <row r="4">
          <cell r="I4">
            <v>0</v>
          </cell>
        </row>
      </sheetData>
      <sheetData sheetId="2887">
        <row r="4">
          <cell r="I4">
            <v>0</v>
          </cell>
        </row>
      </sheetData>
      <sheetData sheetId="2888">
        <row r="4">
          <cell r="I4">
            <v>0</v>
          </cell>
        </row>
      </sheetData>
      <sheetData sheetId="2889">
        <row r="4">
          <cell r="I4">
            <v>0</v>
          </cell>
        </row>
      </sheetData>
      <sheetData sheetId="2890">
        <row r="4">
          <cell r="I4">
            <v>0</v>
          </cell>
        </row>
      </sheetData>
      <sheetData sheetId="2891">
        <row r="4">
          <cell r="I4">
            <v>0</v>
          </cell>
        </row>
      </sheetData>
      <sheetData sheetId="2892">
        <row r="4">
          <cell r="I4">
            <v>0</v>
          </cell>
        </row>
      </sheetData>
      <sheetData sheetId="2893">
        <row r="4">
          <cell r="I4">
            <v>0</v>
          </cell>
        </row>
      </sheetData>
      <sheetData sheetId="2894">
        <row r="4">
          <cell r="I4">
            <v>0</v>
          </cell>
        </row>
      </sheetData>
      <sheetData sheetId="2895">
        <row r="4">
          <cell r="I4">
            <v>0</v>
          </cell>
        </row>
      </sheetData>
      <sheetData sheetId="2896">
        <row r="4">
          <cell r="I4">
            <v>0</v>
          </cell>
        </row>
      </sheetData>
      <sheetData sheetId="2897">
        <row r="4">
          <cell r="I4">
            <v>0</v>
          </cell>
        </row>
      </sheetData>
      <sheetData sheetId="2898">
        <row r="4">
          <cell r="I4">
            <v>0</v>
          </cell>
        </row>
      </sheetData>
      <sheetData sheetId="2899">
        <row r="4">
          <cell r="I4">
            <v>0</v>
          </cell>
        </row>
      </sheetData>
      <sheetData sheetId="2900">
        <row r="4">
          <cell r="I4">
            <v>0</v>
          </cell>
        </row>
      </sheetData>
      <sheetData sheetId="2901">
        <row r="4">
          <cell r="I4">
            <v>0</v>
          </cell>
        </row>
      </sheetData>
      <sheetData sheetId="2902">
        <row r="4">
          <cell r="I4">
            <v>0</v>
          </cell>
        </row>
      </sheetData>
      <sheetData sheetId="2903">
        <row r="4">
          <cell r="I4">
            <v>0</v>
          </cell>
        </row>
      </sheetData>
      <sheetData sheetId="2904">
        <row r="4">
          <cell r="I4">
            <v>0</v>
          </cell>
        </row>
      </sheetData>
      <sheetData sheetId="2905">
        <row r="4">
          <cell r="I4">
            <v>0</v>
          </cell>
        </row>
      </sheetData>
      <sheetData sheetId="2906">
        <row r="4">
          <cell r="I4">
            <v>0</v>
          </cell>
        </row>
      </sheetData>
      <sheetData sheetId="2907">
        <row r="4">
          <cell r="I4">
            <v>0</v>
          </cell>
        </row>
      </sheetData>
      <sheetData sheetId="2908">
        <row r="4">
          <cell r="I4">
            <v>0</v>
          </cell>
        </row>
      </sheetData>
      <sheetData sheetId="2909">
        <row r="4">
          <cell r="I4">
            <v>0</v>
          </cell>
        </row>
      </sheetData>
      <sheetData sheetId="2910">
        <row r="4">
          <cell r="I4">
            <v>0</v>
          </cell>
        </row>
      </sheetData>
      <sheetData sheetId="2911">
        <row r="4">
          <cell r="I4">
            <v>0</v>
          </cell>
        </row>
      </sheetData>
      <sheetData sheetId="2912">
        <row r="4">
          <cell r="I4">
            <v>0</v>
          </cell>
        </row>
      </sheetData>
      <sheetData sheetId="2913">
        <row r="4">
          <cell r="I4">
            <v>0</v>
          </cell>
        </row>
      </sheetData>
      <sheetData sheetId="2914">
        <row r="4">
          <cell r="I4">
            <v>0</v>
          </cell>
        </row>
      </sheetData>
      <sheetData sheetId="2915">
        <row r="4">
          <cell r="I4">
            <v>0</v>
          </cell>
        </row>
      </sheetData>
      <sheetData sheetId="2916">
        <row r="4">
          <cell r="I4">
            <v>0</v>
          </cell>
        </row>
      </sheetData>
      <sheetData sheetId="2917">
        <row r="4">
          <cell r="I4">
            <v>0</v>
          </cell>
        </row>
      </sheetData>
      <sheetData sheetId="2918">
        <row r="4">
          <cell r="I4">
            <v>0</v>
          </cell>
        </row>
      </sheetData>
      <sheetData sheetId="2919">
        <row r="4">
          <cell r="I4">
            <v>0</v>
          </cell>
        </row>
      </sheetData>
      <sheetData sheetId="2920">
        <row r="4">
          <cell r="I4">
            <v>0</v>
          </cell>
        </row>
      </sheetData>
      <sheetData sheetId="2921">
        <row r="4">
          <cell r="I4">
            <v>0</v>
          </cell>
        </row>
      </sheetData>
      <sheetData sheetId="2922">
        <row r="4">
          <cell r="I4">
            <v>0</v>
          </cell>
        </row>
      </sheetData>
      <sheetData sheetId="2923">
        <row r="4">
          <cell r="I4">
            <v>0</v>
          </cell>
        </row>
      </sheetData>
      <sheetData sheetId="2924">
        <row r="4">
          <cell r="I4">
            <v>0</v>
          </cell>
        </row>
      </sheetData>
      <sheetData sheetId="2925">
        <row r="4">
          <cell r="I4">
            <v>0</v>
          </cell>
        </row>
      </sheetData>
      <sheetData sheetId="2926">
        <row r="4">
          <cell r="I4">
            <v>0</v>
          </cell>
        </row>
      </sheetData>
      <sheetData sheetId="2927">
        <row r="4">
          <cell r="I4">
            <v>0</v>
          </cell>
        </row>
      </sheetData>
      <sheetData sheetId="2928">
        <row r="4">
          <cell r="I4">
            <v>0</v>
          </cell>
        </row>
      </sheetData>
      <sheetData sheetId="2929">
        <row r="4">
          <cell r="I4">
            <v>0</v>
          </cell>
        </row>
      </sheetData>
      <sheetData sheetId="2930">
        <row r="4">
          <cell r="I4">
            <v>0</v>
          </cell>
        </row>
      </sheetData>
      <sheetData sheetId="2931">
        <row r="4">
          <cell r="I4">
            <v>0</v>
          </cell>
        </row>
      </sheetData>
      <sheetData sheetId="2932">
        <row r="4">
          <cell r="I4">
            <v>0</v>
          </cell>
        </row>
      </sheetData>
      <sheetData sheetId="2933">
        <row r="4">
          <cell r="I4">
            <v>0</v>
          </cell>
        </row>
      </sheetData>
      <sheetData sheetId="2934">
        <row r="4">
          <cell r="I4">
            <v>0</v>
          </cell>
        </row>
      </sheetData>
      <sheetData sheetId="2935">
        <row r="4">
          <cell r="I4">
            <v>0</v>
          </cell>
        </row>
      </sheetData>
      <sheetData sheetId="2936">
        <row r="4">
          <cell r="I4">
            <v>0</v>
          </cell>
        </row>
      </sheetData>
      <sheetData sheetId="2937">
        <row r="4">
          <cell r="I4">
            <v>0</v>
          </cell>
        </row>
      </sheetData>
      <sheetData sheetId="2938">
        <row r="4">
          <cell r="I4">
            <v>0</v>
          </cell>
        </row>
      </sheetData>
      <sheetData sheetId="2939">
        <row r="4">
          <cell r="I4">
            <v>0</v>
          </cell>
        </row>
      </sheetData>
      <sheetData sheetId="2940">
        <row r="4">
          <cell r="I4">
            <v>0</v>
          </cell>
        </row>
      </sheetData>
      <sheetData sheetId="2941">
        <row r="4">
          <cell r="I4">
            <v>0</v>
          </cell>
        </row>
      </sheetData>
      <sheetData sheetId="2942">
        <row r="4">
          <cell r="I4">
            <v>0</v>
          </cell>
        </row>
      </sheetData>
      <sheetData sheetId="2943">
        <row r="4">
          <cell r="I4">
            <v>0</v>
          </cell>
        </row>
      </sheetData>
      <sheetData sheetId="2944">
        <row r="4">
          <cell r="I4">
            <v>0</v>
          </cell>
        </row>
      </sheetData>
      <sheetData sheetId="2945">
        <row r="4">
          <cell r="I4">
            <v>0</v>
          </cell>
        </row>
      </sheetData>
      <sheetData sheetId="2946">
        <row r="4">
          <cell r="I4">
            <v>0</v>
          </cell>
        </row>
      </sheetData>
      <sheetData sheetId="2947">
        <row r="4">
          <cell r="I4">
            <v>0</v>
          </cell>
        </row>
      </sheetData>
      <sheetData sheetId="2948">
        <row r="4">
          <cell r="I4">
            <v>0</v>
          </cell>
        </row>
      </sheetData>
      <sheetData sheetId="2949">
        <row r="4">
          <cell r="I4">
            <v>0</v>
          </cell>
        </row>
      </sheetData>
      <sheetData sheetId="2950">
        <row r="4">
          <cell r="I4">
            <v>0</v>
          </cell>
        </row>
      </sheetData>
      <sheetData sheetId="2951">
        <row r="4">
          <cell r="I4">
            <v>0</v>
          </cell>
        </row>
      </sheetData>
      <sheetData sheetId="2952">
        <row r="4">
          <cell r="I4">
            <v>0</v>
          </cell>
        </row>
      </sheetData>
      <sheetData sheetId="2953">
        <row r="4">
          <cell r="I4">
            <v>0</v>
          </cell>
        </row>
      </sheetData>
      <sheetData sheetId="2954">
        <row r="4">
          <cell r="I4">
            <v>0</v>
          </cell>
        </row>
      </sheetData>
      <sheetData sheetId="2955">
        <row r="4">
          <cell r="I4">
            <v>0</v>
          </cell>
        </row>
      </sheetData>
      <sheetData sheetId="2956">
        <row r="4">
          <cell r="I4">
            <v>0</v>
          </cell>
        </row>
      </sheetData>
      <sheetData sheetId="2957">
        <row r="4">
          <cell r="I4">
            <v>0</v>
          </cell>
        </row>
      </sheetData>
      <sheetData sheetId="2958">
        <row r="4">
          <cell r="I4">
            <v>0</v>
          </cell>
        </row>
      </sheetData>
      <sheetData sheetId="2959">
        <row r="4">
          <cell r="I4">
            <v>0</v>
          </cell>
        </row>
      </sheetData>
      <sheetData sheetId="2960">
        <row r="4">
          <cell r="I4">
            <v>0</v>
          </cell>
        </row>
      </sheetData>
      <sheetData sheetId="2961">
        <row r="4">
          <cell r="I4">
            <v>0</v>
          </cell>
        </row>
      </sheetData>
      <sheetData sheetId="2962">
        <row r="4">
          <cell r="I4">
            <v>0</v>
          </cell>
        </row>
      </sheetData>
      <sheetData sheetId="2963">
        <row r="4">
          <cell r="I4">
            <v>0</v>
          </cell>
        </row>
      </sheetData>
      <sheetData sheetId="2964">
        <row r="4">
          <cell r="I4">
            <v>0</v>
          </cell>
        </row>
      </sheetData>
      <sheetData sheetId="2965">
        <row r="4">
          <cell r="I4">
            <v>0</v>
          </cell>
        </row>
      </sheetData>
      <sheetData sheetId="2966">
        <row r="4">
          <cell r="I4">
            <v>0</v>
          </cell>
        </row>
      </sheetData>
      <sheetData sheetId="2967">
        <row r="4">
          <cell r="I4">
            <v>0</v>
          </cell>
        </row>
      </sheetData>
      <sheetData sheetId="2968">
        <row r="4">
          <cell r="I4">
            <v>0</v>
          </cell>
        </row>
      </sheetData>
      <sheetData sheetId="2969">
        <row r="4">
          <cell r="I4">
            <v>0</v>
          </cell>
        </row>
      </sheetData>
      <sheetData sheetId="2970">
        <row r="4">
          <cell r="I4">
            <v>0</v>
          </cell>
        </row>
      </sheetData>
      <sheetData sheetId="2971">
        <row r="4">
          <cell r="I4">
            <v>0</v>
          </cell>
        </row>
      </sheetData>
      <sheetData sheetId="2972">
        <row r="4">
          <cell r="I4">
            <v>0</v>
          </cell>
        </row>
      </sheetData>
      <sheetData sheetId="2973">
        <row r="4">
          <cell r="I4">
            <v>0</v>
          </cell>
        </row>
      </sheetData>
      <sheetData sheetId="2974">
        <row r="4">
          <cell r="I4">
            <v>0</v>
          </cell>
        </row>
      </sheetData>
      <sheetData sheetId="2975">
        <row r="4">
          <cell r="I4">
            <v>0</v>
          </cell>
        </row>
      </sheetData>
      <sheetData sheetId="2976">
        <row r="4">
          <cell r="I4">
            <v>0</v>
          </cell>
        </row>
      </sheetData>
      <sheetData sheetId="2977">
        <row r="4">
          <cell r="I4">
            <v>0</v>
          </cell>
        </row>
      </sheetData>
      <sheetData sheetId="2978">
        <row r="4">
          <cell r="I4">
            <v>0</v>
          </cell>
        </row>
      </sheetData>
      <sheetData sheetId="2979">
        <row r="4">
          <cell r="I4">
            <v>0</v>
          </cell>
        </row>
      </sheetData>
      <sheetData sheetId="2980">
        <row r="4">
          <cell r="I4">
            <v>0</v>
          </cell>
        </row>
      </sheetData>
      <sheetData sheetId="2981">
        <row r="4">
          <cell r="I4">
            <v>0</v>
          </cell>
        </row>
      </sheetData>
      <sheetData sheetId="2982">
        <row r="4">
          <cell r="I4">
            <v>0</v>
          </cell>
        </row>
      </sheetData>
      <sheetData sheetId="2983">
        <row r="4">
          <cell r="I4">
            <v>0</v>
          </cell>
        </row>
      </sheetData>
      <sheetData sheetId="2984">
        <row r="4">
          <cell r="I4">
            <v>0</v>
          </cell>
        </row>
      </sheetData>
      <sheetData sheetId="2985">
        <row r="4">
          <cell r="I4">
            <v>0</v>
          </cell>
        </row>
      </sheetData>
      <sheetData sheetId="2986">
        <row r="4">
          <cell r="I4">
            <v>0</v>
          </cell>
        </row>
      </sheetData>
      <sheetData sheetId="2987">
        <row r="4">
          <cell r="I4">
            <v>0</v>
          </cell>
        </row>
      </sheetData>
      <sheetData sheetId="2988">
        <row r="4">
          <cell r="I4">
            <v>0</v>
          </cell>
        </row>
      </sheetData>
      <sheetData sheetId="2989">
        <row r="4">
          <cell r="I4">
            <v>0</v>
          </cell>
        </row>
      </sheetData>
      <sheetData sheetId="2990">
        <row r="4">
          <cell r="I4">
            <v>0</v>
          </cell>
        </row>
      </sheetData>
      <sheetData sheetId="2991">
        <row r="4">
          <cell r="I4">
            <v>0</v>
          </cell>
        </row>
      </sheetData>
      <sheetData sheetId="2992">
        <row r="4">
          <cell r="I4">
            <v>0</v>
          </cell>
        </row>
      </sheetData>
      <sheetData sheetId="2993">
        <row r="4">
          <cell r="I4">
            <v>0</v>
          </cell>
        </row>
      </sheetData>
      <sheetData sheetId="2994">
        <row r="4">
          <cell r="I4">
            <v>0</v>
          </cell>
        </row>
      </sheetData>
      <sheetData sheetId="2995">
        <row r="4">
          <cell r="I4">
            <v>0</v>
          </cell>
        </row>
      </sheetData>
      <sheetData sheetId="2996">
        <row r="4">
          <cell r="I4">
            <v>0</v>
          </cell>
        </row>
      </sheetData>
      <sheetData sheetId="2997">
        <row r="4">
          <cell r="I4">
            <v>0</v>
          </cell>
        </row>
      </sheetData>
      <sheetData sheetId="2998">
        <row r="4">
          <cell r="I4">
            <v>0</v>
          </cell>
        </row>
      </sheetData>
      <sheetData sheetId="2999">
        <row r="4">
          <cell r="I4">
            <v>0</v>
          </cell>
        </row>
      </sheetData>
      <sheetData sheetId="3000">
        <row r="4">
          <cell r="I4">
            <v>0</v>
          </cell>
        </row>
      </sheetData>
      <sheetData sheetId="3001">
        <row r="4">
          <cell r="I4">
            <v>0</v>
          </cell>
        </row>
      </sheetData>
      <sheetData sheetId="3002">
        <row r="4">
          <cell r="I4">
            <v>0</v>
          </cell>
        </row>
      </sheetData>
      <sheetData sheetId="3003">
        <row r="4">
          <cell r="I4">
            <v>0</v>
          </cell>
        </row>
      </sheetData>
      <sheetData sheetId="3004">
        <row r="4">
          <cell r="I4">
            <v>0</v>
          </cell>
        </row>
      </sheetData>
      <sheetData sheetId="3005">
        <row r="4">
          <cell r="I4">
            <v>0</v>
          </cell>
        </row>
      </sheetData>
      <sheetData sheetId="3006">
        <row r="4">
          <cell r="I4">
            <v>0</v>
          </cell>
        </row>
      </sheetData>
      <sheetData sheetId="3007">
        <row r="4">
          <cell r="I4">
            <v>0</v>
          </cell>
        </row>
      </sheetData>
      <sheetData sheetId="3008">
        <row r="4">
          <cell r="I4">
            <v>0</v>
          </cell>
        </row>
      </sheetData>
      <sheetData sheetId="3009">
        <row r="4">
          <cell r="I4">
            <v>0</v>
          </cell>
        </row>
      </sheetData>
      <sheetData sheetId="3010">
        <row r="4">
          <cell r="I4">
            <v>0</v>
          </cell>
        </row>
      </sheetData>
      <sheetData sheetId="3011">
        <row r="4">
          <cell r="I4">
            <v>0</v>
          </cell>
        </row>
      </sheetData>
      <sheetData sheetId="3012">
        <row r="4">
          <cell r="I4">
            <v>0</v>
          </cell>
        </row>
      </sheetData>
      <sheetData sheetId="3013">
        <row r="4">
          <cell r="I4">
            <v>0</v>
          </cell>
        </row>
      </sheetData>
      <sheetData sheetId="3014">
        <row r="4">
          <cell r="I4">
            <v>0</v>
          </cell>
        </row>
      </sheetData>
      <sheetData sheetId="3015">
        <row r="4">
          <cell r="I4">
            <v>0</v>
          </cell>
        </row>
      </sheetData>
      <sheetData sheetId="3016">
        <row r="4">
          <cell r="I4">
            <v>0</v>
          </cell>
        </row>
      </sheetData>
      <sheetData sheetId="3017">
        <row r="4">
          <cell r="I4">
            <v>0</v>
          </cell>
        </row>
      </sheetData>
      <sheetData sheetId="3018">
        <row r="4">
          <cell r="I4">
            <v>0</v>
          </cell>
        </row>
      </sheetData>
      <sheetData sheetId="3019">
        <row r="4">
          <cell r="I4">
            <v>0</v>
          </cell>
        </row>
      </sheetData>
      <sheetData sheetId="3020">
        <row r="4">
          <cell r="I4">
            <v>0</v>
          </cell>
        </row>
      </sheetData>
      <sheetData sheetId="3021">
        <row r="4">
          <cell r="I4">
            <v>0</v>
          </cell>
        </row>
      </sheetData>
      <sheetData sheetId="3022">
        <row r="4">
          <cell r="I4">
            <v>0</v>
          </cell>
        </row>
      </sheetData>
      <sheetData sheetId="3023">
        <row r="4">
          <cell r="I4">
            <v>0</v>
          </cell>
        </row>
      </sheetData>
      <sheetData sheetId="3024">
        <row r="4">
          <cell r="I4">
            <v>0</v>
          </cell>
        </row>
      </sheetData>
      <sheetData sheetId="3025">
        <row r="4">
          <cell r="I4">
            <v>0</v>
          </cell>
        </row>
      </sheetData>
      <sheetData sheetId="3026">
        <row r="4">
          <cell r="I4">
            <v>0</v>
          </cell>
        </row>
      </sheetData>
      <sheetData sheetId="3027">
        <row r="4">
          <cell r="I4">
            <v>0</v>
          </cell>
        </row>
      </sheetData>
      <sheetData sheetId="3028">
        <row r="4">
          <cell r="I4">
            <v>0</v>
          </cell>
        </row>
      </sheetData>
      <sheetData sheetId="3029">
        <row r="4">
          <cell r="I4">
            <v>0</v>
          </cell>
        </row>
      </sheetData>
      <sheetData sheetId="3030">
        <row r="4">
          <cell r="I4">
            <v>0</v>
          </cell>
        </row>
      </sheetData>
      <sheetData sheetId="3031">
        <row r="4">
          <cell r="I4">
            <v>0</v>
          </cell>
        </row>
      </sheetData>
      <sheetData sheetId="3032">
        <row r="4">
          <cell r="I4">
            <v>0</v>
          </cell>
        </row>
      </sheetData>
      <sheetData sheetId="3033">
        <row r="4">
          <cell r="I4">
            <v>0</v>
          </cell>
        </row>
      </sheetData>
      <sheetData sheetId="3034">
        <row r="4">
          <cell r="I4">
            <v>0</v>
          </cell>
        </row>
      </sheetData>
      <sheetData sheetId="3035">
        <row r="4">
          <cell r="I4">
            <v>0</v>
          </cell>
        </row>
      </sheetData>
      <sheetData sheetId="3036">
        <row r="4">
          <cell r="I4">
            <v>0</v>
          </cell>
        </row>
      </sheetData>
      <sheetData sheetId="3037">
        <row r="4">
          <cell r="I4">
            <v>0</v>
          </cell>
        </row>
      </sheetData>
      <sheetData sheetId="3038">
        <row r="4">
          <cell r="I4">
            <v>0</v>
          </cell>
        </row>
      </sheetData>
      <sheetData sheetId="3039">
        <row r="4">
          <cell r="I4">
            <v>0</v>
          </cell>
        </row>
      </sheetData>
      <sheetData sheetId="3040">
        <row r="4">
          <cell r="I4">
            <v>0</v>
          </cell>
        </row>
      </sheetData>
      <sheetData sheetId="3041">
        <row r="4">
          <cell r="I4">
            <v>0</v>
          </cell>
        </row>
      </sheetData>
      <sheetData sheetId="3042">
        <row r="4">
          <cell r="I4">
            <v>0</v>
          </cell>
        </row>
      </sheetData>
      <sheetData sheetId="3043">
        <row r="4">
          <cell r="I4">
            <v>0</v>
          </cell>
        </row>
      </sheetData>
      <sheetData sheetId="3044">
        <row r="4">
          <cell r="I4">
            <v>0</v>
          </cell>
        </row>
      </sheetData>
      <sheetData sheetId="3045">
        <row r="4">
          <cell r="I4">
            <v>0</v>
          </cell>
        </row>
      </sheetData>
      <sheetData sheetId="3046">
        <row r="4">
          <cell r="I4">
            <v>0</v>
          </cell>
        </row>
      </sheetData>
      <sheetData sheetId="3047">
        <row r="4">
          <cell r="I4">
            <v>0</v>
          </cell>
        </row>
      </sheetData>
      <sheetData sheetId="3048">
        <row r="4">
          <cell r="I4">
            <v>0</v>
          </cell>
        </row>
      </sheetData>
      <sheetData sheetId="3049">
        <row r="4">
          <cell r="I4">
            <v>0</v>
          </cell>
        </row>
      </sheetData>
      <sheetData sheetId="3050">
        <row r="4">
          <cell r="I4">
            <v>0</v>
          </cell>
        </row>
      </sheetData>
      <sheetData sheetId="3051">
        <row r="4">
          <cell r="I4">
            <v>0</v>
          </cell>
        </row>
      </sheetData>
      <sheetData sheetId="3052">
        <row r="4">
          <cell r="I4">
            <v>0</v>
          </cell>
        </row>
      </sheetData>
      <sheetData sheetId="3053">
        <row r="4">
          <cell r="I4">
            <v>0</v>
          </cell>
        </row>
      </sheetData>
      <sheetData sheetId="3054">
        <row r="4">
          <cell r="I4">
            <v>0</v>
          </cell>
        </row>
      </sheetData>
      <sheetData sheetId="3055">
        <row r="4">
          <cell r="I4">
            <v>0</v>
          </cell>
        </row>
      </sheetData>
      <sheetData sheetId="3056">
        <row r="4">
          <cell r="I4">
            <v>0</v>
          </cell>
        </row>
      </sheetData>
      <sheetData sheetId="3057">
        <row r="4">
          <cell r="I4">
            <v>0</v>
          </cell>
        </row>
      </sheetData>
      <sheetData sheetId="3058">
        <row r="4">
          <cell r="I4">
            <v>0</v>
          </cell>
        </row>
      </sheetData>
      <sheetData sheetId="3059">
        <row r="4">
          <cell r="I4">
            <v>0</v>
          </cell>
        </row>
      </sheetData>
      <sheetData sheetId="3060">
        <row r="4">
          <cell r="I4">
            <v>0</v>
          </cell>
        </row>
      </sheetData>
      <sheetData sheetId="3061">
        <row r="4">
          <cell r="I4">
            <v>0</v>
          </cell>
        </row>
      </sheetData>
      <sheetData sheetId="3062">
        <row r="4">
          <cell r="I4">
            <v>0</v>
          </cell>
        </row>
      </sheetData>
      <sheetData sheetId="3063">
        <row r="4">
          <cell r="I4">
            <v>0</v>
          </cell>
        </row>
      </sheetData>
      <sheetData sheetId="3064">
        <row r="4">
          <cell r="I4">
            <v>0</v>
          </cell>
        </row>
      </sheetData>
      <sheetData sheetId="3065">
        <row r="4">
          <cell r="I4">
            <v>0</v>
          </cell>
        </row>
      </sheetData>
      <sheetData sheetId="3066">
        <row r="4">
          <cell r="I4">
            <v>0</v>
          </cell>
        </row>
      </sheetData>
      <sheetData sheetId="3067">
        <row r="4">
          <cell r="I4">
            <v>0</v>
          </cell>
        </row>
      </sheetData>
      <sheetData sheetId="3068">
        <row r="4">
          <cell r="I4">
            <v>0</v>
          </cell>
        </row>
      </sheetData>
      <sheetData sheetId="3069">
        <row r="4">
          <cell r="I4">
            <v>0</v>
          </cell>
        </row>
      </sheetData>
      <sheetData sheetId="3070">
        <row r="4">
          <cell r="I4">
            <v>0</v>
          </cell>
        </row>
      </sheetData>
      <sheetData sheetId="3071">
        <row r="4">
          <cell r="I4">
            <v>0</v>
          </cell>
        </row>
      </sheetData>
      <sheetData sheetId="3072">
        <row r="4">
          <cell r="I4">
            <v>0</v>
          </cell>
        </row>
      </sheetData>
      <sheetData sheetId="3073">
        <row r="4">
          <cell r="I4">
            <v>0</v>
          </cell>
        </row>
      </sheetData>
      <sheetData sheetId="3074">
        <row r="4">
          <cell r="I4">
            <v>0</v>
          </cell>
        </row>
      </sheetData>
      <sheetData sheetId="3075">
        <row r="4">
          <cell r="I4">
            <v>0</v>
          </cell>
        </row>
      </sheetData>
      <sheetData sheetId="3076">
        <row r="4">
          <cell r="I4">
            <v>0</v>
          </cell>
        </row>
      </sheetData>
      <sheetData sheetId="3077">
        <row r="4">
          <cell r="I4">
            <v>0</v>
          </cell>
        </row>
      </sheetData>
      <sheetData sheetId="3078">
        <row r="4">
          <cell r="I4">
            <v>0</v>
          </cell>
        </row>
      </sheetData>
      <sheetData sheetId="3079">
        <row r="4">
          <cell r="I4">
            <v>0</v>
          </cell>
        </row>
      </sheetData>
      <sheetData sheetId="3080">
        <row r="4">
          <cell r="I4">
            <v>0</v>
          </cell>
        </row>
      </sheetData>
      <sheetData sheetId="3081">
        <row r="4">
          <cell r="I4">
            <v>0</v>
          </cell>
        </row>
      </sheetData>
      <sheetData sheetId="3082">
        <row r="4">
          <cell r="I4">
            <v>0</v>
          </cell>
        </row>
      </sheetData>
      <sheetData sheetId="3083">
        <row r="4">
          <cell r="I4">
            <v>0</v>
          </cell>
        </row>
      </sheetData>
      <sheetData sheetId="3084">
        <row r="4">
          <cell r="I4">
            <v>0</v>
          </cell>
        </row>
      </sheetData>
      <sheetData sheetId="3085">
        <row r="4">
          <cell r="I4">
            <v>0</v>
          </cell>
        </row>
      </sheetData>
      <sheetData sheetId="3086">
        <row r="4">
          <cell r="I4">
            <v>0</v>
          </cell>
        </row>
      </sheetData>
      <sheetData sheetId="3087">
        <row r="4">
          <cell r="I4">
            <v>0</v>
          </cell>
        </row>
      </sheetData>
      <sheetData sheetId="3088">
        <row r="4">
          <cell r="I4">
            <v>0</v>
          </cell>
        </row>
      </sheetData>
      <sheetData sheetId="3089">
        <row r="4">
          <cell r="I4">
            <v>0</v>
          </cell>
        </row>
      </sheetData>
      <sheetData sheetId="3090">
        <row r="4">
          <cell r="I4">
            <v>0</v>
          </cell>
        </row>
      </sheetData>
      <sheetData sheetId="3091">
        <row r="4">
          <cell r="I4">
            <v>0</v>
          </cell>
        </row>
      </sheetData>
      <sheetData sheetId="3092">
        <row r="4">
          <cell r="I4">
            <v>0</v>
          </cell>
        </row>
      </sheetData>
      <sheetData sheetId="3093">
        <row r="4">
          <cell r="I4">
            <v>0</v>
          </cell>
        </row>
      </sheetData>
      <sheetData sheetId="3094">
        <row r="4">
          <cell r="I4">
            <v>0</v>
          </cell>
        </row>
      </sheetData>
      <sheetData sheetId="3095">
        <row r="4">
          <cell r="I4">
            <v>0</v>
          </cell>
        </row>
      </sheetData>
      <sheetData sheetId="3096">
        <row r="4">
          <cell r="I4">
            <v>0</v>
          </cell>
        </row>
      </sheetData>
      <sheetData sheetId="3097">
        <row r="4">
          <cell r="I4">
            <v>0</v>
          </cell>
        </row>
      </sheetData>
      <sheetData sheetId="3098">
        <row r="4">
          <cell r="I4">
            <v>0</v>
          </cell>
        </row>
      </sheetData>
      <sheetData sheetId="3099">
        <row r="4">
          <cell r="I4">
            <v>0</v>
          </cell>
        </row>
      </sheetData>
      <sheetData sheetId="3100">
        <row r="4">
          <cell r="I4">
            <v>0</v>
          </cell>
        </row>
      </sheetData>
      <sheetData sheetId="3101">
        <row r="4">
          <cell r="I4">
            <v>0</v>
          </cell>
        </row>
      </sheetData>
      <sheetData sheetId="3102">
        <row r="4">
          <cell r="I4">
            <v>0</v>
          </cell>
        </row>
      </sheetData>
      <sheetData sheetId="3103">
        <row r="4">
          <cell r="I4">
            <v>0</v>
          </cell>
        </row>
      </sheetData>
      <sheetData sheetId="3104">
        <row r="4">
          <cell r="I4">
            <v>0</v>
          </cell>
        </row>
      </sheetData>
      <sheetData sheetId="3105">
        <row r="4">
          <cell r="I4">
            <v>0</v>
          </cell>
        </row>
      </sheetData>
      <sheetData sheetId="3106">
        <row r="4">
          <cell r="I4">
            <v>0</v>
          </cell>
        </row>
      </sheetData>
      <sheetData sheetId="3107">
        <row r="4">
          <cell r="I4">
            <v>0</v>
          </cell>
        </row>
      </sheetData>
      <sheetData sheetId="3108">
        <row r="4">
          <cell r="I4">
            <v>0</v>
          </cell>
        </row>
      </sheetData>
      <sheetData sheetId="3109">
        <row r="4">
          <cell r="I4">
            <v>0</v>
          </cell>
        </row>
      </sheetData>
      <sheetData sheetId="3110">
        <row r="4">
          <cell r="I4">
            <v>0</v>
          </cell>
        </row>
      </sheetData>
      <sheetData sheetId="3111">
        <row r="4">
          <cell r="I4">
            <v>0</v>
          </cell>
        </row>
      </sheetData>
      <sheetData sheetId="3112">
        <row r="4">
          <cell r="I4">
            <v>0</v>
          </cell>
        </row>
      </sheetData>
      <sheetData sheetId="3113">
        <row r="4">
          <cell r="I4">
            <v>0</v>
          </cell>
        </row>
      </sheetData>
      <sheetData sheetId="3114">
        <row r="4">
          <cell r="I4">
            <v>0</v>
          </cell>
        </row>
      </sheetData>
      <sheetData sheetId="3115">
        <row r="4">
          <cell r="I4">
            <v>0</v>
          </cell>
        </row>
      </sheetData>
      <sheetData sheetId="3116">
        <row r="4">
          <cell r="I4">
            <v>0</v>
          </cell>
        </row>
      </sheetData>
      <sheetData sheetId="3117">
        <row r="4">
          <cell r="I4">
            <v>0</v>
          </cell>
        </row>
      </sheetData>
      <sheetData sheetId="3118">
        <row r="4">
          <cell r="I4">
            <v>0</v>
          </cell>
        </row>
      </sheetData>
      <sheetData sheetId="3119">
        <row r="4">
          <cell r="I4">
            <v>0</v>
          </cell>
        </row>
      </sheetData>
      <sheetData sheetId="3120">
        <row r="4">
          <cell r="I4">
            <v>0</v>
          </cell>
        </row>
      </sheetData>
      <sheetData sheetId="3121">
        <row r="4">
          <cell r="I4">
            <v>0</v>
          </cell>
        </row>
      </sheetData>
      <sheetData sheetId="3122">
        <row r="4">
          <cell r="I4">
            <v>0</v>
          </cell>
        </row>
      </sheetData>
      <sheetData sheetId="3123">
        <row r="4">
          <cell r="I4">
            <v>0</v>
          </cell>
        </row>
      </sheetData>
      <sheetData sheetId="3124">
        <row r="4">
          <cell r="I4">
            <v>0</v>
          </cell>
        </row>
      </sheetData>
      <sheetData sheetId="3125">
        <row r="4">
          <cell r="I4">
            <v>0</v>
          </cell>
        </row>
      </sheetData>
      <sheetData sheetId="3126">
        <row r="4">
          <cell r="I4">
            <v>0</v>
          </cell>
        </row>
      </sheetData>
      <sheetData sheetId="3127">
        <row r="4">
          <cell r="I4">
            <v>0</v>
          </cell>
        </row>
      </sheetData>
      <sheetData sheetId="3128">
        <row r="4">
          <cell r="I4">
            <v>0</v>
          </cell>
        </row>
      </sheetData>
      <sheetData sheetId="3129">
        <row r="4">
          <cell r="I4">
            <v>0</v>
          </cell>
        </row>
      </sheetData>
      <sheetData sheetId="3130">
        <row r="4">
          <cell r="I4">
            <v>0</v>
          </cell>
        </row>
      </sheetData>
      <sheetData sheetId="3131">
        <row r="4">
          <cell r="I4">
            <v>0</v>
          </cell>
        </row>
      </sheetData>
      <sheetData sheetId="3132">
        <row r="4">
          <cell r="I4">
            <v>0</v>
          </cell>
        </row>
      </sheetData>
      <sheetData sheetId="3133">
        <row r="4">
          <cell r="I4">
            <v>0</v>
          </cell>
        </row>
      </sheetData>
      <sheetData sheetId="3134">
        <row r="4">
          <cell r="I4">
            <v>0</v>
          </cell>
        </row>
      </sheetData>
      <sheetData sheetId="3135">
        <row r="4">
          <cell r="I4">
            <v>0</v>
          </cell>
        </row>
      </sheetData>
      <sheetData sheetId="3136">
        <row r="4">
          <cell r="I4">
            <v>0</v>
          </cell>
        </row>
      </sheetData>
      <sheetData sheetId="3137">
        <row r="4">
          <cell r="I4">
            <v>0</v>
          </cell>
        </row>
      </sheetData>
      <sheetData sheetId="3138">
        <row r="4">
          <cell r="I4">
            <v>0</v>
          </cell>
        </row>
      </sheetData>
      <sheetData sheetId="3139">
        <row r="4">
          <cell r="I4">
            <v>0</v>
          </cell>
        </row>
      </sheetData>
      <sheetData sheetId="3140">
        <row r="4">
          <cell r="I4">
            <v>0</v>
          </cell>
        </row>
      </sheetData>
      <sheetData sheetId="3141">
        <row r="4">
          <cell r="I4">
            <v>0</v>
          </cell>
        </row>
      </sheetData>
      <sheetData sheetId="3142">
        <row r="4">
          <cell r="I4">
            <v>0</v>
          </cell>
        </row>
      </sheetData>
      <sheetData sheetId="3143" refreshError="1"/>
      <sheetData sheetId="3144" refreshError="1"/>
      <sheetData sheetId="3145" refreshError="1"/>
      <sheetData sheetId="3146" refreshError="1"/>
      <sheetData sheetId="3147">
        <row r="4">
          <cell r="I4">
            <v>0</v>
          </cell>
        </row>
      </sheetData>
      <sheetData sheetId="3148">
        <row r="4">
          <cell r="I4">
            <v>0</v>
          </cell>
        </row>
      </sheetData>
      <sheetData sheetId="3149">
        <row r="4">
          <cell r="I4">
            <v>0</v>
          </cell>
        </row>
      </sheetData>
      <sheetData sheetId="3150">
        <row r="4">
          <cell r="I4">
            <v>0</v>
          </cell>
        </row>
      </sheetData>
      <sheetData sheetId="3151">
        <row r="4">
          <cell r="I4">
            <v>0</v>
          </cell>
        </row>
      </sheetData>
      <sheetData sheetId="3152">
        <row r="4">
          <cell r="I4">
            <v>0</v>
          </cell>
        </row>
      </sheetData>
      <sheetData sheetId="3153">
        <row r="4">
          <cell r="I4">
            <v>0</v>
          </cell>
        </row>
      </sheetData>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ow r="4">
          <cell r="I4">
            <v>0</v>
          </cell>
        </row>
      </sheetData>
      <sheetData sheetId="3170">
        <row r="4">
          <cell r="I4">
            <v>0</v>
          </cell>
        </row>
      </sheetData>
      <sheetData sheetId="3171">
        <row r="4">
          <cell r="I4">
            <v>0</v>
          </cell>
        </row>
      </sheetData>
      <sheetData sheetId="3172">
        <row r="4">
          <cell r="I4">
            <v>0</v>
          </cell>
        </row>
      </sheetData>
      <sheetData sheetId="3173">
        <row r="4">
          <cell r="I4">
            <v>0</v>
          </cell>
        </row>
      </sheetData>
      <sheetData sheetId="3174">
        <row r="4">
          <cell r="I4">
            <v>0</v>
          </cell>
        </row>
      </sheetData>
      <sheetData sheetId="3175">
        <row r="4">
          <cell r="I4">
            <v>0</v>
          </cell>
        </row>
      </sheetData>
      <sheetData sheetId="3176">
        <row r="4">
          <cell r="I4">
            <v>0</v>
          </cell>
        </row>
      </sheetData>
      <sheetData sheetId="3177">
        <row r="4">
          <cell r="I4">
            <v>0</v>
          </cell>
        </row>
      </sheetData>
      <sheetData sheetId="3178">
        <row r="4">
          <cell r="I4">
            <v>0</v>
          </cell>
        </row>
      </sheetData>
      <sheetData sheetId="3179">
        <row r="4">
          <cell r="I4">
            <v>0</v>
          </cell>
        </row>
      </sheetData>
      <sheetData sheetId="3180">
        <row r="4">
          <cell r="I4">
            <v>0</v>
          </cell>
        </row>
      </sheetData>
      <sheetData sheetId="3181">
        <row r="4">
          <cell r="I4">
            <v>0</v>
          </cell>
        </row>
      </sheetData>
      <sheetData sheetId="3182">
        <row r="4">
          <cell r="I4">
            <v>0</v>
          </cell>
        </row>
      </sheetData>
      <sheetData sheetId="3183">
        <row r="4">
          <cell r="I4">
            <v>0</v>
          </cell>
        </row>
      </sheetData>
      <sheetData sheetId="3184">
        <row r="4">
          <cell r="I4">
            <v>0</v>
          </cell>
        </row>
      </sheetData>
      <sheetData sheetId="3185">
        <row r="4">
          <cell r="I4">
            <v>0</v>
          </cell>
        </row>
      </sheetData>
      <sheetData sheetId="3186">
        <row r="4">
          <cell r="I4">
            <v>0</v>
          </cell>
        </row>
      </sheetData>
      <sheetData sheetId="3187">
        <row r="4">
          <cell r="I4">
            <v>0</v>
          </cell>
        </row>
      </sheetData>
      <sheetData sheetId="3188">
        <row r="4">
          <cell r="I4">
            <v>0</v>
          </cell>
        </row>
      </sheetData>
      <sheetData sheetId="3189">
        <row r="4">
          <cell r="I4">
            <v>0</v>
          </cell>
        </row>
      </sheetData>
      <sheetData sheetId="3190">
        <row r="4">
          <cell r="I4">
            <v>0</v>
          </cell>
        </row>
      </sheetData>
      <sheetData sheetId="3191">
        <row r="4">
          <cell r="I4">
            <v>0</v>
          </cell>
        </row>
      </sheetData>
      <sheetData sheetId="3192" refreshError="1"/>
      <sheetData sheetId="3193" refreshError="1"/>
      <sheetData sheetId="3194" refreshError="1"/>
      <sheetData sheetId="3195" refreshError="1"/>
      <sheetData sheetId="3196">
        <row r="4">
          <cell r="I4">
            <v>0</v>
          </cell>
        </row>
      </sheetData>
      <sheetData sheetId="3197" refreshError="1"/>
      <sheetData sheetId="3198" refreshError="1"/>
      <sheetData sheetId="3199" refreshError="1"/>
      <sheetData sheetId="3200" refreshError="1"/>
      <sheetData sheetId="3201" refreshError="1"/>
      <sheetData sheetId="3202" refreshError="1"/>
      <sheetData sheetId="3203">
        <row r="4">
          <cell r="I4">
            <v>0</v>
          </cell>
        </row>
      </sheetData>
      <sheetData sheetId="3204">
        <row r="4">
          <cell r="I4">
            <v>0</v>
          </cell>
        </row>
      </sheetData>
      <sheetData sheetId="3205">
        <row r="4">
          <cell r="I4">
            <v>0</v>
          </cell>
        </row>
      </sheetData>
      <sheetData sheetId="3206">
        <row r="4">
          <cell r="I4">
            <v>0</v>
          </cell>
        </row>
      </sheetData>
      <sheetData sheetId="3207">
        <row r="4">
          <cell r="I4">
            <v>0</v>
          </cell>
        </row>
      </sheetData>
      <sheetData sheetId="3208">
        <row r="4">
          <cell r="I4">
            <v>0</v>
          </cell>
        </row>
      </sheetData>
      <sheetData sheetId="3209">
        <row r="4">
          <cell r="I4">
            <v>0</v>
          </cell>
        </row>
      </sheetData>
      <sheetData sheetId="3210">
        <row r="4">
          <cell r="I4">
            <v>0</v>
          </cell>
        </row>
      </sheetData>
      <sheetData sheetId="3211">
        <row r="4">
          <cell r="I4">
            <v>0</v>
          </cell>
        </row>
      </sheetData>
      <sheetData sheetId="3212">
        <row r="4">
          <cell r="I4">
            <v>0</v>
          </cell>
        </row>
      </sheetData>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ow r="4">
          <cell r="I4">
            <v>0</v>
          </cell>
        </row>
      </sheetData>
      <sheetData sheetId="3258">
        <row r="4">
          <cell r="I4">
            <v>0</v>
          </cell>
        </row>
      </sheetData>
      <sheetData sheetId="3259">
        <row r="4">
          <cell r="I4">
            <v>0</v>
          </cell>
        </row>
      </sheetData>
      <sheetData sheetId="3260">
        <row r="4">
          <cell r="I4">
            <v>0</v>
          </cell>
        </row>
      </sheetData>
      <sheetData sheetId="3261">
        <row r="4">
          <cell r="I4">
            <v>0</v>
          </cell>
        </row>
      </sheetData>
      <sheetData sheetId="3262">
        <row r="4">
          <cell r="I4">
            <v>0</v>
          </cell>
        </row>
      </sheetData>
      <sheetData sheetId="3263">
        <row r="4">
          <cell r="I4">
            <v>0</v>
          </cell>
        </row>
      </sheetData>
      <sheetData sheetId="3264">
        <row r="4">
          <cell r="I4">
            <v>0</v>
          </cell>
        </row>
      </sheetData>
      <sheetData sheetId="3265">
        <row r="4">
          <cell r="I4">
            <v>0</v>
          </cell>
        </row>
      </sheetData>
      <sheetData sheetId="3266">
        <row r="4">
          <cell r="I4">
            <v>0</v>
          </cell>
        </row>
      </sheetData>
      <sheetData sheetId="3267">
        <row r="4">
          <cell r="I4">
            <v>0</v>
          </cell>
        </row>
      </sheetData>
      <sheetData sheetId="3268">
        <row r="4">
          <cell r="I4">
            <v>0</v>
          </cell>
        </row>
      </sheetData>
      <sheetData sheetId="3269">
        <row r="4">
          <cell r="I4">
            <v>0</v>
          </cell>
        </row>
      </sheetData>
      <sheetData sheetId="3270">
        <row r="4">
          <cell r="I4">
            <v>0</v>
          </cell>
        </row>
      </sheetData>
      <sheetData sheetId="3271">
        <row r="4">
          <cell r="I4">
            <v>0</v>
          </cell>
        </row>
      </sheetData>
      <sheetData sheetId="3272">
        <row r="4">
          <cell r="I4">
            <v>0</v>
          </cell>
        </row>
      </sheetData>
      <sheetData sheetId="3273">
        <row r="4">
          <cell r="I4">
            <v>0</v>
          </cell>
        </row>
      </sheetData>
      <sheetData sheetId="3274">
        <row r="4">
          <cell r="I4">
            <v>0</v>
          </cell>
        </row>
      </sheetData>
      <sheetData sheetId="3275">
        <row r="4">
          <cell r="I4">
            <v>0</v>
          </cell>
        </row>
      </sheetData>
      <sheetData sheetId="3276">
        <row r="4">
          <cell r="I4">
            <v>0</v>
          </cell>
        </row>
      </sheetData>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ow r="4">
          <cell r="I4">
            <v>0</v>
          </cell>
        </row>
      </sheetData>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ow r="4">
          <cell r="I4">
            <v>0</v>
          </cell>
        </row>
      </sheetData>
      <sheetData sheetId="3474">
        <row r="4">
          <cell r="I4">
            <v>0</v>
          </cell>
        </row>
      </sheetData>
      <sheetData sheetId="3475">
        <row r="4">
          <cell r="I4">
            <v>0</v>
          </cell>
        </row>
      </sheetData>
      <sheetData sheetId="3476">
        <row r="4">
          <cell r="I4">
            <v>0</v>
          </cell>
        </row>
      </sheetData>
      <sheetData sheetId="3477">
        <row r="4">
          <cell r="I4">
            <v>0</v>
          </cell>
        </row>
      </sheetData>
      <sheetData sheetId="3478">
        <row r="4">
          <cell r="I4">
            <v>0</v>
          </cell>
        </row>
      </sheetData>
      <sheetData sheetId="3479">
        <row r="4">
          <cell r="I4">
            <v>0</v>
          </cell>
        </row>
      </sheetData>
      <sheetData sheetId="3480">
        <row r="4">
          <cell r="I4">
            <v>0</v>
          </cell>
        </row>
      </sheetData>
      <sheetData sheetId="3481">
        <row r="4">
          <cell r="I4">
            <v>0</v>
          </cell>
        </row>
      </sheetData>
      <sheetData sheetId="3482">
        <row r="4">
          <cell r="I4">
            <v>0</v>
          </cell>
        </row>
      </sheetData>
      <sheetData sheetId="3483">
        <row r="4">
          <cell r="I4">
            <v>0</v>
          </cell>
        </row>
      </sheetData>
      <sheetData sheetId="3484">
        <row r="4">
          <cell r="I4">
            <v>0</v>
          </cell>
        </row>
      </sheetData>
      <sheetData sheetId="3485">
        <row r="4">
          <cell r="I4">
            <v>0</v>
          </cell>
        </row>
      </sheetData>
      <sheetData sheetId="3486">
        <row r="4">
          <cell r="I4">
            <v>0</v>
          </cell>
        </row>
      </sheetData>
      <sheetData sheetId="3487">
        <row r="4">
          <cell r="I4">
            <v>0</v>
          </cell>
        </row>
      </sheetData>
      <sheetData sheetId="3488">
        <row r="4">
          <cell r="I4">
            <v>0</v>
          </cell>
        </row>
      </sheetData>
      <sheetData sheetId="3489">
        <row r="4">
          <cell r="I4">
            <v>0</v>
          </cell>
        </row>
      </sheetData>
      <sheetData sheetId="3490">
        <row r="4">
          <cell r="I4">
            <v>0</v>
          </cell>
        </row>
      </sheetData>
      <sheetData sheetId="3491">
        <row r="4">
          <cell r="I4">
            <v>0</v>
          </cell>
        </row>
      </sheetData>
      <sheetData sheetId="3492">
        <row r="4">
          <cell r="I4">
            <v>0</v>
          </cell>
        </row>
      </sheetData>
      <sheetData sheetId="3493">
        <row r="4">
          <cell r="I4">
            <v>0</v>
          </cell>
        </row>
      </sheetData>
      <sheetData sheetId="3494">
        <row r="4">
          <cell r="I4">
            <v>0</v>
          </cell>
        </row>
      </sheetData>
      <sheetData sheetId="3495" refreshError="1"/>
      <sheetData sheetId="3496" refreshError="1"/>
      <sheetData sheetId="3497" refreshError="1"/>
      <sheetData sheetId="3498" refreshError="1"/>
      <sheetData sheetId="3499" refreshError="1"/>
      <sheetData sheetId="3500" refreshError="1"/>
      <sheetData sheetId="3501">
        <row r="4">
          <cell r="I4">
            <v>0</v>
          </cell>
        </row>
      </sheetData>
      <sheetData sheetId="3502">
        <row r="4">
          <cell r="I4">
            <v>0</v>
          </cell>
        </row>
      </sheetData>
      <sheetData sheetId="3503">
        <row r="4">
          <cell r="I4">
            <v>0</v>
          </cell>
        </row>
      </sheetData>
      <sheetData sheetId="3504">
        <row r="4">
          <cell r="I4">
            <v>0</v>
          </cell>
        </row>
      </sheetData>
      <sheetData sheetId="3505">
        <row r="4">
          <cell r="I4">
            <v>0</v>
          </cell>
        </row>
      </sheetData>
      <sheetData sheetId="3506">
        <row r="4">
          <cell r="I4">
            <v>0</v>
          </cell>
        </row>
      </sheetData>
      <sheetData sheetId="3507">
        <row r="4">
          <cell r="I4">
            <v>0</v>
          </cell>
        </row>
      </sheetData>
      <sheetData sheetId="3508">
        <row r="4">
          <cell r="I4">
            <v>0</v>
          </cell>
        </row>
      </sheetData>
      <sheetData sheetId="3509">
        <row r="4">
          <cell r="I4">
            <v>0</v>
          </cell>
        </row>
      </sheetData>
      <sheetData sheetId="3510" refreshError="1"/>
      <sheetData sheetId="3511">
        <row r="4">
          <cell r="I4">
            <v>0</v>
          </cell>
        </row>
      </sheetData>
      <sheetData sheetId="3512" refreshError="1"/>
      <sheetData sheetId="3513" refreshError="1"/>
      <sheetData sheetId="3514" refreshError="1"/>
      <sheetData sheetId="3515" refreshError="1"/>
      <sheetData sheetId="3516" refreshError="1"/>
      <sheetData sheetId="3517">
        <row r="4">
          <cell r="I4">
            <v>0</v>
          </cell>
        </row>
      </sheetData>
      <sheetData sheetId="3518">
        <row r="4">
          <cell r="I4">
            <v>0</v>
          </cell>
        </row>
      </sheetData>
      <sheetData sheetId="3519">
        <row r="4">
          <cell r="I4">
            <v>0</v>
          </cell>
        </row>
      </sheetData>
      <sheetData sheetId="3520">
        <row r="4">
          <cell r="I4">
            <v>0</v>
          </cell>
        </row>
      </sheetData>
      <sheetData sheetId="3521">
        <row r="4">
          <cell r="I4">
            <v>0</v>
          </cell>
        </row>
      </sheetData>
      <sheetData sheetId="3522">
        <row r="4">
          <cell r="I4">
            <v>0</v>
          </cell>
        </row>
      </sheetData>
      <sheetData sheetId="3523">
        <row r="4">
          <cell r="I4">
            <v>0</v>
          </cell>
        </row>
      </sheetData>
      <sheetData sheetId="3524">
        <row r="4">
          <cell r="I4">
            <v>0</v>
          </cell>
        </row>
      </sheetData>
      <sheetData sheetId="3525">
        <row r="4">
          <cell r="I4">
            <v>0</v>
          </cell>
        </row>
      </sheetData>
      <sheetData sheetId="3526" refreshError="1"/>
      <sheetData sheetId="3527" refreshError="1"/>
      <sheetData sheetId="3528">
        <row r="4">
          <cell r="I4">
            <v>0</v>
          </cell>
        </row>
      </sheetData>
      <sheetData sheetId="3529">
        <row r="4">
          <cell r="I4">
            <v>0</v>
          </cell>
        </row>
      </sheetData>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ow r="4">
          <cell r="I4">
            <v>0</v>
          </cell>
        </row>
      </sheetData>
      <sheetData sheetId="3562">
        <row r="4">
          <cell r="I4">
            <v>0</v>
          </cell>
        </row>
      </sheetData>
      <sheetData sheetId="3563">
        <row r="4">
          <cell r="I4">
            <v>0</v>
          </cell>
        </row>
      </sheetData>
      <sheetData sheetId="3564">
        <row r="4">
          <cell r="I4">
            <v>0</v>
          </cell>
        </row>
      </sheetData>
      <sheetData sheetId="3565">
        <row r="4">
          <cell r="I4">
            <v>0</v>
          </cell>
        </row>
      </sheetData>
      <sheetData sheetId="3566">
        <row r="4">
          <cell r="I4">
            <v>0</v>
          </cell>
        </row>
      </sheetData>
      <sheetData sheetId="3567">
        <row r="4">
          <cell r="I4">
            <v>0</v>
          </cell>
        </row>
      </sheetData>
      <sheetData sheetId="3568">
        <row r="4">
          <cell r="I4">
            <v>0</v>
          </cell>
        </row>
      </sheetData>
      <sheetData sheetId="3569">
        <row r="4">
          <cell r="I4">
            <v>0</v>
          </cell>
        </row>
      </sheetData>
      <sheetData sheetId="3570">
        <row r="4">
          <cell r="I4">
            <v>0</v>
          </cell>
        </row>
      </sheetData>
      <sheetData sheetId="3571">
        <row r="4">
          <cell r="I4">
            <v>0</v>
          </cell>
        </row>
      </sheetData>
      <sheetData sheetId="3572">
        <row r="4">
          <cell r="I4">
            <v>0</v>
          </cell>
        </row>
      </sheetData>
      <sheetData sheetId="3573">
        <row r="4">
          <cell r="I4">
            <v>0</v>
          </cell>
        </row>
      </sheetData>
      <sheetData sheetId="3574">
        <row r="4">
          <cell r="I4">
            <v>0</v>
          </cell>
        </row>
      </sheetData>
      <sheetData sheetId="3575">
        <row r="4">
          <cell r="I4">
            <v>0</v>
          </cell>
        </row>
      </sheetData>
      <sheetData sheetId="3576">
        <row r="4">
          <cell r="I4">
            <v>0</v>
          </cell>
        </row>
      </sheetData>
      <sheetData sheetId="3577">
        <row r="4">
          <cell r="I4">
            <v>0</v>
          </cell>
        </row>
      </sheetData>
      <sheetData sheetId="3578">
        <row r="4">
          <cell r="I4">
            <v>0</v>
          </cell>
        </row>
      </sheetData>
      <sheetData sheetId="3579">
        <row r="4">
          <cell r="I4">
            <v>0</v>
          </cell>
        </row>
      </sheetData>
      <sheetData sheetId="3580">
        <row r="4">
          <cell r="I4">
            <v>0</v>
          </cell>
        </row>
      </sheetData>
      <sheetData sheetId="3581">
        <row r="4">
          <cell r="I4">
            <v>0</v>
          </cell>
        </row>
      </sheetData>
      <sheetData sheetId="3582">
        <row r="4">
          <cell r="I4">
            <v>0</v>
          </cell>
        </row>
      </sheetData>
      <sheetData sheetId="3583">
        <row r="4">
          <cell r="I4">
            <v>0</v>
          </cell>
        </row>
      </sheetData>
      <sheetData sheetId="3584">
        <row r="4">
          <cell r="I4">
            <v>0</v>
          </cell>
        </row>
      </sheetData>
      <sheetData sheetId="3585">
        <row r="4">
          <cell r="I4">
            <v>0</v>
          </cell>
        </row>
      </sheetData>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ow r="4">
          <cell r="I4">
            <v>0</v>
          </cell>
        </row>
      </sheetData>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sheetData sheetId="3613">
        <row r="4">
          <cell r="I4">
            <v>0</v>
          </cell>
        </row>
      </sheetData>
      <sheetData sheetId="3614">
        <row r="4">
          <cell r="I4">
            <v>0</v>
          </cell>
        </row>
      </sheetData>
      <sheetData sheetId="3615">
        <row r="4">
          <cell r="I4">
            <v>0</v>
          </cell>
        </row>
      </sheetData>
      <sheetData sheetId="3616">
        <row r="4">
          <cell r="I4">
            <v>0</v>
          </cell>
        </row>
      </sheetData>
      <sheetData sheetId="3617">
        <row r="4">
          <cell r="I4">
            <v>0</v>
          </cell>
        </row>
      </sheetData>
      <sheetData sheetId="3618">
        <row r="4">
          <cell r="I4">
            <v>0</v>
          </cell>
        </row>
      </sheetData>
      <sheetData sheetId="3619">
        <row r="4">
          <cell r="I4">
            <v>0</v>
          </cell>
        </row>
      </sheetData>
      <sheetData sheetId="3620">
        <row r="4">
          <cell r="I4">
            <v>0</v>
          </cell>
        </row>
      </sheetData>
      <sheetData sheetId="3621">
        <row r="4">
          <cell r="I4">
            <v>0</v>
          </cell>
        </row>
      </sheetData>
      <sheetData sheetId="3622">
        <row r="4">
          <cell r="I4">
            <v>0</v>
          </cell>
        </row>
      </sheetData>
      <sheetData sheetId="3623">
        <row r="4">
          <cell r="I4">
            <v>0</v>
          </cell>
        </row>
      </sheetData>
      <sheetData sheetId="3624">
        <row r="4">
          <cell r="I4">
            <v>0</v>
          </cell>
        </row>
      </sheetData>
      <sheetData sheetId="3625">
        <row r="4">
          <cell r="I4">
            <v>0</v>
          </cell>
        </row>
      </sheetData>
      <sheetData sheetId="3626">
        <row r="4">
          <cell r="I4">
            <v>0</v>
          </cell>
        </row>
      </sheetData>
      <sheetData sheetId="3627">
        <row r="4">
          <cell r="I4">
            <v>0</v>
          </cell>
        </row>
      </sheetData>
      <sheetData sheetId="3628">
        <row r="4">
          <cell r="I4">
            <v>0</v>
          </cell>
        </row>
      </sheetData>
      <sheetData sheetId="3629">
        <row r="4">
          <cell r="I4">
            <v>0</v>
          </cell>
        </row>
      </sheetData>
      <sheetData sheetId="3630">
        <row r="4">
          <cell r="I4">
            <v>0</v>
          </cell>
        </row>
      </sheetData>
      <sheetData sheetId="3631">
        <row r="4">
          <cell r="I4">
            <v>0</v>
          </cell>
        </row>
      </sheetData>
      <sheetData sheetId="3632">
        <row r="4">
          <cell r="I4">
            <v>0</v>
          </cell>
        </row>
      </sheetData>
      <sheetData sheetId="3633">
        <row r="4">
          <cell r="I4">
            <v>0</v>
          </cell>
        </row>
      </sheetData>
      <sheetData sheetId="3634">
        <row r="4">
          <cell r="I4">
            <v>0</v>
          </cell>
        </row>
      </sheetData>
      <sheetData sheetId="3635">
        <row r="4">
          <cell r="I4">
            <v>0</v>
          </cell>
        </row>
      </sheetData>
      <sheetData sheetId="3636">
        <row r="4">
          <cell r="I4">
            <v>0</v>
          </cell>
        </row>
      </sheetData>
      <sheetData sheetId="3637">
        <row r="4">
          <cell r="I4">
            <v>0</v>
          </cell>
        </row>
      </sheetData>
      <sheetData sheetId="3638">
        <row r="4">
          <cell r="I4">
            <v>0</v>
          </cell>
        </row>
      </sheetData>
      <sheetData sheetId="3639">
        <row r="4">
          <cell r="I4">
            <v>0</v>
          </cell>
        </row>
      </sheetData>
      <sheetData sheetId="3640">
        <row r="4">
          <cell r="I4">
            <v>0</v>
          </cell>
        </row>
      </sheetData>
      <sheetData sheetId="3641">
        <row r="4">
          <cell r="I4">
            <v>0</v>
          </cell>
        </row>
      </sheetData>
      <sheetData sheetId="3642">
        <row r="4">
          <cell r="I4">
            <v>0</v>
          </cell>
        </row>
      </sheetData>
      <sheetData sheetId="3643">
        <row r="4">
          <cell r="I4">
            <v>0</v>
          </cell>
        </row>
      </sheetData>
      <sheetData sheetId="3644">
        <row r="4">
          <cell r="I4">
            <v>0</v>
          </cell>
        </row>
      </sheetData>
      <sheetData sheetId="3645">
        <row r="4">
          <cell r="I4">
            <v>0</v>
          </cell>
        </row>
      </sheetData>
      <sheetData sheetId="3646">
        <row r="4">
          <cell r="I4">
            <v>0</v>
          </cell>
        </row>
      </sheetData>
      <sheetData sheetId="3647">
        <row r="4">
          <cell r="I4">
            <v>0</v>
          </cell>
        </row>
      </sheetData>
      <sheetData sheetId="3648">
        <row r="4">
          <cell r="I4">
            <v>0</v>
          </cell>
        </row>
      </sheetData>
      <sheetData sheetId="3649">
        <row r="4">
          <cell r="I4">
            <v>0</v>
          </cell>
        </row>
      </sheetData>
      <sheetData sheetId="3650">
        <row r="4">
          <cell r="I4">
            <v>0</v>
          </cell>
        </row>
      </sheetData>
      <sheetData sheetId="3651">
        <row r="4">
          <cell r="I4">
            <v>0</v>
          </cell>
        </row>
      </sheetData>
      <sheetData sheetId="3652">
        <row r="4">
          <cell r="I4">
            <v>0</v>
          </cell>
        </row>
      </sheetData>
      <sheetData sheetId="3653">
        <row r="4">
          <cell r="I4">
            <v>0</v>
          </cell>
        </row>
      </sheetData>
      <sheetData sheetId="3654">
        <row r="4">
          <cell r="I4">
            <v>0</v>
          </cell>
        </row>
      </sheetData>
      <sheetData sheetId="3655">
        <row r="4">
          <cell r="I4">
            <v>0</v>
          </cell>
        </row>
      </sheetData>
      <sheetData sheetId="3656">
        <row r="4">
          <cell r="I4">
            <v>0</v>
          </cell>
        </row>
      </sheetData>
      <sheetData sheetId="3657">
        <row r="4">
          <cell r="I4">
            <v>0</v>
          </cell>
        </row>
      </sheetData>
      <sheetData sheetId="3658">
        <row r="4">
          <cell r="I4">
            <v>0</v>
          </cell>
        </row>
      </sheetData>
      <sheetData sheetId="3659">
        <row r="4">
          <cell r="I4">
            <v>0</v>
          </cell>
        </row>
      </sheetData>
      <sheetData sheetId="3660">
        <row r="4">
          <cell r="I4">
            <v>0</v>
          </cell>
        </row>
      </sheetData>
      <sheetData sheetId="3661">
        <row r="4">
          <cell r="I4">
            <v>0</v>
          </cell>
        </row>
      </sheetData>
      <sheetData sheetId="3662">
        <row r="4">
          <cell r="I4">
            <v>0</v>
          </cell>
        </row>
      </sheetData>
      <sheetData sheetId="3663">
        <row r="4">
          <cell r="I4">
            <v>0</v>
          </cell>
        </row>
      </sheetData>
      <sheetData sheetId="3664">
        <row r="4">
          <cell r="I4">
            <v>0</v>
          </cell>
        </row>
      </sheetData>
      <sheetData sheetId="3665">
        <row r="4">
          <cell r="I4">
            <v>0</v>
          </cell>
        </row>
      </sheetData>
      <sheetData sheetId="3666">
        <row r="4">
          <cell r="I4">
            <v>0</v>
          </cell>
        </row>
      </sheetData>
      <sheetData sheetId="3667">
        <row r="4">
          <cell r="I4">
            <v>0</v>
          </cell>
        </row>
      </sheetData>
      <sheetData sheetId="3668">
        <row r="4">
          <cell r="I4">
            <v>0</v>
          </cell>
        </row>
      </sheetData>
      <sheetData sheetId="3669">
        <row r="4">
          <cell r="I4">
            <v>0</v>
          </cell>
        </row>
      </sheetData>
      <sheetData sheetId="3670">
        <row r="4">
          <cell r="I4">
            <v>0</v>
          </cell>
        </row>
      </sheetData>
      <sheetData sheetId="3671">
        <row r="4">
          <cell r="I4">
            <v>0</v>
          </cell>
        </row>
      </sheetData>
      <sheetData sheetId="3672">
        <row r="4">
          <cell r="I4">
            <v>0</v>
          </cell>
        </row>
      </sheetData>
      <sheetData sheetId="3673">
        <row r="4">
          <cell r="I4">
            <v>0</v>
          </cell>
        </row>
      </sheetData>
      <sheetData sheetId="3674">
        <row r="4">
          <cell r="I4">
            <v>0</v>
          </cell>
        </row>
      </sheetData>
      <sheetData sheetId="3675">
        <row r="4">
          <cell r="I4">
            <v>0</v>
          </cell>
        </row>
      </sheetData>
      <sheetData sheetId="3676">
        <row r="4">
          <cell r="I4">
            <v>0</v>
          </cell>
        </row>
      </sheetData>
      <sheetData sheetId="3677">
        <row r="4">
          <cell r="I4">
            <v>0</v>
          </cell>
        </row>
      </sheetData>
      <sheetData sheetId="3678">
        <row r="4">
          <cell r="I4">
            <v>0</v>
          </cell>
        </row>
      </sheetData>
      <sheetData sheetId="3679">
        <row r="4">
          <cell r="I4">
            <v>0</v>
          </cell>
        </row>
      </sheetData>
      <sheetData sheetId="3680">
        <row r="4">
          <cell r="I4">
            <v>0</v>
          </cell>
        </row>
      </sheetData>
      <sheetData sheetId="3681">
        <row r="4">
          <cell r="I4">
            <v>0</v>
          </cell>
        </row>
      </sheetData>
      <sheetData sheetId="3682">
        <row r="4">
          <cell r="I4">
            <v>0</v>
          </cell>
        </row>
      </sheetData>
      <sheetData sheetId="3683">
        <row r="4">
          <cell r="I4">
            <v>0</v>
          </cell>
        </row>
      </sheetData>
      <sheetData sheetId="3684">
        <row r="4">
          <cell r="I4">
            <v>0</v>
          </cell>
        </row>
      </sheetData>
      <sheetData sheetId="3685">
        <row r="4">
          <cell r="I4">
            <v>0</v>
          </cell>
        </row>
      </sheetData>
      <sheetData sheetId="3686">
        <row r="4">
          <cell r="I4">
            <v>0</v>
          </cell>
        </row>
      </sheetData>
      <sheetData sheetId="3687">
        <row r="4">
          <cell r="I4">
            <v>0</v>
          </cell>
        </row>
      </sheetData>
      <sheetData sheetId="3688">
        <row r="4">
          <cell r="I4">
            <v>0</v>
          </cell>
        </row>
      </sheetData>
      <sheetData sheetId="3689">
        <row r="4">
          <cell r="I4">
            <v>0</v>
          </cell>
        </row>
      </sheetData>
      <sheetData sheetId="3690">
        <row r="4">
          <cell r="I4">
            <v>0</v>
          </cell>
        </row>
      </sheetData>
      <sheetData sheetId="3691">
        <row r="4">
          <cell r="I4">
            <v>0</v>
          </cell>
        </row>
      </sheetData>
      <sheetData sheetId="3692">
        <row r="4">
          <cell r="I4">
            <v>0</v>
          </cell>
        </row>
      </sheetData>
      <sheetData sheetId="3693">
        <row r="4">
          <cell r="I4">
            <v>0</v>
          </cell>
        </row>
      </sheetData>
      <sheetData sheetId="3694">
        <row r="4">
          <cell r="I4">
            <v>0</v>
          </cell>
        </row>
      </sheetData>
      <sheetData sheetId="3695">
        <row r="4">
          <cell r="I4">
            <v>0</v>
          </cell>
        </row>
      </sheetData>
      <sheetData sheetId="3696">
        <row r="4">
          <cell r="I4">
            <v>0</v>
          </cell>
        </row>
      </sheetData>
      <sheetData sheetId="3697">
        <row r="4">
          <cell r="I4">
            <v>0</v>
          </cell>
        </row>
      </sheetData>
      <sheetData sheetId="3698">
        <row r="4">
          <cell r="I4">
            <v>0</v>
          </cell>
        </row>
      </sheetData>
      <sheetData sheetId="3699">
        <row r="4">
          <cell r="I4">
            <v>0</v>
          </cell>
        </row>
      </sheetData>
      <sheetData sheetId="3700">
        <row r="4">
          <cell r="I4">
            <v>0</v>
          </cell>
        </row>
      </sheetData>
      <sheetData sheetId="3701">
        <row r="4">
          <cell r="I4">
            <v>0</v>
          </cell>
        </row>
      </sheetData>
      <sheetData sheetId="3702">
        <row r="4">
          <cell r="I4">
            <v>0</v>
          </cell>
        </row>
      </sheetData>
      <sheetData sheetId="3703">
        <row r="4">
          <cell r="I4">
            <v>0</v>
          </cell>
        </row>
      </sheetData>
      <sheetData sheetId="3704">
        <row r="4">
          <cell r="I4">
            <v>0</v>
          </cell>
        </row>
      </sheetData>
      <sheetData sheetId="3705">
        <row r="4">
          <cell r="I4">
            <v>0</v>
          </cell>
        </row>
      </sheetData>
      <sheetData sheetId="3706">
        <row r="4">
          <cell r="I4">
            <v>0</v>
          </cell>
        </row>
      </sheetData>
      <sheetData sheetId="3707">
        <row r="4">
          <cell r="I4">
            <v>0</v>
          </cell>
        </row>
      </sheetData>
      <sheetData sheetId="3708">
        <row r="4">
          <cell r="I4">
            <v>0</v>
          </cell>
        </row>
      </sheetData>
      <sheetData sheetId="3709">
        <row r="4">
          <cell r="I4">
            <v>0</v>
          </cell>
        </row>
      </sheetData>
      <sheetData sheetId="3710">
        <row r="4">
          <cell r="I4">
            <v>0</v>
          </cell>
        </row>
      </sheetData>
      <sheetData sheetId="3711">
        <row r="4">
          <cell r="I4">
            <v>0</v>
          </cell>
        </row>
      </sheetData>
      <sheetData sheetId="3712">
        <row r="4">
          <cell r="I4">
            <v>0</v>
          </cell>
        </row>
      </sheetData>
      <sheetData sheetId="3713">
        <row r="4">
          <cell r="I4">
            <v>0</v>
          </cell>
        </row>
      </sheetData>
      <sheetData sheetId="3714">
        <row r="4">
          <cell r="I4">
            <v>0</v>
          </cell>
        </row>
      </sheetData>
      <sheetData sheetId="3715">
        <row r="4">
          <cell r="I4">
            <v>0</v>
          </cell>
        </row>
      </sheetData>
      <sheetData sheetId="3716">
        <row r="4">
          <cell r="I4">
            <v>0</v>
          </cell>
        </row>
      </sheetData>
      <sheetData sheetId="3717">
        <row r="4">
          <cell r="I4">
            <v>0</v>
          </cell>
        </row>
      </sheetData>
      <sheetData sheetId="3718">
        <row r="4">
          <cell r="I4">
            <v>0</v>
          </cell>
        </row>
      </sheetData>
      <sheetData sheetId="3719">
        <row r="4">
          <cell r="I4">
            <v>0</v>
          </cell>
        </row>
      </sheetData>
      <sheetData sheetId="3720">
        <row r="4">
          <cell r="I4">
            <v>0</v>
          </cell>
        </row>
      </sheetData>
      <sheetData sheetId="3721">
        <row r="4">
          <cell r="I4">
            <v>0</v>
          </cell>
        </row>
      </sheetData>
      <sheetData sheetId="3722">
        <row r="4">
          <cell r="I4">
            <v>0</v>
          </cell>
        </row>
      </sheetData>
      <sheetData sheetId="3723">
        <row r="4">
          <cell r="I4">
            <v>0</v>
          </cell>
        </row>
      </sheetData>
      <sheetData sheetId="3724">
        <row r="4">
          <cell r="I4">
            <v>0</v>
          </cell>
        </row>
      </sheetData>
      <sheetData sheetId="3725">
        <row r="4">
          <cell r="I4">
            <v>0</v>
          </cell>
        </row>
      </sheetData>
      <sheetData sheetId="3726">
        <row r="4">
          <cell r="I4">
            <v>0</v>
          </cell>
        </row>
      </sheetData>
      <sheetData sheetId="3727">
        <row r="4">
          <cell r="I4">
            <v>0</v>
          </cell>
        </row>
      </sheetData>
      <sheetData sheetId="3728">
        <row r="4">
          <cell r="I4">
            <v>0</v>
          </cell>
        </row>
      </sheetData>
      <sheetData sheetId="3729">
        <row r="4">
          <cell r="I4">
            <v>0</v>
          </cell>
        </row>
      </sheetData>
      <sheetData sheetId="3730">
        <row r="4">
          <cell r="I4">
            <v>0</v>
          </cell>
        </row>
      </sheetData>
      <sheetData sheetId="3731">
        <row r="4">
          <cell r="I4">
            <v>0</v>
          </cell>
        </row>
      </sheetData>
      <sheetData sheetId="3732">
        <row r="4">
          <cell r="I4">
            <v>0</v>
          </cell>
        </row>
      </sheetData>
      <sheetData sheetId="3733">
        <row r="4">
          <cell r="I4">
            <v>0</v>
          </cell>
        </row>
      </sheetData>
      <sheetData sheetId="3734">
        <row r="4">
          <cell r="I4">
            <v>0</v>
          </cell>
        </row>
      </sheetData>
      <sheetData sheetId="3735">
        <row r="4">
          <cell r="I4">
            <v>0</v>
          </cell>
        </row>
      </sheetData>
      <sheetData sheetId="3736">
        <row r="4">
          <cell r="I4">
            <v>0</v>
          </cell>
        </row>
      </sheetData>
      <sheetData sheetId="3737">
        <row r="4">
          <cell r="I4">
            <v>0</v>
          </cell>
        </row>
      </sheetData>
      <sheetData sheetId="3738">
        <row r="4">
          <cell r="I4">
            <v>0</v>
          </cell>
        </row>
      </sheetData>
      <sheetData sheetId="3739">
        <row r="4">
          <cell r="I4">
            <v>0</v>
          </cell>
        </row>
      </sheetData>
      <sheetData sheetId="3740">
        <row r="4">
          <cell r="I4">
            <v>0</v>
          </cell>
        </row>
      </sheetData>
      <sheetData sheetId="3741">
        <row r="4">
          <cell r="I4">
            <v>0</v>
          </cell>
        </row>
      </sheetData>
      <sheetData sheetId="3742">
        <row r="4">
          <cell r="I4">
            <v>0</v>
          </cell>
        </row>
      </sheetData>
      <sheetData sheetId="3743">
        <row r="4">
          <cell r="I4">
            <v>0</v>
          </cell>
        </row>
      </sheetData>
      <sheetData sheetId="3744">
        <row r="4">
          <cell r="I4">
            <v>0</v>
          </cell>
        </row>
      </sheetData>
      <sheetData sheetId="3745">
        <row r="4">
          <cell r="I4">
            <v>0</v>
          </cell>
        </row>
      </sheetData>
      <sheetData sheetId="3746">
        <row r="4">
          <cell r="I4">
            <v>0</v>
          </cell>
        </row>
      </sheetData>
      <sheetData sheetId="3747">
        <row r="4">
          <cell r="I4">
            <v>0</v>
          </cell>
        </row>
      </sheetData>
      <sheetData sheetId="3748">
        <row r="4">
          <cell r="I4">
            <v>0</v>
          </cell>
        </row>
      </sheetData>
      <sheetData sheetId="3749">
        <row r="4">
          <cell r="I4">
            <v>0</v>
          </cell>
        </row>
      </sheetData>
      <sheetData sheetId="3750">
        <row r="4">
          <cell r="I4">
            <v>0</v>
          </cell>
        </row>
      </sheetData>
      <sheetData sheetId="3751">
        <row r="4">
          <cell r="I4">
            <v>0</v>
          </cell>
        </row>
      </sheetData>
      <sheetData sheetId="3752">
        <row r="4">
          <cell r="I4">
            <v>0</v>
          </cell>
        </row>
      </sheetData>
      <sheetData sheetId="3753">
        <row r="4">
          <cell r="I4">
            <v>0</v>
          </cell>
        </row>
      </sheetData>
      <sheetData sheetId="3754">
        <row r="4">
          <cell r="I4">
            <v>0</v>
          </cell>
        </row>
      </sheetData>
      <sheetData sheetId="3755">
        <row r="4">
          <cell r="I4">
            <v>0</v>
          </cell>
        </row>
      </sheetData>
      <sheetData sheetId="3756">
        <row r="4">
          <cell r="I4">
            <v>0</v>
          </cell>
        </row>
      </sheetData>
      <sheetData sheetId="3757">
        <row r="4">
          <cell r="I4">
            <v>0</v>
          </cell>
        </row>
      </sheetData>
      <sheetData sheetId="3758">
        <row r="4">
          <cell r="I4">
            <v>0</v>
          </cell>
        </row>
      </sheetData>
      <sheetData sheetId="3759">
        <row r="4">
          <cell r="I4">
            <v>0</v>
          </cell>
        </row>
      </sheetData>
      <sheetData sheetId="3760">
        <row r="4">
          <cell r="I4">
            <v>0</v>
          </cell>
        </row>
      </sheetData>
      <sheetData sheetId="3761">
        <row r="4">
          <cell r="I4">
            <v>0</v>
          </cell>
        </row>
      </sheetData>
      <sheetData sheetId="3762">
        <row r="4">
          <cell r="I4">
            <v>0</v>
          </cell>
        </row>
      </sheetData>
      <sheetData sheetId="3763">
        <row r="4">
          <cell r="I4">
            <v>0</v>
          </cell>
        </row>
      </sheetData>
      <sheetData sheetId="3764">
        <row r="4">
          <cell r="I4">
            <v>0</v>
          </cell>
        </row>
      </sheetData>
      <sheetData sheetId="3765">
        <row r="4">
          <cell r="I4">
            <v>0</v>
          </cell>
        </row>
      </sheetData>
      <sheetData sheetId="3766">
        <row r="4">
          <cell r="I4">
            <v>0</v>
          </cell>
        </row>
      </sheetData>
      <sheetData sheetId="3767">
        <row r="4">
          <cell r="I4">
            <v>0</v>
          </cell>
        </row>
      </sheetData>
      <sheetData sheetId="3768">
        <row r="4">
          <cell r="I4">
            <v>0</v>
          </cell>
        </row>
      </sheetData>
      <sheetData sheetId="3769">
        <row r="4">
          <cell r="I4">
            <v>0</v>
          </cell>
        </row>
      </sheetData>
      <sheetData sheetId="3770">
        <row r="4">
          <cell r="I4">
            <v>0</v>
          </cell>
        </row>
      </sheetData>
      <sheetData sheetId="3771">
        <row r="4">
          <cell r="I4">
            <v>0</v>
          </cell>
        </row>
      </sheetData>
      <sheetData sheetId="3772">
        <row r="4">
          <cell r="I4">
            <v>0</v>
          </cell>
        </row>
      </sheetData>
      <sheetData sheetId="3773">
        <row r="4">
          <cell r="I4">
            <v>0</v>
          </cell>
        </row>
      </sheetData>
      <sheetData sheetId="3774">
        <row r="4">
          <cell r="I4">
            <v>0</v>
          </cell>
        </row>
      </sheetData>
      <sheetData sheetId="3775">
        <row r="4">
          <cell r="I4">
            <v>0</v>
          </cell>
        </row>
      </sheetData>
      <sheetData sheetId="3776">
        <row r="4">
          <cell r="I4">
            <v>0</v>
          </cell>
        </row>
      </sheetData>
      <sheetData sheetId="3777">
        <row r="4">
          <cell r="I4">
            <v>0</v>
          </cell>
        </row>
      </sheetData>
      <sheetData sheetId="3778">
        <row r="4">
          <cell r="I4">
            <v>0</v>
          </cell>
        </row>
      </sheetData>
      <sheetData sheetId="3779">
        <row r="4">
          <cell r="I4">
            <v>0</v>
          </cell>
        </row>
      </sheetData>
      <sheetData sheetId="3780">
        <row r="4">
          <cell r="I4">
            <v>0</v>
          </cell>
        </row>
      </sheetData>
      <sheetData sheetId="3781">
        <row r="4">
          <cell r="I4">
            <v>0</v>
          </cell>
        </row>
      </sheetData>
      <sheetData sheetId="3782">
        <row r="4">
          <cell r="I4">
            <v>0</v>
          </cell>
        </row>
      </sheetData>
      <sheetData sheetId="3783">
        <row r="4">
          <cell r="I4">
            <v>0</v>
          </cell>
        </row>
      </sheetData>
      <sheetData sheetId="3784">
        <row r="4">
          <cell r="I4">
            <v>0</v>
          </cell>
        </row>
      </sheetData>
      <sheetData sheetId="3785">
        <row r="4">
          <cell r="I4">
            <v>0</v>
          </cell>
        </row>
      </sheetData>
      <sheetData sheetId="3786">
        <row r="4">
          <cell r="I4">
            <v>0</v>
          </cell>
        </row>
      </sheetData>
      <sheetData sheetId="3787">
        <row r="4">
          <cell r="I4">
            <v>0</v>
          </cell>
        </row>
      </sheetData>
      <sheetData sheetId="3788">
        <row r="4">
          <cell r="I4">
            <v>0</v>
          </cell>
        </row>
      </sheetData>
      <sheetData sheetId="3789">
        <row r="4">
          <cell r="I4">
            <v>0</v>
          </cell>
        </row>
      </sheetData>
      <sheetData sheetId="3790">
        <row r="4">
          <cell r="I4">
            <v>0</v>
          </cell>
        </row>
      </sheetData>
      <sheetData sheetId="3791">
        <row r="4">
          <cell r="I4">
            <v>0</v>
          </cell>
        </row>
      </sheetData>
      <sheetData sheetId="3792">
        <row r="4">
          <cell r="I4">
            <v>0</v>
          </cell>
        </row>
      </sheetData>
      <sheetData sheetId="3793">
        <row r="4">
          <cell r="I4">
            <v>0</v>
          </cell>
        </row>
      </sheetData>
      <sheetData sheetId="3794">
        <row r="4">
          <cell r="I4">
            <v>0</v>
          </cell>
        </row>
      </sheetData>
      <sheetData sheetId="3795">
        <row r="4">
          <cell r="I4">
            <v>0</v>
          </cell>
        </row>
      </sheetData>
      <sheetData sheetId="3796">
        <row r="4">
          <cell r="I4">
            <v>0</v>
          </cell>
        </row>
      </sheetData>
      <sheetData sheetId="3797">
        <row r="4">
          <cell r="I4">
            <v>0</v>
          </cell>
        </row>
      </sheetData>
      <sheetData sheetId="3798">
        <row r="4">
          <cell r="I4">
            <v>0</v>
          </cell>
        </row>
      </sheetData>
      <sheetData sheetId="3799">
        <row r="4">
          <cell r="I4">
            <v>0</v>
          </cell>
        </row>
      </sheetData>
      <sheetData sheetId="3800">
        <row r="4">
          <cell r="I4">
            <v>0</v>
          </cell>
        </row>
      </sheetData>
      <sheetData sheetId="3801">
        <row r="4">
          <cell r="I4">
            <v>0</v>
          </cell>
        </row>
      </sheetData>
      <sheetData sheetId="3802">
        <row r="4">
          <cell r="I4">
            <v>0</v>
          </cell>
        </row>
      </sheetData>
      <sheetData sheetId="3803">
        <row r="4">
          <cell r="I4">
            <v>0</v>
          </cell>
        </row>
      </sheetData>
      <sheetData sheetId="3804">
        <row r="4">
          <cell r="I4">
            <v>0</v>
          </cell>
        </row>
      </sheetData>
      <sheetData sheetId="3805">
        <row r="4">
          <cell r="I4">
            <v>0</v>
          </cell>
        </row>
      </sheetData>
      <sheetData sheetId="3806">
        <row r="4">
          <cell r="I4">
            <v>0</v>
          </cell>
        </row>
      </sheetData>
      <sheetData sheetId="3807">
        <row r="4">
          <cell r="I4">
            <v>0</v>
          </cell>
        </row>
      </sheetData>
      <sheetData sheetId="3808">
        <row r="4">
          <cell r="I4">
            <v>0</v>
          </cell>
        </row>
      </sheetData>
      <sheetData sheetId="3809">
        <row r="4">
          <cell r="I4">
            <v>0</v>
          </cell>
        </row>
      </sheetData>
      <sheetData sheetId="3810">
        <row r="4">
          <cell r="I4">
            <v>0</v>
          </cell>
        </row>
      </sheetData>
      <sheetData sheetId="3811">
        <row r="4">
          <cell r="I4">
            <v>0</v>
          </cell>
        </row>
      </sheetData>
      <sheetData sheetId="3812">
        <row r="4">
          <cell r="I4">
            <v>0</v>
          </cell>
        </row>
      </sheetData>
      <sheetData sheetId="3813">
        <row r="4">
          <cell r="I4">
            <v>0</v>
          </cell>
        </row>
      </sheetData>
      <sheetData sheetId="3814">
        <row r="4">
          <cell r="I4">
            <v>0</v>
          </cell>
        </row>
      </sheetData>
      <sheetData sheetId="3815">
        <row r="4">
          <cell r="I4">
            <v>0</v>
          </cell>
        </row>
      </sheetData>
      <sheetData sheetId="3816">
        <row r="4">
          <cell r="I4">
            <v>0</v>
          </cell>
        </row>
      </sheetData>
      <sheetData sheetId="3817">
        <row r="4">
          <cell r="I4">
            <v>0</v>
          </cell>
        </row>
      </sheetData>
      <sheetData sheetId="3818">
        <row r="4">
          <cell r="I4">
            <v>0</v>
          </cell>
        </row>
      </sheetData>
      <sheetData sheetId="3819">
        <row r="4">
          <cell r="I4">
            <v>0</v>
          </cell>
        </row>
      </sheetData>
      <sheetData sheetId="3820">
        <row r="4">
          <cell r="I4">
            <v>0</v>
          </cell>
        </row>
      </sheetData>
      <sheetData sheetId="3821">
        <row r="4">
          <cell r="I4">
            <v>0</v>
          </cell>
        </row>
      </sheetData>
      <sheetData sheetId="3822">
        <row r="4">
          <cell r="I4">
            <v>0</v>
          </cell>
        </row>
      </sheetData>
      <sheetData sheetId="3823">
        <row r="4">
          <cell r="I4">
            <v>0</v>
          </cell>
        </row>
      </sheetData>
      <sheetData sheetId="3824">
        <row r="4">
          <cell r="I4">
            <v>0</v>
          </cell>
        </row>
      </sheetData>
      <sheetData sheetId="3825">
        <row r="4">
          <cell r="I4">
            <v>0</v>
          </cell>
        </row>
      </sheetData>
      <sheetData sheetId="3826">
        <row r="4">
          <cell r="I4">
            <v>0</v>
          </cell>
        </row>
      </sheetData>
      <sheetData sheetId="3827">
        <row r="4">
          <cell r="I4">
            <v>0</v>
          </cell>
        </row>
      </sheetData>
      <sheetData sheetId="3828">
        <row r="4">
          <cell r="I4">
            <v>0</v>
          </cell>
        </row>
      </sheetData>
      <sheetData sheetId="3829">
        <row r="4">
          <cell r="I4">
            <v>0</v>
          </cell>
        </row>
      </sheetData>
      <sheetData sheetId="3830">
        <row r="4">
          <cell r="I4">
            <v>0</v>
          </cell>
        </row>
      </sheetData>
      <sheetData sheetId="3831">
        <row r="4">
          <cell r="I4">
            <v>0</v>
          </cell>
        </row>
      </sheetData>
      <sheetData sheetId="3832">
        <row r="4">
          <cell r="I4">
            <v>0</v>
          </cell>
        </row>
      </sheetData>
      <sheetData sheetId="3833">
        <row r="4">
          <cell r="I4">
            <v>0</v>
          </cell>
        </row>
      </sheetData>
      <sheetData sheetId="3834">
        <row r="4">
          <cell r="I4">
            <v>0</v>
          </cell>
        </row>
      </sheetData>
      <sheetData sheetId="3835">
        <row r="4">
          <cell r="I4">
            <v>0</v>
          </cell>
        </row>
      </sheetData>
      <sheetData sheetId="3836">
        <row r="4">
          <cell r="I4">
            <v>0</v>
          </cell>
        </row>
      </sheetData>
      <sheetData sheetId="3837">
        <row r="4">
          <cell r="I4">
            <v>0</v>
          </cell>
        </row>
      </sheetData>
      <sheetData sheetId="3838">
        <row r="4">
          <cell r="I4">
            <v>0</v>
          </cell>
        </row>
      </sheetData>
      <sheetData sheetId="3839">
        <row r="4">
          <cell r="I4">
            <v>0</v>
          </cell>
        </row>
      </sheetData>
      <sheetData sheetId="3840">
        <row r="4">
          <cell r="I4">
            <v>0</v>
          </cell>
        </row>
      </sheetData>
      <sheetData sheetId="3841">
        <row r="4">
          <cell r="I4">
            <v>0</v>
          </cell>
        </row>
      </sheetData>
      <sheetData sheetId="3842" refreshError="1"/>
      <sheetData sheetId="3843" refreshError="1"/>
      <sheetData sheetId="3844" refreshError="1"/>
      <sheetData sheetId="3845">
        <row r="4">
          <cell r="I4">
            <v>0</v>
          </cell>
        </row>
      </sheetData>
      <sheetData sheetId="3846">
        <row r="4">
          <cell r="I4">
            <v>0</v>
          </cell>
        </row>
      </sheetData>
      <sheetData sheetId="3847">
        <row r="4">
          <cell r="I4">
            <v>0</v>
          </cell>
        </row>
      </sheetData>
      <sheetData sheetId="3848">
        <row r="4">
          <cell r="I4">
            <v>0</v>
          </cell>
        </row>
      </sheetData>
      <sheetData sheetId="3849">
        <row r="4">
          <cell r="I4">
            <v>0</v>
          </cell>
        </row>
      </sheetData>
      <sheetData sheetId="3850">
        <row r="4">
          <cell r="I4">
            <v>0</v>
          </cell>
        </row>
      </sheetData>
      <sheetData sheetId="3851">
        <row r="4">
          <cell r="I4">
            <v>0</v>
          </cell>
        </row>
      </sheetData>
      <sheetData sheetId="3852" refreshError="1"/>
      <sheetData sheetId="3853" refreshError="1"/>
      <sheetData sheetId="3854">
        <row r="4">
          <cell r="I4">
            <v>0</v>
          </cell>
        </row>
      </sheetData>
      <sheetData sheetId="3855">
        <row r="4">
          <cell r="I4">
            <v>0</v>
          </cell>
        </row>
      </sheetData>
      <sheetData sheetId="3856">
        <row r="4">
          <cell r="I4">
            <v>0</v>
          </cell>
        </row>
      </sheetData>
      <sheetData sheetId="3857">
        <row r="4">
          <cell r="I4">
            <v>0</v>
          </cell>
        </row>
      </sheetData>
      <sheetData sheetId="3858">
        <row r="4">
          <cell r="I4">
            <v>0</v>
          </cell>
        </row>
      </sheetData>
      <sheetData sheetId="3859">
        <row r="4">
          <cell r="I4">
            <v>0</v>
          </cell>
        </row>
      </sheetData>
      <sheetData sheetId="3860">
        <row r="4">
          <cell r="I4">
            <v>0</v>
          </cell>
        </row>
      </sheetData>
      <sheetData sheetId="3861">
        <row r="4">
          <cell r="I4">
            <v>0</v>
          </cell>
        </row>
      </sheetData>
      <sheetData sheetId="3862">
        <row r="4">
          <cell r="I4">
            <v>0</v>
          </cell>
        </row>
      </sheetData>
      <sheetData sheetId="3863">
        <row r="4">
          <cell r="I4">
            <v>0</v>
          </cell>
        </row>
      </sheetData>
      <sheetData sheetId="3864">
        <row r="4">
          <cell r="I4">
            <v>0</v>
          </cell>
        </row>
      </sheetData>
      <sheetData sheetId="3865">
        <row r="4">
          <cell r="I4">
            <v>0</v>
          </cell>
        </row>
      </sheetData>
      <sheetData sheetId="3866">
        <row r="4">
          <cell r="I4">
            <v>0</v>
          </cell>
        </row>
      </sheetData>
      <sheetData sheetId="3867">
        <row r="4">
          <cell r="I4">
            <v>0</v>
          </cell>
        </row>
      </sheetData>
      <sheetData sheetId="3868">
        <row r="4">
          <cell r="I4">
            <v>0</v>
          </cell>
        </row>
      </sheetData>
      <sheetData sheetId="3869">
        <row r="4">
          <cell r="I4">
            <v>0</v>
          </cell>
        </row>
      </sheetData>
      <sheetData sheetId="3870">
        <row r="4">
          <cell r="I4">
            <v>0</v>
          </cell>
        </row>
      </sheetData>
      <sheetData sheetId="3871">
        <row r="4">
          <cell r="I4">
            <v>0</v>
          </cell>
        </row>
      </sheetData>
      <sheetData sheetId="3872">
        <row r="4">
          <cell r="I4">
            <v>0</v>
          </cell>
        </row>
      </sheetData>
      <sheetData sheetId="3873">
        <row r="4">
          <cell r="I4">
            <v>0</v>
          </cell>
        </row>
      </sheetData>
      <sheetData sheetId="3874">
        <row r="4">
          <cell r="I4">
            <v>0</v>
          </cell>
        </row>
      </sheetData>
      <sheetData sheetId="3875">
        <row r="4">
          <cell r="I4">
            <v>0</v>
          </cell>
        </row>
      </sheetData>
      <sheetData sheetId="3876">
        <row r="4">
          <cell r="I4">
            <v>0</v>
          </cell>
        </row>
      </sheetData>
      <sheetData sheetId="3877">
        <row r="4">
          <cell r="I4">
            <v>0</v>
          </cell>
        </row>
      </sheetData>
      <sheetData sheetId="3878">
        <row r="4">
          <cell r="I4">
            <v>0</v>
          </cell>
        </row>
      </sheetData>
      <sheetData sheetId="3879">
        <row r="4">
          <cell r="I4">
            <v>0</v>
          </cell>
        </row>
      </sheetData>
      <sheetData sheetId="3880">
        <row r="4">
          <cell r="I4">
            <v>0</v>
          </cell>
        </row>
      </sheetData>
      <sheetData sheetId="3881">
        <row r="4">
          <cell r="I4">
            <v>0</v>
          </cell>
        </row>
      </sheetData>
      <sheetData sheetId="3882">
        <row r="4">
          <cell r="I4">
            <v>0</v>
          </cell>
        </row>
      </sheetData>
      <sheetData sheetId="3883">
        <row r="4">
          <cell r="I4">
            <v>0</v>
          </cell>
        </row>
      </sheetData>
      <sheetData sheetId="3884">
        <row r="4">
          <cell r="I4">
            <v>0</v>
          </cell>
        </row>
      </sheetData>
      <sheetData sheetId="3885">
        <row r="4">
          <cell r="I4">
            <v>0</v>
          </cell>
        </row>
      </sheetData>
      <sheetData sheetId="3886">
        <row r="4">
          <cell r="I4">
            <v>0</v>
          </cell>
        </row>
      </sheetData>
      <sheetData sheetId="3887">
        <row r="4">
          <cell r="I4">
            <v>0</v>
          </cell>
        </row>
      </sheetData>
      <sheetData sheetId="3888">
        <row r="4">
          <cell r="I4">
            <v>0</v>
          </cell>
        </row>
      </sheetData>
      <sheetData sheetId="3889">
        <row r="4">
          <cell r="I4">
            <v>0</v>
          </cell>
        </row>
      </sheetData>
      <sheetData sheetId="3890">
        <row r="4">
          <cell r="I4">
            <v>0</v>
          </cell>
        </row>
      </sheetData>
      <sheetData sheetId="3891">
        <row r="4">
          <cell r="I4">
            <v>0</v>
          </cell>
        </row>
      </sheetData>
      <sheetData sheetId="3892">
        <row r="4">
          <cell r="I4">
            <v>0</v>
          </cell>
        </row>
      </sheetData>
      <sheetData sheetId="3893">
        <row r="4">
          <cell r="I4">
            <v>0</v>
          </cell>
        </row>
      </sheetData>
      <sheetData sheetId="3894">
        <row r="4">
          <cell r="I4">
            <v>0</v>
          </cell>
        </row>
      </sheetData>
      <sheetData sheetId="3895">
        <row r="4">
          <cell r="I4">
            <v>0</v>
          </cell>
        </row>
      </sheetData>
      <sheetData sheetId="3896">
        <row r="4">
          <cell r="I4">
            <v>0</v>
          </cell>
        </row>
      </sheetData>
      <sheetData sheetId="3897">
        <row r="4">
          <cell r="I4">
            <v>0</v>
          </cell>
        </row>
      </sheetData>
      <sheetData sheetId="3898">
        <row r="4">
          <cell r="I4">
            <v>0</v>
          </cell>
        </row>
      </sheetData>
      <sheetData sheetId="3899">
        <row r="4">
          <cell r="I4">
            <v>0</v>
          </cell>
        </row>
      </sheetData>
      <sheetData sheetId="3900">
        <row r="4">
          <cell r="I4">
            <v>0</v>
          </cell>
        </row>
      </sheetData>
      <sheetData sheetId="3901">
        <row r="4">
          <cell r="I4">
            <v>0</v>
          </cell>
        </row>
      </sheetData>
      <sheetData sheetId="3902">
        <row r="4">
          <cell r="I4">
            <v>0</v>
          </cell>
        </row>
      </sheetData>
      <sheetData sheetId="3903">
        <row r="4">
          <cell r="I4">
            <v>0</v>
          </cell>
        </row>
      </sheetData>
      <sheetData sheetId="3904">
        <row r="4">
          <cell r="I4">
            <v>0</v>
          </cell>
        </row>
      </sheetData>
      <sheetData sheetId="3905">
        <row r="4">
          <cell r="I4">
            <v>0</v>
          </cell>
        </row>
      </sheetData>
      <sheetData sheetId="3906">
        <row r="4">
          <cell r="I4">
            <v>0</v>
          </cell>
        </row>
      </sheetData>
      <sheetData sheetId="3907">
        <row r="4">
          <cell r="I4">
            <v>0</v>
          </cell>
        </row>
      </sheetData>
      <sheetData sheetId="3908">
        <row r="4">
          <cell r="I4">
            <v>0</v>
          </cell>
        </row>
      </sheetData>
      <sheetData sheetId="3909">
        <row r="4">
          <cell r="I4">
            <v>0</v>
          </cell>
        </row>
      </sheetData>
      <sheetData sheetId="3910">
        <row r="4">
          <cell r="I4">
            <v>0</v>
          </cell>
        </row>
      </sheetData>
      <sheetData sheetId="3911">
        <row r="4">
          <cell r="I4">
            <v>0</v>
          </cell>
        </row>
      </sheetData>
      <sheetData sheetId="3912">
        <row r="4">
          <cell r="I4">
            <v>0</v>
          </cell>
        </row>
      </sheetData>
      <sheetData sheetId="3913">
        <row r="4">
          <cell r="I4">
            <v>0</v>
          </cell>
        </row>
      </sheetData>
      <sheetData sheetId="3914">
        <row r="4">
          <cell r="I4">
            <v>0</v>
          </cell>
        </row>
      </sheetData>
      <sheetData sheetId="3915">
        <row r="4">
          <cell r="I4">
            <v>0</v>
          </cell>
        </row>
      </sheetData>
      <sheetData sheetId="3916">
        <row r="4">
          <cell r="I4">
            <v>0</v>
          </cell>
        </row>
      </sheetData>
      <sheetData sheetId="3917">
        <row r="4">
          <cell r="I4">
            <v>0</v>
          </cell>
        </row>
      </sheetData>
      <sheetData sheetId="3918">
        <row r="4">
          <cell r="I4">
            <v>0</v>
          </cell>
        </row>
      </sheetData>
      <sheetData sheetId="3919">
        <row r="4">
          <cell r="I4">
            <v>0</v>
          </cell>
        </row>
      </sheetData>
      <sheetData sheetId="3920">
        <row r="4">
          <cell r="I4">
            <v>0</v>
          </cell>
        </row>
      </sheetData>
      <sheetData sheetId="3921">
        <row r="4">
          <cell r="I4">
            <v>0</v>
          </cell>
        </row>
      </sheetData>
      <sheetData sheetId="3922">
        <row r="4">
          <cell r="I4">
            <v>0</v>
          </cell>
        </row>
      </sheetData>
      <sheetData sheetId="3923">
        <row r="4">
          <cell r="I4">
            <v>0</v>
          </cell>
        </row>
      </sheetData>
      <sheetData sheetId="3924">
        <row r="4">
          <cell r="I4">
            <v>0</v>
          </cell>
        </row>
      </sheetData>
      <sheetData sheetId="3925">
        <row r="4">
          <cell r="I4">
            <v>0</v>
          </cell>
        </row>
      </sheetData>
      <sheetData sheetId="3926">
        <row r="4">
          <cell r="I4">
            <v>0</v>
          </cell>
        </row>
      </sheetData>
      <sheetData sheetId="3927">
        <row r="4">
          <cell r="I4">
            <v>0</v>
          </cell>
        </row>
      </sheetData>
      <sheetData sheetId="3928">
        <row r="4">
          <cell r="I4">
            <v>0</v>
          </cell>
        </row>
      </sheetData>
      <sheetData sheetId="3929">
        <row r="4">
          <cell r="I4">
            <v>0</v>
          </cell>
        </row>
      </sheetData>
      <sheetData sheetId="3930">
        <row r="4">
          <cell r="I4">
            <v>0</v>
          </cell>
        </row>
      </sheetData>
      <sheetData sheetId="3931">
        <row r="4">
          <cell r="I4">
            <v>0</v>
          </cell>
        </row>
      </sheetData>
      <sheetData sheetId="3932">
        <row r="4">
          <cell r="I4">
            <v>0</v>
          </cell>
        </row>
      </sheetData>
      <sheetData sheetId="3933">
        <row r="4">
          <cell r="I4">
            <v>0</v>
          </cell>
        </row>
      </sheetData>
      <sheetData sheetId="3934">
        <row r="4">
          <cell r="I4">
            <v>0</v>
          </cell>
        </row>
      </sheetData>
      <sheetData sheetId="3935">
        <row r="4">
          <cell r="I4">
            <v>0</v>
          </cell>
        </row>
      </sheetData>
      <sheetData sheetId="3936">
        <row r="4">
          <cell r="I4">
            <v>0</v>
          </cell>
        </row>
      </sheetData>
      <sheetData sheetId="3937">
        <row r="4">
          <cell r="I4">
            <v>0</v>
          </cell>
        </row>
      </sheetData>
      <sheetData sheetId="3938">
        <row r="4">
          <cell r="I4">
            <v>0</v>
          </cell>
        </row>
      </sheetData>
      <sheetData sheetId="3939">
        <row r="4">
          <cell r="I4">
            <v>0</v>
          </cell>
        </row>
      </sheetData>
      <sheetData sheetId="3940">
        <row r="4">
          <cell r="I4">
            <v>0</v>
          </cell>
        </row>
      </sheetData>
      <sheetData sheetId="3941">
        <row r="4">
          <cell r="I4">
            <v>0</v>
          </cell>
        </row>
      </sheetData>
      <sheetData sheetId="3942">
        <row r="4">
          <cell r="I4">
            <v>0</v>
          </cell>
        </row>
      </sheetData>
      <sheetData sheetId="3943">
        <row r="4">
          <cell r="I4">
            <v>0</v>
          </cell>
        </row>
      </sheetData>
      <sheetData sheetId="3944">
        <row r="4">
          <cell r="I4">
            <v>0</v>
          </cell>
        </row>
      </sheetData>
      <sheetData sheetId="3945">
        <row r="4">
          <cell r="I4">
            <v>0</v>
          </cell>
        </row>
      </sheetData>
      <sheetData sheetId="3946">
        <row r="4">
          <cell r="I4">
            <v>0</v>
          </cell>
        </row>
      </sheetData>
      <sheetData sheetId="3947">
        <row r="4">
          <cell r="I4">
            <v>0</v>
          </cell>
        </row>
      </sheetData>
      <sheetData sheetId="3948">
        <row r="4">
          <cell r="I4">
            <v>0</v>
          </cell>
        </row>
      </sheetData>
      <sheetData sheetId="3949">
        <row r="4">
          <cell r="I4">
            <v>0</v>
          </cell>
        </row>
      </sheetData>
      <sheetData sheetId="3950">
        <row r="4">
          <cell r="I4">
            <v>0</v>
          </cell>
        </row>
      </sheetData>
      <sheetData sheetId="3951">
        <row r="4">
          <cell r="I4">
            <v>0</v>
          </cell>
        </row>
      </sheetData>
      <sheetData sheetId="3952">
        <row r="4">
          <cell r="I4">
            <v>0</v>
          </cell>
        </row>
      </sheetData>
      <sheetData sheetId="3953">
        <row r="4">
          <cell r="I4">
            <v>0</v>
          </cell>
        </row>
      </sheetData>
      <sheetData sheetId="3954">
        <row r="4">
          <cell r="I4">
            <v>0</v>
          </cell>
        </row>
      </sheetData>
      <sheetData sheetId="3955">
        <row r="4">
          <cell r="I4">
            <v>0</v>
          </cell>
        </row>
      </sheetData>
      <sheetData sheetId="3956">
        <row r="4">
          <cell r="I4">
            <v>0</v>
          </cell>
        </row>
      </sheetData>
      <sheetData sheetId="3957">
        <row r="4">
          <cell r="I4">
            <v>0</v>
          </cell>
        </row>
      </sheetData>
      <sheetData sheetId="3958">
        <row r="4">
          <cell r="I4">
            <v>0</v>
          </cell>
        </row>
      </sheetData>
      <sheetData sheetId="3959">
        <row r="4">
          <cell r="I4">
            <v>0</v>
          </cell>
        </row>
      </sheetData>
      <sheetData sheetId="3960">
        <row r="4">
          <cell r="I4">
            <v>0</v>
          </cell>
        </row>
      </sheetData>
      <sheetData sheetId="3961">
        <row r="4">
          <cell r="I4">
            <v>0</v>
          </cell>
        </row>
      </sheetData>
      <sheetData sheetId="3962">
        <row r="4">
          <cell r="I4">
            <v>0</v>
          </cell>
        </row>
      </sheetData>
      <sheetData sheetId="3963">
        <row r="4">
          <cell r="I4">
            <v>0</v>
          </cell>
        </row>
      </sheetData>
      <sheetData sheetId="3964">
        <row r="4">
          <cell r="I4">
            <v>0</v>
          </cell>
        </row>
      </sheetData>
      <sheetData sheetId="3965">
        <row r="4">
          <cell r="I4">
            <v>0</v>
          </cell>
        </row>
      </sheetData>
      <sheetData sheetId="3966">
        <row r="4">
          <cell r="I4">
            <v>0</v>
          </cell>
        </row>
      </sheetData>
      <sheetData sheetId="3967">
        <row r="4">
          <cell r="I4">
            <v>0</v>
          </cell>
        </row>
      </sheetData>
      <sheetData sheetId="3968">
        <row r="4">
          <cell r="I4">
            <v>0</v>
          </cell>
        </row>
      </sheetData>
      <sheetData sheetId="3969">
        <row r="4">
          <cell r="I4">
            <v>0</v>
          </cell>
        </row>
      </sheetData>
      <sheetData sheetId="3970">
        <row r="4">
          <cell r="I4">
            <v>0</v>
          </cell>
        </row>
      </sheetData>
      <sheetData sheetId="3971">
        <row r="4">
          <cell r="I4">
            <v>0</v>
          </cell>
        </row>
      </sheetData>
      <sheetData sheetId="3972">
        <row r="4">
          <cell r="I4">
            <v>0</v>
          </cell>
        </row>
      </sheetData>
      <sheetData sheetId="3973">
        <row r="4">
          <cell r="I4">
            <v>0</v>
          </cell>
        </row>
      </sheetData>
      <sheetData sheetId="3974">
        <row r="4">
          <cell r="I4">
            <v>0</v>
          </cell>
        </row>
      </sheetData>
      <sheetData sheetId="3975">
        <row r="4">
          <cell r="I4">
            <v>0</v>
          </cell>
        </row>
      </sheetData>
      <sheetData sheetId="3976">
        <row r="4">
          <cell r="I4">
            <v>0</v>
          </cell>
        </row>
      </sheetData>
      <sheetData sheetId="3977">
        <row r="4">
          <cell r="I4">
            <v>0</v>
          </cell>
        </row>
      </sheetData>
      <sheetData sheetId="3978">
        <row r="4">
          <cell r="I4">
            <v>0</v>
          </cell>
        </row>
      </sheetData>
      <sheetData sheetId="3979">
        <row r="4">
          <cell r="I4">
            <v>0</v>
          </cell>
        </row>
      </sheetData>
      <sheetData sheetId="3980">
        <row r="4">
          <cell r="I4">
            <v>0</v>
          </cell>
        </row>
      </sheetData>
      <sheetData sheetId="3981">
        <row r="4">
          <cell r="I4">
            <v>0</v>
          </cell>
        </row>
      </sheetData>
      <sheetData sheetId="3982">
        <row r="4">
          <cell r="I4">
            <v>0</v>
          </cell>
        </row>
      </sheetData>
      <sheetData sheetId="3983">
        <row r="4">
          <cell r="I4">
            <v>0</v>
          </cell>
        </row>
      </sheetData>
      <sheetData sheetId="3984">
        <row r="4">
          <cell r="I4">
            <v>0</v>
          </cell>
        </row>
      </sheetData>
      <sheetData sheetId="3985">
        <row r="4">
          <cell r="I4">
            <v>0</v>
          </cell>
        </row>
      </sheetData>
      <sheetData sheetId="3986">
        <row r="4">
          <cell r="I4">
            <v>0</v>
          </cell>
        </row>
      </sheetData>
      <sheetData sheetId="3987">
        <row r="4">
          <cell r="I4">
            <v>0</v>
          </cell>
        </row>
      </sheetData>
      <sheetData sheetId="3988">
        <row r="4">
          <cell r="I4">
            <v>0</v>
          </cell>
        </row>
      </sheetData>
      <sheetData sheetId="3989">
        <row r="4">
          <cell r="I4">
            <v>0</v>
          </cell>
        </row>
      </sheetData>
      <sheetData sheetId="3990">
        <row r="4">
          <cell r="I4">
            <v>0</v>
          </cell>
        </row>
      </sheetData>
      <sheetData sheetId="3991">
        <row r="4">
          <cell r="I4">
            <v>0</v>
          </cell>
        </row>
      </sheetData>
      <sheetData sheetId="3992">
        <row r="4">
          <cell r="I4">
            <v>0</v>
          </cell>
        </row>
      </sheetData>
      <sheetData sheetId="3993">
        <row r="4">
          <cell r="I4">
            <v>0</v>
          </cell>
        </row>
      </sheetData>
      <sheetData sheetId="3994">
        <row r="4">
          <cell r="I4">
            <v>0</v>
          </cell>
        </row>
      </sheetData>
      <sheetData sheetId="3995">
        <row r="4">
          <cell r="I4">
            <v>0</v>
          </cell>
        </row>
      </sheetData>
      <sheetData sheetId="3996">
        <row r="4">
          <cell r="I4">
            <v>0</v>
          </cell>
        </row>
      </sheetData>
      <sheetData sheetId="3997">
        <row r="4">
          <cell r="I4">
            <v>0</v>
          </cell>
        </row>
      </sheetData>
      <sheetData sheetId="3998">
        <row r="4">
          <cell r="I4">
            <v>0</v>
          </cell>
        </row>
      </sheetData>
      <sheetData sheetId="3999">
        <row r="4">
          <cell r="I4">
            <v>0</v>
          </cell>
        </row>
      </sheetData>
      <sheetData sheetId="4000">
        <row r="4">
          <cell r="I4">
            <v>0</v>
          </cell>
        </row>
      </sheetData>
      <sheetData sheetId="4001">
        <row r="4">
          <cell r="I4">
            <v>0</v>
          </cell>
        </row>
      </sheetData>
      <sheetData sheetId="4002">
        <row r="4">
          <cell r="I4">
            <v>0</v>
          </cell>
        </row>
      </sheetData>
      <sheetData sheetId="4003">
        <row r="4">
          <cell r="I4">
            <v>0</v>
          </cell>
        </row>
      </sheetData>
      <sheetData sheetId="4004">
        <row r="4">
          <cell r="I4">
            <v>0</v>
          </cell>
        </row>
      </sheetData>
      <sheetData sheetId="4005">
        <row r="4">
          <cell r="I4">
            <v>0</v>
          </cell>
        </row>
      </sheetData>
      <sheetData sheetId="4006">
        <row r="4">
          <cell r="I4">
            <v>0</v>
          </cell>
        </row>
      </sheetData>
      <sheetData sheetId="4007">
        <row r="4">
          <cell r="I4">
            <v>0</v>
          </cell>
        </row>
      </sheetData>
      <sheetData sheetId="4008">
        <row r="4">
          <cell r="I4">
            <v>0</v>
          </cell>
        </row>
      </sheetData>
      <sheetData sheetId="4009">
        <row r="4">
          <cell r="I4">
            <v>0</v>
          </cell>
        </row>
      </sheetData>
      <sheetData sheetId="4010">
        <row r="4">
          <cell r="I4">
            <v>0</v>
          </cell>
        </row>
      </sheetData>
      <sheetData sheetId="4011">
        <row r="4">
          <cell r="I4">
            <v>0</v>
          </cell>
        </row>
      </sheetData>
      <sheetData sheetId="4012">
        <row r="4">
          <cell r="I4">
            <v>0</v>
          </cell>
        </row>
      </sheetData>
      <sheetData sheetId="4013">
        <row r="4">
          <cell r="I4">
            <v>0</v>
          </cell>
        </row>
      </sheetData>
      <sheetData sheetId="4014">
        <row r="4">
          <cell r="I4">
            <v>0</v>
          </cell>
        </row>
      </sheetData>
      <sheetData sheetId="4015">
        <row r="4">
          <cell r="I4">
            <v>0</v>
          </cell>
        </row>
      </sheetData>
      <sheetData sheetId="4016">
        <row r="4">
          <cell r="I4">
            <v>0</v>
          </cell>
        </row>
      </sheetData>
      <sheetData sheetId="4017">
        <row r="4">
          <cell r="I4">
            <v>0</v>
          </cell>
        </row>
      </sheetData>
      <sheetData sheetId="4018">
        <row r="4">
          <cell r="I4">
            <v>0</v>
          </cell>
        </row>
      </sheetData>
      <sheetData sheetId="4019">
        <row r="4">
          <cell r="I4">
            <v>0</v>
          </cell>
        </row>
      </sheetData>
      <sheetData sheetId="4020">
        <row r="4">
          <cell r="I4">
            <v>0</v>
          </cell>
        </row>
      </sheetData>
      <sheetData sheetId="4021">
        <row r="4">
          <cell r="I4">
            <v>0</v>
          </cell>
        </row>
      </sheetData>
      <sheetData sheetId="4022">
        <row r="4">
          <cell r="I4">
            <v>0</v>
          </cell>
        </row>
      </sheetData>
      <sheetData sheetId="4023">
        <row r="4">
          <cell r="I4">
            <v>0</v>
          </cell>
        </row>
      </sheetData>
      <sheetData sheetId="4024">
        <row r="4">
          <cell r="I4">
            <v>0</v>
          </cell>
        </row>
      </sheetData>
      <sheetData sheetId="4025">
        <row r="4">
          <cell r="I4">
            <v>0</v>
          </cell>
        </row>
      </sheetData>
      <sheetData sheetId="4026">
        <row r="4">
          <cell r="I4">
            <v>0</v>
          </cell>
        </row>
      </sheetData>
      <sheetData sheetId="4027">
        <row r="4">
          <cell r="I4">
            <v>0</v>
          </cell>
        </row>
      </sheetData>
      <sheetData sheetId="4028">
        <row r="4">
          <cell r="I4">
            <v>0</v>
          </cell>
        </row>
      </sheetData>
      <sheetData sheetId="4029">
        <row r="4">
          <cell r="I4">
            <v>0</v>
          </cell>
        </row>
      </sheetData>
      <sheetData sheetId="4030">
        <row r="4">
          <cell r="I4">
            <v>0</v>
          </cell>
        </row>
      </sheetData>
      <sheetData sheetId="4031">
        <row r="4">
          <cell r="I4">
            <v>0</v>
          </cell>
        </row>
      </sheetData>
      <sheetData sheetId="4032">
        <row r="4">
          <cell r="I4">
            <v>0</v>
          </cell>
        </row>
      </sheetData>
      <sheetData sheetId="4033">
        <row r="4">
          <cell r="I4">
            <v>0</v>
          </cell>
        </row>
      </sheetData>
      <sheetData sheetId="4034">
        <row r="4">
          <cell r="I4">
            <v>0</v>
          </cell>
        </row>
      </sheetData>
      <sheetData sheetId="4035">
        <row r="4">
          <cell r="I4">
            <v>0</v>
          </cell>
        </row>
      </sheetData>
      <sheetData sheetId="4036">
        <row r="4">
          <cell r="I4">
            <v>0</v>
          </cell>
        </row>
      </sheetData>
      <sheetData sheetId="4037">
        <row r="4">
          <cell r="I4">
            <v>0</v>
          </cell>
        </row>
      </sheetData>
      <sheetData sheetId="4038">
        <row r="4">
          <cell r="I4">
            <v>0</v>
          </cell>
        </row>
      </sheetData>
      <sheetData sheetId="4039">
        <row r="4">
          <cell r="I4">
            <v>0</v>
          </cell>
        </row>
      </sheetData>
      <sheetData sheetId="4040">
        <row r="4">
          <cell r="I4">
            <v>0</v>
          </cell>
        </row>
      </sheetData>
      <sheetData sheetId="4041">
        <row r="4">
          <cell r="I4">
            <v>0</v>
          </cell>
        </row>
      </sheetData>
      <sheetData sheetId="4042">
        <row r="4">
          <cell r="I4">
            <v>0</v>
          </cell>
        </row>
      </sheetData>
      <sheetData sheetId="4043">
        <row r="4">
          <cell r="I4">
            <v>0</v>
          </cell>
        </row>
      </sheetData>
      <sheetData sheetId="4044">
        <row r="4">
          <cell r="I4">
            <v>0</v>
          </cell>
        </row>
      </sheetData>
      <sheetData sheetId="4045">
        <row r="4">
          <cell r="I4">
            <v>0</v>
          </cell>
        </row>
      </sheetData>
      <sheetData sheetId="4046">
        <row r="4">
          <cell r="I4">
            <v>0</v>
          </cell>
        </row>
      </sheetData>
      <sheetData sheetId="4047">
        <row r="4">
          <cell r="I4">
            <v>0</v>
          </cell>
        </row>
      </sheetData>
      <sheetData sheetId="4048">
        <row r="4">
          <cell r="I4">
            <v>0</v>
          </cell>
        </row>
      </sheetData>
      <sheetData sheetId="4049">
        <row r="4">
          <cell r="I4">
            <v>0</v>
          </cell>
        </row>
      </sheetData>
      <sheetData sheetId="4050">
        <row r="4">
          <cell r="I4">
            <v>0</v>
          </cell>
        </row>
      </sheetData>
      <sheetData sheetId="4051">
        <row r="4">
          <cell r="I4">
            <v>0</v>
          </cell>
        </row>
      </sheetData>
      <sheetData sheetId="4052">
        <row r="4">
          <cell r="I4">
            <v>0</v>
          </cell>
        </row>
      </sheetData>
      <sheetData sheetId="4053">
        <row r="4">
          <cell r="I4">
            <v>0</v>
          </cell>
        </row>
      </sheetData>
      <sheetData sheetId="4054">
        <row r="4">
          <cell r="I4">
            <v>0</v>
          </cell>
        </row>
      </sheetData>
      <sheetData sheetId="4055">
        <row r="4">
          <cell r="I4">
            <v>0</v>
          </cell>
        </row>
      </sheetData>
      <sheetData sheetId="4056">
        <row r="4">
          <cell r="I4">
            <v>0</v>
          </cell>
        </row>
      </sheetData>
      <sheetData sheetId="4057">
        <row r="4">
          <cell r="I4">
            <v>0</v>
          </cell>
        </row>
      </sheetData>
      <sheetData sheetId="4058">
        <row r="4">
          <cell r="I4">
            <v>0</v>
          </cell>
        </row>
      </sheetData>
      <sheetData sheetId="4059">
        <row r="4">
          <cell r="I4">
            <v>0</v>
          </cell>
        </row>
      </sheetData>
      <sheetData sheetId="4060">
        <row r="4">
          <cell r="I4">
            <v>0</v>
          </cell>
        </row>
      </sheetData>
      <sheetData sheetId="4061">
        <row r="4">
          <cell r="I4">
            <v>0</v>
          </cell>
        </row>
      </sheetData>
      <sheetData sheetId="4062">
        <row r="4">
          <cell r="I4">
            <v>0</v>
          </cell>
        </row>
      </sheetData>
      <sheetData sheetId="4063">
        <row r="4">
          <cell r="I4">
            <v>0</v>
          </cell>
        </row>
      </sheetData>
      <sheetData sheetId="4064">
        <row r="4">
          <cell r="I4">
            <v>0</v>
          </cell>
        </row>
      </sheetData>
      <sheetData sheetId="4065">
        <row r="4">
          <cell r="I4">
            <v>0</v>
          </cell>
        </row>
      </sheetData>
      <sheetData sheetId="4066">
        <row r="4">
          <cell r="I4">
            <v>0</v>
          </cell>
        </row>
      </sheetData>
      <sheetData sheetId="4067">
        <row r="4">
          <cell r="I4">
            <v>0</v>
          </cell>
        </row>
      </sheetData>
      <sheetData sheetId="4068">
        <row r="4">
          <cell r="I4">
            <v>0</v>
          </cell>
        </row>
      </sheetData>
      <sheetData sheetId="4069">
        <row r="4">
          <cell r="I4">
            <v>0</v>
          </cell>
        </row>
      </sheetData>
      <sheetData sheetId="4070">
        <row r="4">
          <cell r="I4">
            <v>0</v>
          </cell>
        </row>
      </sheetData>
      <sheetData sheetId="4071">
        <row r="4">
          <cell r="I4">
            <v>0</v>
          </cell>
        </row>
      </sheetData>
      <sheetData sheetId="4072">
        <row r="4">
          <cell r="I4">
            <v>0</v>
          </cell>
        </row>
      </sheetData>
      <sheetData sheetId="4073">
        <row r="4">
          <cell r="I4">
            <v>0</v>
          </cell>
        </row>
      </sheetData>
      <sheetData sheetId="4074">
        <row r="4">
          <cell r="I4">
            <v>0</v>
          </cell>
        </row>
      </sheetData>
      <sheetData sheetId="4075">
        <row r="4">
          <cell r="I4">
            <v>0</v>
          </cell>
        </row>
      </sheetData>
      <sheetData sheetId="4076">
        <row r="4">
          <cell r="I4">
            <v>0</v>
          </cell>
        </row>
      </sheetData>
      <sheetData sheetId="4077">
        <row r="4">
          <cell r="I4">
            <v>0</v>
          </cell>
        </row>
      </sheetData>
      <sheetData sheetId="4078">
        <row r="4">
          <cell r="I4">
            <v>0</v>
          </cell>
        </row>
      </sheetData>
      <sheetData sheetId="4079">
        <row r="4">
          <cell r="I4">
            <v>0</v>
          </cell>
        </row>
      </sheetData>
      <sheetData sheetId="4080">
        <row r="4">
          <cell r="I4">
            <v>0</v>
          </cell>
        </row>
      </sheetData>
      <sheetData sheetId="4081">
        <row r="4">
          <cell r="I4">
            <v>0</v>
          </cell>
        </row>
      </sheetData>
      <sheetData sheetId="4082">
        <row r="4">
          <cell r="I4">
            <v>0</v>
          </cell>
        </row>
      </sheetData>
      <sheetData sheetId="4083">
        <row r="4">
          <cell r="I4">
            <v>0</v>
          </cell>
        </row>
      </sheetData>
      <sheetData sheetId="4084">
        <row r="4">
          <cell r="I4">
            <v>0</v>
          </cell>
        </row>
      </sheetData>
      <sheetData sheetId="4085">
        <row r="4">
          <cell r="I4">
            <v>0</v>
          </cell>
        </row>
      </sheetData>
      <sheetData sheetId="4086">
        <row r="4">
          <cell r="I4">
            <v>0</v>
          </cell>
        </row>
      </sheetData>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ow r="4">
          <cell r="I4">
            <v>0</v>
          </cell>
        </row>
      </sheetData>
      <sheetData sheetId="4127">
        <row r="4">
          <cell r="I4">
            <v>0</v>
          </cell>
        </row>
      </sheetData>
      <sheetData sheetId="4128">
        <row r="4">
          <cell r="I4">
            <v>0</v>
          </cell>
        </row>
      </sheetData>
      <sheetData sheetId="4129">
        <row r="4">
          <cell r="I4">
            <v>0</v>
          </cell>
        </row>
      </sheetData>
      <sheetData sheetId="4130">
        <row r="4">
          <cell r="I4">
            <v>0</v>
          </cell>
        </row>
      </sheetData>
      <sheetData sheetId="4131">
        <row r="4">
          <cell r="I4">
            <v>0</v>
          </cell>
        </row>
      </sheetData>
      <sheetData sheetId="4132">
        <row r="4">
          <cell r="I4">
            <v>0</v>
          </cell>
        </row>
      </sheetData>
      <sheetData sheetId="4133">
        <row r="4">
          <cell r="I4">
            <v>0</v>
          </cell>
        </row>
      </sheetData>
      <sheetData sheetId="4134">
        <row r="4">
          <cell r="I4">
            <v>0</v>
          </cell>
        </row>
      </sheetData>
      <sheetData sheetId="4135">
        <row r="4">
          <cell r="I4">
            <v>0</v>
          </cell>
        </row>
      </sheetData>
      <sheetData sheetId="4136">
        <row r="4">
          <cell r="I4">
            <v>0</v>
          </cell>
        </row>
      </sheetData>
      <sheetData sheetId="4137">
        <row r="4">
          <cell r="I4">
            <v>0</v>
          </cell>
        </row>
      </sheetData>
      <sheetData sheetId="4138">
        <row r="4">
          <cell r="I4">
            <v>0</v>
          </cell>
        </row>
      </sheetData>
      <sheetData sheetId="4139">
        <row r="4">
          <cell r="I4">
            <v>0</v>
          </cell>
        </row>
      </sheetData>
      <sheetData sheetId="4140">
        <row r="4">
          <cell r="I4">
            <v>0</v>
          </cell>
        </row>
      </sheetData>
      <sheetData sheetId="4141">
        <row r="4">
          <cell r="I4">
            <v>0</v>
          </cell>
        </row>
      </sheetData>
      <sheetData sheetId="4142">
        <row r="4">
          <cell r="I4">
            <v>0</v>
          </cell>
        </row>
      </sheetData>
      <sheetData sheetId="4143">
        <row r="4">
          <cell r="I4">
            <v>0</v>
          </cell>
        </row>
      </sheetData>
      <sheetData sheetId="4144">
        <row r="4">
          <cell r="I4">
            <v>0</v>
          </cell>
        </row>
      </sheetData>
      <sheetData sheetId="4145">
        <row r="4">
          <cell r="I4">
            <v>0</v>
          </cell>
        </row>
      </sheetData>
      <sheetData sheetId="4146">
        <row r="4">
          <cell r="I4">
            <v>0</v>
          </cell>
        </row>
      </sheetData>
      <sheetData sheetId="4147" refreshError="1"/>
      <sheetData sheetId="4148" refreshError="1"/>
      <sheetData sheetId="4149" refreshError="1"/>
      <sheetData sheetId="4150" refreshError="1"/>
      <sheetData sheetId="4151">
        <row r="4">
          <cell r="I4">
            <v>0</v>
          </cell>
        </row>
      </sheetData>
      <sheetData sheetId="4152" refreshError="1"/>
      <sheetData sheetId="4153" refreshError="1"/>
      <sheetData sheetId="4154" refreshError="1"/>
      <sheetData sheetId="4155" refreshError="1"/>
      <sheetData sheetId="4156" refreshError="1"/>
      <sheetData sheetId="4157" refreshError="1"/>
      <sheetData sheetId="4158">
        <row r="4">
          <cell r="I4">
            <v>0</v>
          </cell>
        </row>
      </sheetData>
      <sheetData sheetId="4159">
        <row r="4">
          <cell r="I4">
            <v>0</v>
          </cell>
        </row>
      </sheetData>
      <sheetData sheetId="4160">
        <row r="4">
          <cell r="I4">
            <v>0</v>
          </cell>
        </row>
      </sheetData>
      <sheetData sheetId="4161">
        <row r="4">
          <cell r="I4">
            <v>0</v>
          </cell>
        </row>
      </sheetData>
      <sheetData sheetId="4162">
        <row r="4">
          <cell r="I4">
            <v>0</v>
          </cell>
        </row>
      </sheetData>
      <sheetData sheetId="4163">
        <row r="4">
          <cell r="I4">
            <v>0</v>
          </cell>
        </row>
      </sheetData>
      <sheetData sheetId="4164">
        <row r="4">
          <cell r="I4">
            <v>0</v>
          </cell>
        </row>
      </sheetData>
      <sheetData sheetId="4165">
        <row r="4">
          <cell r="I4">
            <v>0</v>
          </cell>
        </row>
      </sheetData>
      <sheetData sheetId="4166">
        <row r="4">
          <cell r="I4">
            <v>0</v>
          </cell>
        </row>
      </sheetData>
      <sheetData sheetId="4167">
        <row r="4">
          <cell r="I4">
            <v>0</v>
          </cell>
        </row>
      </sheetData>
      <sheetData sheetId="4168">
        <row r="4">
          <cell r="I4">
            <v>0</v>
          </cell>
        </row>
      </sheetData>
      <sheetData sheetId="4169">
        <row r="4">
          <cell r="I4">
            <v>0</v>
          </cell>
        </row>
      </sheetData>
      <sheetData sheetId="4170">
        <row r="4">
          <cell r="I4">
            <v>0</v>
          </cell>
        </row>
      </sheetData>
      <sheetData sheetId="4171">
        <row r="4">
          <cell r="I4">
            <v>0</v>
          </cell>
        </row>
      </sheetData>
      <sheetData sheetId="4172">
        <row r="4">
          <cell r="I4">
            <v>0</v>
          </cell>
        </row>
      </sheetData>
      <sheetData sheetId="4173">
        <row r="4">
          <cell r="I4">
            <v>0</v>
          </cell>
        </row>
      </sheetData>
      <sheetData sheetId="4174">
        <row r="4">
          <cell r="I4">
            <v>0</v>
          </cell>
        </row>
      </sheetData>
      <sheetData sheetId="4175">
        <row r="4">
          <cell r="I4">
            <v>0</v>
          </cell>
        </row>
      </sheetData>
      <sheetData sheetId="4176">
        <row r="4">
          <cell r="I4">
            <v>0</v>
          </cell>
        </row>
      </sheetData>
      <sheetData sheetId="4177">
        <row r="4">
          <cell r="I4">
            <v>0</v>
          </cell>
        </row>
      </sheetData>
      <sheetData sheetId="4178">
        <row r="4">
          <cell r="I4">
            <v>0</v>
          </cell>
        </row>
      </sheetData>
      <sheetData sheetId="4179">
        <row r="4">
          <cell r="I4">
            <v>0</v>
          </cell>
        </row>
      </sheetData>
      <sheetData sheetId="4180">
        <row r="4">
          <cell r="I4">
            <v>0</v>
          </cell>
        </row>
      </sheetData>
      <sheetData sheetId="4181">
        <row r="4">
          <cell r="I4">
            <v>0</v>
          </cell>
        </row>
      </sheetData>
      <sheetData sheetId="4182">
        <row r="4">
          <cell r="I4">
            <v>0</v>
          </cell>
        </row>
      </sheetData>
      <sheetData sheetId="4183">
        <row r="4">
          <cell r="I4">
            <v>0</v>
          </cell>
        </row>
      </sheetData>
      <sheetData sheetId="4184">
        <row r="4">
          <cell r="I4">
            <v>0</v>
          </cell>
        </row>
      </sheetData>
      <sheetData sheetId="4185">
        <row r="4">
          <cell r="I4">
            <v>0</v>
          </cell>
        </row>
      </sheetData>
      <sheetData sheetId="4186">
        <row r="4">
          <cell r="I4">
            <v>0</v>
          </cell>
        </row>
      </sheetData>
      <sheetData sheetId="4187">
        <row r="4">
          <cell r="I4">
            <v>0</v>
          </cell>
        </row>
      </sheetData>
      <sheetData sheetId="4188">
        <row r="4">
          <cell r="I4">
            <v>0</v>
          </cell>
        </row>
      </sheetData>
      <sheetData sheetId="4189">
        <row r="4">
          <cell r="I4">
            <v>0</v>
          </cell>
        </row>
      </sheetData>
      <sheetData sheetId="4190">
        <row r="4">
          <cell r="I4">
            <v>0</v>
          </cell>
        </row>
      </sheetData>
      <sheetData sheetId="4191">
        <row r="4">
          <cell r="I4">
            <v>0</v>
          </cell>
        </row>
      </sheetData>
      <sheetData sheetId="4192">
        <row r="4">
          <cell r="I4">
            <v>0</v>
          </cell>
        </row>
      </sheetData>
      <sheetData sheetId="4193">
        <row r="4">
          <cell r="I4">
            <v>0</v>
          </cell>
        </row>
      </sheetData>
      <sheetData sheetId="4194">
        <row r="4">
          <cell r="I4">
            <v>0</v>
          </cell>
        </row>
      </sheetData>
      <sheetData sheetId="4195">
        <row r="4">
          <cell r="I4">
            <v>0</v>
          </cell>
        </row>
      </sheetData>
      <sheetData sheetId="4196">
        <row r="4">
          <cell r="I4">
            <v>0</v>
          </cell>
        </row>
      </sheetData>
      <sheetData sheetId="4197">
        <row r="4">
          <cell r="I4">
            <v>0</v>
          </cell>
        </row>
      </sheetData>
      <sheetData sheetId="4198">
        <row r="4">
          <cell r="I4">
            <v>0</v>
          </cell>
        </row>
      </sheetData>
      <sheetData sheetId="4199">
        <row r="4">
          <cell r="I4">
            <v>0</v>
          </cell>
        </row>
      </sheetData>
      <sheetData sheetId="4200">
        <row r="4">
          <cell r="I4">
            <v>0</v>
          </cell>
        </row>
      </sheetData>
      <sheetData sheetId="4201">
        <row r="4">
          <cell r="I4">
            <v>0</v>
          </cell>
        </row>
      </sheetData>
      <sheetData sheetId="4202">
        <row r="4">
          <cell r="I4">
            <v>0</v>
          </cell>
        </row>
      </sheetData>
      <sheetData sheetId="4203">
        <row r="4">
          <cell r="I4">
            <v>0</v>
          </cell>
        </row>
      </sheetData>
      <sheetData sheetId="4204">
        <row r="4">
          <cell r="I4">
            <v>0</v>
          </cell>
        </row>
      </sheetData>
      <sheetData sheetId="4205">
        <row r="4">
          <cell r="I4">
            <v>0</v>
          </cell>
        </row>
      </sheetData>
      <sheetData sheetId="4206">
        <row r="4">
          <cell r="I4">
            <v>0</v>
          </cell>
        </row>
      </sheetData>
      <sheetData sheetId="4207">
        <row r="4">
          <cell r="I4">
            <v>0</v>
          </cell>
        </row>
      </sheetData>
      <sheetData sheetId="4208">
        <row r="4">
          <cell r="I4">
            <v>0</v>
          </cell>
        </row>
      </sheetData>
      <sheetData sheetId="4209">
        <row r="4">
          <cell r="I4">
            <v>0</v>
          </cell>
        </row>
      </sheetData>
      <sheetData sheetId="4210">
        <row r="4">
          <cell r="I4">
            <v>0</v>
          </cell>
        </row>
      </sheetData>
      <sheetData sheetId="4211">
        <row r="4">
          <cell r="I4">
            <v>0</v>
          </cell>
        </row>
      </sheetData>
      <sheetData sheetId="4212">
        <row r="4">
          <cell r="I4">
            <v>0</v>
          </cell>
        </row>
      </sheetData>
      <sheetData sheetId="4213">
        <row r="4">
          <cell r="I4">
            <v>0</v>
          </cell>
        </row>
      </sheetData>
      <sheetData sheetId="4214">
        <row r="4">
          <cell r="I4">
            <v>0</v>
          </cell>
        </row>
      </sheetData>
      <sheetData sheetId="4215">
        <row r="4">
          <cell r="I4">
            <v>0</v>
          </cell>
        </row>
      </sheetData>
      <sheetData sheetId="4216">
        <row r="4">
          <cell r="I4">
            <v>0</v>
          </cell>
        </row>
      </sheetData>
      <sheetData sheetId="4217">
        <row r="4">
          <cell r="I4">
            <v>0</v>
          </cell>
        </row>
      </sheetData>
      <sheetData sheetId="4218">
        <row r="4">
          <cell r="I4">
            <v>0</v>
          </cell>
        </row>
      </sheetData>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ow r="4">
          <cell r="I4">
            <v>0</v>
          </cell>
        </row>
      </sheetData>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ow r="4">
          <cell r="I4">
            <v>0</v>
          </cell>
        </row>
      </sheetData>
      <sheetData sheetId="4247" refreshError="1"/>
      <sheetData sheetId="4248" refreshError="1"/>
      <sheetData sheetId="4249">
        <row r="4">
          <cell r="I4">
            <v>0</v>
          </cell>
        </row>
      </sheetData>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ow r="4">
          <cell r="I4">
            <v>0</v>
          </cell>
        </row>
      </sheetData>
      <sheetData sheetId="4282">
        <row r="4">
          <cell r="I4">
            <v>0</v>
          </cell>
        </row>
      </sheetData>
      <sheetData sheetId="4283">
        <row r="4">
          <cell r="I4">
            <v>0</v>
          </cell>
        </row>
      </sheetData>
      <sheetData sheetId="4284">
        <row r="4">
          <cell r="I4">
            <v>0</v>
          </cell>
        </row>
      </sheetData>
      <sheetData sheetId="4285">
        <row r="4">
          <cell r="I4">
            <v>0</v>
          </cell>
        </row>
      </sheetData>
      <sheetData sheetId="4286">
        <row r="4">
          <cell r="I4">
            <v>0</v>
          </cell>
        </row>
      </sheetData>
      <sheetData sheetId="4287">
        <row r="4">
          <cell r="I4">
            <v>0</v>
          </cell>
        </row>
      </sheetData>
      <sheetData sheetId="4288">
        <row r="4">
          <cell r="I4">
            <v>0</v>
          </cell>
        </row>
      </sheetData>
      <sheetData sheetId="4289">
        <row r="4">
          <cell r="I4">
            <v>0</v>
          </cell>
        </row>
      </sheetData>
      <sheetData sheetId="4290">
        <row r="4">
          <cell r="I4">
            <v>0</v>
          </cell>
        </row>
      </sheetData>
      <sheetData sheetId="4291">
        <row r="4">
          <cell r="I4">
            <v>0</v>
          </cell>
        </row>
      </sheetData>
      <sheetData sheetId="4292">
        <row r="4">
          <cell r="I4">
            <v>0</v>
          </cell>
        </row>
      </sheetData>
      <sheetData sheetId="4293">
        <row r="4">
          <cell r="I4">
            <v>0</v>
          </cell>
        </row>
      </sheetData>
      <sheetData sheetId="4294">
        <row r="4">
          <cell r="I4">
            <v>0</v>
          </cell>
        </row>
      </sheetData>
      <sheetData sheetId="4295">
        <row r="4">
          <cell r="I4">
            <v>0</v>
          </cell>
        </row>
      </sheetData>
      <sheetData sheetId="4296">
        <row r="4">
          <cell r="I4">
            <v>0</v>
          </cell>
        </row>
      </sheetData>
      <sheetData sheetId="4297">
        <row r="4">
          <cell r="I4">
            <v>0</v>
          </cell>
        </row>
      </sheetData>
      <sheetData sheetId="4298">
        <row r="4">
          <cell r="I4">
            <v>0</v>
          </cell>
        </row>
      </sheetData>
      <sheetData sheetId="4299">
        <row r="4">
          <cell r="I4">
            <v>0</v>
          </cell>
        </row>
      </sheetData>
      <sheetData sheetId="4300">
        <row r="4">
          <cell r="I4">
            <v>0</v>
          </cell>
        </row>
      </sheetData>
      <sheetData sheetId="4301">
        <row r="4">
          <cell r="I4">
            <v>0</v>
          </cell>
        </row>
      </sheetData>
      <sheetData sheetId="4302">
        <row r="4">
          <cell r="I4">
            <v>0</v>
          </cell>
        </row>
      </sheetData>
      <sheetData sheetId="4303">
        <row r="4">
          <cell r="I4">
            <v>0</v>
          </cell>
        </row>
      </sheetData>
      <sheetData sheetId="4304">
        <row r="4">
          <cell r="I4">
            <v>0</v>
          </cell>
        </row>
      </sheetData>
      <sheetData sheetId="4305">
        <row r="4">
          <cell r="I4">
            <v>0</v>
          </cell>
        </row>
      </sheetData>
      <sheetData sheetId="4306">
        <row r="4">
          <cell r="I4">
            <v>0</v>
          </cell>
        </row>
      </sheetData>
      <sheetData sheetId="4307">
        <row r="4">
          <cell r="I4">
            <v>0</v>
          </cell>
        </row>
      </sheetData>
      <sheetData sheetId="4308">
        <row r="4">
          <cell r="I4">
            <v>0</v>
          </cell>
        </row>
      </sheetData>
      <sheetData sheetId="4309">
        <row r="4">
          <cell r="I4">
            <v>0</v>
          </cell>
        </row>
      </sheetData>
      <sheetData sheetId="4310">
        <row r="4">
          <cell r="I4">
            <v>0</v>
          </cell>
        </row>
      </sheetData>
      <sheetData sheetId="4311">
        <row r="4">
          <cell r="I4">
            <v>0</v>
          </cell>
        </row>
      </sheetData>
      <sheetData sheetId="4312">
        <row r="4">
          <cell r="I4">
            <v>0</v>
          </cell>
        </row>
      </sheetData>
      <sheetData sheetId="4313">
        <row r="4">
          <cell r="I4">
            <v>0</v>
          </cell>
        </row>
      </sheetData>
      <sheetData sheetId="4314">
        <row r="4">
          <cell r="I4">
            <v>0</v>
          </cell>
        </row>
      </sheetData>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ow r="4">
          <cell r="I4">
            <v>0</v>
          </cell>
        </row>
      </sheetData>
      <sheetData sheetId="4326">
        <row r="4">
          <cell r="I4">
            <v>0</v>
          </cell>
        </row>
      </sheetData>
      <sheetData sheetId="4327">
        <row r="4">
          <cell r="I4">
            <v>0</v>
          </cell>
        </row>
      </sheetData>
      <sheetData sheetId="4328">
        <row r="4">
          <cell r="I4">
            <v>0</v>
          </cell>
        </row>
      </sheetData>
      <sheetData sheetId="4329">
        <row r="4">
          <cell r="I4">
            <v>0</v>
          </cell>
        </row>
      </sheetData>
      <sheetData sheetId="4330">
        <row r="4">
          <cell r="I4">
            <v>0</v>
          </cell>
        </row>
      </sheetData>
      <sheetData sheetId="4331">
        <row r="4">
          <cell r="I4">
            <v>0</v>
          </cell>
        </row>
      </sheetData>
      <sheetData sheetId="4332"/>
      <sheetData sheetId="4333"/>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ow r="4">
          <cell r="I4">
            <v>0</v>
          </cell>
        </row>
      </sheetData>
      <sheetData sheetId="4347">
        <row r="4">
          <cell r="I4">
            <v>0</v>
          </cell>
        </row>
      </sheetData>
      <sheetData sheetId="4348">
        <row r="4">
          <cell r="I4">
            <v>0</v>
          </cell>
        </row>
      </sheetData>
      <sheetData sheetId="4349">
        <row r="4">
          <cell r="I4">
            <v>0</v>
          </cell>
        </row>
      </sheetData>
      <sheetData sheetId="4350">
        <row r="4">
          <cell r="I4">
            <v>0</v>
          </cell>
        </row>
      </sheetData>
      <sheetData sheetId="4351">
        <row r="4">
          <cell r="I4">
            <v>0</v>
          </cell>
        </row>
      </sheetData>
      <sheetData sheetId="4352">
        <row r="4">
          <cell r="I4">
            <v>0</v>
          </cell>
        </row>
      </sheetData>
      <sheetData sheetId="4353">
        <row r="4">
          <cell r="I4">
            <v>0</v>
          </cell>
        </row>
      </sheetData>
      <sheetData sheetId="4354">
        <row r="4">
          <cell r="I4">
            <v>0</v>
          </cell>
        </row>
      </sheetData>
      <sheetData sheetId="4355">
        <row r="4">
          <cell r="I4">
            <v>0</v>
          </cell>
        </row>
      </sheetData>
      <sheetData sheetId="4356">
        <row r="4">
          <cell r="I4">
            <v>0</v>
          </cell>
        </row>
      </sheetData>
      <sheetData sheetId="4357">
        <row r="4">
          <cell r="I4">
            <v>0</v>
          </cell>
        </row>
      </sheetData>
      <sheetData sheetId="4358">
        <row r="4">
          <cell r="I4">
            <v>0</v>
          </cell>
        </row>
      </sheetData>
      <sheetData sheetId="4359">
        <row r="4">
          <cell r="I4">
            <v>0</v>
          </cell>
        </row>
      </sheetData>
      <sheetData sheetId="4360">
        <row r="4">
          <cell r="I4">
            <v>0</v>
          </cell>
        </row>
      </sheetData>
      <sheetData sheetId="4361">
        <row r="4">
          <cell r="I4">
            <v>0</v>
          </cell>
        </row>
      </sheetData>
      <sheetData sheetId="4362">
        <row r="4">
          <cell r="I4">
            <v>0</v>
          </cell>
        </row>
      </sheetData>
      <sheetData sheetId="4363">
        <row r="4">
          <cell r="I4">
            <v>0</v>
          </cell>
        </row>
      </sheetData>
      <sheetData sheetId="4364">
        <row r="4">
          <cell r="I4">
            <v>0</v>
          </cell>
        </row>
      </sheetData>
      <sheetData sheetId="4365">
        <row r="4">
          <cell r="I4">
            <v>0</v>
          </cell>
        </row>
      </sheetData>
      <sheetData sheetId="4366">
        <row r="4">
          <cell r="I4">
            <v>0</v>
          </cell>
        </row>
      </sheetData>
      <sheetData sheetId="4367">
        <row r="4">
          <cell r="I4">
            <v>0</v>
          </cell>
        </row>
      </sheetData>
      <sheetData sheetId="4368">
        <row r="4">
          <cell r="I4">
            <v>0</v>
          </cell>
        </row>
      </sheetData>
      <sheetData sheetId="4369">
        <row r="4">
          <cell r="I4">
            <v>0</v>
          </cell>
        </row>
      </sheetData>
      <sheetData sheetId="4370">
        <row r="4">
          <cell r="I4">
            <v>0</v>
          </cell>
        </row>
      </sheetData>
      <sheetData sheetId="4371">
        <row r="4">
          <cell r="I4">
            <v>0</v>
          </cell>
        </row>
      </sheetData>
      <sheetData sheetId="4372">
        <row r="4">
          <cell r="I4">
            <v>0</v>
          </cell>
        </row>
      </sheetData>
      <sheetData sheetId="4373">
        <row r="4">
          <cell r="I4">
            <v>0</v>
          </cell>
        </row>
      </sheetData>
      <sheetData sheetId="4374">
        <row r="4">
          <cell r="I4">
            <v>0</v>
          </cell>
        </row>
      </sheetData>
      <sheetData sheetId="4375">
        <row r="4">
          <cell r="I4">
            <v>0</v>
          </cell>
        </row>
      </sheetData>
      <sheetData sheetId="4376">
        <row r="4">
          <cell r="I4">
            <v>0</v>
          </cell>
        </row>
      </sheetData>
      <sheetData sheetId="4377">
        <row r="4">
          <cell r="I4">
            <v>0</v>
          </cell>
        </row>
      </sheetData>
      <sheetData sheetId="4378">
        <row r="4">
          <cell r="I4">
            <v>0</v>
          </cell>
        </row>
      </sheetData>
      <sheetData sheetId="4379">
        <row r="4">
          <cell r="I4">
            <v>0</v>
          </cell>
        </row>
      </sheetData>
      <sheetData sheetId="4380">
        <row r="4">
          <cell r="I4">
            <v>0</v>
          </cell>
        </row>
      </sheetData>
      <sheetData sheetId="4381">
        <row r="4">
          <cell r="I4">
            <v>0</v>
          </cell>
        </row>
      </sheetData>
      <sheetData sheetId="4382">
        <row r="4">
          <cell r="I4">
            <v>0</v>
          </cell>
        </row>
      </sheetData>
      <sheetData sheetId="4383">
        <row r="4">
          <cell r="I4">
            <v>0</v>
          </cell>
        </row>
      </sheetData>
      <sheetData sheetId="4384">
        <row r="4">
          <cell r="I4">
            <v>0</v>
          </cell>
        </row>
      </sheetData>
      <sheetData sheetId="4385">
        <row r="4">
          <cell r="I4">
            <v>0</v>
          </cell>
        </row>
      </sheetData>
      <sheetData sheetId="4386">
        <row r="4">
          <cell r="I4">
            <v>0</v>
          </cell>
        </row>
      </sheetData>
      <sheetData sheetId="4387">
        <row r="4">
          <cell r="I4">
            <v>0</v>
          </cell>
        </row>
      </sheetData>
      <sheetData sheetId="4388">
        <row r="4">
          <cell r="I4">
            <v>0</v>
          </cell>
        </row>
      </sheetData>
      <sheetData sheetId="4389">
        <row r="4">
          <cell r="I4">
            <v>0</v>
          </cell>
        </row>
      </sheetData>
      <sheetData sheetId="4390">
        <row r="4">
          <cell r="I4">
            <v>0</v>
          </cell>
        </row>
      </sheetData>
      <sheetData sheetId="4391">
        <row r="4">
          <cell r="I4">
            <v>0</v>
          </cell>
        </row>
      </sheetData>
      <sheetData sheetId="4392">
        <row r="4">
          <cell r="I4">
            <v>0</v>
          </cell>
        </row>
      </sheetData>
      <sheetData sheetId="4393">
        <row r="4">
          <cell r="I4">
            <v>0</v>
          </cell>
        </row>
      </sheetData>
      <sheetData sheetId="4394">
        <row r="4">
          <cell r="I4">
            <v>0</v>
          </cell>
        </row>
      </sheetData>
      <sheetData sheetId="4395">
        <row r="4">
          <cell r="I4">
            <v>0</v>
          </cell>
        </row>
      </sheetData>
      <sheetData sheetId="4396">
        <row r="4">
          <cell r="I4">
            <v>0</v>
          </cell>
        </row>
      </sheetData>
      <sheetData sheetId="4397">
        <row r="4">
          <cell r="I4">
            <v>0</v>
          </cell>
        </row>
      </sheetData>
      <sheetData sheetId="4398">
        <row r="4">
          <cell r="I4">
            <v>0</v>
          </cell>
        </row>
      </sheetData>
      <sheetData sheetId="4399">
        <row r="4">
          <cell r="I4">
            <v>0</v>
          </cell>
        </row>
      </sheetData>
      <sheetData sheetId="4400">
        <row r="4">
          <cell r="I4">
            <v>0</v>
          </cell>
        </row>
      </sheetData>
      <sheetData sheetId="4401">
        <row r="4">
          <cell r="I4">
            <v>0</v>
          </cell>
        </row>
      </sheetData>
      <sheetData sheetId="4402">
        <row r="4">
          <cell r="I4">
            <v>0</v>
          </cell>
        </row>
      </sheetData>
      <sheetData sheetId="4403">
        <row r="4">
          <cell r="I4">
            <v>0</v>
          </cell>
        </row>
      </sheetData>
      <sheetData sheetId="4404">
        <row r="4">
          <cell r="I4">
            <v>0</v>
          </cell>
        </row>
      </sheetData>
      <sheetData sheetId="4405">
        <row r="4">
          <cell r="I4">
            <v>0</v>
          </cell>
        </row>
      </sheetData>
      <sheetData sheetId="4406">
        <row r="4">
          <cell r="I4">
            <v>0</v>
          </cell>
        </row>
      </sheetData>
      <sheetData sheetId="4407">
        <row r="4">
          <cell r="I4">
            <v>0</v>
          </cell>
        </row>
      </sheetData>
      <sheetData sheetId="4408">
        <row r="4">
          <cell r="I4">
            <v>0</v>
          </cell>
        </row>
      </sheetData>
      <sheetData sheetId="4409">
        <row r="4">
          <cell r="I4">
            <v>0</v>
          </cell>
        </row>
      </sheetData>
      <sheetData sheetId="4410">
        <row r="4">
          <cell r="I4">
            <v>0</v>
          </cell>
        </row>
      </sheetData>
      <sheetData sheetId="4411">
        <row r="4">
          <cell r="I4">
            <v>0</v>
          </cell>
        </row>
      </sheetData>
      <sheetData sheetId="4412">
        <row r="4">
          <cell r="I4">
            <v>0</v>
          </cell>
        </row>
      </sheetData>
      <sheetData sheetId="4413">
        <row r="4">
          <cell r="I4">
            <v>0</v>
          </cell>
        </row>
      </sheetData>
      <sheetData sheetId="4414">
        <row r="4">
          <cell r="I4">
            <v>0</v>
          </cell>
        </row>
      </sheetData>
      <sheetData sheetId="4415">
        <row r="4">
          <cell r="I4">
            <v>0</v>
          </cell>
        </row>
      </sheetData>
      <sheetData sheetId="4416">
        <row r="4">
          <cell r="I4">
            <v>0</v>
          </cell>
        </row>
      </sheetData>
      <sheetData sheetId="4417">
        <row r="4">
          <cell r="I4">
            <v>0</v>
          </cell>
        </row>
      </sheetData>
      <sheetData sheetId="4418">
        <row r="4">
          <cell r="I4">
            <v>0</v>
          </cell>
        </row>
      </sheetData>
      <sheetData sheetId="4419">
        <row r="4">
          <cell r="I4">
            <v>0</v>
          </cell>
        </row>
      </sheetData>
      <sheetData sheetId="4420">
        <row r="4">
          <cell r="I4">
            <v>0</v>
          </cell>
        </row>
      </sheetData>
      <sheetData sheetId="4421">
        <row r="4">
          <cell r="I4">
            <v>0</v>
          </cell>
        </row>
      </sheetData>
      <sheetData sheetId="4422">
        <row r="4">
          <cell r="I4">
            <v>0</v>
          </cell>
        </row>
      </sheetData>
      <sheetData sheetId="4423">
        <row r="4">
          <cell r="I4">
            <v>0</v>
          </cell>
        </row>
      </sheetData>
      <sheetData sheetId="4424">
        <row r="4">
          <cell r="I4">
            <v>0</v>
          </cell>
        </row>
      </sheetData>
      <sheetData sheetId="4425">
        <row r="4">
          <cell r="I4">
            <v>0</v>
          </cell>
        </row>
      </sheetData>
      <sheetData sheetId="4426">
        <row r="4">
          <cell r="I4">
            <v>0</v>
          </cell>
        </row>
      </sheetData>
      <sheetData sheetId="4427">
        <row r="4">
          <cell r="I4">
            <v>0</v>
          </cell>
        </row>
      </sheetData>
      <sheetData sheetId="4428">
        <row r="4">
          <cell r="I4">
            <v>0</v>
          </cell>
        </row>
      </sheetData>
      <sheetData sheetId="4429">
        <row r="4">
          <cell r="I4">
            <v>0</v>
          </cell>
        </row>
      </sheetData>
      <sheetData sheetId="4430">
        <row r="4">
          <cell r="I4">
            <v>0</v>
          </cell>
        </row>
      </sheetData>
      <sheetData sheetId="4431">
        <row r="4">
          <cell r="I4">
            <v>0</v>
          </cell>
        </row>
      </sheetData>
      <sheetData sheetId="4432">
        <row r="4">
          <cell r="I4">
            <v>0</v>
          </cell>
        </row>
      </sheetData>
      <sheetData sheetId="4433">
        <row r="4">
          <cell r="I4">
            <v>0</v>
          </cell>
        </row>
      </sheetData>
      <sheetData sheetId="4434">
        <row r="4">
          <cell r="I4">
            <v>0</v>
          </cell>
        </row>
      </sheetData>
      <sheetData sheetId="4435">
        <row r="4">
          <cell r="I4">
            <v>0</v>
          </cell>
        </row>
      </sheetData>
      <sheetData sheetId="4436">
        <row r="4">
          <cell r="I4">
            <v>0</v>
          </cell>
        </row>
      </sheetData>
      <sheetData sheetId="4437">
        <row r="4">
          <cell r="I4">
            <v>0</v>
          </cell>
        </row>
      </sheetData>
      <sheetData sheetId="4438">
        <row r="4">
          <cell r="I4">
            <v>0</v>
          </cell>
        </row>
      </sheetData>
      <sheetData sheetId="4439">
        <row r="4">
          <cell r="I4">
            <v>0</v>
          </cell>
        </row>
      </sheetData>
      <sheetData sheetId="4440">
        <row r="4">
          <cell r="I4">
            <v>0</v>
          </cell>
        </row>
      </sheetData>
      <sheetData sheetId="4441">
        <row r="4">
          <cell r="I4">
            <v>0</v>
          </cell>
        </row>
      </sheetData>
      <sheetData sheetId="4442">
        <row r="4">
          <cell r="I4">
            <v>0</v>
          </cell>
        </row>
      </sheetData>
      <sheetData sheetId="4443">
        <row r="4">
          <cell r="I4">
            <v>0</v>
          </cell>
        </row>
      </sheetData>
      <sheetData sheetId="4444">
        <row r="4">
          <cell r="I4">
            <v>0</v>
          </cell>
        </row>
      </sheetData>
      <sheetData sheetId="4445">
        <row r="4">
          <cell r="I4">
            <v>0</v>
          </cell>
        </row>
      </sheetData>
      <sheetData sheetId="4446">
        <row r="4">
          <cell r="I4">
            <v>0</v>
          </cell>
        </row>
      </sheetData>
      <sheetData sheetId="4447">
        <row r="4">
          <cell r="I4">
            <v>0</v>
          </cell>
        </row>
      </sheetData>
      <sheetData sheetId="4448">
        <row r="4">
          <cell r="I4">
            <v>0</v>
          </cell>
        </row>
      </sheetData>
      <sheetData sheetId="4449">
        <row r="4">
          <cell r="I4">
            <v>0</v>
          </cell>
        </row>
      </sheetData>
      <sheetData sheetId="4450">
        <row r="4">
          <cell r="I4">
            <v>0</v>
          </cell>
        </row>
      </sheetData>
      <sheetData sheetId="4451">
        <row r="4">
          <cell r="I4">
            <v>0</v>
          </cell>
        </row>
      </sheetData>
      <sheetData sheetId="4452">
        <row r="4">
          <cell r="I4">
            <v>0</v>
          </cell>
        </row>
      </sheetData>
      <sheetData sheetId="4453">
        <row r="4">
          <cell r="I4">
            <v>0</v>
          </cell>
        </row>
      </sheetData>
      <sheetData sheetId="4454">
        <row r="4">
          <cell r="I4">
            <v>0</v>
          </cell>
        </row>
      </sheetData>
      <sheetData sheetId="4455">
        <row r="4">
          <cell r="I4">
            <v>0</v>
          </cell>
        </row>
      </sheetData>
      <sheetData sheetId="4456">
        <row r="4">
          <cell r="I4">
            <v>0</v>
          </cell>
        </row>
      </sheetData>
      <sheetData sheetId="4457">
        <row r="4">
          <cell r="I4">
            <v>0</v>
          </cell>
        </row>
      </sheetData>
      <sheetData sheetId="4458">
        <row r="4">
          <cell r="I4">
            <v>0</v>
          </cell>
        </row>
      </sheetData>
      <sheetData sheetId="4459">
        <row r="4">
          <cell r="I4">
            <v>0</v>
          </cell>
        </row>
      </sheetData>
      <sheetData sheetId="4460">
        <row r="4">
          <cell r="I4">
            <v>0</v>
          </cell>
        </row>
      </sheetData>
      <sheetData sheetId="4461">
        <row r="4">
          <cell r="I4">
            <v>0</v>
          </cell>
        </row>
      </sheetData>
      <sheetData sheetId="4462">
        <row r="4">
          <cell r="I4">
            <v>0</v>
          </cell>
        </row>
      </sheetData>
      <sheetData sheetId="4463">
        <row r="4">
          <cell r="I4">
            <v>0</v>
          </cell>
        </row>
      </sheetData>
      <sheetData sheetId="4464">
        <row r="4">
          <cell r="I4">
            <v>0</v>
          </cell>
        </row>
      </sheetData>
      <sheetData sheetId="4465">
        <row r="4">
          <cell r="I4">
            <v>0</v>
          </cell>
        </row>
      </sheetData>
      <sheetData sheetId="4466">
        <row r="4">
          <cell r="I4">
            <v>0</v>
          </cell>
        </row>
      </sheetData>
      <sheetData sheetId="4467">
        <row r="4">
          <cell r="I4">
            <v>0</v>
          </cell>
        </row>
      </sheetData>
      <sheetData sheetId="4468">
        <row r="4">
          <cell r="I4">
            <v>0</v>
          </cell>
        </row>
      </sheetData>
      <sheetData sheetId="4469">
        <row r="4">
          <cell r="I4">
            <v>0</v>
          </cell>
        </row>
      </sheetData>
      <sheetData sheetId="4470">
        <row r="4">
          <cell r="I4">
            <v>0</v>
          </cell>
        </row>
      </sheetData>
      <sheetData sheetId="4471">
        <row r="4">
          <cell r="I4">
            <v>0</v>
          </cell>
        </row>
      </sheetData>
      <sheetData sheetId="4472">
        <row r="4">
          <cell r="I4">
            <v>0</v>
          </cell>
        </row>
      </sheetData>
      <sheetData sheetId="4473">
        <row r="4">
          <cell r="I4">
            <v>0</v>
          </cell>
        </row>
      </sheetData>
      <sheetData sheetId="4474">
        <row r="4">
          <cell r="I4">
            <v>0</v>
          </cell>
        </row>
      </sheetData>
      <sheetData sheetId="4475">
        <row r="4">
          <cell r="I4">
            <v>0</v>
          </cell>
        </row>
      </sheetData>
      <sheetData sheetId="4476">
        <row r="4">
          <cell r="I4">
            <v>0</v>
          </cell>
        </row>
      </sheetData>
      <sheetData sheetId="4477">
        <row r="4">
          <cell r="I4">
            <v>0</v>
          </cell>
        </row>
      </sheetData>
      <sheetData sheetId="4478">
        <row r="4">
          <cell r="I4">
            <v>0</v>
          </cell>
        </row>
      </sheetData>
      <sheetData sheetId="4479">
        <row r="4">
          <cell r="I4">
            <v>0</v>
          </cell>
        </row>
      </sheetData>
      <sheetData sheetId="4480">
        <row r="4">
          <cell r="I4">
            <v>0</v>
          </cell>
        </row>
      </sheetData>
      <sheetData sheetId="4481">
        <row r="4">
          <cell r="I4">
            <v>0</v>
          </cell>
        </row>
      </sheetData>
      <sheetData sheetId="4482">
        <row r="4">
          <cell r="I4">
            <v>0</v>
          </cell>
        </row>
      </sheetData>
      <sheetData sheetId="4483">
        <row r="4">
          <cell r="I4">
            <v>0</v>
          </cell>
        </row>
      </sheetData>
      <sheetData sheetId="4484">
        <row r="4">
          <cell r="I4">
            <v>0</v>
          </cell>
        </row>
      </sheetData>
      <sheetData sheetId="4485">
        <row r="4">
          <cell r="I4">
            <v>0</v>
          </cell>
        </row>
      </sheetData>
      <sheetData sheetId="4486">
        <row r="4">
          <cell r="I4">
            <v>0</v>
          </cell>
        </row>
      </sheetData>
      <sheetData sheetId="4487">
        <row r="4">
          <cell r="I4">
            <v>0</v>
          </cell>
        </row>
      </sheetData>
      <sheetData sheetId="4488">
        <row r="4">
          <cell r="I4">
            <v>0</v>
          </cell>
        </row>
      </sheetData>
      <sheetData sheetId="4489">
        <row r="4">
          <cell r="I4">
            <v>0</v>
          </cell>
        </row>
      </sheetData>
      <sheetData sheetId="4490">
        <row r="4">
          <cell r="I4">
            <v>0</v>
          </cell>
        </row>
      </sheetData>
      <sheetData sheetId="4491">
        <row r="4">
          <cell r="I4">
            <v>0</v>
          </cell>
        </row>
      </sheetData>
      <sheetData sheetId="4492">
        <row r="4">
          <cell r="I4">
            <v>0</v>
          </cell>
        </row>
      </sheetData>
      <sheetData sheetId="4493">
        <row r="4">
          <cell r="I4">
            <v>0</v>
          </cell>
        </row>
      </sheetData>
      <sheetData sheetId="4494">
        <row r="4">
          <cell r="I4">
            <v>0</v>
          </cell>
        </row>
      </sheetData>
      <sheetData sheetId="4495">
        <row r="4">
          <cell r="I4">
            <v>0</v>
          </cell>
        </row>
      </sheetData>
      <sheetData sheetId="4496">
        <row r="4">
          <cell r="I4">
            <v>0</v>
          </cell>
        </row>
      </sheetData>
      <sheetData sheetId="4497">
        <row r="4">
          <cell r="I4">
            <v>0</v>
          </cell>
        </row>
      </sheetData>
      <sheetData sheetId="4498">
        <row r="4">
          <cell r="I4">
            <v>0</v>
          </cell>
        </row>
      </sheetData>
      <sheetData sheetId="4499">
        <row r="4">
          <cell r="I4">
            <v>0</v>
          </cell>
        </row>
      </sheetData>
      <sheetData sheetId="4500">
        <row r="4">
          <cell r="I4">
            <v>0</v>
          </cell>
        </row>
      </sheetData>
      <sheetData sheetId="4501">
        <row r="4">
          <cell r="I4">
            <v>0</v>
          </cell>
        </row>
      </sheetData>
      <sheetData sheetId="4502">
        <row r="4">
          <cell r="I4">
            <v>0</v>
          </cell>
        </row>
      </sheetData>
      <sheetData sheetId="4503">
        <row r="4">
          <cell r="I4">
            <v>0</v>
          </cell>
        </row>
      </sheetData>
      <sheetData sheetId="4504">
        <row r="4">
          <cell r="I4">
            <v>0</v>
          </cell>
        </row>
      </sheetData>
      <sheetData sheetId="4505">
        <row r="4">
          <cell r="I4">
            <v>0</v>
          </cell>
        </row>
      </sheetData>
      <sheetData sheetId="4506">
        <row r="4">
          <cell r="I4">
            <v>0</v>
          </cell>
        </row>
      </sheetData>
      <sheetData sheetId="4507">
        <row r="4">
          <cell r="I4">
            <v>0</v>
          </cell>
        </row>
      </sheetData>
      <sheetData sheetId="4508">
        <row r="4">
          <cell r="I4">
            <v>0</v>
          </cell>
        </row>
      </sheetData>
      <sheetData sheetId="4509">
        <row r="4">
          <cell r="I4">
            <v>0</v>
          </cell>
        </row>
      </sheetData>
      <sheetData sheetId="4510">
        <row r="4">
          <cell r="I4">
            <v>0</v>
          </cell>
        </row>
      </sheetData>
      <sheetData sheetId="4511">
        <row r="4">
          <cell r="I4">
            <v>0</v>
          </cell>
        </row>
      </sheetData>
      <sheetData sheetId="4512">
        <row r="4">
          <cell r="I4">
            <v>0</v>
          </cell>
        </row>
      </sheetData>
      <sheetData sheetId="4513">
        <row r="4">
          <cell r="I4">
            <v>0</v>
          </cell>
        </row>
      </sheetData>
      <sheetData sheetId="4514">
        <row r="4">
          <cell r="I4">
            <v>0</v>
          </cell>
        </row>
      </sheetData>
      <sheetData sheetId="4515">
        <row r="4">
          <cell r="I4">
            <v>0</v>
          </cell>
        </row>
      </sheetData>
      <sheetData sheetId="4516">
        <row r="4">
          <cell r="I4">
            <v>0</v>
          </cell>
        </row>
      </sheetData>
      <sheetData sheetId="4517">
        <row r="4">
          <cell r="I4">
            <v>0</v>
          </cell>
        </row>
      </sheetData>
      <sheetData sheetId="4518">
        <row r="4">
          <cell r="I4">
            <v>0</v>
          </cell>
        </row>
      </sheetData>
      <sheetData sheetId="4519">
        <row r="4">
          <cell r="I4">
            <v>0</v>
          </cell>
        </row>
      </sheetData>
      <sheetData sheetId="4520">
        <row r="4">
          <cell r="I4">
            <v>0</v>
          </cell>
        </row>
      </sheetData>
      <sheetData sheetId="4521">
        <row r="4">
          <cell r="I4">
            <v>0</v>
          </cell>
        </row>
      </sheetData>
      <sheetData sheetId="4522">
        <row r="4">
          <cell r="I4">
            <v>0</v>
          </cell>
        </row>
      </sheetData>
      <sheetData sheetId="4523">
        <row r="4">
          <cell r="I4">
            <v>0</v>
          </cell>
        </row>
      </sheetData>
      <sheetData sheetId="4524">
        <row r="4">
          <cell r="I4">
            <v>0</v>
          </cell>
        </row>
      </sheetData>
      <sheetData sheetId="4525">
        <row r="4">
          <cell r="I4">
            <v>0</v>
          </cell>
        </row>
      </sheetData>
      <sheetData sheetId="4526">
        <row r="4">
          <cell r="I4">
            <v>0</v>
          </cell>
        </row>
      </sheetData>
      <sheetData sheetId="4527">
        <row r="4">
          <cell r="I4">
            <v>0</v>
          </cell>
        </row>
      </sheetData>
      <sheetData sheetId="4528">
        <row r="4">
          <cell r="I4">
            <v>0</v>
          </cell>
        </row>
      </sheetData>
      <sheetData sheetId="4529">
        <row r="4">
          <cell r="I4">
            <v>0</v>
          </cell>
        </row>
      </sheetData>
      <sheetData sheetId="4530">
        <row r="4">
          <cell r="I4">
            <v>0</v>
          </cell>
        </row>
      </sheetData>
      <sheetData sheetId="4531">
        <row r="4">
          <cell r="I4">
            <v>0</v>
          </cell>
        </row>
      </sheetData>
      <sheetData sheetId="4532">
        <row r="4">
          <cell r="I4">
            <v>0</v>
          </cell>
        </row>
      </sheetData>
      <sheetData sheetId="4533">
        <row r="4">
          <cell r="I4">
            <v>0</v>
          </cell>
        </row>
      </sheetData>
      <sheetData sheetId="4534">
        <row r="4">
          <cell r="I4">
            <v>0</v>
          </cell>
        </row>
      </sheetData>
      <sheetData sheetId="4535">
        <row r="4">
          <cell r="I4">
            <v>0</v>
          </cell>
        </row>
      </sheetData>
      <sheetData sheetId="4536">
        <row r="4">
          <cell r="I4">
            <v>0</v>
          </cell>
        </row>
      </sheetData>
      <sheetData sheetId="4537">
        <row r="4">
          <cell r="I4">
            <v>0</v>
          </cell>
        </row>
      </sheetData>
      <sheetData sheetId="4538">
        <row r="4">
          <cell r="I4">
            <v>0</v>
          </cell>
        </row>
      </sheetData>
      <sheetData sheetId="4539">
        <row r="4">
          <cell r="I4">
            <v>0</v>
          </cell>
        </row>
      </sheetData>
      <sheetData sheetId="4540">
        <row r="4">
          <cell r="I4">
            <v>0</v>
          </cell>
        </row>
      </sheetData>
      <sheetData sheetId="4541">
        <row r="4">
          <cell r="I4">
            <v>0</v>
          </cell>
        </row>
      </sheetData>
      <sheetData sheetId="4542">
        <row r="4">
          <cell r="I4">
            <v>0</v>
          </cell>
        </row>
      </sheetData>
      <sheetData sheetId="4543">
        <row r="4">
          <cell r="I4">
            <v>0</v>
          </cell>
        </row>
      </sheetData>
      <sheetData sheetId="4544">
        <row r="4">
          <cell r="I4">
            <v>0</v>
          </cell>
        </row>
      </sheetData>
      <sheetData sheetId="4545">
        <row r="4">
          <cell r="I4">
            <v>0</v>
          </cell>
        </row>
      </sheetData>
      <sheetData sheetId="4546">
        <row r="4">
          <cell r="I4">
            <v>0</v>
          </cell>
        </row>
      </sheetData>
      <sheetData sheetId="4547">
        <row r="4">
          <cell r="I4">
            <v>0</v>
          </cell>
        </row>
      </sheetData>
      <sheetData sheetId="4548">
        <row r="4">
          <cell r="I4">
            <v>0</v>
          </cell>
        </row>
      </sheetData>
      <sheetData sheetId="4549">
        <row r="4">
          <cell r="I4">
            <v>0</v>
          </cell>
        </row>
      </sheetData>
      <sheetData sheetId="4550">
        <row r="4">
          <cell r="I4">
            <v>0</v>
          </cell>
        </row>
      </sheetData>
      <sheetData sheetId="4551">
        <row r="4">
          <cell r="I4">
            <v>0</v>
          </cell>
        </row>
      </sheetData>
      <sheetData sheetId="4552">
        <row r="4">
          <cell r="I4">
            <v>0</v>
          </cell>
        </row>
      </sheetData>
      <sheetData sheetId="4553">
        <row r="4">
          <cell r="I4">
            <v>0</v>
          </cell>
        </row>
      </sheetData>
      <sheetData sheetId="4554">
        <row r="4">
          <cell r="I4">
            <v>0</v>
          </cell>
        </row>
      </sheetData>
      <sheetData sheetId="4555">
        <row r="4">
          <cell r="I4">
            <v>0</v>
          </cell>
        </row>
      </sheetData>
      <sheetData sheetId="4556">
        <row r="4">
          <cell r="I4">
            <v>0</v>
          </cell>
        </row>
      </sheetData>
      <sheetData sheetId="4557">
        <row r="4">
          <cell r="I4">
            <v>0</v>
          </cell>
        </row>
      </sheetData>
      <sheetData sheetId="4558">
        <row r="4">
          <cell r="I4">
            <v>0</v>
          </cell>
        </row>
      </sheetData>
      <sheetData sheetId="4559">
        <row r="4">
          <cell r="I4">
            <v>0</v>
          </cell>
        </row>
      </sheetData>
      <sheetData sheetId="4560">
        <row r="4">
          <cell r="I4">
            <v>0</v>
          </cell>
        </row>
      </sheetData>
      <sheetData sheetId="4561">
        <row r="4">
          <cell r="I4">
            <v>0</v>
          </cell>
        </row>
      </sheetData>
      <sheetData sheetId="4562">
        <row r="4">
          <cell r="I4">
            <v>0</v>
          </cell>
        </row>
      </sheetData>
      <sheetData sheetId="4563">
        <row r="4">
          <cell r="I4">
            <v>0</v>
          </cell>
        </row>
      </sheetData>
      <sheetData sheetId="4564">
        <row r="4">
          <cell r="I4">
            <v>0</v>
          </cell>
        </row>
      </sheetData>
      <sheetData sheetId="4565">
        <row r="4">
          <cell r="I4">
            <v>0</v>
          </cell>
        </row>
      </sheetData>
      <sheetData sheetId="4566">
        <row r="4">
          <cell r="I4">
            <v>0</v>
          </cell>
        </row>
      </sheetData>
      <sheetData sheetId="4567">
        <row r="4">
          <cell r="I4">
            <v>0</v>
          </cell>
        </row>
      </sheetData>
      <sheetData sheetId="4568">
        <row r="4">
          <cell r="I4">
            <v>0</v>
          </cell>
        </row>
      </sheetData>
      <sheetData sheetId="4569">
        <row r="4">
          <cell r="I4">
            <v>0</v>
          </cell>
        </row>
      </sheetData>
      <sheetData sheetId="4570">
        <row r="4">
          <cell r="I4">
            <v>0</v>
          </cell>
        </row>
      </sheetData>
      <sheetData sheetId="4571">
        <row r="4">
          <cell r="I4">
            <v>0</v>
          </cell>
        </row>
      </sheetData>
      <sheetData sheetId="4572">
        <row r="4">
          <cell r="I4">
            <v>0</v>
          </cell>
        </row>
      </sheetData>
      <sheetData sheetId="4573">
        <row r="4">
          <cell r="I4">
            <v>0</v>
          </cell>
        </row>
      </sheetData>
      <sheetData sheetId="4574">
        <row r="4">
          <cell r="I4">
            <v>0</v>
          </cell>
        </row>
      </sheetData>
      <sheetData sheetId="4575">
        <row r="4">
          <cell r="I4">
            <v>0</v>
          </cell>
        </row>
      </sheetData>
      <sheetData sheetId="4576">
        <row r="4">
          <cell r="I4">
            <v>0</v>
          </cell>
        </row>
      </sheetData>
      <sheetData sheetId="4577">
        <row r="4">
          <cell r="I4">
            <v>0</v>
          </cell>
        </row>
      </sheetData>
      <sheetData sheetId="4578">
        <row r="4">
          <cell r="I4">
            <v>0</v>
          </cell>
        </row>
      </sheetData>
      <sheetData sheetId="4579">
        <row r="4">
          <cell r="I4">
            <v>0</v>
          </cell>
        </row>
      </sheetData>
      <sheetData sheetId="4580">
        <row r="4">
          <cell r="I4">
            <v>0</v>
          </cell>
        </row>
      </sheetData>
      <sheetData sheetId="4581">
        <row r="4">
          <cell r="I4">
            <v>0</v>
          </cell>
        </row>
      </sheetData>
      <sheetData sheetId="4582">
        <row r="4">
          <cell r="I4">
            <v>0</v>
          </cell>
        </row>
      </sheetData>
      <sheetData sheetId="4583">
        <row r="4">
          <cell r="I4">
            <v>0</v>
          </cell>
        </row>
      </sheetData>
      <sheetData sheetId="4584">
        <row r="4">
          <cell r="I4">
            <v>0</v>
          </cell>
        </row>
      </sheetData>
      <sheetData sheetId="4585">
        <row r="4">
          <cell r="I4">
            <v>0</v>
          </cell>
        </row>
      </sheetData>
      <sheetData sheetId="4586">
        <row r="4">
          <cell r="I4">
            <v>0</v>
          </cell>
        </row>
      </sheetData>
      <sheetData sheetId="4587">
        <row r="4">
          <cell r="I4">
            <v>0</v>
          </cell>
        </row>
      </sheetData>
      <sheetData sheetId="4588">
        <row r="4">
          <cell r="I4">
            <v>0</v>
          </cell>
        </row>
      </sheetData>
      <sheetData sheetId="4589">
        <row r="4">
          <cell r="I4">
            <v>0</v>
          </cell>
        </row>
      </sheetData>
      <sheetData sheetId="4590">
        <row r="4">
          <cell r="I4">
            <v>0</v>
          </cell>
        </row>
      </sheetData>
      <sheetData sheetId="4591">
        <row r="4">
          <cell r="I4">
            <v>0</v>
          </cell>
        </row>
      </sheetData>
      <sheetData sheetId="4592">
        <row r="4">
          <cell r="I4">
            <v>0</v>
          </cell>
        </row>
      </sheetData>
      <sheetData sheetId="4593">
        <row r="4">
          <cell r="I4">
            <v>0</v>
          </cell>
        </row>
      </sheetData>
      <sheetData sheetId="4594">
        <row r="4">
          <cell r="I4">
            <v>0</v>
          </cell>
        </row>
      </sheetData>
      <sheetData sheetId="4595">
        <row r="4">
          <cell r="I4">
            <v>0</v>
          </cell>
        </row>
      </sheetData>
      <sheetData sheetId="4596">
        <row r="4">
          <cell r="I4">
            <v>0</v>
          </cell>
        </row>
      </sheetData>
      <sheetData sheetId="4597">
        <row r="4">
          <cell r="I4">
            <v>0</v>
          </cell>
        </row>
      </sheetData>
      <sheetData sheetId="4598">
        <row r="4">
          <cell r="I4">
            <v>0</v>
          </cell>
        </row>
      </sheetData>
      <sheetData sheetId="4599">
        <row r="4">
          <cell r="I4">
            <v>0</v>
          </cell>
        </row>
      </sheetData>
      <sheetData sheetId="4600">
        <row r="4">
          <cell r="I4">
            <v>0</v>
          </cell>
        </row>
      </sheetData>
      <sheetData sheetId="4601">
        <row r="4">
          <cell r="I4">
            <v>0</v>
          </cell>
        </row>
      </sheetData>
      <sheetData sheetId="4602">
        <row r="4">
          <cell r="I4">
            <v>0</v>
          </cell>
        </row>
      </sheetData>
      <sheetData sheetId="4603">
        <row r="4">
          <cell r="I4">
            <v>0</v>
          </cell>
        </row>
      </sheetData>
      <sheetData sheetId="4604">
        <row r="4">
          <cell r="I4">
            <v>0</v>
          </cell>
        </row>
      </sheetData>
      <sheetData sheetId="4605">
        <row r="4">
          <cell r="I4">
            <v>0</v>
          </cell>
        </row>
      </sheetData>
      <sheetData sheetId="4606">
        <row r="4">
          <cell r="I4">
            <v>0</v>
          </cell>
        </row>
      </sheetData>
      <sheetData sheetId="4607">
        <row r="4">
          <cell r="I4">
            <v>0</v>
          </cell>
        </row>
      </sheetData>
      <sheetData sheetId="4608">
        <row r="4">
          <cell r="I4">
            <v>0</v>
          </cell>
        </row>
      </sheetData>
      <sheetData sheetId="4609">
        <row r="4">
          <cell r="I4">
            <v>0</v>
          </cell>
        </row>
      </sheetData>
      <sheetData sheetId="4610">
        <row r="4">
          <cell r="I4">
            <v>0</v>
          </cell>
        </row>
      </sheetData>
      <sheetData sheetId="4611">
        <row r="4">
          <cell r="I4">
            <v>0</v>
          </cell>
        </row>
      </sheetData>
      <sheetData sheetId="4612">
        <row r="4">
          <cell r="I4">
            <v>0</v>
          </cell>
        </row>
      </sheetData>
      <sheetData sheetId="4613">
        <row r="4">
          <cell r="I4">
            <v>0</v>
          </cell>
        </row>
      </sheetData>
      <sheetData sheetId="4614">
        <row r="4">
          <cell r="I4">
            <v>0</v>
          </cell>
        </row>
      </sheetData>
      <sheetData sheetId="4615">
        <row r="4">
          <cell r="I4">
            <v>0</v>
          </cell>
        </row>
      </sheetData>
      <sheetData sheetId="4616">
        <row r="4">
          <cell r="I4">
            <v>0</v>
          </cell>
        </row>
      </sheetData>
      <sheetData sheetId="4617">
        <row r="4">
          <cell r="I4">
            <v>0</v>
          </cell>
        </row>
      </sheetData>
      <sheetData sheetId="4618">
        <row r="4">
          <cell r="I4">
            <v>0</v>
          </cell>
        </row>
      </sheetData>
      <sheetData sheetId="4619">
        <row r="4">
          <cell r="I4">
            <v>0</v>
          </cell>
        </row>
      </sheetData>
      <sheetData sheetId="4620">
        <row r="4">
          <cell r="I4">
            <v>0</v>
          </cell>
        </row>
      </sheetData>
      <sheetData sheetId="4621">
        <row r="4">
          <cell r="I4">
            <v>0</v>
          </cell>
        </row>
      </sheetData>
      <sheetData sheetId="4622">
        <row r="4">
          <cell r="I4">
            <v>0</v>
          </cell>
        </row>
      </sheetData>
      <sheetData sheetId="4623">
        <row r="4">
          <cell r="I4">
            <v>0</v>
          </cell>
        </row>
      </sheetData>
      <sheetData sheetId="4624">
        <row r="4">
          <cell r="I4">
            <v>0</v>
          </cell>
        </row>
      </sheetData>
      <sheetData sheetId="4625">
        <row r="4">
          <cell r="I4">
            <v>0</v>
          </cell>
        </row>
      </sheetData>
      <sheetData sheetId="4626">
        <row r="4">
          <cell r="I4">
            <v>0</v>
          </cell>
        </row>
      </sheetData>
      <sheetData sheetId="4627">
        <row r="4">
          <cell r="I4">
            <v>0</v>
          </cell>
        </row>
      </sheetData>
      <sheetData sheetId="4628">
        <row r="4">
          <cell r="I4">
            <v>0</v>
          </cell>
        </row>
      </sheetData>
      <sheetData sheetId="4629">
        <row r="4">
          <cell r="I4">
            <v>0</v>
          </cell>
        </row>
      </sheetData>
      <sheetData sheetId="4630">
        <row r="4">
          <cell r="I4">
            <v>0</v>
          </cell>
        </row>
      </sheetData>
      <sheetData sheetId="4631">
        <row r="4">
          <cell r="I4">
            <v>0</v>
          </cell>
        </row>
      </sheetData>
      <sheetData sheetId="4632">
        <row r="4">
          <cell r="I4">
            <v>0</v>
          </cell>
        </row>
      </sheetData>
      <sheetData sheetId="4633">
        <row r="4">
          <cell r="I4">
            <v>0</v>
          </cell>
        </row>
      </sheetData>
      <sheetData sheetId="4634">
        <row r="4">
          <cell r="I4">
            <v>0</v>
          </cell>
        </row>
      </sheetData>
      <sheetData sheetId="4635">
        <row r="4">
          <cell r="I4">
            <v>0</v>
          </cell>
        </row>
      </sheetData>
      <sheetData sheetId="4636">
        <row r="4">
          <cell r="I4">
            <v>0</v>
          </cell>
        </row>
      </sheetData>
      <sheetData sheetId="4637">
        <row r="4">
          <cell r="I4">
            <v>0</v>
          </cell>
        </row>
      </sheetData>
      <sheetData sheetId="4638">
        <row r="4">
          <cell r="I4">
            <v>0</v>
          </cell>
        </row>
      </sheetData>
      <sheetData sheetId="4639">
        <row r="4">
          <cell r="I4">
            <v>0</v>
          </cell>
        </row>
      </sheetData>
      <sheetData sheetId="4640">
        <row r="4">
          <cell r="I4">
            <v>0</v>
          </cell>
        </row>
      </sheetData>
      <sheetData sheetId="4641">
        <row r="4">
          <cell r="I4">
            <v>0</v>
          </cell>
        </row>
      </sheetData>
      <sheetData sheetId="4642">
        <row r="4">
          <cell r="I4">
            <v>0</v>
          </cell>
        </row>
      </sheetData>
      <sheetData sheetId="4643">
        <row r="4">
          <cell r="I4">
            <v>0</v>
          </cell>
        </row>
      </sheetData>
      <sheetData sheetId="4644">
        <row r="4">
          <cell r="I4">
            <v>0</v>
          </cell>
        </row>
      </sheetData>
      <sheetData sheetId="4645">
        <row r="4">
          <cell r="I4">
            <v>0</v>
          </cell>
        </row>
      </sheetData>
      <sheetData sheetId="4646">
        <row r="4">
          <cell r="I4">
            <v>0</v>
          </cell>
        </row>
      </sheetData>
      <sheetData sheetId="4647">
        <row r="4">
          <cell r="I4">
            <v>0</v>
          </cell>
        </row>
      </sheetData>
      <sheetData sheetId="4648">
        <row r="4">
          <cell r="I4">
            <v>0</v>
          </cell>
        </row>
      </sheetData>
      <sheetData sheetId="4649">
        <row r="4">
          <cell r="I4">
            <v>0</v>
          </cell>
        </row>
      </sheetData>
      <sheetData sheetId="4650">
        <row r="4">
          <cell r="I4">
            <v>0</v>
          </cell>
        </row>
      </sheetData>
      <sheetData sheetId="4651">
        <row r="4">
          <cell r="I4">
            <v>0</v>
          </cell>
        </row>
      </sheetData>
      <sheetData sheetId="4652">
        <row r="4">
          <cell r="I4">
            <v>0</v>
          </cell>
        </row>
      </sheetData>
      <sheetData sheetId="4653">
        <row r="4">
          <cell r="I4">
            <v>0</v>
          </cell>
        </row>
      </sheetData>
      <sheetData sheetId="4654">
        <row r="4">
          <cell r="I4">
            <v>0</v>
          </cell>
        </row>
      </sheetData>
      <sheetData sheetId="4655">
        <row r="4">
          <cell r="I4">
            <v>0</v>
          </cell>
        </row>
      </sheetData>
      <sheetData sheetId="4656">
        <row r="4">
          <cell r="I4">
            <v>0</v>
          </cell>
        </row>
      </sheetData>
      <sheetData sheetId="4657">
        <row r="4">
          <cell r="I4">
            <v>0</v>
          </cell>
        </row>
      </sheetData>
      <sheetData sheetId="4658">
        <row r="4">
          <cell r="I4">
            <v>0</v>
          </cell>
        </row>
      </sheetData>
      <sheetData sheetId="4659">
        <row r="4">
          <cell r="I4">
            <v>0</v>
          </cell>
        </row>
      </sheetData>
      <sheetData sheetId="4660">
        <row r="4">
          <cell r="I4">
            <v>0</v>
          </cell>
        </row>
      </sheetData>
      <sheetData sheetId="4661">
        <row r="4">
          <cell r="I4">
            <v>0</v>
          </cell>
        </row>
      </sheetData>
      <sheetData sheetId="4662">
        <row r="4">
          <cell r="I4">
            <v>0</v>
          </cell>
        </row>
      </sheetData>
      <sheetData sheetId="4663">
        <row r="4">
          <cell r="I4">
            <v>0</v>
          </cell>
        </row>
      </sheetData>
      <sheetData sheetId="4664">
        <row r="4">
          <cell r="I4">
            <v>0</v>
          </cell>
        </row>
      </sheetData>
      <sheetData sheetId="4665">
        <row r="4">
          <cell r="I4">
            <v>0</v>
          </cell>
        </row>
      </sheetData>
      <sheetData sheetId="4666">
        <row r="4">
          <cell r="I4">
            <v>0</v>
          </cell>
        </row>
      </sheetData>
      <sheetData sheetId="4667">
        <row r="4">
          <cell r="I4">
            <v>0</v>
          </cell>
        </row>
      </sheetData>
      <sheetData sheetId="4668">
        <row r="4">
          <cell r="I4">
            <v>0</v>
          </cell>
        </row>
      </sheetData>
      <sheetData sheetId="4669">
        <row r="4">
          <cell r="I4">
            <v>0</v>
          </cell>
        </row>
      </sheetData>
      <sheetData sheetId="4670">
        <row r="4">
          <cell r="I4">
            <v>0</v>
          </cell>
        </row>
      </sheetData>
      <sheetData sheetId="4671">
        <row r="4">
          <cell r="I4">
            <v>0</v>
          </cell>
        </row>
      </sheetData>
      <sheetData sheetId="4672">
        <row r="4">
          <cell r="I4">
            <v>0</v>
          </cell>
        </row>
      </sheetData>
      <sheetData sheetId="4673">
        <row r="4">
          <cell r="I4">
            <v>0</v>
          </cell>
        </row>
      </sheetData>
      <sheetData sheetId="4674">
        <row r="4">
          <cell r="I4">
            <v>0</v>
          </cell>
        </row>
      </sheetData>
      <sheetData sheetId="4675">
        <row r="4">
          <cell r="I4">
            <v>0</v>
          </cell>
        </row>
      </sheetData>
      <sheetData sheetId="4676">
        <row r="4">
          <cell r="I4">
            <v>0</v>
          </cell>
        </row>
      </sheetData>
      <sheetData sheetId="4677">
        <row r="4">
          <cell r="I4">
            <v>0</v>
          </cell>
        </row>
      </sheetData>
      <sheetData sheetId="4678">
        <row r="4">
          <cell r="I4">
            <v>0</v>
          </cell>
        </row>
      </sheetData>
      <sheetData sheetId="4679">
        <row r="4">
          <cell r="I4">
            <v>0</v>
          </cell>
        </row>
      </sheetData>
      <sheetData sheetId="4680">
        <row r="4">
          <cell r="I4">
            <v>0</v>
          </cell>
        </row>
      </sheetData>
      <sheetData sheetId="4681">
        <row r="4">
          <cell r="I4">
            <v>0</v>
          </cell>
        </row>
      </sheetData>
      <sheetData sheetId="4682">
        <row r="4">
          <cell r="I4">
            <v>0</v>
          </cell>
        </row>
      </sheetData>
      <sheetData sheetId="4683">
        <row r="4">
          <cell r="I4">
            <v>0</v>
          </cell>
        </row>
      </sheetData>
      <sheetData sheetId="4684">
        <row r="4">
          <cell r="I4">
            <v>0</v>
          </cell>
        </row>
      </sheetData>
      <sheetData sheetId="4685">
        <row r="4">
          <cell r="I4">
            <v>0</v>
          </cell>
        </row>
      </sheetData>
      <sheetData sheetId="4686">
        <row r="4">
          <cell r="I4">
            <v>0</v>
          </cell>
        </row>
      </sheetData>
      <sheetData sheetId="4687">
        <row r="4">
          <cell r="I4">
            <v>0</v>
          </cell>
        </row>
      </sheetData>
      <sheetData sheetId="4688">
        <row r="4">
          <cell r="I4">
            <v>0</v>
          </cell>
        </row>
      </sheetData>
      <sheetData sheetId="4689">
        <row r="4">
          <cell r="I4">
            <v>0</v>
          </cell>
        </row>
      </sheetData>
      <sheetData sheetId="4690">
        <row r="4">
          <cell r="I4">
            <v>0</v>
          </cell>
        </row>
      </sheetData>
      <sheetData sheetId="4691">
        <row r="4">
          <cell r="I4">
            <v>0</v>
          </cell>
        </row>
      </sheetData>
      <sheetData sheetId="4692">
        <row r="4">
          <cell r="I4">
            <v>0</v>
          </cell>
        </row>
      </sheetData>
      <sheetData sheetId="4693">
        <row r="4">
          <cell r="I4">
            <v>0</v>
          </cell>
        </row>
      </sheetData>
      <sheetData sheetId="4694">
        <row r="4">
          <cell r="I4">
            <v>0</v>
          </cell>
        </row>
      </sheetData>
      <sheetData sheetId="4695">
        <row r="4">
          <cell r="I4">
            <v>0</v>
          </cell>
        </row>
      </sheetData>
      <sheetData sheetId="4696">
        <row r="4">
          <cell r="I4">
            <v>0</v>
          </cell>
        </row>
      </sheetData>
      <sheetData sheetId="4697">
        <row r="4">
          <cell r="I4">
            <v>0</v>
          </cell>
        </row>
      </sheetData>
      <sheetData sheetId="4698">
        <row r="4">
          <cell r="I4">
            <v>0</v>
          </cell>
        </row>
      </sheetData>
      <sheetData sheetId="4699">
        <row r="4">
          <cell r="I4">
            <v>0</v>
          </cell>
        </row>
      </sheetData>
      <sheetData sheetId="4700">
        <row r="4">
          <cell r="I4">
            <v>0</v>
          </cell>
        </row>
      </sheetData>
      <sheetData sheetId="4701">
        <row r="4">
          <cell r="I4">
            <v>0</v>
          </cell>
        </row>
      </sheetData>
      <sheetData sheetId="4702">
        <row r="4">
          <cell r="I4">
            <v>0</v>
          </cell>
        </row>
      </sheetData>
      <sheetData sheetId="4703">
        <row r="4">
          <cell r="I4">
            <v>0</v>
          </cell>
        </row>
      </sheetData>
      <sheetData sheetId="4704">
        <row r="4">
          <cell r="I4">
            <v>0</v>
          </cell>
        </row>
      </sheetData>
      <sheetData sheetId="4705">
        <row r="4">
          <cell r="I4">
            <v>0</v>
          </cell>
        </row>
      </sheetData>
      <sheetData sheetId="4706">
        <row r="4">
          <cell r="I4">
            <v>0</v>
          </cell>
        </row>
      </sheetData>
      <sheetData sheetId="4707">
        <row r="4">
          <cell r="I4">
            <v>0</v>
          </cell>
        </row>
      </sheetData>
      <sheetData sheetId="4708">
        <row r="4">
          <cell r="I4">
            <v>0</v>
          </cell>
        </row>
      </sheetData>
      <sheetData sheetId="4709">
        <row r="4">
          <cell r="I4">
            <v>0</v>
          </cell>
        </row>
      </sheetData>
      <sheetData sheetId="4710">
        <row r="4">
          <cell r="I4">
            <v>0</v>
          </cell>
        </row>
      </sheetData>
      <sheetData sheetId="4711">
        <row r="4">
          <cell r="I4">
            <v>0</v>
          </cell>
        </row>
      </sheetData>
      <sheetData sheetId="4712">
        <row r="4">
          <cell r="I4">
            <v>0</v>
          </cell>
        </row>
      </sheetData>
      <sheetData sheetId="4713">
        <row r="4">
          <cell r="I4">
            <v>0</v>
          </cell>
        </row>
      </sheetData>
      <sheetData sheetId="4714">
        <row r="4">
          <cell r="I4">
            <v>0</v>
          </cell>
        </row>
      </sheetData>
      <sheetData sheetId="4715">
        <row r="4">
          <cell r="I4">
            <v>0</v>
          </cell>
        </row>
      </sheetData>
      <sheetData sheetId="4716">
        <row r="4">
          <cell r="I4">
            <v>0</v>
          </cell>
        </row>
      </sheetData>
      <sheetData sheetId="4717">
        <row r="4">
          <cell r="I4">
            <v>0</v>
          </cell>
        </row>
      </sheetData>
      <sheetData sheetId="4718">
        <row r="4">
          <cell r="I4">
            <v>0</v>
          </cell>
        </row>
      </sheetData>
      <sheetData sheetId="4719">
        <row r="4">
          <cell r="I4">
            <v>0</v>
          </cell>
        </row>
      </sheetData>
      <sheetData sheetId="4720">
        <row r="4">
          <cell r="I4">
            <v>0</v>
          </cell>
        </row>
      </sheetData>
      <sheetData sheetId="4721">
        <row r="4">
          <cell r="I4">
            <v>0</v>
          </cell>
        </row>
      </sheetData>
      <sheetData sheetId="4722">
        <row r="4">
          <cell r="I4">
            <v>0</v>
          </cell>
        </row>
      </sheetData>
      <sheetData sheetId="4723">
        <row r="4">
          <cell r="I4">
            <v>0</v>
          </cell>
        </row>
      </sheetData>
      <sheetData sheetId="4724">
        <row r="4">
          <cell r="I4">
            <v>0</v>
          </cell>
        </row>
      </sheetData>
      <sheetData sheetId="4725">
        <row r="4">
          <cell r="I4">
            <v>0</v>
          </cell>
        </row>
      </sheetData>
      <sheetData sheetId="4726">
        <row r="4">
          <cell r="I4">
            <v>0</v>
          </cell>
        </row>
      </sheetData>
      <sheetData sheetId="4727">
        <row r="4">
          <cell r="I4">
            <v>0</v>
          </cell>
        </row>
      </sheetData>
      <sheetData sheetId="4728">
        <row r="4">
          <cell r="I4">
            <v>0</v>
          </cell>
        </row>
      </sheetData>
      <sheetData sheetId="4729">
        <row r="4">
          <cell r="I4">
            <v>0</v>
          </cell>
        </row>
      </sheetData>
      <sheetData sheetId="4730">
        <row r="4">
          <cell r="I4">
            <v>0</v>
          </cell>
        </row>
      </sheetData>
      <sheetData sheetId="4731">
        <row r="4">
          <cell r="I4">
            <v>0</v>
          </cell>
        </row>
      </sheetData>
      <sheetData sheetId="4732">
        <row r="4">
          <cell r="I4">
            <v>0</v>
          </cell>
        </row>
      </sheetData>
      <sheetData sheetId="4733">
        <row r="4">
          <cell r="I4">
            <v>0</v>
          </cell>
        </row>
      </sheetData>
      <sheetData sheetId="4734">
        <row r="4">
          <cell r="I4">
            <v>0</v>
          </cell>
        </row>
      </sheetData>
      <sheetData sheetId="4735">
        <row r="4">
          <cell r="I4">
            <v>0</v>
          </cell>
        </row>
      </sheetData>
      <sheetData sheetId="4736">
        <row r="4">
          <cell r="I4">
            <v>0</v>
          </cell>
        </row>
      </sheetData>
      <sheetData sheetId="4737">
        <row r="4">
          <cell r="I4">
            <v>0</v>
          </cell>
        </row>
      </sheetData>
      <sheetData sheetId="4738">
        <row r="4">
          <cell r="I4">
            <v>0</v>
          </cell>
        </row>
      </sheetData>
      <sheetData sheetId="4739">
        <row r="4">
          <cell r="I4">
            <v>0</v>
          </cell>
        </row>
      </sheetData>
      <sheetData sheetId="4740">
        <row r="4">
          <cell r="I4">
            <v>0</v>
          </cell>
        </row>
      </sheetData>
      <sheetData sheetId="4741">
        <row r="4">
          <cell r="I4">
            <v>0</v>
          </cell>
        </row>
      </sheetData>
      <sheetData sheetId="4742">
        <row r="4">
          <cell r="I4">
            <v>0</v>
          </cell>
        </row>
      </sheetData>
      <sheetData sheetId="4743">
        <row r="4">
          <cell r="I4">
            <v>0</v>
          </cell>
        </row>
      </sheetData>
      <sheetData sheetId="4744">
        <row r="4">
          <cell r="I4">
            <v>0</v>
          </cell>
        </row>
      </sheetData>
      <sheetData sheetId="4745">
        <row r="4">
          <cell r="I4">
            <v>0</v>
          </cell>
        </row>
      </sheetData>
      <sheetData sheetId="4746">
        <row r="4">
          <cell r="I4">
            <v>0</v>
          </cell>
        </row>
      </sheetData>
      <sheetData sheetId="4747">
        <row r="4">
          <cell r="I4">
            <v>0</v>
          </cell>
        </row>
      </sheetData>
      <sheetData sheetId="4748">
        <row r="4">
          <cell r="I4">
            <v>0</v>
          </cell>
        </row>
      </sheetData>
      <sheetData sheetId="4749">
        <row r="4">
          <cell r="I4">
            <v>0</v>
          </cell>
        </row>
      </sheetData>
      <sheetData sheetId="4750">
        <row r="4">
          <cell r="I4">
            <v>0</v>
          </cell>
        </row>
      </sheetData>
      <sheetData sheetId="4751">
        <row r="4">
          <cell r="I4">
            <v>0</v>
          </cell>
        </row>
      </sheetData>
      <sheetData sheetId="4752">
        <row r="4">
          <cell r="I4">
            <v>0</v>
          </cell>
        </row>
      </sheetData>
      <sheetData sheetId="4753">
        <row r="4">
          <cell r="I4">
            <v>0</v>
          </cell>
        </row>
      </sheetData>
      <sheetData sheetId="4754">
        <row r="4">
          <cell r="I4">
            <v>0</v>
          </cell>
        </row>
      </sheetData>
      <sheetData sheetId="4755">
        <row r="4">
          <cell r="I4">
            <v>0</v>
          </cell>
        </row>
      </sheetData>
      <sheetData sheetId="4756">
        <row r="4">
          <cell r="I4">
            <v>0</v>
          </cell>
        </row>
      </sheetData>
      <sheetData sheetId="4757">
        <row r="4">
          <cell r="I4">
            <v>0</v>
          </cell>
        </row>
      </sheetData>
      <sheetData sheetId="4758">
        <row r="4">
          <cell r="I4">
            <v>0</v>
          </cell>
        </row>
      </sheetData>
      <sheetData sheetId="4759">
        <row r="4">
          <cell r="I4">
            <v>0</v>
          </cell>
        </row>
      </sheetData>
      <sheetData sheetId="4760">
        <row r="4">
          <cell r="I4">
            <v>0</v>
          </cell>
        </row>
      </sheetData>
      <sheetData sheetId="4761">
        <row r="4">
          <cell r="I4">
            <v>0</v>
          </cell>
        </row>
      </sheetData>
      <sheetData sheetId="4762">
        <row r="4">
          <cell r="I4">
            <v>0</v>
          </cell>
        </row>
      </sheetData>
      <sheetData sheetId="4763">
        <row r="4">
          <cell r="I4">
            <v>0</v>
          </cell>
        </row>
      </sheetData>
      <sheetData sheetId="4764">
        <row r="4">
          <cell r="I4">
            <v>0</v>
          </cell>
        </row>
      </sheetData>
      <sheetData sheetId="4765">
        <row r="4">
          <cell r="I4">
            <v>0</v>
          </cell>
        </row>
      </sheetData>
      <sheetData sheetId="4766">
        <row r="4">
          <cell r="I4">
            <v>0</v>
          </cell>
        </row>
      </sheetData>
      <sheetData sheetId="4767">
        <row r="4">
          <cell r="I4">
            <v>0</v>
          </cell>
        </row>
      </sheetData>
      <sheetData sheetId="4768">
        <row r="4">
          <cell r="I4">
            <v>0</v>
          </cell>
        </row>
      </sheetData>
      <sheetData sheetId="4769">
        <row r="4">
          <cell r="I4">
            <v>0</v>
          </cell>
        </row>
      </sheetData>
      <sheetData sheetId="4770">
        <row r="4">
          <cell r="I4">
            <v>0</v>
          </cell>
        </row>
      </sheetData>
      <sheetData sheetId="4771">
        <row r="4">
          <cell r="I4">
            <v>0</v>
          </cell>
        </row>
      </sheetData>
      <sheetData sheetId="4772">
        <row r="4">
          <cell r="I4">
            <v>0</v>
          </cell>
        </row>
      </sheetData>
      <sheetData sheetId="4773">
        <row r="4">
          <cell r="I4">
            <v>0</v>
          </cell>
        </row>
      </sheetData>
      <sheetData sheetId="4774">
        <row r="4">
          <cell r="I4">
            <v>0</v>
          </cell>
        </row>
      </sheetData>
      <sheetData sheetId="4775">
        <row r="4">
          <cell r="I4">
            <v>0</v>
          </cell>
        </row>
      </sheetData>
      <sheetData sheetId="4776">
        <row r="4">
          <cell r="I4">
            <v>0</v>
          </cell>
        </row>
      </sheetData>
      <sheetData sheetId="4777">
        <row r="4">
          <cell r="I4">
            <v>0</v>
          </cell>
        </row>
      </sheetData>
      <sheetData sheetId="4778">
        <row r="4">
          <cell r="I4">
            <v>0</v>
          </cell>
        </row>
      </sheetData>
      <sheetData sheetId="4779">
        <row r="4">
          <cell r="I4">
            <v>0</v>
          </cell>
        </row>
      </sheetData>
      <sheetData sheetId="4780">
        <row r="4">
          <cell r="I4">
            <v>0</v>
          </cell>
        </row>
      </sheetData>
      <sheetData sheetId="4781">
        <row r="4">
          <cell r="I4">
            <v>0</v>
          </cell>
        </row>
      </sheetData>
      <sheetData sheetId="4782">
        <row r="4">
          <cell r="I4">
            <v>0</v>
          </cell>
        </row>
      </sheetData>
      <sheetData sheetId="4783">
        <row r="4">
          <cell r="I4">
            <v>0</v>
          </cell>
        </row>
      </sheetData>
      <sheetData sheetId="4784">
        <row r="4">
          <cell r="I4">
            <v>0</v>
          </cell>
        </row>
      </sheetData>
      <sheetData sheetId="4785">
        <row r="4">
          <cell r="I4">
            <v>0</v>
          </cell>
        </row>
      </sheetData>
      <sheetData sheetId="4786">
        <row r="4">
          <cell r="I4">
            <v>0</v>
          </cell>
        </row>
      </sheetData>
      <sheetData sheetId="4787">
        <row r="4">
          <cell r="I4">
            <v>0</v>
          </cell>
        </row>
      </sheetData>
      <sheetData sheetId="4788">
        <row r="4">
          <cell r="I4">
            <v>0</v>
          </cell>
        </row>
      </sheetData>
      <sheetData sheetId="4789">
        <row r="4">
          <cell r="I4">
            <v>0</v>
          </cell>
        </row>
      </sheetData>
      <sheetData sheetId="4790">
        <row r="4">
          <cell r="I4">
            <v>0</v>
          </cell>
        </row>
      </sheetData>
      <sheetData sheetId="4791">
        <row r="4">
          <cell r="I4">
            <v>0</v>
          </cell>
        </row>
      </sheetData>
      <sheetData sheetId="4792">
        <row r="4">
          <cell r="I4">
            <v>0</v>
          </cell>
        </row>
      </sheetData>
      <sheetData sheetId="4793">
        <row r="4">
          <cell r="I4">
            <v>0</v>
          </cell>
        </row>
      </sheetData>
      <sheetData sheetId="4794">
        <row r="4">
          <cell r="I4">
            <v>0</v>
          </cell>
        </row>
      </sheetData>
      <sheetData sheetId="4795">
        <row r="4">
          <cell r="I4">
            <v>0</v>
          </cell>
        </row>
      </sheetData>
      <sheetData sheetId="4796">
        <row r="4">
          <cell r="I4">
            <v>0</v>
          </cell>
        </row>
      </sheetData>
      <sheetData sheetId="4797">
        <row r="4">
          <cell r="I4">
            <v>0</v>
          </cell>
        </row>
      </sheetData>
      <sheetData sheetId="4798">
        <row r="4">
          <cell r="I4">
            <v>0</v>
          </cell>
        </row>
      </sheetData>
      <sheetData sheetId="4799">
        <row r="4">
          <cell r="I4">
            <v>0</v>
          </cell>
        </row>
      </sheetData>
      <sheetData sheetId="4800">
        <row r="4">
          <cell r="I4">
            <v>0</v>
          </cell>
        </row>
      </sheetData>
      <sheetData sheetId="4801">
        <row r="4">
          <cell r="I4">
            <v>0</v>
          </cell>
        </row>
      </sheetData>
      <sheetData sheetId="4802">
        <row r="4">
          <cell r="I4">
            <v>0</v>
          </cell>
        </row>
      </sheetData>
      <sheetData sheetId="4803">
        <row r="4">
          <cell r="I4">
            <v>0</v>
          </cell>
        </row>
      </sheetData>
      <sheetData sheetId="4804">
        <row r="4">
          <cell r="I4">
            <v>0</v>
          </cell>
        </row>
      </sheetData>
      <sheetData sheetId="4805">
        <row r="4">
          <cell r="I4">
            <v>0</v>
          </cell>
        </row>
      </sheetData>
      <sheetData sheetId="4806">
        <row r="4">
          <cell r="I4">
            <v>0</v>
          </cell>
        </row>
      </sheetData>
      <sheetData sheetId="4807">
        <row r="4">
          <cell r="I4">
            <v>0</v>
          </cell>
        </row>
      </sheetData>
      <sheetData sheetId="4808">
        <row r="4">
          <cell r="I4">
            <v>0</v>
          </cell>
        </row>
      </sheetData>
      <sheetData sheetId="4809">
        <row r="4">
          <cell r="I4">
            <v>0</v>
          </cell>
        </row>
      </sheetData>
      <sheetData sheetId="4810">
        <row r="4">
          <cell r="I4">
            <v>0</v>
          </cell>
        </row>
      </sheetData>
      <sheetData sheetId="4811">
        <row r="4">
          <cell r="I4">
            <v>0</v>
          </cell>
        </row>
      </sheetData>
      <sheetData sheetId="4812">
        <row r="4">
          <cell r="I4">
            <v>0</v>
          </cell>
        </row>
      </sheetData>
      <sheetData sheetId="4813">
        <row r="4">
          <cell r="I4">
            <v>0</v>
          </cell>
        </row>
      </sheetData>
      <sheetData sheetId="4814">
        <row r="4">
          <cell r="I4">
            <v>0</v>
          </cell>
        </row>
      </sheetData>
      <sheetData sheetId="4815">
        <row r="4">
          <cell r="I4">
            <v>0</v>
          </cell>
        </row>
      </sheetData>
      <sheetData sheetId="4816">
        <row r="4">
          <cell r="I4">
            <v>0</v>
          </cell>
        </row>
      </sheetData>
      <sheetData sheetId="4817">
        <row r="4">
          <cell r="I4">
            <v>0</v>
          </cell>
        </row>
      </sheetData>
      <sheetData sheetId="4818">
        <row r="4">
          <cell r="I4">
            <v>0</v>
          </cell>
        </row>
      </sheetData>
      <sheetData sheetId="4819">
        <row r="4">
          <cell r="I4">
            <v>0</v>
          </cell>
        </row>
      </sheetData>
      <sheetData sheetId="4820">
        <row r="4">
          <cell r="I4">
            <v>0</v>
          </cell>
        </row>
      </sheetData>
      <sheetData sheetId="4821">
        <row r="4">
          <cell r="I4">
            <v>0</v>
          </cell>
        </row>
      </sheetData>
      <sheetData sheetId="4822">
        <row r="4">
          <cell r="I4">
            <v>0</v>
          </cell>
        </row>
      </sheetData>
      <sheetData sheetId="4823">
        <row r="4">
          <cell r="I4">
            <v>0</v>
          </cell>
        </row>
      </sheetData>
      <sheetData sheetId="4824">
        <row r="4">
          <cell r="I4">
            <v>0</v>
          </cell>
        </row>
      </sheetData>
      <sheetData sheetId="4825">
        <row r="4">
          <cell r="I4">
            <v>0</v>
          </cell>
        </row>
      </sheetData>
      <sheetData sheetId="4826">
        <row r="4">
          <cell r="I4">
            <v>0</v>
          </cell>
        </row>
      </sheetData>
      <sheetData sheetId="4827">
        <row r="4">
          <cell r="I4">
            <v>0</v>
          </cell>
        </row>
      </sheetData>
      <sheetData sheetId="4828">
        <row r="4">
          <cell r="I4">
            <v>0</v>
          </cell>
        </row>
      </sheetData>
      <sheetData sheetId="4829">
        <row r="4">
          <cell r="I4">
            <v>0</v>
          </cell>
        </row>
      </sheetData>
      <sheetData sheetId="4830">
        <row r="4">
          <cell r="I4">
            <v>0</v>
          </cell>
        </row>
      </sheetData>
      <sheetData sheetId="4831">
        <row r="4">
          <cell r="I4">
            <v>0</v>
          </cell>
        </row>
      </sheetData>
      <sheetData sheetId="4832">
        <row r="4">
          <cell r="I4">
            <v>0</v>
          </cell>
        </row>
      </sheetData>
      <sheetData sheetId="4833">
        <row r="4">
          <cell r="I4">
            <v>0</v>
          </cell>
        </row>
      </sheetData>
      <sheetData sheetId="4834">
        <row r="4">
          <cell r="I4">
            <v>0</v>
          </cell>
        </row>
      </sheetData>
      <sheetData sheetId="4835">
        <row r="4">
          <cell r="I4">
            <v>0</v>
          </cell>
        </row>
      </sheetData>
      <sheetData sheetId="4836">
        <row r="4">
          <cell r="I4">
            <v>0</v>
          </cell>
        </row>
      </sheetData>
      <sheetData sheetId="4837">
        <row r="4">
          <cell r="I4">
            <v>0</v>
          </cell>
        </row>
      </sheetData>
      <sheetData sheetId="4838">
        <row r="4">
          <cell r="I4">
            <v>0</v>
          </cell>
        </row>
      </sheetData>
      <sheetData sheetId="4839">
        <row r="4">
          <cell r="I4">
            <v>0</v>
          </cell>
        </row>
      </sheetData>
      <sheetData sheetId="4840">
        <row r="4">
          <cell r="I4">
            <v>0</v>
          </cell>
        </row>
      </sheetData>
      <sheetData sheetId="4841">
        <row r="4">
          <cell r="I4">
            <v>0</v>
          </cell>
        </row>
      </sheetData>
      <sheetData sheetId="4842">
        <row r="4">
          <cell r="I4">
            <v>0</v>
          </cell>
        </row>
      </sheetData>
      <sheetData sheetId="4843">
        <row r="4">
          <cell r="I4">
            <v>0</v>
          </cell>
        </row>
      </sheetData>
      <sheetData sheetId="4844">
        <row r="4">
          <cell r="I4">
            <v>0</v>
          </cell>
        </row>
      </sheetData>
      <sheetData sheetId="4845">
        <row r="4">
          <cell r="I4">
            <v>0</v>
          </cell>
        </row>
      </sheetData>
      <sheetData sheetId="4846">
        <row r="4">
          <cell r="I4">
            <v>0</v>
          </cell>
        </row>
      </sheetData>
      <sheetData sheetId="4847">
        <row r="4">
          <cell r="I4">
            <v>0</v>
          </cell>
        </row>
      </sheetData>
      <sheetData sheetId="4848">
        <row r="4">
          <cell r="I4">
            <v>0</v>
          </cell>
        </row>
      </sheetData>
      <sheetData sheetId="4849">
        <row r="4">
          <cell r="I4">
            <v>0</v>
          </cell>
        </row>
      </sheetData>
      <sheetData sheetId="4850">
        <row r="4">
          <cell r="I4">
            <v>0</v>
          </cell>
        </row>
      </sheetData>
      <sheetData sheetId="4851">
        <row r="4">
          <cell r="I4">
            <v>0</v>
          </cell>
        </row>
      </sheetData>
      <sheetData sheetId="4852">
        <row r="4">
          <cell r="I4">
            <v>0</v>
          </cell>
        </row>
      </sheetData>
      <sheetData sheetId="4853">
        <row r="4">
          <cell r="I4">
            <v>0</v>
          </cell>
        </row>
      </sheetData>
      <sheetData sheetId="4854">
        <row r="4">
          <cell r="I4">
            <v>0</v>
          </cell>
        </row>
      </sheetData>
      <sheetData sheetId="4855">
        <row r="4">
          <cell r="I4">
            <v>0</v>
          </cell>
        </row>
      </sheetData>
      <sheetData sheetId="4856">
        <row r="4">
          <cell r="I4">
            <v>0</v>
          </cell>
        </row>
      </sheetData>
      <sheetData sheetId="4857">
        <row r="4">
          <cell r="I4">
            <v>0</v>
          </cell>
        </row>
      </sheetData>
      <sheetData sheetId="4858">
        <row r="4">
          <cell r="I4">
            <v>0</v>
          </cell>
        </row>
      </sheetData>
      <sheetData sheetId="4859">
        <row r="4">
          <cell r="I4">
            <v>0</v>
          </cell>
        </row>
      </sheetData>
      <sheetData sheetId="4860">
        <row r="4">
          <cell r="I4">
            <v>0</v>
          </cell>
        </row>
      </sheetData>
      <sheetData sheetId="4861">
        <row r="4">
          <cell r="I4">
            <v>0</v>
          </cell>
        </row>
      </sheetData>
      <sheetData sheetId="4862">
        <row r="4">
          <cell r="I4">
            <v>0</v>
          </cell>
        </row>
      </sheetData>
      <sheetData sheetId="4863">
        <row r="4">
          <cell r="I4">
            <v>0</v>
          </cell>
        </row>
      </sheetData>
      <sheetData sheetId="4864">
        <row r="4">
          <cell r="I4">
            <v>0</v>
          </cell>
        </row>
      </sheetData>
      <sheetData sheetId="4865">
        <row r="4">
          <cell r="I4">
            <v>0</v>
          </cell>
        </row>
      </sheetData>
      <sheetData sheetId="4866">
        <row r="4">
          <cell r="I4">
            <v>0</v>
          </cell>
        </row>
      </sheetData>
      <sheetData sheetId="4867">
        <row r="4">
          <cell r="I4">
            <v>0</v>
          </cell>
        </row>
      </sheetData>
      <sheetData sheetId="4868">
        <row r="4">
          <cell r="I4">
            <v>0</v>
          </cell>
        </row>
      </sheetData>
      <sheetData sheetId="4869">
        <row r="4">
          <cell r="I4">
            <v>0</v>
          </cell>
        </row>
      </sheetData>
      <sheetData sheetId="4870">
        <row r="4">
          <cell r="I4">
            <v>0</v>
          </cell>
        </row>
      </sheetData>
      <sheetData sheetId="4871">
        <row r="4">
          <cell r="I4">
            <v>0</v>
          </cell>
        </row>
      </sheetData>
      <sheetData sheetId="4872">
        <row r="4">
          <cell r="I4">
            <v>0</v>
          </cell>
        </row>
      </sheetData>
      <sheetData sheetId="4873">
        <row r="4">
          <cell r="I4">
            <v>0</v>
          </cell>
        </row>
      </sheetData>
      <sheetData sheetId="4874">
        <row r="4">
          <cell r="I4">
            <v>0</v>
          </cell>
        </row>
      </sheetData>
      <sheetData sheetId="4875">
        <row r="4">
          <cell r="I4">
            <v>0</v>
          </cell>
        </row>
      </sheetData>
      <sheetData sheetId="4876">
        <row r="4">
          <cell r="I4">
            <v>0</v>
          </cell>
        </row>
      </sheetData>
      <sheetData sheetId="4877">
        <row r="4">
          <cell r="I4">
            <v>0</v>
          </cell>
        </row>
      </sheetData>
      <sheetData sheetId="4878">
        <row r="4">
          <cell r="I4">
            <v>0</v>
          </cell>
        </row>
      </sheetData>
      <sheetData sheetId="4879">
        <row r="4">
          <cell r="I4">
            <v>0</v>
          </cell>
        </row>
      </sheetData>
      <sheetData sheetId="4880">
        <row r="4">
          <cell r="I4">
            <v>0</v>
          </cell>
        </row>
      </sheetData>
      <sheetData sheetId="4881">
        <row r="4">
          <cell r="I4">
            <v>0</v>
          </cell>
        </row>
      </sheetData>
      <sheetData sheetId="4882">
        <row r="4">
          <cell r="I4">
            <v>0</v>
          </cell>
        </row>
      </sheetData>
      <sheetData sheetId="4883">
        <row r="4">
          <cell r="I4">
            <v>0</v>
          </cell>
        </row>
      </sheetData>
      <sheetData sheetId="4884">
        <row r="4">
          <cell r="I4">
            <v>0</v>
          </cell>
        </row>
      </sheetData>
      <sheetData sheetId="4885">
        <row r="4">
          <cell r="I4">
            <v>0</v>
          </cell>
        </row>
      </sheetData>
      <sheetData sheetId="4886">
        <row r="4">
          <cell r="I4">
            <v>0</v>
          </cell>
        </row>
      </sheetData>
      <sheetData sheetId="4887">
        <row r="4">
          <cell r="I4">
            <v>0</v>
          </cell>
        </row>
      </sheetData>
      <sheetData sheetId="4888">
        <row r="4">
          <cell r="I4">
            <v>0</v>
          </cell>
        </row>
      </sheetData>
      <sheetData sheetId="4889">
        <row r="4">
          <cell r="I4">
            <v>0</v>
          </cell>
        </row>
      </sheetData>
      <sheetData sheetId="4890">
        <row r="4">
          <cell r="I4">
            <v>0</v>
          </cell>
        </row>
      </sheetData>
      <sheetData sheetId="4891">
        <row r="4">
          <cell r="I4">
            <v>0</v>
          </cell>
        </row>
      </sheetData>
      <sheetData sheetId="4892">
        <row r="4">
          <cell r="I4">
            <v>0</v>
          </cell>
        </row>
      </sheetData>
      <sheetData sheetId="4893">
        <row r="4">
          <cell r="I4">
            <v>0</v>
          </cell>
        </row>
      </sheetData>
      <sheetData sheetId="4894">
        <row r="4">
          <cell r="I4">
            <v>0</v>
          </cell>
        </row>
      </sheetData>
      <sheetData sheetId="4895">
        <row r="4">
          <cell r="I4">
            <v>0</v>
          </cell>
        </row>
      </sheetData>
      <sheetData sheetId="4896">
        <row r="4">
          <cell r="I4">
            <v>0</v>
          </cell>
        </row>
      </sheetData>
      <sheetData sheetId="4897">
        <row r="4">
          <cell r="I4">
            <v>0</v>
          </cell>
        </row>
      </sheetData>
      <sheetData sheetId="4898">
        <row r="4">
          <cell r="I4">
            <v>0</v>
          </cell>
        </row>
      </sheetData>
      <sheetData sheetId="4899">
        <row r="4">
          <cell r="I4">
            <v>0</v>
          </cell>
        </row>
      </sheetData>
      <sheetData sheetId="4900">
        <row r="4">
          <cell r="I4">
            <v>0</v>
          </cell>
        </row>
      </sheetData>
      <sheetData sheetId="4901">
        <row r="4">
          <cell r="I4">
            <v>0</v>
          </cell>
        </row>
      </sheetData>
      <sheetData sheetId="4902">
        <row r="4">
          <cell r="I4">
            <v>0</v>
          </cell>
        </row>
      </sheetData>
      <sheetData sheetId="4903">
        <row r="4">
          <cell r="I4">
            <v>0</v>
          </cell>
        </row>
      </sheetData>
      <sheetData sheetId="4904">
        <row r="4">
          <cell r="I4">
            <v>0</v>
          </cell>
        </row>
      </sheetData>
      <sheetData sheetId="4905">
        <row r="4">
          <cell r="I4">
            <v>0</v>
          </cell>
        </row>
      </sheetData>
      <sheetData sheetId="4906">
        <row r="4">
          <cell r="I4">
            <v>0</v>
          </cell>
        </row>
      </sheetData>
      <sheetData sheetId="4907">
        <row r="4">
          <cell r="I4">
            <v>0</v>
          </cell>
        </row>
      </sheetData>
      <sheetData sheetId="4908">
        <row r="4">
          <cell r="I4">
            <v>0</v>
          </cell>
        </row>
      </sheetData>
      <sheetData sheetId="4909">
        <row r="4">
          <cell r="I4">
            <v>0</v>
          </cell>
        </row>
      </sheetData>
      <sheetData sheetId="4910">
        <row r="4">
          <cell r="I4">
            <v>0</v>
          </cell>
        </row>
      </sheetData>
      <sheetData sheetId="4911">
        <row r="4">
          <cell r="I4">
            <v>0</v>
          </cell>
        </row>
      </sheetData>
      <sheetData sheetId="4912">
        <row r="4">
          <cell r="I4">
            <v>0</v>
          </cell>
        </row>
      </sheetData>
      <sheetData sheetId="4913">
        <row r="4">
          <cell r="I4">
            <v>0</v>
          </cell>
        </row>
      </sheetData>
      <sheetData sheetId="4914">
        <row r="4">
          <cell r="I4">
            <v>0</v>
          </cell>
        </row>
      </sheetData>
      <sheetData sheetId="4915">
        <row r="4">
          <cell r="I4">
            <v>0</v>
          </cell>
        </row>
      </sheetData>
      <sheetData sheetId="4916">
        <row r="4">
          <cell r="I4">
            <v>0</v>
          </cell>
        </row>
      </sheetData>
      <sheetData sheetId="4917">
        <row r="4">
          <cell r="I4">
            <v>0</v>
          </cell>
        </row>
      </sheetData>
      <sheetData sheetId="4918">
        <row r="4">
          <cell r="I4">
            <v>0</v>
          </cell>
        </row>
      </sheetData>
      <sheetData sheetId="4919">
        <row r="4">
          <cell r="I4">
            <v>0</v>
          </cell>
        </row>
      </sheetData>
      <sheetData sheetId="4920">
        <row r="4">
          <cell r="I4">
            <v>0</v>
          </cell>
        </row>
      </sheetData>
      <sheetData sheetId="4921">
        <row r="4">
          <cell r="I4">
            <v>0</v>
          </cell>
        </row>
      </sheetData>
      <sheetData sheetId="4922">
        <row r="4">
          <cell r="I4">
            <v>0</v>
          </cell>
        </row>
      </sheetData>
      <sheetData sheetId="4923">
        <row r="4">
          <cell r="I4">
            <v>0</v>
          </cell>
        </row>
      </sheetData>
      <sheetData sheetId="4924">
        <row r="4">
          <cell r="I4">
            <v>0</v>
          </cell>
        </row>
      </sheetData>
      <sheetData sheetId="4925">
        <row r="4">
          <cell r="I4">
            <v>0</v>
          </cell>
        </row>
      </sheetData>
      <sheetData sheetId="4926">
        <row r="4">
          <cell r="I4">
            <v>0</v>
          </cell>
        </row>
      </sheetData>
      <sheetData sheetId="4927">
        <row r="4">
          <cell r="I4">
            <v>0</v>
          </cell>
        </row>
      </sheetData>
      <sheetData sheetId="4928">
        <row r="4">
          <cell r="I4">
            <v>0</v>
          </cell>
        </row>
      </sheetData>
      <sheetData sheetId="4929">
        <row r="4">
          <cell r="I4">
            <v>0</v>
          </cell>
        </row>
      </sheetData>
      <sheetData sheetId="4930">
        <row r="4">
          <cell r="I4">
            <v>0</v>
          </cell>
        </row>
      </sheetData>
      <sheetData sheetId="4931">
        <row r="4">
          <cell r="I4">
            <v>0</v>
          </cell>
        </row>
      </sheetData>
      <sheetData sheetId="4932">
        <row r="4">
          <cell r="I4">
            <v>0</v>
          </cell>
        </row>
      </sheetData>
      <sheetData sheetId="4933">
        <row r="4">
          <cell r="I4">
            <v>0</v>
          </cell>
        </row>
      </sheetData>
      <sheetData sheetId="4934">
        <row r="4">
          <cell r="I4">
            <v>0</v>
          </cell>
        </row>
      </sheetData>
      <sheetData sheetId="4935">
        <row r="4">
          <cell r="I4">
            <v>0</v>
          </cell>
        </row>
      </sheetData>
      <sheetData sheetId="4936">
        <row r="4">
          <cell r="I4">
            <v>0</v>
          </cell>
        </row>
      </sheetData>
      <sheetData sheetId="4937">
        <row r="4">
          <cell r="I4">
            <v>0</v>
          </cell>
        </row>
      </sheetData>
      <sheetData sheetId="4938">
        <row r="4">
          <cell r="I4">
            <v>0</v>
          </cell>
        </row>
      </sheetData>
      <sheetData sheetId="4939">
        <row r="4">
          <cell r="I4">
            <v>0</v>
          </cell>
        </row>
      </sheetData>
      <sheetData sheetId="4940">
        <row r="4">
          <cell r="I4">
            <v>0</v>
          </cell>
        </row>
      </sheetData>
      <sheetData sheetId="4941">
        <row r="4">
          <cell r="I4">
            <v>0</v>
          </cell>
        </row>
      </sheetData>
      <sheetData sheetId="4942">
        <row r="4">
          <cell r="I4">
            <v>0</v>
          </cell>
        </row>
      </sheetData>
      <sheetData sheetId="4943">
        <row r="4">
          <cell r="I4">
            <v>0</v>
          </cell>
        </row>
      </sheetData>
      <sheetData sheetId="4944">
        <row r="4">
          <cell r="I4">
            <v>0</v>
          </cell>
        </row>
      </sheetData>
      <sheetData sheetId="4945">
        <row r="4">
          <cell r="I4">
            <v>0</v>
          </cell>
        </row>
      </sheetData>
      <sheetData sheetId="4946">
        <row r="4">
          <cell r="I4">
            <v>0</v>
          </cell>
        </row>
      </sheetData>
      <sheetData sheetId="4947">
        <row r="4">
          <cell r="I4">
            <v>0</v>
          </cell>
        </row>
      </sheetData>
      <sheetData sheetId="4948">
        <row r="4">
          <cell r="I4">
            <v>0</v>
          </cell>
        </row>
      </sheetData>
      <sheetData sheetId="4949">
        <row r="4">
          <cell r="I4">
            <v>0</v>
          </cell>
        </row>
      </sheetData>
      <sheetData sheetId="4950">
        <row r="4">
          <cell r="I4">
            <v>0</v>
          </cell>
        </row>
      </sheetData>
      <sheetData sheetId="4951">
        <row r="4">
          <cell r="I4">
            <v>0</v>
          </cell>
        </row>
      </sheetData>
      <sheetData sheetId="4952">
        <row r="4">
          <cell r="I4">
            <v>0</v>
          </cell>
        </row>
      </sheetData>
      <sheetData sheetId="4953">
        <row r="4">
          <cell r="I4">
            <v>0</v>
          </cell>
        </row>
      </sheetData>
      <sheetData sheetId="4954">
        <row r="4">
          <cell r="I4">
            <v>0</v>
          </cell>
        </row>
      </sheetData>
      <sheetData sheetId="4955">
        <row r="4">
          <cell r="I4">
            <v>0</v>
          </cell>
        </row>
      </sheetData>
      <sheetData sheetId="4956">
        <row r="4">
          <cell r="I4">
            <v>0</v>
          </cell>
        </row>
      </sheetData>
      <sheetData sheetId="4957">
        <row r="4">
          <cell r="I4">
            <v>0</v>
          </cell>
        </row>
      </sheetData>
      <sheetData sheetId="4958">
        <row r="4">
          <cell r="I4">
            <v>0</v>
          </cell>
        </row>
      </sheetData>
      <sheetData sheetId="4959">
        <row r="4">
          <cell r="I4">
            <v>0</v>
          </cell>
        </row>
      </sheetData>
      <sheetData sheetId="4960">
        <row r="4">
          <cell r="I4">
            <v>0</v>
          </cell>
        </row>
      </sheetData>
      <sheetData sheetId="4961">
        <row r="4">
          <cell r="I4">
            <v>0</v>
          </cell>
        </row>
      </sheetData>
      <sheetData sheetId="4962">
        <row r="4">
          <cell r="I4">
            <v>0</v>
          </cell>
        </row>
      </sheetData>
      <sheetData sheetId="4963">
        <row r="4">
          <cell r="I4">
            <v>0</v>
          </cell>
        </row>
      </sheetData>
      <sheetData sheetId="4964">
        <row r="4">
          <cell r="I4">
            <v>0</v>
          </cell>
        </row>
      </sheetData>
      <sheetData sheetId="4965">
        <row r="4">
          <cell r="I4">
            <v>0</v>
          </cell>
        </row>
      </sheetData>
      <sheetData sheetId="4966">
        <row r="4">
          <cell r="I4">
            <v>0</v>
          </cell>
        </row>
      </sheetData>
      <sheetData sheetId="4967">
        <row r="4">
          <cell r="I4">
            <v>0</v>
          </cell>
        </row>
      </sheetData>
      <sheetData sheetId="4968">
        <row r="4">
          <cell r="I4">
            <v>0</v>
          </cell>
        </row>
      </sheetData>
      <sheetData sheetId="4969">
        <row r="4">
          <cell r="I4">
            <v>0</v>
          </cell>
        </row>
      </sheetData>
      <sheetData sheetId="4970">
        <row r="4">
          <cell r="I4">
            <v>0</v>
          </cell>
        </row>
      </sheetData>
      <sheetData sheetId="4971">
        <row r="4">
          <cell r="I4">
            <v>0</v>
          </cell>
        </row>
      </sheetData>
      <sheetData sheetId="4972">
        <row r="4">
          <cell r="I4">
            <v>0</v>
          </cell>
        </row>
      </sheetData>
      <sheetData sheetId="4973">
        <row r="4">
          <cell r="I4">
            <v>0</v>
          </cell>
        </row>
      </sheetData>
      <sheetData sheetId="4974">
        <row r="4">
          <cell r="I4">
            <v>0</v>
          </cell>
        </row>
      </sheetData>
      <sheetData sheetId="4975">
        <row r="4">
          <cell r="I4">
            <v>0</v>
          </cell>
        </row>
      </sheetData>
      <sheetData sheetId="4976">
        <row r="4">
          <cell r="I4">
            <v>0</v>
          </cell>
        </row>
      </sheetData>
      <sheetData sheetId="4977">
        <row r="4">
          <cell r="I4">
            <v>0</v>
          </cell>
        </row>
      </sheetData>
      <sheetData sheetId="4978">
        <row r="4">
          <cell r="I4">
            <v>0</v>
          </cell>
        </row>
      </sheetData>
      <sheetData sheetId="4979">
        <row r="4">
          <cell r="I4">
            <v>0</v>
          </cell>
        </row>
      </sheetData>
      <sheetData sheetId="4980">
        <row r="4">
          <cell r="I4">
            <v>0</v>
          </cell>
        </row>
      </sheetData>
      <sheetData sheetId="4981">
        <row r="4">
          <cell r="I4">
            <v>0</v>
          </cell>
        </row>
      </sheetData>
      <sheetData sheetId="4982">
        <row r="4">
          <cell r="I4">
            <v>0</v>
          </cell>
        </row>
      </sheetData>
      <sheetData sheetId="4983">
        <row r="4">
          <cell r="I4">
            <v>0</v>
          </cell>
        </row>
      </sheetData>
      <sheetData sheetId="4984">
        <row r="4">
          <cell r="I4">
            <v>0</v>
          </cell>
        </row>
      </sheetData>
      <sheetData sheetId="4985">
        <row r="4">
          <cell r="I4">
            <v>0</v>
          </cell>
        </row>
      </sheetData>
      <sheetData sheetId="4986">
        <row r="4">
          <cell r="I4">
            <v>0</v>
          </cell>
        </row>
      </sheetData>
      <sheetData sheetId="4987">
        <row r="4">
          <cell r="I4">
            <v>0</v>
          </cell>
        </row>
      </sheetData>
      <sheetData sheetId="4988">
        <row r="4">
          <cell r="I4">
            <v>0</v>
          </cell>
        </row>
      </sheetData>
      <sheetData sheetId="4989">
        <row r="4">
          <cell r="I4">
            <v>0</v>
          </cell>
        </row>
      </sheetData>
      <sheetData sheetId="4990">
        <row r="4">
          <cell r="I4">
            <v>0</v>
          </cell>
        </row>
      </sheetData>
      <sheetData sheetId="4991">
        <row r="4">
          <cell r="I4">
            <v>0</v>
          </cell>
        </row>
      </sheetData>
      <sheetData sheetId="4992">
        <row r="4">
          <cell r="I4">
            <v>0</v>
          </cell>
        </row>
      </sheetData>
      <sheetData sheetId="4993">
        <row r="4">
          <cell r="I4">
            <v>0</v>
          </cell>
        </row>
      </sheetData>
      <sheetData sheetId="4994">
        <row r="4">
          <cell r="I4">
            <v>0</v>
          </cell>
        </row>
      </sheetData>
      <sheetData sheetId="4995">
        <row r="4">
          <cell r="I4">
            <v>0</v>
          </cell>
        </row>
      </sheetData>
      <sheetData sheetId="4996">
        <row r="4">
          <cell r="I4">
            <v>0</v>
          </cell>
        </row>
      </sheetData>
      <sheetData sheetId="4997">
        <row r="4">
          <cell r="I4">
            <v>0</v>
          </cell>
        </row>
      </sheetData>
      <sheetData sheetId="4998">
        <row r="4">
          <cell r="I4">
            <v>0</v>
          </cell>
        </row>
      </sheetData>
      <sheetData sheetId="4999">
        <row r="4">
          <cell r="I4">
            <v>0</v>
          </cell>
        </row>
      </sheetData>
      <sheetData sheetId="5000">
        <row r="4">
          <cell r="I4">
            <v>0</v>
          </cell>
        </row>
      </sheetData>
      <sheetData sheetId="5001">
        <row r="4">
          <cell r="I4">
            <v>0</v>
          </cell>
        </row>
      </sheetData>
      <sheetData sheetId="5002">
        <row r="4">
          <cell r="I4">
            <v>0</v>
          </cell>
        </row>
      </sheetData>
      <sheetData sheetId="5003">
        <row r="4">
          <cell r="I4">
            <v>0</v>
          </cell>
        </row>
      </sheetData>
      <sheetData sheetId="5004">
        <row r="4">
          <cell r="I4">
            <v>0</v>
          </cell>
        </row>
      </sheetData>
      <sheetData sheetId="5005">
        <row r="4">
          <cell r="I4">
            <v>0</v>
          </cell>
        </row>
      </sheetData>
      <sheetData sheetId="5006">
        <row r="4">
          <cell r="I4">
            <v>0</v>
          </cell>
        </row>
      </sheetData>
      <sheetData sheetId="5007">
        <row r="4">
          <cell r="I4">
            <v>0</v>
          </cell>
        </row>
      </sheetData>
      <sheetData sheetId="5008">
        <row r="4">
          <cell r="I4">
            <v>0</v>
          </cell>
        </row>
      </sheetData>
      <sheetData sheetId="5009">
        <row r="4">
          <cell r="I4">
            <v>0</v>
          </cell>
        </row>
      </sheetData>
      <sheetData sheetId="5010">
        <row r="4">
          <cell r="I4">
            <v>0</v>
          </cell>
        </row>
      </sheetData>
      <sheetData sheetId="5011">
        <row r="4">
          <cell r="I4">
            <v>0</v>
          </cell>
        </row>
      </sheetData>
      <sheetData sheetId="5012">
        <row r="4">
          <cell r="I4">
            <v>0</v>
          </cell>
        </row>
      </sheetData>
      <sheetData sheetId="5013">
        <row r="4">
          <cell r="I4">
            <v>0</v>
          </cell>
        </row>
      </sheetData>
      <sheetData sheetId="5014">
        <row r="4">
          <cell r="I4">
            <v>0</v>
          </cell>
        </row>
      </sheetData>
      <sheetData sheetId="5015">
        <row r="4">
          <cell r="I4">
            <v>0</v>
          </cell>
        </row>
      </sheetData>
      <sheetData sheetId="5016">
        <row r="4">
          <cell r="I4">
            <v>0</v>
          </cell>
        </row>
      </sheetData>
      <sheetData sheetId="5017">
        <row r="4">
          <cell r="I4">
            <v>0</v>
          </cell>
        </row>
      </sheetData>
      <sheetData sheetId="5018">
        <row r="4">
          <cell r="I4">
            <v>0</v>
          </cell>
        </row>
      </sheetData>
      <sheetData sheetId="5019">
        <row r="4">
          <cell r="I4">
            <v>0</v>
          </cell>
        </row>
      </sheetData>
      <sheetData sheetId="5020">
        <row r="4">
          <cell r="I4">
            <v>0</v>
          </cell>
        </row>
      </sheetData>
      <sheetData sheetId="5021">
        <row r="4">
          <cell r="I4">
            <v>0</v>
          </cell>
        </row>
      </sheetData>
      <sheetData sheetId="5022">
        <row r="4">
          <cell r="I4">
            <v>0</v>
          </cell>
        </row>
      </sheetData>
      <sheetData sheetId="5023">
        <row r="4">
          <cell r="I4">
            <v>0</v>
          </cell>
        </row>
      </sheetData>
      <sheetData sheetId="5024">
        <row r="4">
          <cell r="I4">
            <v>0</v>
          </cell>
        </row>
      </sheetData>
      <sheetData sheetId="5025">
        <row r="4">
          <cell r="I4">
            <v>0</v>
          </cell>
        </row>
      </sheetData>
      <sheetData sheetId="5026">
        <row r="4">
          <cell r="I4">
            <v>0</v>
          </cell>
        </row>
      </sheetData>
      <sheetData sheetId="5027">
        <row r="4">
          <cell r="I4">
            <v>0</v>
          </cell>
        </row>
      </sheetData>
      <sheetData sheetId="5028">
        <row r="4">
          <cell r="I4">
            <v>0</v>
          </cell>
        </row>
      </sheetData>
      <sheetData sheetId="5029">
        <row r="4">
          <cell r="I4">
            <v>0</v>
          </cell>
        </row>
      </sheetData>
      <sheetData sheetId="5030">
        <row r="4">
          <cell r="I4">
            <v>0</v>
          </cell>
        </row>
      </sheetData>
      <sheetData sheetId="5031">
        <row r="4">
          <cell r="I4">
            <v>0</v>
          </cell>
        </row>
      </sheetData>
      <sheetData sheetId="5032">
        <row r="4">
          <cell r="I4">
            <v>0</v>
          </cell>
        </row>
      </sheetData>
      <sheetData sheetId="5033">
        <row r="4">
          <cell r="I4">
            <v>0</v>
          </cell>
        </row>
      </sheetData>
      <sheetData sheetId="5034">
        <row r="4">
          <cell r="I4">
            <v>0</v>
          </cell>
        </row>
      </sheetData>
      <sheetData sheetId="5035">
        <row r="4">
          <cell r="I4">
            <v>0</v>
          </cell>
        </row>
      </sheetData>
      <sheetData sheetId="5036">
        <row r="4">
          <cell r="I4">
            <v>0</v>
          </cell>
        </row>
      </sheetData>
      <sheetData sheetId="5037">
        <row r="4">
          <cell r="I4">
            <v>0</v>
          </cell>
        </row>
      </sheetData>
      <sheetData sheetId="5038">
        <row r="4">
          <cell r="I4">
            <v>0</v>
          </cell>
        </row>
      </sheetData>
      <sheetData sheetId="5039">
        <row r="4">
          <cell r="I4">
            <v>0</v>
          </cell>
        </row>
      </sheetData>
      <sheetData sheetId="5040">
        <row r="4">
          <cell r="I4">
            <v>0</v>
          </cell>
        </row>
      </sheetData>
      <sheetData sheetId="5041">
        <row r="4">
          <cell r="I4">
            <v>0</v>
          </cell>
        </row>
      </sheetData>
      <sheetData sheetId="5042">
        <row r="4">
          <cell r="I4">
            <v>0</v>
          </cell>
        </row>
      </sheetData>
      <sheetData sheetId="5043">
        <row r="4">
          <cell r="I4">
            <v>0</v>
          </cell>
        </row>
      </sheetData>
      <sheetData sheetId="5044">
        <row r="4">
          <cell r="I4">
            <v>0</v>
          </cell>
        </row>
      </sheetData>
      <sheetData sheetId="5045">
        <row r="4">
          <cell r="I4">
            <v>0</v>
          </cell>
        </row>
      </sheetData>
      <sheetData sheetId="5046">
        <row r="4">
          <cell r="I4">
            <v>0</v>
          </cell>
        </row>
      </sheetData>
      <sheetData sheetId="5047">
        <row r="4">
          <cell r="I4">
            <v>0</v>
          </cell>
        </row>
      </sheetData>
      <sheetData sheetId="5048">
        <row r="4">
          <cell r="I4">
            <v>0</v>
          </cell>
        </row>
      </sheetData>
      <sheetData sheetId="5049">
        <row r="4">
          <cell r="I4">
            <v>0</v>
          </cell>
        </row>
      </sheetData>
      <sheetData sheetId="5050">
        <row r="4">
          <cell r="I4">
            <v>0</v>
          </cell>
        </row>
      </sheetData>
      <sheetData sheetId="5051">
        <row r="4">
          <cell r="I4">
            <v>0</v>
          </cell>
        </row>
      </sheetData>
      <sheetData sheetId="5052">
        <row r="4">
          <cell r="I4">
            <v>0</v>
          </cell>
        </row>
      </sheetData>
      <sheetData sheetId="5053">
        <row r="4">
          <cell r="I4">
            <v>0</v>
          </cell>
        </row>
      </sheetData>
      <sheetData sheetId="5054">
        <row r="4">
          <cell r="I4">
            <v>0</v>
          </cell>
        </row>
      </sheetData>
      <sheetData sheetId="5055">
        <row r="4">
          <cell r="I4">
            <v>0</v>
          </cell>
        </row>
      </sheetData>
      <sheetData sheetId="5056">
        <row r="4">
          <cell r="I4">
            <v>0</v>
          </cell>
        </row>
      </sheetData>
      <sheetData sheetId="5057">
        <row r="4">
          <cell r="I4">
            <v>0</v>
          </cell>
        </row>
      </sheetData>
      <sheetData sheetId="5058">
        <row r="4">
          <cell r="I4">
            <v>0</v>
          </cell>
        </row>
      </sheetData>
      <sheetData sheetId="5059">
        <row r="4">
          <cell r="I4">
            <v>0</v>
          </cell>
        </row>
      </sheetData>
      <sheetData sheetId="5060">
        <row r="4">
          <cell r="I4">
            <v>0</v>
          </cell>
        </row>
      </sheetData>
      <sheetData sheetId="5061">
        <row r="4">
          <cell r="I4">
            <v>0</v>
          </cell>
        </row>
      </sheetData>
      <sheetData sheetId="5062">
        <row r="4">
          <cell r="I4">
            <v>0</v>
          </cell>
        </row>
      </sheetData>
      <sheetData sheetId="5063">
        <row r="4">
          <cell r="I4">
            <v>0</v>
          </cell>
        </row>
      </sheetData>
      <sheetData sheetId="5064">
        <row r="4">
          <cell r="I4">
            <v>0</v>
          </cell>
        </row>
      </sheetData>
      <sheetData sheetId="5065">
        <row r="4">
          <cell r="I4">
            <v>0</v>
          </cell>
        </row>
      </sheetData>
      <sheetData sheetId="5066">
        <row r="4">
          <cell r="I4">
            <v>0</v>
          </cell>
        </row>
      </sheetData>
      <sheetData sheetId="5067">
        <row r="4">
          <cell r="I4">
            <v>0</v>
          </cell>
        </row>
      </sheetData>
      <sheetData sheetId="5068">
        <row r="4">
          <cell r="I4">
            <v>0</v>
          </cell>
        </row>
      </sheetData>
      <sheetData sheetId="5069">
        <row r="4">
          <cell r="I4">
            <v>0</v>
          </cell>
        </row>
      </sheetData>
      <sheetData sheetId="5070">
        <row r="4">
          <cell r="I4">
            <v>0</v>
          </cell>
        </row>
      </sheetData>
      <sheetData sheetId="5071">
        <row r="4">
          <cell r="I4">
            <v>0</v>
          </cell>
        </row>
      </sheetData>
      <sheetData sheetId="5072">
        <row r="4">
          <cell r="I4">
            <v>0</v>
          </cell>
        </row>
      </sheetData>
      <sheetData sheetId="5073">
        <row r="4">
          <cell r="I4">
            <v>0</v>
          </cell>
        </row>
      </sheetData>
      <sheetData sheetId="5074">
        <row r="4">
          <cell r="I4">
            <v>0</v>
          </cell>
        </row>
      </sheetData>
      <sheetData sheetId="5075">
        <row r="4">
          <cell r="I4">
            <v>0</v>
          </cell>
        </row>
      </sheetData>
      <sheetData sheetId="5076">
        <row r="4">
          <cell r="I4">
            <v>0</v>
          </cell>
        </row>
      </sheetData>
      <sheetData sheetId="5077">
        <row r="4">
          <cell r="I4">
            <v>0</v>
          </cell>
        </row>
      </sheetData>
      <sheetData sheetId="5078">
        <row r="4">
          <cell r="I4">
            <v>0</v>
          </cell>
        </row>
      </sheetData>
      <sheetData sheetId="5079">
        <row r="4">
          <cell r="I4">
            <v>0</v>
          </cell>
        </row>
      </sheetData>
      <sheetData sheetId="5080">
        <row r="4">
          <cell r="I4">
            <v>0</v>
          </cell>
        </row>
      </sheetData>
      <sheetData sheetId="5081">
        <row r="4">
          <cell r="I4">
            <v>0</v>
          </cell>
        </row>
      </sheetData>
      <sheetData sheetId="5082">
        <row r="4">
          <cell r="I4">
            <v>0</v>
          </cell>
        </row>
      </sheetData>
      <sheetData sheetId="5083">
        <row r="4">
          <cell r="I4">
            <v>0</v>
          </cell>
        </row>
      </sheetData>
      <sheetData sheetId="5084">
        <row r="4">
          <cell r="I4">
            <v>0</v>
          </cell>
        </row>
      </sheetData>
      <sheetData sheetId="5085">
        <row r="4">
          <cell r="I4">
            <v>0</v>
          </cell>
        </row>
      </sheetData>
      <sheetData sheetId="5086">
        <row r="4">
          <cell r="I4">
            <v>0</v>
          </cell>
        </row>
      </sheetData>
      <sheetData sheetId="5087">
        <row r="4">
          <cell r="I4">
            <v>0</v>
          </cell>
        </row>
      </sheetData>
      <sheetData sheetId="5088">
        <row r="4">
          <cell r="I4">
            <v>0</v>
          </cell>
        </row>
      </sheetData>
      <sheetData sheetId="5089">
        <row r="4">
          <cell r="I4">
            <v>0</v>
          </cell>
        </row>
      </sheetData>
      <sheetData sheetId="5090">
        <row r="4">
          <cell r="I4">
            <v>0</v>
          </cell>
        </row>
      </sheetData>
      <sheetData sheetId="5091">
        <row r="4">
          <cell r="I4">
            <v>0</v>
          </cell>
        </row>
      </sheetData>
      <sheetData sheetId="5092">
        <row r="4">
          <cell r="I4">
            <v>0</v>
          </cell>
        </row>
      </sheetData>
      <sheetData sheetId="5093">
        <row r="4">
          <cell r="I4">
            <v>0</v>
          </cell>
        </row>
      </sheetData>
      <sheetData sheetId="5094">
        <row r="4">
          <cell r="I4">
            <v>0</v>
          </cell>
        </row>
      </sheetData>
      <sheetData sheetId="5095">
        <row r="4">
          <cell r="I4">
            <v>0</v>
          </cell>
        </row>
      </sheetData>
      <sheetData sheetId="5096">
        <row r="4">
          <cell r="I4">
            <v>0</v>
          </cell>
        </row>
      </sheetData>
      <sheetData sheetId="5097">
        <row r="4">
          <cell r="I4">
            <v>0</v>
          </cell>
        </row>
      </sheetData>
      <sheetData sheetId="5098">
        <row r="4">
          <cell r="I4">
            <v>0</v>
          </cell>
        </row>
      </sheetData>
      <sheetData sheetId="5099">
        <row r="4">
          <cell r="I4">
            <v>0</v>
          </cell>
        </row>
      </sheetData>
      <sheetData sheetId="5100">
        <row r="4">
          <cell r="I4">
            <v>0</v>
          </cell>
        </row>
      </sheetData>
      <sheetData sheetId="5101">
        <row r="4">
          <cell r="I4">
            <v>0</v>
          </cell>
        </row>
      </sheetData>
      <sheetData sheetId="5102">
        <row r="4">
          <cell r="I4">
            <v>0</v>
          </cell>
        </row>
      </sheetData>
      <sheetData sheetId="5103">
        <row r="4">
          <cell r="I4">
            <v>0</v>
          </cell>
        </row>
      </sheetData>
      <sheetData sheetId="5104">
        <row r="4">
          <cell r="I4">
            <v>0</v>
          </cell>
        </row>
      </sheetData>
      <sheetData sheetId="5105">
        <row r="4">
          <cell r="I4">
            <v>0</v>
          </cell>
        </row>
      </sheetData>
      <sheetData sheetId="5106">
        <row r="4">
          <cell r="I4">
            <v>0</v>
          </cell>
        </row>
      </sheetData>
      <sheetData sheetId="5107">
        <row r="4">
          <cell r="I4">
            <v>0</v>
          </cell>
        </row>
      </sheetData>
      <sheetData sheetId="5108">
        <row r="4">
          <cell r="I4">
            <v>0</v>
          </cell>
        </row>
      </sheetData>
      <sheetData sheetId="5109">
        <row r="4">
          <cell r="I4">
            <v>0</v>
          </cell>
        </row>
      </sheetData>
      <sheetData sheetId="5110">
        <row r="4">
          <cell r="I4">
            <v>0</v>
          </cell>
        </row>
      </sheetData>
      <sheetData sheetId="5111">
        <row r="4">
          <cell r="I4">
            <v>0</v>
          </cell>
        </row>
      </sheetData>
      <sheetData sheetId="5112">
        <row r="4">
          <cell r="I4">
            <v>0</v>
          </cell>
        </row>
      </sheetData>
      <sheetData sheetId="5113">
        <row r="4">
          <cell r="I4">
            <v>0</v>
          </cell>
        </row>
      </sheetData>
      <sheetData sheetId="5114">
        <row r="4">
          <cell r="I4">
            <v>0</v>
          </cell>
        </row>
      </sheetData>
      <sheetData sheetId="5115">
        <row r="4">
          <cell r="I4">
            <v>0</v>
          </cell>
        </row>
      </sheetData>
      <sheetData sheetId="5116">
        <row r="4">
          <cell r="I4">
            <v>0</v>
          </cell>
        </row>
      </sheetData>
      <sheetData sheetId="5117">
        <row r="4">
          <cell r="I4">
            <v>0</v>
          </cell>
        </row>
      </sheetData>
      <sheetData sheetId="5118">
        <row r="4">
          <cell r="I4">
            <v>0</v>
          </cell>
        </row>
      </sheetData>
      <sheetData sheetId="5119">
        <row r="4">
          <cell r="I4">
            <v>0</v>
          </cell>
        </row>
      </sheetData>
      <sheetData sheetId="5120">
        <row r="4">
          <cell r="I4">
            <v>0</v>
          </cell>
        </row>
      </sheetData>
      <sheetData sheetId="5121">
        <row r="4">
          <cell r="I4">
            <v>0</v>
          </cell>
        </row>
      </sheetData>
      <sheetData sheetId="5122">
        <row r="4">
          <cell r="I4">
            <v>0</v>
          </cell>
        </row>
      </sheetData>
      <sheetData sheetId="5123">
        <row r="4">
          <cell r="I4">
            <v>0</v>
          </cell>
        </row>
      </sheetData>
      <sheetData sheetId="5124">
        <row r="4">
          <cell r="I4">
            <v>0</v>
          </cell>
        </row>
      </sheetData>
      <sheetData sheetId="5125">
        <row r="4">
          <cell r="I4">
            <v>0</v>
          </cell>
        </row>
      </sheetData>
      <sheetData sheetId="5126">
        <row r="4">
          <cell r="I4">
            <v>0</v>
          </cell>
        </row>
      </sheetData>
      <sheetData sheetId="5127">
        <row r="4">
          <cell r="I4">
            <v>0</v>
          </cell>
        </row>
      </sheetData>
      <sheetData sheetId="5128">
        <row r="4">
          <cell r="I4">
            <v>0</v>
          </cell>
        </row>
      </sheetData>
      <sheetData sheetId="5129">
        <row r="4">
          <cell r="I4">
            <v>0</v>
          </cell>
        </row>
      </sheetData>
      <sheetData sheetId="5130">
        <row r="4">
          <cell r="I4">
            <v>0</v>
          </cell>
        </row>
      </sheetData>
      <sheetData sheetId="5131">
        <row r="4">
          <cell r="I4">
            <v>0</v>
          </cell>
        </row>
      </sheetData>
      <sheetData sheetId="5132">
        <row r="4">
          <cell r="I4">
            <v>0</v>
          </cell>
        </row>
      </sheetData>
      <sheetData sheetId="5133">
        <row r="4">
          <cell r="I4">
            <v>0</v>
          </cell>
        </row>
      </sheetData>
      <sheetData sheetId="5134">
        <row r="4">
          <cell r="I4">
            <v>0</v>
          </cell>
        </row>
      </sheetData>
      <sheetData sheetId="5135">
        <row r="4">
          <cell r="I4">
            <v>0</v>
          </cell>
        </row>
      </sheetData>
      <sheetData sheetId="5136">
        <row r="4">
          <cell r="I4">
            <v>0</v>
          </cell>
        </row>
      </sheetData>
      <sheetData sheetId="5137">
        <row r="4">
          <cell r="I4">
            <v>0</v>
          </cell>
        </row>
      </sheetData>
      <sheetData sheetId="5138">
        <row r="4">
          <cell r="I4">
            <v>0</v>
          </cell>
        </row>
      </sheetData>
      <sheetData sheetId="5139">
        <row r="4">
          <cell r="I4">
            <v>0</v>
          </cell>
        </row>
      </sheetData>
      <sheetData sheetId="5140">
        <row r="4">
          <cell r="I4">
            <v>0</v>
          </cell>
        </row>
      </sheetData>
      <sheetData sheetId="5141">
        <row r="4">
          <cell r="I4">
            <v>0</v>
          </cell>
        </row>
      </sheetData>
      <sheetData sheetId="5142">
        <row r="4">
          <cell r="I4">
            <v>0</v>
          </cell>
        </row>
      </sheetData>
      <sheetData sheetId="5143">
        <row r="4">
          <cell r="I4">
            <v>0</v>
          </cell>
        </row>
      </sheetData>
      <sheetData sheetId="5144">
        <row r="4">
          <cell r="I4">
            <v>0</v>
          </cell>
        </row>
      </sheetData>
      <sheetData sheetId="5145">
        <row r="4">
          <cell r="I4">
            <v>0</v>
          </cell>
        </row>
      </sheetData>
      <sheetData sheetId="5146">
        <row r="4">
          <cell r="I4">
            <v>0</v>
          </cell>
        </row>
      </sheetData>
      <sheetData sheetId="5147">
        <row r="4">
          <cell r="I4">
            <v>0</v>
          </cell>
        </row>
      </sheetData>
      <sheetData sheetId="5148">
        <row r="4">
          <cell r="I4">
            <v>0</v>
          </cell>
        </row>
      </sheetData>
      <sheetData sheetId="5149">
        <row r="4">
          <cell r="I4">
            <v>0</v>
          </cell>
        </row>
      </sheetData>
      <sheetData sheetId="5150">
        <row r="4">
          <cell r="I4">
            <v>0</v>
          </cell>
        </row>
      </sheetData>
      <sheetData sheetId="5151">
        <row r="4">
          <cell r="I4">
            <v>0</v>
          </cell>
        </row>
      </sheetData>
      <sheetData sheetId="5152">
        <row r="4">
          <cell r="I4">
            <v>0</v>
          </cell>
        </row>
      </sheetData>
      <sheetData sheetId="5153">
        <row r="4">
          <cell r="I4">
            <v>0</v>
          </cell>
        </row>
      </sheetData>
      <sheetData sheetId="5154">
        <row r="4">
          <cell r="I4">
            <v>0</v>
          </cell>
        </row>
      </sheetData>
      <sheetData sheetId="5155">
        <row r="4">
          <cell r="I4">
            <v>0</v>
          </cell>
        </row>
      </sheetData>
      <sheetData sheetId="5156">
        <row r="4">
          <cell r="I4">
            <v>0</v>
          </cell>
        </row>
      </sheetData>
      <sheetData sheetId="5157">
        <row r="4">
          <cell r="I4">
            <v>0</v>
          </cell>
        </row>
      </sheetData>
      <sheetData sheetId="5158">
        <row r="4">
          <cell r="I4">
            <v>0</v>
          </cell>
        </row>
      </sheetData>
      <sheetData sheetId="5159">
        <row r="4">
          <cell r="I4">
            <v>0</v>
          </cell>
        </row>
      </sheetData>
      <sheetData sheetId="5160">
        <row r="4">
          <cell r="I4">
            <v>0</v>
          </cell>
        </row>
      </sheetData>
      <sheetData sheetId="5161">
        <row r="4">
          <cell r="I4">
            <v>0</v>
          </cell>
        </row>
      </sheetData>
      <sheetData sheetId="5162">
        <row r="4">
          <cell r="I4">
            <v>0</v>
          </cell>
        </row>
      </sheetData>
      <sheetData sheetId="5163">
        <row r="4">
          <cell r="I4">
            <v>0</v>
          </cell>
        </row>
      </sheetData>
      <sheetData sheetId="5164">
        <row r="4">
          <cell r="I4">
            <v>0</v>
          </cell>
        </row>
      </sheetData>
      <sheetData sheetId="5165">
        <row r="4">
          <cell r="I4">
            <v>0</v>
          </cell>
        </row>
      </sheetData>
      <sheetData sheetId="5166">
        <row r="4">
          <cell r="I4">
            <v>0</v>
          </cell>
        </row>
      </sheetData>
      <sheetData sheetId="5167">
        <row r="4">
          <cell r="I4">
            <v>0</v>
          </cell>
        </row>
      </sheetData>
      <sheetData sheetId="5168">
        <row r="4">
          <cell r="I4">
            <v>0</v>
          </cell>
        </row>
      </sheetData>
      <sheetData sheetId="5169">
        <row r="4">
          <cell r="I4">
            <v>0</v>
          </cell>
        </row>
      </sheetData>
      <sheetData sheetId="5170">
        <row r="4">
          <cell r="I4">
            <v>0</v>
          </cell>
        </row>
      </sheetData>
      <sheetData sheetId="5171">
        <row r="4">
          <cell r="I4">
            <v>0</v>
          </cell>
        </row>
      </sheetData>
      <sheetData sheetId="5172" refreshError="1"/>
      <sheetData sheetId="5173">
        <row r="4">
          <cell r="I4">
            <v>0</v>
          </cell>
        </row>
      </sheetData>
      <sheetData sheetId="5174">
        <row r="4">
          <cell r="I4">
            <v>0</v>
          </cell>
        </row>
      </sheetData>
      <sheetData sheetId="5175">
        <row r="4">
          <cell r="I4">
            <v>0</v>
          </cell>
        </row>
      </sheetData>
      <sheetData sheetId="5176">
        <row r="4">
          <cell r="I4">
            <v>0</v>
          </cell>
        </row>
      </sheetData>
      <sheetData sheetId="5177">
        <row r="4">
          <cell r="I4">
            <v>0</v>
          </cell>
        </row>
      </sheetData>
      <sheetData sheetId="5178">
        <row r="4">
          <cell r="I4">
            <v>0</v>
          </cell>
        </row>
      </sheetData>
      <sheetData sheetId="5179">
        <row r="4">
          <cell r="I4">
            <v>0</v>
          </cell>
        </row>
      </sheetData>
      <sheetData sheetId="5180">
        <row r="4">
          <cell r="I4">
            <v>0</v>
          </cell>
        </row>
      </sheetData>
      <sheetData sheetId="5181">
        <row r="4">
          <cell r="I4">
            <v>0</v>
          </cell>
        </row>
      </sheetData>
      <sheetData sheetId="5182">
        <row r="4">
          <cell r="I4">
            <v>0</v>
          </cell>
        </row>
      </sheetData>
      <sheetData sheetId="5183">
        <row r="4">
          <cell r="I4">
            <v>0</v>
          </cell>
        </row>
      </sheetData>
      <sheetData sheetId="5184">
        <row r="4">
          <cell r="I4">
            <v>0</v>
          </cell>
        </row>
      </sheetData>
      <sheetData sheetId="5185">
        <row r="4">
          <cell r="I4">
            <v>0</v>
          </cell>
        </row>
      </sheetData>
      <sheetData sheetId="5186">
        <row r="4">
          <cell r="I4">
            <v>0</v>
          </cell>
        </row>
      </sheetData>
      <sheetData sheetId="5187">
        <row r="4">
          <cell r="I4">
            <v>0</v>
          </cell>
        </row>
      </sheetData>
      <sheetData sheetId="5188">
        <row r="4">
          <cell r="I4">
            <v>0</v>
          </cell>
        </row>
      </sheetData>
      <sheetData sheetId="5189">
        <row r="4">
          <cell r="I4">
            <v>0</v>
          </cell>
        </row>
      </sheetData>
      <sheetData sheetId="5190">
        <row r="4">
          <cell r="I4">
            <v>0</v>
          </cell>
        </row>
      </sheetData>
      <sheetData sheetId="5191">
        <row r="4">
          <cell r="I4">
            <v>0</v>
          </cell>
        </row>
      </sheetData>
      <sheetData sheetId="5192">
        <row r="4">
          <cell r="I4">
            <v>0</v>
          </cell>
        </row>
      </sheetData>
      <sheetData sheetId="5193">
        <row r="4">
          <cell r="I4">
            <v>0</v>
          </cell>
        </row>
      </sheetData>
      <sheetData sheetId="5194">
        <row r="4">
          <cell r="I4">
            <v>0</v>
          </cell>
        </row>
      </sheetData>
      <sheetData sheetId="5195">
        <row r="4">
          <cell r="I4">
            <v>0</v>
          </cell>
        </row>
      </sheetData>
      <sheetData sheetId="5196">
        <row r="4">
          <cell r="I4">
            <v>0</v>
          </cell>
        </row>
      </sheetData>
      <sheetData sheetId="5197">
        <row r="4">
          <cell r="I4">
            <v>0</v>
          </cell>
        </row>
      </sheetData>
      <sheetData sheetId="5198">
        <row r="4">
          <cell r="I4">
            <v>0</v>
          </cell>
        </row>
      </sheetData>
      <sheetData sheetId="5199">
        <row r="4">
          <cell r="I4">
            <v>0</v>
          </cell>
        </row>
      </sheetData>
      <sheetData sheetId="5200">
        <row r="4">
          <cell r="I4">
            <v>0</v>
          </cell>
        </row>
      </sheetData>
      <sheetData sheetId="5201">
        <row r="4">
          <cell r="I4">
            <v>0</v>
          </cell>
        </row>
      </sheetData>
      <sheetData sheetId="5202">
        <row r="4">
          <cell r="I4">
            <v>0</v>
          </cell>
        </row>
      </sheetData>
      <sheetData sheetId="5203">
        <row r="4">
          <cell r="I4">
            <v>0</v>
          </cell>
        </row>
      </sheetData>
      <sheetData sheetId="5204">
        <row r="4">
          <cell r="I4">
            <v>0</v>
          </cell>
        </row>
      </sheetData>
      <sheetData sheetId="5205">
        <row r="4">
          <cell r="I4">
            <v>0</v>
          </cell>
        </row>
      </sheetData>
      <sheetData sheetId="5206">
        <row r="4">
          <cell r="I4">
            <v>0</v>
          </cell>
        </row>
      </sheetData>
      <sheetData sheetId="5207">
        <row r="4">
          <cell r="I4">
            <v>0</v>
          </cell>
        </row>
      </sheetData>
      <sheetData sheetId="5208">
        <row r="4">
          <cell r="I4">
            <v>0</v>
          </cell>
        </row>
      </sheetData>
      <sheetData sheetId="5209">
        <row r="4">
          <cell r="I4">
            <v>0</v>
          </cell>
        </row>
      </sheetData>
      <sheetData sheetId="5210">
        <row r="4">
          <cell r="I4">
            <v>0</v>
          </cell>
        </row>
      </sheetData>
      <sheetData sheetId="5211">
        <row r="4">
          <cell r="I4">
            <v>0</v>
          </cell>
        </row>
      </sheetData>
      <sheetData sheetId="5212">
        <row r="4">
          <cell r="I4">
            <v>0</v>
          </cell>
        </row>
      </sheetData>
      <sheetData sheetId="5213">
        <row r="4">
          <cell r="I4">
            <v>0</v>
          </cell>
        </row>
      </sheetData>
      <sheetData sheetId="5214">
        <row r="4">
          <cell r="I4">
            <v>0</v>
          </cell>
        </row>
      </sheetData>
      <sheetData sheetId="5215">
        <row r="4">
          <cell r="I4">
            <v>0</v>
          </cell>
        </row>
      </sheetData>
      <sheetData sheetId="5216">
        <row r="4">
          <cell r="I4">
            <v>0</v>
          </cell>
        </row>
      </sheetData>
      <sheetData sheetId="5217">
        <row r="4">
          <cell r="I4">
            <v>0</v>
          </cell>
        </row>
      </sheetData>
      <sheetData sheetId="5218">
        <row r="4">
          <cell r="I4">
            <v>0</v>
          </cell>
        </row>
      </sheetData>
      <sheetData sheetId="5219">
        <row r="4">
          <cell r="I4">
            <v>0</v>
          </cell>
        </row>
      </sheetData>
      <sheetData sheetId="5220">
        <row r="4">
          <cell r="I4">
            <v>0</v>
          </cell>
        </row>
      </sheetData>
      <sheetData sheetId="5221">
        <row r="4">
          <cell r="I4">
            <v>0</v>
          </cell>
        </row>
      </sheetData>
      <sheetData sheetId="5222">
        <row r="4">
          <cell r="I4">
            <v>0</v>
          </cell>
        </row>
      </sheetData>
      <sheetData sheetId="5223">
        <row r="4">
          <cell r="I4">
            <v>0</v>
          </cell>
        </row>
      </sheetData>
      <sheetData sheetId="5224">
        <row r="4">
          <cell r="I4">
            <v>0</v>
          </cell>
        </row>
      </sheetData>
      <sheetData sheetId="5225">
        <row r="4">
          <cell r="I4">
            <v>0</v>
          </cell>
        </row>
      </sheetData>
      <sheetData sheetId="5226">
        <row r="4">
          <cell r="I4">
            <v>0</v>
          </cell>
        </row>
      </sheetData>
      <sheetData sheetId="5227">
        <row r="4">
          <cell r="I4">
            <v>0</v>
          </cell>
        </row>
      </sheetData>
      <sheetData sheetId="5228">
        <row r="4">
          <cell r="I4">
            <v>0</v>
          </cell>
        </row>
      </sheetData>
      <sheetData sheetId="5229">
        <row r="4">
          <cell r="I4">
            <v>0</v>
          </cell>
        </row>
      </sheetData>
      <sheetData sheetId="5230">
        <row r="4">
          <cell r="I4">
            <v>0</v>
          </cell>
        </row>
      </sheetData>
      <sheetData sheetId="5231">
        <row r="4">
          <cell r="I4">
            <v>0</v>
          </cell>
        </row>
      </sheetData>
      <sheetData sheetId="5232">
        <row r="4">
          <cell r="I4">
            <v>0</v>
          </cell>
        </row>
      </sheetData>
      <sheetData sheetId="5233">
        <row r="4">
          <cell r="I4">
            <v>0</v>
          </cell>
        </row>
      </sheetData>
      <sheetData sheetId="5234">
        <row r="4">
          <cell r="I4">
            <v>0</v>
          </cell>
        </row>
      </sheetData>
      <sheetData sheetId="5235">
        <row r="4">
          <cell r="I4">
            <v>0</v>
          </cell>
        </row>
      </sheetData>
      <sheetData sheetId="5236">
        <row r="4">
          <cell r="I4">
            <v>0</v>
          </cell>
        </row>
      </sheetData>
      <sheetData sheetId="5237">
        <row r="4">
          <cell r="I4">
            <v>0</v>
          </cell>
        </row>
      </sheetData>
      <sheetData sheetId="5238">
        <row r="4">
          <cell r="I4">
            <v>0</v>
          </cell>
        </row>
      </sheetData>
      <sheetData sheetId="5239">
        <row r="4">
          <cell r="I4">
            <v>0</v>
          </cell>
        </row>
      </sheetData>
      <sheetData sheetId="5240">
        <row r="4">
          <cell r="I4">
            <v>0</v>
          </cell>
        </row>
      </sheetData>
      <sheetData sheetId="5241">
        <row r="4">
          <cell r="I4">
            <v>0</v>
          </cell>
        </row>
      </sheetData>
      <sheetData sheetId="5242">
        <row r="4">
          <cell r="I4">
            <v>0</v>
          </cell>
        </row>
      </sheetData>
      <sheetData sheetId="5243">
        <row r="4">
          <cell r="I4">
            <v>0</v>
          </cell>
        </row>
      </sheetData>
      <sheetData sheetId="5244">
        <row r="4">
          <cell r="I4">
            <v>0</v>
          </cell>
        </row>
      </sheetData>
      <sheetData sheetId="5245">
        <row r="4">
          <cell r="I4">
            <v>0</v>
          </cell>
        </row>
      </sheetData>
      <sheetData sheetId="5246">
        <row r="4">
          <cell r="I4">
            <v>0</v>
          </cell>
        </row>
      </sheetData>
      <sheetData sheetId="5247">
        <row r="4">
          <cell r="I4">
            <v>0</v>
          </cell>
        </row>
      </sheetData>
      <sheetData sheetId="5248">
        <row r="4">
          <cell r="I4">
            <v>0</v>
          </cell>
        </row>
      </sheetData>
      <sheetData sheetId="5249">
        <row r="4">
          <cell r="I4">
            <v>0</v>
          </cell>
        </row>
      </sheetData>
      <sheetData sheetId="5250">
        <row r="4">
          <cell r="I4">
            <v>0</v>
          </cell>
        </row>
      </sheetData>
      <sheetData sheetId="5251">
        <row r="4">
          <cell r="I4">
            <v>0</v>
          </cell>
        </row>
      </sheetData>
      <sheetData sheetId="5252">
        <row r="4">
          <cell r="I4">
            <v>0</v>
          </cell>
        </row>
      </sheetData>
      <sheetData sheetId="5253" refreshError="1"/>
      <sheetData sheetId="5254" refreshError="1"/>
      <sheetData sheetId="5255" refreshError="1"/>
      <sheetData sheetId="5256" refreshError="1"/>
      <sheetData sheetId="5257" refreshError="1"/>
      <sheetData sheetId="5258">
        <row r="4">
          <cell r="I4">
            <v>0</v>
          </cell>
        </row>
      </sheetData>
      <sheetData sheetId="5259">
        <row r="4">
          <cell r="I4">
            <v>0</v>
          </cell>
        </row>
      </sheetData>
      <sheetData sheetId="5260">
        <row r="4">
          <cell r="I4">
            <v>0</v>
          </cell>
        </row>
      </sheetData>
      <sheetData sheetId="5261">
        <row r="4">
          <cell r="I4">
            <v>0</v>
          </cell>
        </row>
      </sheetData>
      <sheetData sheetId="5262">
        <row r="4">
          <cell r="I4">
            <v>0</v>
          </cell>
        </row>
      </sheetData>
      <sheetData sheetId="5263">
        <row r="4">
          <cell r="I4">
            <v>0</v>
          </cell>
        </row>
      </sheetData>
      <sheetData sheetId="5264">
        <row r="4">
          <cell r="I4">
            <v>0</v>
          </cell>
        </row>
      </sheetData>
      <sheetData sheetId="5265">
        <row r="4">
          <cell r="I4">
            <v>0</v>
          </cell>
        </row>
      </sheetData>
      <sheetData sheetId="5266">
        <row r="4">
          <cell r="I4">
            <v>0</v>
          </cell>
        </row>
      </sheetData>
      <sheetData sheetId="5267">
        <row r="4">
          <cell r="I4">
            <v>0</v>
          </cell>
        </row>
      </sheetData>
      <sheetData sheetId="5268">
        <row r="4">
          <cell r="I4">
            <v>0</v>
          </cell>
        </row>
      </sheetData>
      <sheetData sheetId="5269">
        <row r="4">
          <cell r="I4">
            <v>0</v>
          </cell>
        </row>
      </sheetData>
      <sheetData sheetId="5270">
        <row r="4">
          <cell r="I4">
            <v>0</v>
          </cell>
        </row>
      </sheetData>
      <sheetData sheetId="5271">
        <row r="4">
          <cell r="I4">
            <v>0</v>
          </cell>
        </row>
      </sheetData>
      <sheetData sheetId="5272">
        <row r="4">
          <cell r="I4">
            <v>0</v>
          </cell>
        </row>
      </sheetData>
      <sheetData sheetId="5273">
        <row r="4">
          <cell r="I4">
            <v>0</v>
          </cell>
        </row>
      </sheetData>
      <sheetData sheetId="5274">
        <row r="4">
          <cell r="I4">
            <v>0</v>
          </cell>
        </row>
      </sheetData>
      <sheetData sheetId="5275">
        <row r="4">
          <cell r="I4">
            <v>0</v>
          </cell>
        </row>
      </sheetData>
      <sheetData sheetId="5276">
        <row r="4">
          <cell r="I4">
            <v>0</v>
          </cell>
        </row>
      </sheetData>
      <sheetData sheetId="5277">
        <row r="4">
          <cell r="I4">
            <v>0</v>
          </cell>
        </row>
      </sheetData>
      <sheetData sheetId="5278">
        <row r="4">
          <cell r="I4">
            <v>0</v>
          </cell>
        </row>
      </sheetData>
      <sheetData sheetId="5279">
        <row r="4">
          <cell r="I4">
            <v>0</v>
          </cell>
        </row>
      </sheetData>
      <sheetData sheetId="5280">
        <row r="4">
          <cell r="I4">
            <v>0</v>
          </cell>
        </row>
      </sheetData>
      <sheetData sheetId="5281">
        <row r="4">
          <cell r="I4">
            <v>0</v>
          </cell>
        </row>
      </sheetData>
      <sheetData sheetId="5282">
        <row r="4">
          <cell r="I4">
            <v>0</v>
          </cell>
        </row>
      </sheetData>
      <sheetData sheetId="5283">
        <row r="4">
          <cell r="I4">
            <v>0</v>
          </cell>
        </row>
      </sheetData>
      <sheetData sheetId="5284">
        <row r="4">
          <cell r="I4">
            <v>0</v>
          </cell>
        </row>
      </sheetData>
      <sheetData sheetId="5285">
        <row r="4">
          <cell r="I4">
            <v>0</v>
          </cell>
        </row>
      </sheetData>
      <sheetData sheetId="5286">
        <row r="4">
          <cell r="I4">
            <v>0</v>
          </cell>
        </row>
      </sheetData>
      <sheetData sheetId="5287">
        <row r="4">
          <cell r="I4">
            <v>0</v>
          </cell>
        </row>
      </sheetData>
      <sheetData sheetId="5288">
        <row r="4">
          <cell r="I4">
            <v>0</v>
          </cell>
        </row>
      </sheetData>
      <sheetData sheetId="5289">
        <row r="4">
          <cell r="I4">
            <v>0</v>
          </cell>
        </row>
      </sheetData>
      <sheetData sheetId="5290">
        <row r="4">
          <cell r="I4">
            <v>0</v>
          </cell>
        </row>
      </sheetData>
      <sheetData sheetId="5291">
        <row r="4">
          <cell r="I4">
            <v>0</v>
          </cell>
        </row>
      </sheetData>
      <sheetData sheetId="5292">
        <row r="4">
          <cell r="I4">
            <v>0</v>
          </cell>
        </row>
      </sheetData>
      <sheetData sheetId="5293">
        <row r="4">
          <cell r="I4">
            <v>0</v>
          </cell>
        </row>
      </sheetData>
      <sheetData sheetId="5294">
        <row r="4">
          <cell r="I4">
            <v>0</v>
          </cell>
        </row>
      </sheetData>
      <sheetData sheetId="5295">
        <row r="4">
          <cell r="I4">
            <v>0</v>
          </cell>
        </row>
      </sheetData>
      <sheetData sheetId="5296">
        <row r="4">
          <cell r="I4">
            <v>0</v>
          </cell>
        </row>
      </sheetData>
      <sheetData sheetId="5297">
        <row r="4">
          <cell r="I4">
            <v>0</v>
          </cell>
        </row>
      </sheetData>
      <sheetData sheetId="5298">
        <row r="4">
          <cell r="I4">
            <v>0</v>
          </cell>
        </row>
      </sheetData>
      <sheetData sheetId="5299">
        <row r="4">
          <cell r="I4">
            <v>0</v>
          </cell>
        </row>
      </sheetData>
      <sheetData sheetId="5300">
        <row r="4">
          <cell r="I4">
            <v>0</v>
          </cell>
        </row>
      </sheetData>
      <sheetData sheetId="5301">
        <row r="4">
          <cell r="I4">
            <v>0</v>
          </cell>
        </row>
      </sheetData>
      <sheetData sheetId="5302">
        <row r="4">
          <cell r="I4">
            <v>0</v>
          </cell>
        </row>
      </sheetData>
      <sheetData sheetId="5303">
        <row r="4">
          <cell r="I4">
            <v>0</v>
          </cell>
        </row>
      </sheetData>
      <sheetData sheetId="5304">
        <row r="4">
          <cell r="I4">
            <v>0</v>
          </cell>
        </row>
      </sheetData>
      <sheetData sheetId="5305">
        <row r="4">
          <cell r="I4">
            <v>0</v>
          </cell>
        </row>
      </sheetData>
      <sheetData sheetId="5306">
        <row r="4">
          <cell r="I4">
            <v>0</v>
          </cell>
        </row>
      </sheetData>
      <sheetData sheetId="5307">
        <row r="4">
          <cell r="I4">
            <v>0</v>
          </cell>
        </row>
      </sheetData>
      <sheetData sheetId="5308">
        <row r="4">
          <cell r="I4">
            <v>0</v>
          </cell>
        </row>
      </sheetData>
      <sheetData sheetId="5309">
        <row r="4">
          <cell r="I4">
            <v>0</v>
          </cell>
        </row>
      </sheetData>
      <sheetData sheetId="5310">
        <row r="4">
          <cell r="I4">
            <v>0</v>
          </cell>
        </row>
      </sheetData>
      <sheetData sheetId="5311">
        <row r="4">
          <cell r="I4">
            <v>0</v>
          </cell>
        </row>
      </sheetData>
      <sheetData sheetId="5312">
        <row r="4">
          <cell r="I4">
            <v>0</v>
          </cell>
        </row>
      </sheetData>
      <sheetData sheetId="5313">
        <row r="4">
          <cell r="I4">
            <v>0</v>
          </cell>
        </row>
      </sheetData>
      <sheetData sheetId="5314">
        <row r="4">
          <cell r="I4">
            <v>0</v>
          </cell>
        </row>
      </sheetData>
      <sheetData sheetId="5315">
        <row r="4">
          <cell r="I4">
            <v>0</v>
          </cell>
        </row>
      </sheetData>
      <sheetData sheetId="5316">
        <row r="4">
          <cell r="I4">
            <v>0</v>
          </cell>
        </row>
      </sheetData>
      <sheetData sheetId="5317">
        <row r="4">
          <cell r="I4">
            <v>0</v>
          </cell>
        </row>
      </sheetData>
      <sheetData sheetId="5318">
        <row r="4">
          <cell r="I4">
            <v>0</v>
          </cell>
        </row>
      </sheetData>
      <sheetData sheetId="5319">
        <row r="4">
          <cell r="I4">
            <v>0</v>
          </cell>
        </row>
      </sheetData>
      <sheetData sheetId="5320">
        <row r="4">
          <cell r="I4">
            <v>0</v>
          </cell>
        </row>
      </sheetData>
      <sheetData sheetId="5321">
        <row r="4">
          <cell r="I4">
            <v>0</v>
          </cell>
        </row>
      </sheetData>
      <sheetData sheetId="5322">
        <row r="4">
          <cell r="I4">
            <v>0</v>
          </cell>
        </row>
      </sheetData>
      <sheetData sheetId="5323">
        <row r="4">
          <cell r="I4">
            <v>0</v>
          </cell>
        </row>
      </sheetData>
      <sheetData sheetId="5324">
        <row r="4">
          <cell r="I4">
            <v>0</v>
          </cell>
        </row>
      </sheetData>
      <sheetData sheetId="5325">
        <row r="4">
          <cell r="I4">
            <v>0</v>
          </cell>
        </row>
      </sheetData>
      <sheetData sheetId="5326">
        <row r="4">
          <cell r="I4">
            <v>0</v>
          </cell>
        </row>
      </sheetData>
      <sheetData sheetId="5327">
        <row r="4">
          <cell r="I4">
            <v>0</v>
          </cell>
        </row>
      </sheetData>
      <sheetData sheetId="5328">
        <row r="4">
          <cell r="I4">
            <v>0</v>
          </cell>
        </row>
      </sheetData>
      <sheetData sheetId="5329">
        <row r="4">
          <cell r="I4">
            <v>0</v>
          </cell>
        </row>
      </sheetData>
      <sheetData sheetId="5330">
        <row r="4">
          <cell r="I4">
            <v>0</v>
          </cell>
        </row>
      </sheetData>
      <sheetData sheetId="5331">
        <row r="4">
          <cell r="I4">
            <v>0</v>
          </cell>
        </row>
      </sheetData>
      <sheetData sheetId="5332">
        <row r="4">
          <cell r="I4">
            <v>0</v>
          </cell>
        </row>
      </sheetData>
      <sheetData sheetId="5333">
        <row r="4">
          <cell r="I4">
            <v>0</v>
          </cell>
        </row>
      </sheetData>
      <sheetData sheetId="5334">
        <row r="4">
          <cell r="I4">
            <v>0</v>
          </cell>
        </row>
      </sheetData>
      <sheetData sheetId="5335">
        <row r="4">
          <cell r="I4">
            <v>0</v>
          </cell>
        </row>
      </sheetData>
      <sheetData sheetId="5336">
        <row r="4">
          <cell r="I4">
            <v>0</v>
          </cell>
        </row>
      </sheetData>
      <sheetData sheetId="5337">
        <row r="4">
          <cell r="I4">
            <v>0</v>
          </cell>
        </row>
      </sheetData>
      <sheetData sheetId="5338">
        <row r="4">
          <cell r="I4">
            <v>0</v>
          </cell>
        </row>
      </sheetData>
      <sheetData sheetId="5339">
        <row r="4">
          <cell r="I4">
            <v>0</v>
          </cell>
        </row>
      </sheetData>
      <sheetData sheetId="5340">
        <row r="4">
          <cell r="I4">
            <v>0</v>
          </cell>
        </row>
      </sheetData>
      <sheetData sheetId="5341">
        <row r="4">
          <cell r="I4">
            <v>0</v>
          </cell>
        </row>
      </sheetData>
      <sheetData sheetId="5342">
        <row r="4">
          <cell r="I4">
            <v>0</v>
          </cell>
        </row>
      </sheetData>
      <sheetData sheetId="5343">
        <row r="4">
          <cell r="I4">
            <v>0</v>
          </cell>
        </row>
      </sheetData>
      <sheetData sheetId="5344">
        <row r="4">
          <cell r="I4">
            <v>0</v>
          </cell>
        </row>
      </sheetData>
      <sheetData sheetId="5345">
        <row r="4">
          <cell r="I4">
            <v>0</v>
          </cell>
        </row>
      </sheetData>
      <sheetData sheetId="5346">
        <row r="4">
          <cell r="I4">
            <v>0</v>
          </cell>
        </row>
      </sheetData>
      <sheetData sheetId="5347">
        <row r="4">
          <cell r="I4">
            <v>0</v>
          </cell>
        </row>
      </sheetData>
      <sheetData sheetId="5348">
        <row r="4">
          <cell r="I4">
            <v>0</v>
          </cell>
        </row>
      </sheetData>
      <sheetData sheetId="5349">
        <row r="4">
          <cell r="I4">
            <v>0</v>
          </cell>
        </row>
      </sheetData>
      <sheetData sheetId="5350">
        <row r="4">
          <cell r="I4">
            <v>0</v>
          </cell>
        </row>
      </sheetData>
      <sheetData sheetId="5351">
        <row r="4">
          <cell r="I4">
            <v>0</v>
          </cell>
        </row>
      </sheetData>
      <sheetData sheetId="5352">
        <row r="4">
          <cell r="I4">
            <v>0</v>
          </cell>
        </row>
      </sheetData>
      <sheetData sheetId="5353">
        <row r="4">
          <cell r="I4">
            <v>0</v>
          </cell>
        </row>
      </sheetData>
      <sheetData sheetId="5354">
        <row r="4">
          <cell r="I4">
            <v>0</v>
          </cell>
        </row>
      </sheetData>
      <sheetData sheetId="5355">
        <row r="4">
          <cell r="I4">
            <v>0</v>
          </cell>
        </row>
      </sheetData>
      <sheetData sheetId="5356">
        <row r="4">
          <cell r="I4">
            <v>0</v>
          </cell>
        </row>
      </sheetData>
      <sheetData sheetId="5357">
        <row r="4">
          <cell r="I4">
            <v>0</v>
          </cell>
        </row>
      </sheetData>
      <sheetData sheetId="5358">
        <row r="4">
          <cell r="I4">
            <v>0</v>
          </cell>
        </row>
      </sheetData>
      <sheetData sheetId="5359">
        <row r="4">
          <cell r="I4">
            <v>0</v>
          </cell>
        </row>
      </sheetData>
      <sheetData sheetId="5360">
        <row r="4">
          <cell r="I4">
            <v>0</v>
          </cell>
        </row>
      </sheetData>
      <sheetData sheetId="5361">
        <row r="4">
          <cell r="I4">
            <v>0</v>
          </cell>
        </row>
      </sheetData>
      <sheetData sheetId="5362">
        <row r="4">
          <cell r="I4">
            <v>0</v>
          </cell>
        </row>
      </sheetData>
      <sheetData sheetId="5363">
        <row r="4">
          <cell r="I4">
            <v>0</v>
          </cell>
        </row>
      </sheetData>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ow r="4">
          <cell r="I4">
            <v>0</v>
          </cell>
        </row>
      </sheetData>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ow r="4">
          <cell r="I4">
            <v>0</v>
          </cell>
        </row>
      </sheetData>
      <sheetData sheetId="5403" refreshError="1"/>
      <sheetData sheetId="5404">
        <row r="4">
          <cell r="I4">
            <v>0</v>
          </cell>
        </row>
      </sheetData>
      <sheetData sheetId="5405">
        <row r="4">
          <cell r="I4">
            <v>0</v>
          </cell>
        </row>
      </sheetData>
      <sheetData sheetId="5406">
        <row r="4">
          <cell r="I4">
            <v>0</v>
          </cell>
        </row>
      </sheetData>
      <sheetData sheetId="5407">
        <row r="4">
          <cell r="I4">
            <v>0</v>
          </cell>
        </row>
      </sheetData>
      <sheetData sheetId="5408">
        <row r="4">
          <cell r="I4">
            <v>0</v>
          </cell>
        </row>
      </sheetData>
      <sheetData sheetId="5409">
        <row r="4">
          <cell r="I4">
            <v>0</v>
          </cell>
        </row>
      </sheetData>
      <sheetData sheetId="5410">
        <row r="4">
          <cell r="I4">
            <v>0</v>
          </cell>
        </row>
      </sheetData>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ow r="4">
          <cell r="I4">
            <v>0</v>
          </cell>
        </row>
      </sheetData>
      <sheetData sheetId="5428">
        <row r="4">
          <cell r="I4">
            <v>0</v>
          </cell>
        </row>
      </sheetData>
      <sheetData sheetId="5429">
        <row r="4">
          <cell r="I4">
            <v>0</v>
          </cell>
        </row>
      </sheetData>
      <sheetData sheetId="5430">
        <row r="4">
          <cell r="I4">
            <v>0</v>
          </cell>
        </row>
      </sheetData>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ow r="4">
          <cell r="I4">
            <v>0</v>
          </cell>
        </row>
      </sheetData>
      <sheetData sheetId="5443">
        <row r="4">
          <cell r="I4">
            <v>0</v>
          </cell>
        </row>
      </sheetData>
      <sheetData sheetId="5444">
        <row r="4">
          <cell r="I4">
            <v>0</v>
          </cell>
        </row>
      </sheetData>
      <sheetData sheetId="5445">
        <row r="4">
          <cell r="I4">
            <v>0</v>
          </cell>
        </row>
      </sheetData>
      <sheetData sheetId="5446">
        <row r="4">
          <cell r="I4">
            <v>0</v>
          </cell>
        </row>
      </sheetData>
      <sheetData sheetId="5447">
        <row r="4">
          <cell r="I4">
            <v>0</v>
          </cell>
        </row>
      </sheetData>
      <sheetData sheetId="5448">
        <row r="4">
          <cell r="I4">
            <v>0</v>
          </cell>
        </row>
      </sheetData>
      <sheetData sheetId="5449">
        <row r="4">
          <cell r="I4">
            <v>0</v>
          </cell>
        </row>
      </sheetData>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ow r="4">
          <cell r="I4">
            <v>0</v>
          </cell>
        </row>
      </sheetData>
      <sheetData sheetId="5459">
        <row r="4">
          <cell r="I4">
            <v>0</v>
          </cell>
        </row>
      </sheetData>
      <sheetData sheetId="5460">
        <row r="4">
          <cell r="I4">
            <v>0</v>
          </cell>
        </row>
      </sheetData>
      <sheetData sheetId="5461">
        <row r="4">
          <cell r="I4">
            <v>0</v>
          </cell>
        </row>
      </sheetData>
      <sheetData sheetId="5462">
        <row r="4">
          <cell r="I4">
            <v>0</v>
          </cell>
        </row>
      </sheetData>
      <sheetData sheetId="5463">
        <row r="4">
          <cell r="I4">
            <v>0</v>
          </cell>
        </row>
      </sheetData>
      <sheetData sheetId="5464">
        <row r="4">
          <cell r="I4">
            <v>0</v>
          </cell>
        </row>
      </sheetData>
      <sheetData sheetId="5465">
        <row r="4">
          <cell r="I4">
            <v>0</v>
          </cell>
        </row>
      </sheetData>
      <sheetData sheetId="5466">
        <row r="4">
          <cell r="I4">
            <v>0</v>
          </cell>
        </row>
      </sheetData>
      <sheetData sheetId="5467">
        <row r="4">
          <cell r="I4">
            <v>0</v>
          </cell>
        </row>
      </sheetData>
      <sheetData sheetId="5468">
        <row r="4">
          <cell r="I4">
            <v>0</v>
          </cell>
        </row>
      </sheetData>
      <sheetData sheetId="5469">
        <row r="4">
          <cell r="I4">
            <v>0</v>
          </cell>
        </row>
      </sheetData>
      <sheetData sheetId="5470">
        <row r="4">
          <cell r="I4">
            <v>0</v>
          </cell>
        </row>
      </sheetData>
      <sheetData sheetId="5471">
        <row r="4">
          <cell r="I4">
            <v>0</v>
          </cell>
        </row>
      </sheetData>
      <sheetData sheetId="5472">
        <row r="4">
          <cell r="I4">
            <v>0</v>
          </cell>
        </row>
      </sheetData>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ow r="4">
          <cell r="I4">
            <v>0</v>
          </cell>
        </row>
      </sheetData>
      <sheetData sheetId="5484">
        <row r="4">
          <cell r="I4">
            <v>0</v>
          </cell>
        </row>
      </sheetData>
      <sheetData sheetId="5485">
        <row r="4">
          <cell r="I4">
            <v>0</v>
          </cell>
        </row>
      </sheetData>
      <sheetData sheetId="5486">
        <row r="4">
          <cell r="I4">
            <v>0</v>
          </cell>
        </row>
      </sheetData>
      <sheetData sheetId="5487">
        <row r="4">
          <cell r="I4">
            <v>0</v>
          </cell>
        </row>
      </sheetData>
      <sheetData sheetId="5488">
        <row r="4">
          <cell r="I4">
            <v>0</v>
          </cell>
        </row>
      </sheetData>
      <sheetData sheetId="5489" refreshError="1"/>
      <sheetData sheetId="5490" refreshError="1"/>
      <sheetData sheetId="5491" refreshError="1"/>
      <sheetData sheetId="5492">
        <row r="4">
          <cell r="I4">
            <v>0</v>
          </cell>
        </row>
      </sheetData>
      <sheetData sheetId="5493">
        <row r="4">
          <cell r="I4">
            <v>0</v>
          </cell>
        </row>
      </sheetData>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ow r="4">
          <cell r="I4">
            <v>0</v>
          </cell>
        </row>
      </sheetData>
      <sheetData sheetId="5540">
        <row r="4">
          <cell r="I4">
            <v>0</v>
          </cell>
        </row>
      </sheetData>
      <sheetData sheetId="5541">
        <row r="4">
          <cell r="I4">
            <v>0</v>
          </cell>
        </row>
      </sheetData>
      <sheetData sheetId="5542">
        <row r="4">
          <cell r="I4">
            <v>0</v>
          </cell>
        </row>
      </sheetData>
      <sheetData sheetId="5543">
        <row r="4">
          <cell r="I4">
            <v>0</v>
          </cell>
        </row>
      </sheetData>
      <sheetData sheetId="5544">
        <row r="4">
          <cell r="I4">
            <v>0</v>
          </cell>
        </row>
      </sheetData>
      <sheetData sheetId="5545" refreshError="1"/>
      <sheetData sheetId="5546" refreshError="1"/>
      <sheetData sheetId="5547">
        <row r="4">
          <cell r="I4">
            <v>0</v>
          </cell>
        </row>
      </sheetData>
      <sheetData sheetId="5548" refreshError="1"/>
      <sheetData sheetId="5549" refreshError="1"/>
      <sheetData sheetId="5550" refreshError="1"/>
      <sheetData sheetId="5551" refreshError="1"/>
      <sheetData sheetId="5552">
        <row r="4">
          <cell r="I4">
            <v>0</v>
          </cell>
        </row>
      </sheetData>
      <sheetData sheetId="5553">
        <row r="4">
          <cell r="I4">
            <v>0</v>
          </cell>
        </row>
      </sheetData>
      <sheetData sheetId="5554">
        <row r="4">
          <cell r="I4">
            <v>0</v>
          </cell>
        </row>
      </sheetData>
      <sheetData sheetId="5555">
        <row r="4">
          <cell r="I4">
            <v>0</v>
          </cell>
        </row>
      </sheetData>
      <sheetData sheetId="5556">
        <row r="4">
          <cell r="I4">
            <v>0</v>
          </cell>
        </row>
      </sheetData>
      <sheetData sheetId="5557">
        <row r="4">
          <cell r="I4">
            <v>0</v>
          </cell>
        </row>
      </sheetData>
      <sheetData sheetId="5558">
        <row r="4">
          <cell r="I4">
            <v>0</v>
          </cell>
        </row>
      </sheetData>
      <sheetData sheetId="5559">
        <row r="4">
          <cell r="I4">
            <v>0</v>
          </cell>
        </row>
      </sheetData>
      <sheetData sheetId="5560">
        <row r="4">
          <cell r="I4">
            <v>0</v>
          </cell>
        </row>
      </sheetData>
      <sheetData sheetId="5561">
        <row r="4">
          <cell r="I4">
            <v>0</v>
          </cell>
        </row>
      </sheetData>
      <sheetData sheetId="5562">
        <row r="4">
          <cell r="I4">
            <v>0</v>
          </cell>
        </row>
      </sheetData>
      <sheetData sheetId="5563">
        <row r="4">
          <cell r="I4">
            <v>0</v>
          </cell>
        </row>
      </sheetData>
      <sheetData sheetId="5564">
        <row r="4">
          <cell r="I4">
            <v>0</v>
          </cell>
        </row>
      </sheetData>
      <sheetData sheetId="5565">
        <row r="4">
          <cell r="I4">
            <v>0</v>
          </cell>
        </row>
      </sheetData>
      <sheetData sheetId="5566">
        <row r="4">
          <cell r="I4">
            <v>0</v>
          </cell>
        </row>
      </sheetData>
      <sheetData sheetId="5567">
        <row r="4">
          <cell r="I4">
            <v>0</v>
          </cell>
        </row>
      </sheetData>
      <sheetData sheetId="5568">
        <row r="4">
          <cell r="I4">
            <v>0</v>
          </cell>
        </row>
      </sheetData>
      <sheetData sheetId="5569">
        <row r="4">
          <cell r="I4">
            <v>0</v>
          </cell>
        </row>
      </sheetData>
      <sheetData sheetId="5570">
        <row r="4">
          <cell r="I4">
            <v>0</v>
          </cell>
        </row>
      </sheetData>
      <sheetData sheetId="5571">
        <row r="4">
          <cell r="I4">
            <v>0</v>
          </cell>
        </row>
      </sheetData>
      <sheetData sheetId="5572">
        <row r="4">
          <cell r="I4">
            <v>0</v>
          </cell>
        </row>
      </sheetData>
      <sheetData sheetId="5573">
        <row r="4">
          <cell r="I4">
            <v>0</v>
          </cell>
        </row>
      </sheetData>
      <sheetData sheetId="5574">
        <row r="4">
          <cell r="I4">
            <v>0</v>
          </cell>
        </row>
      </sheetData>
      <sheetData sheetId="5575">
        <row r="4">
          <cell r="I4">
            <v>0</v>
          </cell>
        </row>
      </sheetData>
      <sheetData sheetId="5576">
        <row r="4">
          <cell r="I4">
            <v>0</v>
          </cell>
        </row>
      </sheetData>
      <sheetData sheetId="5577">
        <row r="4">
          <cell r="I4">
            <v>0</v>
          </cell>
        </row>
      </sheetData>
      <sheetData sheetId="5578">
        <row r="4">
          <cell r="I4">
            <v>0</v>
          </cell>
        </row>
      </sheetData>
      <sheetData sheetId="5579">
        <row r="4">
          <cell r="I4">
            <v>0</v>
          </cell>
        </row>
      </sheetData>
      <sheetData sheetId="5580">
        <row r="4">
          <cell r="I4">
            <v>0</v>
          </cell>
        </row>
      </sheetData>
      <sheetData sheetId="5581">
        <row r="4">
          <cell r="I4">
            <v>0</v>
          </cell>
        </row>
      </sheetData>
      <sheetData sheetId="5582">
        <row r="4">
          <cell r="I4">
            <v>0</v>
          </cell>
        </row>
      </sheetData>
      <sheetData sheetId="5583">
        <row r="4">
          <cell r="I4">
            <v>0</v>
          </cell>
        </row>
      </sheetData>
      <sheetData sheetId="5584">
        <row r="4">
          <cell r="I4">
            <v>0</v>
          </cell>
        </row>
      </sheetData>
      <sheetData sheetId="5585">
        <row r="4">
          <cell r="I4">
            <v>0</v>
          </cell>
        </row>
      </sheetData>
      <sheetData sheetId="5586">
        <row r="4">
          <cell r="I4">
            <v>0</v>
          </cell>
        </row>
      </sheetData>
      <sheetData sheetId="5587">
        <row r="4">
          <cell r="I4">
            <v>0</v>
          </cell>
        </row>
      </sheetData>
      <sheetData sheetId="5588">
        <row r="4">
          <cell r="I4">
            <v>0</v>
          </cell>
        </row>
      </sheetData>
      <sheetData sheetId="5589">
        <row r="4">
          <cell r="I4">
            <v>0</v>
          </cell>
        </row>
      </sheetData>
      <sheetData sheetId="5590">
        <row r="4">
          <cell r="I4">
            <v>0</v>
          </cell>
        </row>
      </sheetData>
      <sheetData sheetId="5591">
        <row r="4">
          <cell r="I4">
            <v>0</v>
          </cell>
        </row>
      </sheetData>
      <sheetData sheetId="5592">
        <row r="4">
          <cell r="I4">
            <v>0</v>
          </cell>
        </row>
      </sheetData>
      <sheetData sheetId="5593">
        <row r="4">
          <cell r="I4">
            <v>0</v>
          </cell>
        </row>
      </sheetData>
      <sheetData sheetId="5594">
        <row r="4">
          <cell r="I4">
            <v>0</v>
          </cell>
        </row>
      </sheetData>
      <sheetData sheetId="5595">
        <row r="4">
          <cell r="I4">
            <v>0</v>
          </cell>
        </row>
      </sheetData>
      <sheetData sheetId="5596">
        <row r="4">
          <cell r="I4">
            <v>0</v>
          </cell>
        </row>
      </sheetData>
      <sheetData sheetId="5597">
        <row r="4">
          <cell r="I4">
            <v>0</v>
          </cell>
        </row>
      </sheetData>
      <sheetData sheetId="5598">
        <row r="4">
          <cell r="I4">
            <v>0</v>
          </cell>
        </row>
      </sheetData>
      <sheetData sheetId="5599">
        <row r="4">
          <cell r="I4">
            <v>0</v>
          </cell>
        </row>
      </sheetData>
      <sheetData sheetId="5600">
        <row r="4">
          <cell r="I4">
            <v>0</v>
          </cell>
        </row>
      </sheetData>
      <sheetData sheetId="5601">
        <row r="4">
          <cell r="I4">
            <v>0</v>
          </cell>
        </row>
      </sheetData>
      <sheetData sheetId="5602">
        <row r="4">
          <cell r="I4">
            <v>0</v>
          </cell>
        </row>
      </sheetData>
      <sheetData sheetId="5603">
        <row r="4">
          <cell r="I4">
            <v>0</v>
          </cell>
        </row>
      </sheetData>
      <sheetData sheetId="5604">
        <row r="4">
          <cell r="I4">
            <v>0</v>
          </cell>
        </row>
      </sheetData>
      <sheetData sheetId="5605">
        <row r="4">
          <cell r="I4">
            <v>0</v>
          </cell>
        </row>
      </sheetData>
      <sheetData sheetId="5606">
        <row r="4">
          <cell r="I4">
            <v>0</v>
          </cell>
        </row>
      </sheetData>
      <sheetData sheetId="5607">
        <row r="4">
          <cell r="I4">
            <v>0</v>
          </cell>
        </row>
      </sheetData>
      <sheetData sheetId="5608">
        <row r="4">
          <cell r="I4">
            <v>0</v>
          </cell>
        </row>
      </sheetData>
      <sheetData sheetId="5609">
        <row r="4">
          <cell r="I4">
            <v>0</v>
          </cell>
        </row>
      </sheetData>
      <sheetData sheetId="5610">
        <row r="4">
          <cell r="I4">
            <v>0</v>
          </cell>
        </row>
      </sheetData>
      <sheetData sheetId="5611">
        <row r="4">
          <cell r="I4">
            <v>0</v>
          </cell>
        </row>
      </sheetData>
      <sheetData sheetId="5612">
        <row r="4">
          <cell r="I4">
            <v>0</v>
          </cell>
        </row>
      </sheetData>
      <sheetData sheetId="5613">
        <row r="4">
          <cell r="I4">
            <v>0</v>
          </cell>
        </row>
      </sheetData>
      <sheetData sheetId="5614">
        <row r="4">
          <cell r="I4">
            <v>0</v>
          </cell>
        </row>
      </sheetData>
      <sheetData sheetId="5615">
        <row r="4">
          <cell r="I4">
            <v>0</v>
          </cell>
        </row>
      </sheetData>
      <sheetData sheetId="5616">
        <row r="4">
          <cell r="I4">
            <v>0</v>
          </cell>
        </row>
      </sheetData>
      <sheetData sheetId="5617">
        <row r="4">
          <cell r="I4">
            <v>0</v>
          </cell>
        </row>
      </sheetData>
      <sheetData sheetId="5618">
        <row r="4">
          <cell r="I4">
            <v>0</v>
          </cell>
        </row>
      </sheetData>
      <sheetData sheetId="5619">
        <row r="4">
          <cell r="I4">
            <v>0</v>
          </cell>
        </row>
      </sheetData>
      <sheetData sheetId="5620">
        <row r="4">
          <cell r="I4">
            <v>0</v>
          </cell>
        </row>
      </sheetData>
      <sheetData sheetId="5621">
        <row r="4">
          <cell r="I4">
            <v>0</v>
          </cell>
        </row>
      </sheetData>
      <sheetData sheetId="5622">
        <row r="4">
          <cell r="I4">
            <v>0</v>
          </cell>
        </row>
      </sheetData>
      <sheetData sheetId="5623">
        <row r="4">
          <cell r="I4">
            <v>0</v>
          </cell>
        </row>
      </sheetData>
      <sheetData sheetId="5624">
        <row r="4">
          <cell r="I4">
            <v>0</v>
          </cell>
        </row>
      </sheetData>
      <sheetData sheetId="5625">
        <row r="4">
          <cell r="I4">
            <v>0</v>
          </cell>
        </row>
      </sheetData>
      <sheetData sheetId="5626">
        <row r="4">
          <cell r="I4">
            <v>0</v>
          </cell>
        </row>
      </sheetData>
      <sheetData sheetId="5627">
        <row r="4">
          <cell r="I4">
            <v>0</v>
          </cell>
        </row>
      </sheetData>
      <sheetData sheetId="5628">
        <row r="4">
          <cell r="I4">
            <v>0</v>
          </cell>
        </row>
      </sheetData>
      <sheetData sheetId="5629">
        <row r="4">
          <cell r="I4">
            <v>0</v>
          </cell>
        </row>
      </sheetData>
      <sheetData sheetId="5630">
        <row r="4">
          <cell r="I4">
            <v>0</v>
          </cell>
        </row>
      </sheetData>
      <sheetData sheetId="5631">
        <row r="4">
          <cell r="I4">
            <v>0</v>
          </cell>
        </row>
      </sheetData>
      <sheetData sheetId="5632">
        <row r="4">
          <cell r="I4">
            <v>0</v>
          </cell>
        </row>
      </sheetData>
      <sheetData sheetId="5633">
        <row r="4">
          <cell r="I4">
            <v>0</v>
          </cell>
        </row>
      </sheetData>
      <sheetData sheetId="5634">
        <row r="4">
          <cell r="I4">
            <v>0</v>
          </cell>
        </row>
      </sheetData>
      <sheetData sheetId="5635">
        <row r="4">
          <cell r="I4">
            <v>0</v>
          </cell>
        </row>
      </sheetData>
      <sheetData sheetId="5636">
        <row r="4">
          <cell r="I4">
            <v>0</v>
          </cell>
        </row>
      </sheetData>
      <sheetData sheetId="5637">
        <row r="4">
          <cell r="I4">
            <v>0</v>
          </cell>
        </row>
      </sheetData>
      <sheetData sheetId="5638">
        <row r="4">
          <cell r="I4">
            <v>0</v>
          </cell>
        </row>
      </sheetData>
      <sheetData sheetId="5639">
        <row r="4">
          <cell r="I4">
            <v>0</v>
          </cell>
        </row>
      </sheetData>
      <sheetData sheetId="5640">
        <row r="4">
          <cell r="I4">
            <v>0</v>
          </cell>
        </row>
      </sheetData>
      <sheetData sheetId="5641">
        <row r="4">
          <cell r="I4">
            <v>0</v>
          </cell>
        </row>
      </sheetData>
      <sheetData sheetId="5642">
        <row r="4">
          <cell r="I4">
            <v>0</v>
          </cell>
        </row>
      </sheetData>
      <sheetData sheetId="5643">
        <row r="4">
          <cell r="I4">
            <v>0</v>
          </cell>
        </row>
      </sheetData>
      <sheetData sheetId="5644">
        <row r="4">
          <cell r="I4">
            <v>0</v>
          </cell>
        </row>
      </sheetData>
      <sheetData sheetId="5645">
        <row r="4">
          <cell r="I4">
            <v>0</v>
          </cell>
        </row>
      </sheetData>
      <sheetData sheetId="5646">
        <row r="4">
          <cell r="I4">
            <v>0</v>
          </cell>
        </row>
      </sheetData>
      <sheetData sheetId="5647">
        <row r="4">
          <cell r="I4">
            <v>0</v>
          </cell>
        </row>
      </sheetData>
      <sheetData sheetId="5648">
        <row r="4">
          <cell r="I4">
            <v>0</v>
          </cell>
        </row>
      </sheetData>
      <sheetData sheetId="5649">
        <row r="4">
          <cell r="I4">
            <v>0</v>
          </cell>
        </row>
      </sheetData>
      <sheetData sheetId="5650">
        <row r="4">
          <cell r="I4">
            <v>0</v>
          </cell>
        </row>
      </sheetData>
      <sheetData sheetId="5651">
        <row r="4">
          <cell r="I4">
            <v>0</v>
          </cell>
        </row>
      </sheetData>
      <sheetData sheetId="5652">
        <row r="4">
          <cell r="I4">
            <v>0</v>
          </cell>
        </row>
      </sheetData>
      <sheetData sheetId="5653">
        <row r="4">
          <cell r="I4">
            <v>0</v>
          </cell>
        </row>
      </sheetData>
      <sheetData sheetId="5654">
        <row r="4">
          <cell r="I4">
            <v>0</v>
          </cell>
        </row>
      </sheetData>
      <sheetData sheetId="5655">
        <row r="4">
          <cell r="I4">
            <v>0</v>
          </cell>
        </row>
      </sheetData>
      <sheetData sheetId="5656">
        <row r="4">
          <cell r="I4">
            <v>0</v>
          </cell>
        </row>
      </sheetData>
      <sheetData sheetId="5657">
        <row r="4">
          <cell r="I4">
            <v>0</v>
          </cell>
        </row>
      </sheetData>
      <sheetData sheetId="5658">
        <row r="4">
          <cell r="I4">
            <v>0</v>
          </cell>
        </row>
      </sheetData>
      <sheetData sheetId="5659">
        <row r="4">
          <cell r="I4">
            <v>0</v>
          </cell>
        </row>
      </sheetData>
      <sheetData sheetId="5660">
        <row r="4">
          <cell r="I4">
            <v>0</v>
          </cell>
        </row>
      </sheetData>
      <sheetData sheetId="5661">
        <row r="4">
          <cell r="I4">
            <v>0</v>
          </cell>
        </row>
      </sheetData>
      <sheetData sheetId="5662">
        <row r="4">
          <cell r="I4">
            <v>0</v>
          </cell>
        </row>
      </sheetData>
      <sheetData sheetId="5663">
        <row r="4">
          <cell r="I4">
            <v>0</v>
          </cell>
        </row>
      </sheetData>
      <sheetData sheetId="5664">
        <row r="4">
          <cell r="I4">
            <v>0</v>
          </cell>
        </row>
      </sheetData>
      <sheetData sheetId="5665">
        <row r="4">
          <cell r="I4">
            <v>0</v>
          </cell>
        </row>
      </sheetData>
      <sheetData sheetId="5666">
        <row r="4">
          <cell r="I4">
            <v>0</v>
          </cell>
        </row>
      </sheetData>
      <sheetData sheetId="5667">
        <row r="4">
          <cell r="I4">
            <v>0</v>
          </cell>
        </row>
      </sheetData>
      <sheetData sheetId="5668">
        <row r="4">
          <cell r="I4">
            <v>0</v>
          </cell>
        </row>
      </sheetData>
      <sheetData sheetId="5669">
        <row r="4">
          <cell r="I4">
            <v>0</v>
          </cell>
        </row>
      </sheetData>
      <sheetData sheetId="5670">
        <row r="4">
          <cell r="I4">
            <v>0</v>
          </cell>
        </row>
      </sheetData>
      <sheetData sheetId="5671">
        <row r="4">
          <cell r="I4">
            <v>0</v>
          </cell>
        </row>
      </sheetData>
      <sheetData sheetId="5672">
        <row r="4">
          <cell r="I4">
            <v>0</v>
          </cell>
        </row>
      </sheetData>
      <sheetData sheetId="5673">
        <row r="4">
          <cell r="I4">
            <v>0</v>
          </cell>
        </row>
      </sheetData>
      <sheetData sheetId="5674">
        <row r="4">
          <cell r="I4">
            <v>0</v>
          </cell>
        </row>
      </sheetData>
      <sheetData sheetId="5675">
        <row r="4">
          <cell r="I4">
            <v>0</v>
          </cell>
        </row>
      </sheetData>
      <sheetData sheetId="5676">
        <row r="4">
          <cell r="I4">
            <v>0</v>
          </cell>
        </row>
      </sheetData>
      <sheetData sheetId="5677">
        <row r="4">
          <cell r="I4">
            <v>0</v>
          </cell>
        </row>
      </sheetData>
      <sheetData sheetId="5678">
        <row r="4">
          <cell r="I4">
            <v>0</v>
          </cell>
        </row>
      </sheetData>
      <sheetData sheetId="5679">
        <row r="4">
          <cell r="I4">
            <v>0</v>
          </cell>
        </row>
      </sheetData>
      <sheetData sheetId="5680">
        <row r="4">
          <cell r="I4">
            <v>0</v>
          </cell>
        </row>
      </sheetData>
      <sheetData sheetId="5681">
        <row r="4">
          <cell r="I4">
            <v>0</v>
          </cell>
        </row>
      </sheetData>
      <sheetData sheetId="5682">
        <row r="4">
          <cell r="I4">
            <v>0</v>
          </cell>
        </row>
      </sheetData>
      <sheetData sheetId="5683">
        <row r="4">
          <cell r="I4">
            <v>0</v>
          </cell>
        </row>
      </sheetData>
      <sheetData sheetId="5684">
        <row r="4">
          <cell r="I4">
            <v>0</v>
          </cell>
        </row>
      </sheetData>
      <sheetData sheetId="5685">
        <row r="4">
          <cell r="I4">
            <v>0</v>
          </cell>
        </row>
      </sheetData>
      <sheetData sheetId="5686">
        <row r="4">
          <cell r="I4">
            <v>0</v>
          </cell>
        </row>
      </sheetData>
      <sheetData sheetId="5687">
        <row r="4">
          <cell r="I4">
            <v>0</v>
          </cell>
        </row>
      </sheetData>
      <sheetData sheetId="5688">
        <row r="4">
          <cell r="I4">
            <v>0</v>
          </cell>
        </row>
      </sheetData>
      <sheetData sheetId="5689">
        <row r="4">
          <cell r="I4">
            <v>0</v>
          </cell>
        </row>
      </sheetData>
      <sheetData sheetId="5690">
        <row r="4">
          <cell r="I4">
            <v>0</v>
          </cell>
        </row>
      </sheetData>
      <sheetData sheetId="5691">
        <row r="4">
          <cell r="I4">
            <v>0</v>
          </cell>
        </row>
      </sheetData>
      <sheetData sheetId="5692">
        <row r="4">
          <cell r="I4">
            <v>0</v>
          </cell>
        </row>
      </sheetData>
      <sheetData sheetId="5693">
        <row r="4">
          <cell r="I4">
            <v>0</v>
          </cell>
        </row>
      </sheetData>
      <sheetData sheetId="5694">
        <row r="4">
          <cell r="I4">
            <v>0</v>
          </cell>
        </row>
      </sheetData>
      <sheetData sheetId="5695">
        <row r="4">
          <cell r="I4">
            <v>0</v>
          </cell>
        </row>
      </sheetData>
      <sheetData sheetId="5696">
        <row r="4">
          <cell r="I4">
            <v>0</v>
          </cell>
        </row>
      </sheetData>
      <sheetData sheetId="5697">
        <row r="4">
          <cell r="I4">
            <v>0</v>
          </cell>
        </row>
      </sheetData>
      <sheetData sheetId="5698">
        <row r="4">
          <cell r="I4">
            <v>0</v>
          </cell>
        </row>
      </sheetData>
      <sheetData sheetId="5699">
        <row r="4">
          <cell r="I4">
            <v>0</v>
          </cell>
        </row>
      </sheetData>
      <sheetData sheetId="5700">
        <row r="4">
          <cell r="I4">
            <v>0</v>
          </cell>
        </row>
      </sheetData>
      <sheetData sheetId="5701">
        <row r="4">
          <cell r="I4">
            <v>0</v>
          </cell>
        </row>
      </sheetData>
      <sheetData sheetId="5702">
        <row r="4">
          <cell r="I4">
            <v>0</v>
          </cell>
        </row>
      </sheetData>
      <sheetData sheetId="5703">
        <row r="4">
          <cell r="I4">
            <v>0</v>
          </cell>
        </row>
      </sheetData>
      <sheetData sheetId="5704">
        <row r="4">
          <cell r="I4">
            <v>0</v>
          </cell>
        </row>
      </sheetData>
      <sheetData sheetId="5705">
        <row r="4">
          <cell r="I4">
            <v>0</v>
          </cell>
        </row>
      </sheetData>
      <sheetData sheetId="5706">
        <row r="4">
          <cell r="I4">
            <v>0</v>
          </cell>
        </row>
      </sheetData>
      <sheetData sheetId="5707">
        <row r="4">
          <cell r="I4">
            <v>0</v>
          </cell>
        </row>
      </sheetData>
      <sheetData sheetId="5708">
        <row r="4">
          <cell r="I4">
            <v>0</v>
          </cell>
        </row>
      </sheetData>
      <sheetData sheetId="5709">
        <row r="4">
          <cell r="I4">
            <v>0</v>
          </cell>
        </row>
      </sheetData>
      <sheetData sheetId="5710">
        <row r="4">
          <cell r="I4">
            <v>0</v>
          </cell>
        </row>
      </sheetData>
      <sheetData sheetId="5711">
        <row r="4">
          <cell r="I4">
            <v>0</v>
          </cell>
        </row>
      </sheetData>
      <sheetData sheetId="5712">
        <row r="4">
          <cell r="I4">
            <v>0</v>
          </cell>
        </row>
      </sheetData>
      <sheetData sheetId="5713">
        <row r="4">
          <cell r="I4">
            <v>0</v>
          </cell>
        </row>
      </sheetData>
      <sheetData sheetId="5714">
        <row r="4">
          <cell r="I4">
            <v>0</v>
          </cell>
        </row>
      </sheetData>
      <sheetData sheetId="5715">
        <row r="4">
          <cell r="I4">
            <v>0</v>
          </cell>
        </row>
      </sheetData>
      <sheetData sheetId="5716">
        <row r="4">
          <cell r="I4">
            <v>0</v>
          </cell>
        </row>
      </sheetData>
      <sheetData sheetId="5717">
        <row r="4">
          <cell r="I4">
            <v>0</v>
          </cell>
        </row>
      </sheetData>
      <sheetData sheetId="5718">
        <row r="4">
          <cell r="I4">
            <v>0</v>
          </cell>
        </row>
      </sheetData>
      <sheetData sheetId="5719">
        <row r="4">
          <cell r="I4">
            <v>0</v>
          </cell>
        </row>
      </sheetData>
      <sheetData sheetId="5720">
        <row r="4">
          <cell r="I4">
            <v>0</v>
          </cell>
        </row>
      </sheetData>
      <sheetData sheetId="5721">
        <row r="4">
          <cell r="I4">
            <v>0</v>
          </cell>
        </row>
      </sheetData>
      <sheetData sheetId="5722">
        <row r="4">
          <cell r="I4">
            <v>0</v>
          </cell>
        </row>
      </sheetData>
      <sheetData sheetId="5723">
        <row r="4">
          <cell r="I4">
            <v>0</v>
          </cell>
        </row>
      </sheetData>
      <sheetData sheetId="5724">
        <row r="4">
          <cell r="I4">
            <v>0</v>
          </cell>
        </row>
      </sheetData>
      <sheetData sheetId="5725">
        <row r="4">
          <cell r="I4">
            <v>0</v>
          </cell>
        </row>
      </sheetData>
      <sheetData sheetId="5726">
        <row r="4">
          <cell r="I4">
            <v>0</v>
          </cell>
        </row>
      </sheetData>
      <sheetData sheetId="5727">
        <row r="4">
          <cell r="I4">
            <v>0</v>
          </cell>
        </row>
      </sheetData>
      <sheetData sheetId="5728">
        <row r="4">
          <cell r="I4">
            <v>0</v>
          </cell>
        </row>
      </sheetData>
      <sheetData sheetId="5729">
        <row r="4">
          <cell r="I4">
            <v>0</v>
          </cell>
        </row>
      </sheetData>
      <sheetData sheetId="5730">
        <row r="4">
          <cell r="I4">
            <v>0</v>
          </cell>
        </row>
      </sheetData>
      <sheetData sheetId="5731">
        <row r="4">
          <cell r="I4">
            <v>0</v>
          </cell>
        </row>
      </sheetData>
      <sheetData sheetId="5732">
        <row r="4">
          <cell r="I4">
            <v>0</v>
          </cell>
        </row>
      </sheetData>
      <sheetData sheetId="5733">
        <row r="4">
          <cell r="I4">
            <v>0</v>
          </cell>
        </row>
      </sheetData>
      <sheetData sheetId="5734">
        <row r="4">
          <cell r="I4">
            <v>0</v>
          </cell>
        </row>
      </sheetData>
      <sheetData sheetId="5735">
        <row r="4">
          <cell r="I4">
            <v>0</v>
          </cell>
        </row>
      </sheetData>
      <sheetData sheetId="5736">
        <row r="4">
          <cell r="I4">
            <v>0</v>
          </cell>
        </row>
      </sheetData>
      <sheetData sheetId="5737">
        <row r="4">
          <cell r="I4">
            <v>0</v>
          </cell>
        </row>
      </sheetData>
      <sheetData sheetId="5738">
        <row r="4">
          <cell r="I4">
            <v>0</v>
          </cell>
        </row>
      </sheetData>
      <sheetData sheetId="5739">
        <row r="4">
          <cell r="I4">
            <v>0</v>
          </cell>
        </row>
      </sheetData>
      <sheetData sheetId="5740">
        <row r="4">
          <cell r="I4">
            <v>0</v>
          </cell>
        </row>
      </sheetData>
      <sheetData sheetId="5741">
        <row r="4">
          <cell r="I4">
            <v>0</v>
          </cell>
        </row>
      </sheetData>
      <sheetData sheetId="5742">
        <row r="4">
          <cell r="I4">
            <v>0</v>
          </cell>
        </row>
      </sheetData>
      <sheetData sheetId="5743">
        <row r="4">
          <cell r="I4">
            <v>0</v>
          </cell>
        </row>
      </sheetData>
      <sheetData sheetId="5744">
        <row r="4">
          <cell r="I4">
            <v>0</v>
          </cell>
        </row>
      </sheetData>
      <sheetData sheetId="5745">
        <row r="4">
          <cell r="I4">
            <v>0</v>
          </cell>
        </row>
      </sheetData>
      <sheetData sheetId="5746">
        <row r="4">
          <cell r="I4">
            <v>0</v>
          </cell>
        </row>
      </sheetData>
      <sheetData sheetId="5747">
        <row r="4">
          <cell r="I4">
            <v>0</v>
          </cell>
        </row>
      </sheetData>
      <sheetData sheetId="5748">
        <row r="4">
          <cell r="I4">
            <v>0</v>
          </cell>
        </row>
      </sheetData>
      <sheetData sheetId="5749">
        <row r="4">
          <cell r="I4">
            <v>0</v>
          </cell>
        </row>
      </sheetData>
      <sheetData sheetId="5750">
        <row r="4">
          <cell r="I4">
            <v>0</v>
          </cell>
        </row>
      </sheetData>
      <sheetData sheetId="5751">
        <row r="4">
          <cell r="I4">
            <v>0</v>
          </cell>
        </row>
      </sheetData>
      <sheetData sheetId="5752">
        <row r="4">
          <cell r="I4">
            <v>0</v>
          </cell>
        </row>
      </sheetData>
      <sheetData sheetId="5753">
        <row r="4">
          <cell r="I4">
            <v>0</v>
          </cell>
        </row>
      </sheetData>
      <sheetData sheetId="5754">
        <row r="4">
          <cell r="I4">
            <v>0</v>
          </cell>
        </row>
      </sheetData>
      <sheetData sheetId="5755">
        <row r="4">
          <cell r="I4">
            <v>0</v>
          </cell>
        </row>
      </sheetData>
      <sheetData sheetId="5756">
        <row r="4">
          <cell r="I4">
            <v>0</v>
          </cell>
        </row>
      </sheetData>
      <sheetData sheetId="5757">
        <row r="4">
          <cell r="I4">
            <v>0</v>
          </cell>
        </row>
      </sheetData>
      <sheetData sheetId="5758">
        <row r="4">
          <cell r="I4">
            <v>0</v>
          </cell>
        </row>
      </sheetData>
      <sheetData sheetId="5759">
        <row r="4">
          <cell r="I4">
            <v>0</v>
          </cell>
        </row>
      </sheetData>
      <sheetData sheetId="5760">
        <row r="4">
          <cell r="I4">
            <v>0</v>
          </cell>
        </row>
      </sheetData>
      <sheetData sheetId="5761">
        <row r="4">
          <cell r="I4">
            <v>0</v>
          </cell>
        </row>
      </sheetData>
      <sheetData sheetId="5762">
        <row r="4">
          <cell r="I4">
            <v>0</v>
          </cell>
        </row>
      </sheetData>
      <sheetData sheetId="5763">
        <row r="4">
          <cell r="I4">
            <v>0</v>
          </cell>
        </row>
      </sheetData>
      <sheetData sheetId="5764">
        <row r="4">
          <cell r="I4">
            <v>0</v>
          </cell>
        </row>
      </sheetData>
      <sheetData sheetId="5765">
        <row r="4">
          <cell r="I4">
            <v>0</v>
          </cell>
        </row>
      </sheetData>
      <sheetData sheetId="5766">
        <row r="4">
          <cell r="I4">
            <v>0</v>
          </cell>
        </row>
      </sheetData>
      <sheetData sheetId="5767">
        <row r="4">
          <cell r="I4">
            <v>0</v>
          </cell>
        </row>
      </sheetData>
      <sheetData sheetId="5768">
        <row r="4">
          <cell r="I4">
            <v>0</v>
          </cell>
        </row>
      </sheetData>
      <sheetData sheetId="5769">
        <row r="4">
          <cell r="I4">
            <v>0</v>
          </cell>
        </row>
      </sheetData>
      <sheetData sheetId="5770">
        <row r="4">
          <cell r="I4">
            <v>0</v>
          </cell>
        </row>
      </sheetData>
      <sheetData sheetId="5771">
        <row r="4">
          <cell r="I4">
            <v>0</v>
          </cell>
        </row>
      </sheetData>
      <sheetData sheetId="5772">
        <row r="4">
          <cell r="I4">
            <v>0</v>
          </cell>
        </row>
      </sheetData>
      <sheetData sheetId="5773">
        <row r="4">
          <cell r="I4">
            <v>0</v>
          </cell>
        </row>
      </sheetData>
      <sheetData sheetId="5774">
        <row r="4">
          <cell r="I4">
            <v>0</v>
          </cell>
        </row>
      </sheetData>
      <sheetData sheetId="5775">
        <row r="4">
          <cell r="I4">
            <v>0</v>
          </cell>
        </row>
      </sheetData>
      <sheetData sheetId="5776">
        <row r="4">
          <cell r="I4">
            <v>0</v>
          </cell>
        </row>
      </sheetData>
      <sheetData sheetId="5777">
        <row r="4">
          <cell r="I4">
            <v>0</v>
          </cell>
        </row>
      </sheetData>
      <sheetData sheetId="5778">
        <row r="4">
          <cell r="I4">
            <v>0</v>
          </cell>
        </row>
      </sheetData>
      <sheetData sheetId="5779">
        <row r="4">
          <cell r="I4">
            <v>0</v>
          </cell>
        </row>
      </sheetData>
      <sheetData sheetId="5780">
        <row r="4">
          <cell r="I4">
            <v>0</v>
          </cell>
        </row>
      </sheetData>
      <sheetData sheetId="5781">
        <row r="4">
          <cell r="I4">
            <v>0</v>
          </cell>
        </row>
      </sheetData>
      <sheetData sheetId="5782">
        <row r="4">
          <cell r="I4">
            <v>0</v>
          </cell>
        </row>
      </sheetData>
      <sheetData sheetId="5783">
        <row r="4">
          <cell r="I4">
            <v>0</v>
          </cell>
        </row>
      </sheetData>
      <sheetData sheetId="5784">
        <row r="4">
          <cell r="I4">
            <v>0</v>
          </cell>
        </row>
      </sheetData>
      <sheetData sheetId="5785">
        <row r="4">
          <cell r="I4">
            <v>0</v>
          </cell>
        </row>
      </sheetData>
      <sheetData sheetId="5786">
        <row r="4">
          <cell r="I4">
            <v>0</v>
          </cell>
        </row>
      </sheetData>
      <sheetData sheetId="5787">
        <row r="4">
          <cell r="I4">
            <v>0</v>
          </cell>
        </row>
      </sheetData>
      <sheetData sheetId="5788">
        <row r="4">
          <cell r="I4">
            <v>0</v>
          </cell>
        </row>
      </sheetData>
      <sheetData sheetId="5789">
        <row r="4">
          <cell r="I4">
            <v>0</v>
          </cell>
        </row>
      </sheetData>
      <sheetData sheetId="5790">
        <row r="4">
          <cell r="I4">
            <v>0</v>
          </cell>
        </row>
      </sheetData>
      <sheetData sheetId="5791">
        <row r="4">
          <cell r="I4">
            <v>0</v>
          </cell>
        </row>
      </sheetData>
      <sheetData sheetId="5792">
        <row r="4">
          <cell r="I4">
            <v>0</v>
          </cell>
        </row>
      </sheetData>
      <sheetData sheetId="5793">
        <row r="4">
          <cell r="I4">
            <v>0</v>
          </cell>
        </row>
      </sheetData>
      <sheetData sheetId="5794">
        <row r="4">
          <cell r="I4">
            <v>0</v>
          </cell>
        </row>
      </sheetData>
      <sheetData sheetId="5795">
        <row r="4">
          <cell r="I4">
            <v>0</v>
          </cell>
        </row>
      </sheetData>
      <sheetData sheetId="5796">
        <row r="4">
          <cell r="I4">
            <v>0</v>
          </cell>
        </row>
      </sheetData>
      <sheetData sheetId="5797">
        <row r="4">
          <cell r="I4">
            <v>0</v>
          </cell>
        </row>
      </sheetData>
      <sheetData sheetId="5798">
        <row r="4">
          <cell r="I4">
            <v>0</v>
          </cell>
        </row>
      </sheetData>
      <sheetData sheetId="5799">
        <row r="4">
          <cell r="I4">
            <v>0</v>
          </cell>
        </row>
      </sheetData>
      <sheetData sheetId="5800">
        <row r="4">
          <cell r="I4">
            <v>0</v>
          </cell>
        </row>
      </sheetData>
      <sheetData sheetId="5801">
        <row r="4">
          <cell r="I4">
            <v>0</v>
          </cell>
        </row>
      </sheetData>
      <sheetData sheetId="5802">
        <row r="4">
          <cell r="I4">
            <v>0</v>
          </cell>
        </row>
      </sheetData>
      <sheetData sheetId="5803">
        <row r="4">
          <cell r="I4">
            <v>0</v>
          </cell>
        </row>
      </sheetData>
      <sheetData sheetId="5804">
        <row r="4">
          <cell r="I4">
            <v>0</v>
          </cell>
        </row>
      </sheetData>
      <sheetData sheetId="5805">
        <row r="4">
          <cell r="I4">
            <v>0</v>
          </cell>
        </row>
      </sheetData>
      <sheetData sheetId="5806">
        <row r="4">
          <cell r="I4">
            <v>0</v>
          </cell>
        </row>
      </sheetData>
      <sheetData sheetId="5807">
        <row r="4">
          <cell r="I4">
            <v>0</v>
          </cell>
        </row>
      </sheetData>
      <sheetData sheetId="5808">
        <row r="4">
          <cell r="I4">
            <v>0</v>
          </cell>
        </row>
      </sheetData>
      <sheetData sheetId="5809">
        <row r="4">
          <cell r="I4">
            <v>0</v>
          </cell>
        </row>
      </sheetData>
      <sheetData sheetId="5810">
        <row r="4">
          <cell r="I4">
            <v>0</v>
          </cell>
        </row>
      </sheetData>
      <sheetData sheetId="5811">
        <row r="4">
          <cell r="I4">
            <v>0</v>
          </cell>
        </row>
      </sheetData>
      <sheetData sheetId="5812">
        <row r="4">
          <cell r="I4">
            <v>0</v>
          </cell>
        </row>
      </sheetData>
      <sheetData sheetId="5813">
        <row r="4">
          <cell r="I4">
            <v>0</v>
          </cell>
        </row>
      </sheetData>
      <sheetData sheetId="5814">
        <row r="4">
          <cell r="I4">
            <v>0</v>
          </cell>
        </row>
      </sheetData>
      <sheetData sheetId="5815">
        <row r="4">
          <cell r="I4">
            <v>0</v>
          </cell>
        </row>
      </sheetData>
      <sheetData sheetId="5816">
        <row r="4">
          <cell r="I4">
            <v>0</v>
          </cell>
        </row>
      </sheetData>
      <sheetData sheetId="5817">
        <row r="4">
          <cell r="I4">
            <v>0</v>
          </cell>
        </row>
      </sheetData>
      <sheetData sheetId="5818">
        <row r="4">
          <cell r="I4">
            <v>0</v>
          </cell>
        </row>
      </sheetData>
      <sheetData sheetId="5819">
        <row r="4">
          <cell r="I4">
            <v>0</v>
          </cell>
        </row>
      </sheetData>
      <sheetData sheetId="5820">
        <row r="4">
          <cell r="I4">
            <v>0</v>
          </cell>
        </row>
      </sheetData>
      <sheetData sheetId="5821">
        <row r="4">
          <cell r="I4">
            <v>0</v>
          </cell>
        </row>
      </sheetData>
      <sheetData sheetId="5822">
        <row r="4">
          <cell r="I4">
            <v>0</v>
          </cell>
        </row>
      </sheetData>
      <sheetData sheetId="5823" refreshError="1"/>
      <sheetData sheetId="5824">
        <row r="4">
          <cell r="I4">
            <v>0</v>
          </cell>
        </row>
      </sheetData>
      <sheetData sheetId="5825">
        <row r="4">
          <cell r="I4">
            <v>0</v>
          </cell>
        </row>
      </sheetData>
      <sheetData sheetId="5826">
        <row r="4">
          <cell r="I4">
            <v>0</v>
          </cell>
        </row>
      </sheetData>
      <sheetData sheetId="5827">
        <row r="4">
          <cell r="I4">
            <v>0</v>
          </cell>
        </row>
      </sheetData>
      <sheetData sheetId="5828">
        <row r="4">
          <cell r="I4">
            <v>0</v>
          </cell>
        </row>
      </sheetData>
      <sheetData sheetId="5829">
        <row r="4">
          <cell r="I4">
            <v>0</v>
          </cell>
        </row>
      </sheetData>
      <sheetData sheetId="5830">
        <row r="4">
          <cell r="I4">
            <v>0</v>
          </cell>
        </row>
      </sheetData>
      <sheetData sheetId="5831">
        <row r="4">
          <cell r="I4">
            <v>0</v>
          </cell>
        </row>
      </sheetData>
      <sheetData sheetId="5832">
        <row r="4">
          <cell r="I4">
            <v>0</v>
          </cell>
        </row>
      </sheetData>
      <sheetData sheetId="5833">
        <row r="4">
          <cell r="I4">
            <v>0</v>
          </cell>
        </row>
      </sheetData>
      <sheetData sheetId="5834">
        <row r="4">
          <cell r="I4">
            <v>0</v>
          </cell>
        </row>
      </sheetData>
      <sheetData sheetId="5835">
        <row r="4">
          <cell r="I4">
            <v>0</v>
          </cell>
        </row>
      </sheetData>
      <sheetData sheetId="5836">
        <row r="4">
          <cell r="I4">
            <v>0</v>
          </cell>
        </row>
      </sheetData>
      <sheetData sheetId="5837">
        <row r="4">
          <cell r="I4">
            <v>0</v>
          </cell>
        </row>
      </sheetData>
      <sheetData sheetId="5838">
        <row r="4">
          <cell r="I4">
            <v>0</v>
          </cell>
        </row>
      </sheetData>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ow r="4">
          <cell r="I4">
            <v>0</v>
          </cell>
        </row>
      </sheetData>
      <sheetData sheetId="5849">
        <row r="4">
          <cell r="I4">
            <v>0</v>
          </cell>
        </row>
      </sheetData>
      <sheetData sheetId="5850">
        <row r="4">
          <cell r="I4">
            <v>0</v>
          </cell>
        </row>
      </sheetData>
      <sheetData sheetId="5851">
        <row r="4">
          <cell r="I4">
            <v>0</v>
          </cell>
        </row>
      </sheetData>
      <sheetData sheetId="5852">
        <row r="4">
          <cell r="I4">
            <v>0</v>
          </cell>
        </row>
      </sheetData>
      <sheetData sheetId="5853">
        <row r="4">
          <cell r="I4">
            <v>0</v>
          </cell>
        </row>
      </sheetData>
      <sheetData sheetId="5854">
        <row r="4">
          <cell r="I4">
            <v>0</v>
          </cell>
        </row>
      </sheetData>
      <sheetData sheetId="5855">
        <row r="4">
          <cell r="I4">
            <v>0</v>
          </cell>
        </row>
      </sheetData>
      <sheetData sheetId="5856">
        <row r="4">
          <cell r="I4">
            <v>0</v>
          </cell>
        </row>
      </sheetData>
      <sheetData sheetId="5857">
        <row r="4">
          <cell r="I4">
            <v>0</v>
          </cell>
        </row>
      </sheetData>
      <sheetData sheetId="5858">
        <row r="4">
          <cell r="I4">
            <v>0</v>
          </cell>
        </row>
      </sheetData>
      <sheetData sheetId="5859">
        <row r="4">
          <cell r="I4">
            <v>0</v>
          </cell>
        </row>
      </sheetData>
      <sheetData sheetId="5860">
        <row r="4">
          <cell r="I4">
            <v>0</v>
          </cell>
        </row>
      </sheetData>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ow r="4">
          <cell r="I4">
            <v>0</v>
          </cell>
        </row>
      </sheetData>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ow r="4">
          <cell r="I4">
            <v>0</v>
          </cell>
        </row>
      </sheetData>
      <sheetData sheetId="5886" refreshError="1"/>
      <sheetData sheetId="5887" refreshError="1"/>
      <sheetData sheetId="5888" refreshError="1"/>
      <sheetData sheetId="5889">
        <row r="4">
          <cell r="I4">
            <v>0</v>
          </cell>
        </row>
      </sheetData>
      <sheetData sheetId="5890" refreshError="1"/>
      <sheetData sheetId="5891">
        <row r="4">
          <cell r="I4">
            <v>0</v>
          </cell>
        </row>
      </sheetData>
      <sheetData sheetId="5892">
        <row r="4">
          <cell r="I4">
            <v>0</v>
          </cell>
        </row>
      </sheetData>
      <sheetData sheetId="5893">
        <row r="4">
          <cell r="I4">
            <v>0</v>
          </cell>
        </row>
      </sheetData>
      <sheetData sheetId="5894">
        <row r="4">
          <cell r="I4">
            <v>0</v>
          </cell>
        </row>
      </sheetData>
      <sheetData sheetId="5895">
        <row r="4">
          <cell r="I4">
            <v>0</v>
          </cell>
        </row>
      </sheetData>
      <sheetData sheetId="5896">
        <row r="4">
          <cell r="I4">
            <v>0</v>
          </cell>
        </row>
      </sheetData>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ow r="4">
          <cell r="I4">
            <v>0</v>
          </cell>
        </row>
      </sheetData>
      <sheetData sheetId="5908">
        <row r="4">
          <cell r="I4">
            <v>0</v>
          </cell>
        </row>
      </sheetData>
      <sheetData sheetId="5909">
        <row r="4">
          <cell r="I4">
            <v>0</v>
          </cell>
        </row>
      </sheetData>
      <sheetData sheetId="5910">
        <row r="4">
          <cell r="I4">
            <v>0</v>
          </cell>
        </row>
      </sheetData>
      <sheetData sheetId="5911">
        <row r="4">
          <cell r="I4">
            <v>0</v>
          </cell>
        </row>
      </sheetData>
      <sheetData sheetId="5912">
        <row r="4">
          <cell r="I4">
            <v>0</v>
          </cell>
        </row>
      </sheetData>
      <sheetData sheetId="5913">
        <row r="4">
          <cell r="I4">
            <v>0</v>
          </cell>
        </row>
      </sheetData>
      <sheetData sheetId="5914">
        <row r="4">
          <cell r="I4">
            <v>0</v>
          </cell>
        </row>
      </sheetData>
      <sheetData sheetId="5915">
        <row r="4">
          <cell r="I4">
            <v>0</v>
          </cell>
        </row>
      </sheetData>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4">
          <cell r="I4">
            <v>0</v>
          </cell>
        </row>
      </sheetData>
      <sheetData sheetId="5934">
        <row r="4">
          <cell r="I4">
            <v>0</v>
          </cell>
        </row>
      </sheetData>
      <sheetData sheetId="5935">
        <row r="4">
          <cell r="I4">
            <v>0</v>
          </cell>
        </row>
      </sheetData>
      <sheetData sheetId="5936">
        <row r="4">
          <cell r="I4">
            <v>0</v>
          </cell>
        </row>
      </sheetData>
      <sheetData sheetId="5937">
        <row r="4">
          <cell r="I4">
            <v>0</v>
          </cell>
        </row>
      </sheetData>
      <sheetData sheetId="5938">
        <row r="4">
          <cell r="I4">
            <v>0</v>
          </cell>
        </row>
      </sheetData>
      <sheetData sheetId="5939">
        <row r="4">
          <cell r="I4">
            <v>0</v>
          </cell>
        </row>
      </sheetData>
      <sheetData sheetId="5940">
        <row r="4">
          <cell r="I4">
            <v>0</v>
          </cell>
        </row>
      </sheetData>
      <sheetData sheetId="5941">
        <row r="4">
          <cell r="I4">
            <v>0</v>
          </cell>
        </row>
      </sheetData>
      <sheetData sheetId="5942">
        <row r="4">
          <cell r="I4">
            <v>0</v>
          </cell>
        </row>
      </sheetData>
      <sheetData sheetId="5943">
        <row r="4">
          <cell r="I4">
            <v>0</v>
          </cell>
        </row>
      </sheetData>
      <sheetData sheetId="5944">
        <row r="4">
          <cell r="I4">
            <v>0</v>
          </cell>
        </row>
      </sheetData>
      <sheetData sheetId="5945">
        <row r="4">
          <cell r="I4">
            <v>0</v>
          </cell>
        </row>
      </sheetData>
      <sheetData sheetId="5946" refreshError="1"/>
      <sheetData sheetId="5947" refreshError="1"/>
      <sheetData sheetId="5948" refreshError="1"/>
      <sheetData sheetId="5949">
        <row r="4">
          <cell r="I4">
            <v>0</v>
          </cell>
        </row>
      </sheetData>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ow r="4">
          <cell r="I4">
            <v>0</v>
          </cell>
        </row>
      </sheetData>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ow r="4">
          <cell r="I4">
            <v>0</v>
          </cell>
        </row>
      </sheetData>
      <sheetData sheetId="6007">
        <row r="4">
          <cell r="I4">
            <v>0</v>
          </cell>
        </row>
      </sheetData>
      <sheetData sheetId="6008">
        <row r="4">
          <cell r="I4">
            <v>0</v>
          </cell>
        </row>
      </sheetData>
      <sheetData sheetId="6009">
        <row r="4">
          <cell r="I4">
            <v>0</v>
          </cell>
        </row>
      </sheetData>
      <sheetData sheetId="6010">
        <row r="4">
          <cell r="I4">
            <v>0</v>
          </cell>
        </row>
      </sheetData>
      <sheetData sheetId="6011">
        <row r="4">
          <cell r="I4">
            <v>0</v>
          </cell>
        </row>
      </sheetData>
      <sheetData sheetId="6012">
        <row r="4">
          <cell r="I4">
            <v>0</v>
          </cell>
        </row>
      </sheetData>
      <sheetData sheetId="6013">
        <row r="4">
          <cell r="I4">
            <v>0</v>
          </cell>
        </row>
      </sheetData>
      <sheetData sheetId="6014">
        <row r="4">
          <cell r="I4">
            <v>0</v>
          </cell>
        </row>
      </sheetData>
      <sheetData sheetId="6015">
        <row r="4">
          <cell r="I4">
            <v>0</v>
          </cell>
        </row>
      </sheetData>
      <sheetData sheetId="6016">
        <row r="4">
          <cell r="I4">
            <v>0</v>
          </cell>
        </row>
      </sheetData>
      <sheetData sheetId="6017">
        <row r="4">
          <cell r="I4">
            <v>0</v>
          </cell>
        </row>
      </sheetData>
      <sheetData sheetId="6018">
        <row r="4">
          <cell r="I4">
            <v>0</v>
          </cell>
        </row>
      </sheetData>
      <sheetData sheetId="6019">
        <row r="4">
          <cell r="I4">
            <v>0</v>
          </cell>
        </row>
      </sheetData>
      <sheetData sheetId="6020">
        <row r="4">
          <cell r="I4">
            <v>0</v>
          </cell>
        </row>
      </sheetData>
      <sheetData sheetId="6021">
        <row r="4">
          <cell r="I4">
            <v>0</v>
          </cell>
        </row>
      </sheetData>
      <sheetData sheetId="6022">
        <row r="4">
          <cell r="I4">
            <v>0</v>
          </cell>
        </row>
      </sheetData>
      <sheetData sheetId="6023">
        <row r="4">
          <cell r="I4">
            <v>0</v>
          </cell>
        </row>
      </sheetData>
      <sheetData sheetId="6024" refreshError="1"/>
      <sheetData sheetId="6025">
        <row r="4">
          <cell r="I4">
            <v>0</v>
          </cell>
        </row>
      </sheetData>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ow r="4">
          <cell r="I4">
            <v>0</v>
          </cell>
        </row>
      </sheetData>
      <sheetData sheetId="6048">
        <row r="4">
          <cell r="I4">
            <v>0</v>
          </cell>
        </row>
      </sheetData>
      <sheetData sheetId="6049">
        <row r="4">
          <cell r="I4">
            <v>0</v>
          </cell>
        </row>
      </sheetData>
      <sheetData sheetId="6050">
        <row r="4">
          <cell r="I4">
            <v>0</v>
          </cell>
        </row>
      </sheetData>
      <sheetData sheetId="6051">
        <row r="4">
          <cell r="I4">
            <v>0</v>
          </cell>
        </row>
      </sheetData>
      <sheetData sheetId="6052">
        <row r="4">
          <cell r="I4">
            <v>0</v>
          </cell>
        </row>
      </sheetData>
      <sheetData sheetId="6053">
        <row r="4">
          <cell r="I4">
            <v>0</v>
          </cell>
        </row>
      </sheetData>
      <sheetData sheetId="6054">
        <row r="4">
          <cell r="I4">
            <v>0</v>
          </cell>
        </row>
      </sheetData>
      <sheetData sheetId="6055">
        <row r="4">
          <cell r="I4">
            <v>0</v>
          </cell>
        </row>
      </sheetData>
      <sheetData sheetId="6056">
        <row r="4">
          <cell r="I4">
            <v>0</v>
          </cell>
        </row>
      </sheetData>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ow r="4">
          <cell r="I4">
            <v>0</v>
          </cell>
        </row>
      </sheetData>
      <sheetData sheetId="6073">
        <row r="4">
          <cell r="I4">
            <v>0</v>
          </cell>
        </row>
      </sheetData>
      <sheetData sheetId="6074">
        <row r="4">
          <cell r="I4">
            <v>0</v>
          </cell>
        </row>
      </sheetData>
      <sheetData sheetId="6075" refreshError="1"/>
      <sheetData sheetId="6076">
        <row r="4">
          <cell r="I4">
            <v>0</v>
          </cell>
        </row>
      </sheetData>
      <sheetData sheetId="6077">
        <row r="4">
          <cell r="I4">
            <v>0</v>
          </cell>
        </row>
      </sheetData>
      <sheetData sheetId="6078">
        <row r="4">
          <cell r="I4">
            <v>0</v>
          </cell>
        </row>
      </sheetData>
      <sheetData sheetId="6079" refreshError="1"/>
      <sheetData sheetId="6080">
        <row r="4">
          <cell r="I4">
            <v>0</v>
          </cell>
        </row>
      </sheetData>
      <sheetData sheetId="6081">
        <row r="4">
          <cell r="I4">
            <v>0</v>
          </cell>
        </row>
      </sheetData>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ow r="4">
          <cell r="I4">
            <v>0</v>
          </cell>
        </row>
      </sheetData>
      <sheetData sheetId="6095">
        <row r="4">
          <cell r="I4">
            <v>0</v>
          </cell>
        </row>
      </sheetData>
      <sheetData sheetId="6096">
        <row r="4">
          <cell r="I4">
            <v>0</v>
          </cell>
        </row>
      </sheetData>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ow r="4">
          <cell r="I4">
            <v>0</v>
          </cell>
        </row>
      </sheetData>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sheetData sheetId="6210" refreshError="1"/>
      <sheetData sheetId="6211" refreshError="1"/>
      <sheetData sheetId="6212">
        <row r="4">
          <cell r="I4">
            <v>0</v>
          </cell>
        </row>
      </sheetData>
      <sheetData sheetId="6213">
        <row r="4">
          <cell r="I4">
            <v>0</v>
          </cell>
        </row>
      </sheetData>
      <sheetData sheetId="6214">
        <row r="4">
          <cell r="I4">
            <v>0</v>
          </cell>
        </row>
      </sheetData>
      <sheetData sheetId="6215">
        <row r="4">
          <cell r="I4">
            <v>0</v>
          </cell>
        </row>
      </sheetData>
      <sheetData sheetId="6216">
        <row r="4">
          <cell r="I4">
            <v>0</v>
          </cell>
        </row>
      </sheetData>
      <sheetData sheetId="6217">
        <row r="4">
          <cell r="I4">
            <v>0</v>
          </cell>
        </row>
      </sheetData>
      <sheetData sheetId="6218">
        <row r="4">
          <cell r="I4">
            <v>0</v>
          </cell>
        </row>
      </sheetData>
      <sheetData sheetId="6219">
        <row r="4">
          <cell r="I4">
            <v>0</v>
          </cell>
        </row>
      </sheetData>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ow r="4">
          <cell r="I4">
            <v>0</v>
          </cell>
        </row>
      </sheetData>
      <sheetData sheetId="6481">
        <row r="4">
          <cell r="I4">
            <v>0</v>
          </cell>
        </row>
      </sheetData>
      <sheetData sheetId="6482">
        <row r="4">
          <cell r="I4">
            <v>0</v>
          </cell>
        </row>
      </sheetData>
      <sheetData sheetId="6483">
        <row r="4">
          <cell r="I4">
            <v>0</v>
          </cell>
        </row>
      </sheetData>
      <sheetData sheetId="6484">
        <row r="4">
          <cell r="I4">
            <v>0</v>
          </cell>
        </row>
      </sheetData>
      <sheetData sheetId="6485">
        <row r="4">
          <cell r="I4">
            <v>0</v>
          </cell>
        </row>
      </sheetData>
      <sheetData sheetId="6486">
        <row r="4">
          <cell r="I4">
            <v>0</v>
          </cell>
        </row>
      </sheetData>
      <sheetData sheetId="6487">
        <row r="4">
          <cell r="I4">
            <v>0</v>
          </cell>
        </row>
      </sheetData>
      <sheetData sheetId="6488">
        <row r="4">
          <cell r="I4">
            <v>0</v>
          </cell>
        </row>
      </sheetData>
      <sheetData sheetId="6489">
        <row r="4">
          <cell r="I4">
            <v>0</v>
          </cell>
        </row>
      </sheetData>
      <sheetData sheetId="6490">
        <row r="4">
          <cell r="I4">
            <v>0</v>
          </cell>
        </row>
      </sheetData>
      <sheetData sheetId="6491">
        <row r="4">
          <cell r="I4">
            <v>0</v>
          </cell>
        </row>
      </sheetData>
      <sheetData sheetId="6492">
        <row r="4">
          <cell r="I4">
            <v>0</v>
          </cell>
        </row>
      </sheetData>
      <sheetData sheetId="6493">
        <row r="4">
          <cell r="I4">
            <v>0</v>
          </cell>
        </row>
      </sheetData>
      <sheetData sheetId="6494">
        <row r="4">
          <cell r="I4">
            <v>0</v>
          </cell>
        </row>
      </sheetData>
      <sheetData sheetId="6495">
        <row r="4">
          <cell r="I4">
            <v>0</v>
          </cell>
        </row>
      </sheetData>
      <sheetData sheetId="6496">
        <row r="4">
          <cell r="I4">
            <v>0</v>
          </cell>
        </row>
      </sheetData>
      <sheetData sheetId="6497">
        <row r="4">
          <cell r="I4">
            <v>0</v>
          </cell>
        </row>
      </sheetData>
      <sheetData sheetId="6498">
        <row r="4">
          <cell r="I4">
            <v>0</v>
          </cell>
        </row>
      </sheetData>
      <sheetData sheetId="6499">
        <row r="4">
          <cell r="I4">
            <v>0</v>
          </cell>
        </row>
      </sheetData>
      <sheetData sheetId="6500">
        <row r="4">
          <cell r="I4">
            <v>0</v>
          </cell>
        </row>
      </sheetData>
      <sheetData sheetId="6501">
        <row r="4">
          <cell r="I4">
            <v>0</v>
          </cell>
        </row>
      </sheetData>
      <sheetData sheetId="6502">
        <row r="4">
          <cell r="I4">
            <v>0</v>
          </cell>
        </row>
      </sheetData>
      <sheetData sheetId="6503">
        <row r="4">
          <cell r="I4">
            <v>0</v>
          </cell>
        </row>
      </sheetData>
      <sheetData sheetId="6504">
        <row r="4">
          <cell r="I4">
            <v>0</v>
          </cell>
        </row>
      </sheetData>
      <sheetData sheetId="6505">
        <row r="4">
          <cell r="I4">
            <v>0</v>
          </cell>
        </row>
      </sheetData>
      <sheetData sheetId="6506">
        <row r="4">
          <cell r="I4">
            <v>0</v>
          </cell>
        </row>
      </sheetData>
      <sheetData sheetId="6507">
        <row r="4">
          <cell r="I4">
            <v>0</v>
          </cell>
        </row>
      </sheetData>
      <sheetData sheetId="6508">
        <row r="4">
          <cell r="I4">
            <v>0</v>
          </cell>
        </row>
      </sheetData>
      <sheetData sheetId="6509">
        <row r="4">
          <cell r="I4">
            <v>0</v>
          </cell>
        </row>
      </sheetData>
      <sheetData sheetId="6510">
        <row r="4">
          <cell r="I4">
            <v>0</v>
          </cell>
        </row>
      </sheetData>
      <sheetData sheetId="6511">
        <row r="4">
          <cell r="I4">
            <v>0</v>
          </cell>
        </row>
      </sheetData>
      <sheetData sheetId="6512">
        <row r="4">
          <cell r="I4">
            <v>0</v>
          </cell>
        </row>
      </sheetData>
      <sheetData sheetId="6513">
        <row r="4">
          <cell r="I4">
            <v>0</v>
          </cell>
        </row>
      </sheetData>
      <sheetData sheetId="6514">
        <row r="4">
          <cell r="I4">
            <v>0</v>
          </cell>
        </row>
      </sheetData>
      <sheetData sheetId="6515">
        <row r="4">
          <cell r="I4">
            <v>0</v>
          </cell>
        </row>
      </sheetData>
      <sheetData sheetId="6516">
        <row r="4">
          <cell r="I4">
            <v>0</v>
          </cell>
        </row>
      </sheetData>
      <sheetData sheetId="6517">
        <row r="4">
          <cell r="I4">
            <v>0</v>
          </cell>
        </row>
      </sheetData>
      <sheetData sheetId="6518">
        <row r="4">
          <cell r="I4">
            <v>0</v>
          </cell>
        </row>
      </sheetData>
      <sheetData sheetId="6519">
        <row r="4">
          <cell r="I4">
            <v>0</v>
          </cell>
        </row>
      </sheetData>
      <sheetData sheetId="6520">
        <row r="4">
          <cell r="I4">
            <v>0</v>
          </cell>
        </row>
      </sheetData>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ow r="4">
          <cell r="I4">
            <v>0</v>
          </cell>
        </row>
      </sheetData>
      <sheetData sheetId="6541">
        <row r="4">
          <cell r="I4">
            <v>0</v>
          </cell>
        </row>
      </sheetData>
      <sheetData sheetId="6542">
        <row r="4">
          <cell r="I4">
            <v>0</v>
          </cell>
        </row>
      </sheetData>
      <sheetData sheetId="6543" refreshError="1"/>
      <sheetData sheetId="6544">
        <row r="4">
          <cell r="I4">
            <v>0</v>
          </cell>
        </row>
      </sheetData>
      <sheetData sheetId="6545">
        <row r="4">
          <cell r="I4">
            <v>0</v>
          </cell>
        </row>
      </sheetData>
      <sheetData sheetId="6546">
        <row r="4">
          <cell r="I4">
            <v>0</v>
          </cell>
        </row>
      </sheetData>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ow r="4">
          <cell r="I4">
            <v>0</v>
          </cell>
        </row>
      </sheetData>
      <sheetData sheetId="6560">
        <row r="4">
          <cell r="I4">
            <v>0</v>
          </cell>
        </row>
      </sheetData>
      <sheetData sheetId="6561">
        <row r="4">
          <cell r="I4">
            <v>0</v>
          </cell>
        </row>
      </sheetData>
      <sheetData sheetId="6562">
        <row r="4">
          <cell r="I4">
            <v>0</v>
          </cell>
        </row>
      </sheetData>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ow r="4">
          <cell r="I4">
            <v>0</v>
          </cell>
        </row>
      </sheetData>
      <sheetData sheetId="6592">
        <row r="4">
          <cell r="I4">
            <v>0</v>
          </cell>
        </row>
      </sheetData>
      <sheetData sheetId="6593">
        <row r="4">
          <cell r="I4">
            <v>0</v>
          </cell>
        </row>
      </sheetData>
      <sheetData sheetId="6594">
        <row r="4">
          <cell r="I4">
            <v>0</v>
          </cell>
        </row>
      </sheetData>
      <sheetData sheetId="6595">
        <row r="4">
          <cell r="I4">
            <v>0</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ow r="4">
          <cell r="I4">
            <v>0</v>
          </cell>
        </row>
      </sheetData>
      <sheetData sheetId="6616">
        <row r="4">
          <cell r="I4">
            <v>0</v>
          </cell>
        </row>
      </sheetData>
      <sheetData sheetId="6617">
        <row r="4">
          <cell r="I4">
            <v>0</v>
          </cell>
        </row>
      </sheetData>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ow r="4">
          <cell r="I4">
            <v>0</v>
          </cell>
        </row>
      </sheetData>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4">
          <cell r="I4">
            <v>0</v>
          </cell>
        </row>
      </sheetData>
      <sheetData sheetId="6638">
        <row r="4">
          <cell r="I4">
            <v>0</v>
          </cell>
        </row>
      </sheetData>
      <sheetData sheetId="6639">
        <row r="4">
          <cell r="I4">
            <v>0</v>
          </cell>
        </row>
      </sheetData>
      <sheetData sheetId="6640">
        <row r="4">
          <cell r="I4">
            <v>0</v>
          </cell>
        </row>
      </sheetData>
      <sheetData sheetId="6641">
        <row r="4">
          <cell r="I4">
            <v>0</v>
          </cell>
        </row>
      </sheetData>
      <sheetData sheetId="6642">
        <row r="4">
          <cell r="I4">
            <v>0</v>
          </cell>
        </row>
      </sheetData>
      <sheetData sheetId="6643">
        <row r="4">
          <cell r="I4">
            <v>0</v>
          </cell>
        </row>
      </sheetData>
      <sheetData sheetId="6644">
        <row r="4">
          <cell r="I4">
            <v>0</v>
          </cell>
        </row>
      </sheetData>
      <sheetData sheetId="6645">
        <row r="4">
          <cell r="I4">
            <v>0</v>
          </cell>
        </row>
      </sheetData>
      <sheetData sheetId="6646">
        <row r="4">
          <cell r="I4">
            <v>0</v>
          </cell>
        </row>
      </sheetData>
      <sheetData sheetId="6647">
        <row r="4">
          <cell r="I4">
            <v>0</v>
          </cell>
        </row>
      </sheetData>
      <sheetData sheetId="6648">
        <row r="4">
          <cell r="I4">
            <v>0</v>
          </cell>
        </row>
      </sheetData>
      <sheetData sheetId="6649">
        <row r="4">
          <cell r="I4">
            <v>0</v>
          </cell>
        </row>
      </sheetData>
      <sheetData sheetId="6650">
        <row r="4">
          <cell r="I4">
            <v>0</v>
          </cell>
        </row>
      </sheetData>
      <sheetData sheetId="6651">
        <row r="4">
          <cell r="I4">
            <v>0</v>
          </cell>
        </row>
      </sheetData>
      <sheetData sheetId="6652">
        <row r="4">
          <cell r="I4">
            <v>0</v>
          </cell>
        </row>
      </sheetData>
      <sheetData sheetId="6653">
        <row r="4">
          <cell r="I4">
            <v>0</v>
          </cell>
        </row>
      </sheetData>
      <sheetData sheetId="6654">
        <row r="4">
          <cell r="I4">
            <v>0</v>
          </cell>
        </row>
      </sheetData>
      <sheetData sheetId="6655">
        <row r="4">
          <cell r="I4">
            <v>0</v>
          </cell>
        </row>
      </sheetData>
      <sheetData sheetId="6656">
        <row r="4">
          <cell r="I4">
            <v>0</v>
          </cell>
        </row>
      </sheetData>
      <sheetData sheetId="6657">
        <row r="4">
          <cell r="I4">
            <v>0</v>
          </cell>
        </row>
      </sheetData>
      <sheetData sheetId="6658">
        <row r="4">
          <cell r="I4">
            <v>0</v>
          </cell>
        </row>
      </sheetData>
      <sheetData sheetId="6659">
        <row r="4">
          <cell r="I4">
            <v>0</v>
          </cell>
        </row>
      </sheetData>
      <sheetData sheetId="6660">
        <row r="4">
          <cell r="I4">
            <v>0</v>
          </cell>
        </row>
      </sheetData>
      <sheetData sheetId="6661">
        <row r="4">
          <cell r="I4">
            <v>0</v>
          </cell>
        </row>
      </sheetData>
      <sheetData sheetId="6662">
        <row r="4">
          <cell r="I4">
            <v>0</v>
          </cell>
        </row>
      </sheetData>
      <sheetData sheetId="6663">
        <row r="4">
          <cell r="I4">
            <v>0</v>
          </cell>
        </row>
      </sheetData>
      <sheetData sheetId="6664">
        <row r="4">
          <cell r="I4">
            <v>0</v>
          </cell>
        </row>
      </sheetData>
      <sheetData sheetId="6665">
        <row r="4">
          <cell r="I4">
            <v>0</v>
          </cell>
        </row>
      </sheetData>
      <sheetData sheetId="6666">
        <row r="4">
          <cell r="I4">
            <v>0</v>
          </cell>
        </row>
      </sheetData>
      <sheetData sheetId="6667">
        <row r="4">
          <cell r="I4">
            <v>0</v>
          </cell>
        </row>
      </sheetData>
      <sheetData sheetId="6668">
        <row r="4">
          <cell r="I4">
            <v>0</v>
          </cell>
        </row>
      </sheetData>
      <sheetData sheetId="6669">
        <row r="4">
          <cell r="I4">
            <v>0</v>
          </cell>
        </row>
      </sheetData>
      <sheetData sheetId="6670">
        <row r="4">
          <cell r="I4">
            <v>0</v>
          </cell>
        </row>
      </sheetData>
      <sheetData sheetId="6671">
        <row r="4">
          <cell r="I4">
            <v>0</v>
          </cell>
        </row>
      </sheetData>
      <sheetData sheetId="6672">
        <row r="4">
          <cell r="I4">
            <v>0</v>
          </cell>
        </row>
      </sheetData>
      <sheetData sheetId="6673">
        <row r="4">
          <cell r="I4">
            <v>0</v>
          </cell>
        </row>
      </sheetData>
      <sheetData sheetId="6674">
        <row r="4">
          <cell r="I4">
            <v>0</v>
          </cell>
        </row>
      </sheetData>
      <sheetData sheetId="6675">
        <row r="4">
          <cell r="I4">
            <v>0</v>
          </cell>
        </row>
      </sheetData>
      <sheetData sheetId="6676">
        <row r="4">
          <cell r="I4">
            <v>0</v>
          </cell>
        </row>
      </sheetData>
      <sheetData sheetId="6677">
        <row r="4">
          <cell r="I4">
            <v>0</v>
          </cell>
        </row>
      </sheetData>
      <sheetData sheetId="6678">
        <row r="4">
          <cell r="I4">
            <v>0</v>
          </cell>
        </row>
      </sheetData>
      <sheetData sheetId="6679">
        <row r="4">
          <cell r="I4">
            <v>0</v>
          </cell>
        </row>
      </sheetData>
      <sheetData sheetId="6680">
        <row r="4">
          <cell r="I4">
            <v>0</v>
          </cell>
        </row>
      </sheetData>
      <sheetData sheetId="6681">
        <row r="4">
          <cell r="I4">
            <v>0</v>
          </cell>
        </row>
      </sheetData>
      <sheetData sheetId="6682">
        <row r="4">
          <cell r="I4">
            <v>0</v>
          </cell>
        </row>
      </sheetData>
      <sheetData sheetId="6683">
        <row r="4">
          <cell r="I4">
            <v>0</v>
          </cell>
        </row>
      </sheetData>
      <sheetData sheetId="6684">
        <row r="4">
          <cell r="I4">
            <v>0</v>
          </cell>
        </row>
      </sheetData>
      <sheetData sheetId="6685">
        <row r="4">
          <cell r="I4">
            <v>0</v>
          </cell>
        </row>
      </sheetData>
      <sheetData sheetId="6686">
        <row r="4">
          <cell r="I4">
            <v>0</v>
          </cell>
        </row>
      </sheetData>
      <sheetData sheetId="6687">
        <row r="4">
          <cell r="I4">
            <v>0</v>
          </cell>
        </row>
      </sheetData>
      <sheetData sheetId="6688">
        <row r="4">
          <cell r="I4">
            <v>0</v>
          </cell>
        </row>
      </sheetData>
      <sheetData sheetId="6689">
        <row r="4">
          <cell r="I4">
            <v>0</v>
          </cell>
        </row>
      </sheetData>
      <sheetData sheetId="6690">
        <row r="4">
          <cell r="I4">
            <v>0</v>
          </cell>
        </row>
      </sheetData>
      <sheetData sheetId="6691">
        <row r="4">
          <cell r="I4">
            <v>0</v>
          </cell>
        </row>
      </sheetData>
      <sheetData sheetId="6692">
        <row r="4">
          <cell r="I4">
            <v>0</v>
          </cell>
        </row>
      </sheetData>
      <sheetData sheetId="6693">
        <row r="4">
          <cell r="I4">
            <v>0</v>
          </cell>
        </row>
      </sheetData>
      <sheetData sheetId="6694">
        <row r="4">
          <cell r="I4">
            <v>0</v>
          </cell>
        </row>
      </sheetData>
      <sheetData sheetId="6695">
        <row r="4">
          <cell r="I4">
            <v>0</v>
          </cell>
        </row>
      </sheetData>
      <sheetData sheetId="6696">
        <row r="4">
          <cell r="I4">
            <v>0</v>
          </cell>
        </row>
      </sheetData>
      <sheetData sheetId="6697">
        <row r="4">
          <cell r="I4">
            <v>0</v>
          </cell>
        </row>
      </sheetData>
      <sheetData sheetId="6698">
        <row r="4">
          <cell r="I4">
            <v>0</v>
          </cell>
        </row>
      </sheetData>
      <sheetData sheetId="6699">
        <row r="4">
          <cell r="I4">
            <v>0</v>
          </cell>
        </row>
      </sheetData>
      <sheetData sheetId="6700">
        <row r="4">
          <cell r="I4">
            <v>0</v>
          </cell>
        </row>
      </sheetData>
      <sheetData sheetId="6701">
        <row r="4">
          <cell r="I4">
            <v>0</v>
          </cell>
        </row>
      </sheetData>
      <sheetData sheetId="6702">
        <row r="4">
          <cell r="I4">
            <v>0</v>
          </cell>
        </row>
      </sheetData>
      <sheetData sheetId="6703">
        <row r="4">
          <cell r="I4">
            <v>0</v>
          </cell>
        </row>
      </sheetData>
      <sheetData sheetId="6704">
        <row r="4">
          <cell r="I4">
            <v>0</v>
          </cell>
        </row>
      </sheetData>
      <sheetData sheetId="6705">
        <row r="4">
          <cell r="I4">
            <v>0</v>
          </cell>
        </row>
      </sheetData>
      <sheetData sheetId="6706">
        <row r="4">
          <cell r="I4">
            <v>0</v>
          </cell>
        </row>
      </sheetData>
      <sheetData sheetId="6707">
        <row r="4">
          <cell r="I4">
            <v>0</v>
          </cell>
        </row>
      </sheetData>
      <sheetData sheetId="6708">
        <row r="4">
          <cell r="I4">
            <v>0</v>
          </cell>
        </row>
      </sheetData>
      <sheetData sheetId="6709">
        <row r="4">
          <cell r="I4">
            <v>0</v>
          </cell>
        </row>
      </sheetData>
      <sheetData sheetId="6710">
        <row r="4">
          <cell r="I4">
            <v>0</v>
          </cell>
        </row>
      </sheetData>
      <sheetData sheetId="6711">
        <row r="4">
          <cell r="I4">
            <v>0</v>
          </cell>
        </row>
      </sheetData>
      <sheetData sheetId="6712">
        <row r="4">
          <cell r="I4">
            <v>0</v>
          </cell>
        </row>
      </sheetData>
      <sheetData sheetId="6713">
        <row r="4">
          <cell r="I4">
            <v>0</v>
          </cell>
        </row>
      </sheetData>
      <sheetData sheetId="6714">
        <row r="4">
          <cell r="I4">
            <v>0</v>
          </cell>
        </row>
      </sheetData>
      <sheetData sheetId="6715">
        <row r="4">
          <cell r="I4">
            <v>0</v>
          </cell>
        </row>
      </sheetData>
      <sheetData sheetId="6716">
        <row r="4">
          <cell r="I4">
            <v>0</v>
          </cell>
        </row>
      </sheetData>
      <sheetData sheetId="6717">
        <row r="4">
          <cell r="I4">
            <v>0</v>
          </cell>
        </row>
      </sheetData>
      <sheetData sheetId="6718">
        <row r="4">
          <cell r="I4">
            <v>0</v>
          </cell>
        </row>
      </sheetData>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ow r="4">
          <cell r="I4">
            <v>0</v>
          </cell>
        </row>
      </sheetData>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ow r="4">
          <cell r="I4">
            <v>0</v>
          </cell>
        </row>
      </sheetData>
      <sheetData sheetId="8222">
        <row r="4">
          <cell r="I4">
            <v>0</v>
          </cell>
        </row>
      </sheetData>
      <sheetData sheetId="8223">
        <row r="4">
          <cell r="I4">
            <v>0</v>
          </cell>
        </row>
      </sheetData>
      <sheetData sheetId="8224">
        <row r="4">
          <cell r="I4">
            <v>0</v>
          </cell>
        </row>
      </sheetData>
      <sheetData sheetId="8225">
        <row r="4">
          <cell r="I4">
            <v>0</v>
          </cell>
        </row>
      </sheetData>
      <sheetData sheetId="8226">
        <row r="4">
          <cell r="I4">
            <v>0</v>
          </cell>
        </row>
      </sheetData>
      <sheetData sheetId="8227">
        <row r="4">
          <cell r="I4">
            <v>0</v>
          </cell>
        </row>
      </sheetData>
      <sheetData sheetId="8228">
        <row r="4">
          <cell r="I4">
            <v>0</v>
          </cell>
        </row>
      </sheetData>
      <sheetData sheetId="8229">
        <row r="4">
          <cell r="I4">
            <v>0</v>
          </cell>
        </row>
      </sheetData>
      <sheetData sheetId="8230">
        <row r="4">
          <cell r="I4">
            <v>0</v>
          </cell>
        </row>
      </sheetData>
      <sheetData sheetId="8231">
        <row r="4">
          <cell r="I4">
            <v>0</v>
          </cell>
        </row>
      </sheetData>
      <sheetData sheetId="8232">
        <row r="4">
          <cell r="I4">
            <v>0</v>
          </cell>
        </row>
      </sheetData>
      <sheetData sheetId="8233">
        <row r="4">
          <cell r="I4">
            <v>0</v>
          </cell>
        </row>
      </sheetData>
      <sheetData sheetId="8234">
        <row r="4">
          <cell r="I4">
            <v>0</v>
          </cell>
        </row>
      </sheetData>
      <sheetData sheetId="8235">
        <row r="4">
          <cell r="I4">
            <v>0</v>
          </cell>
        </row>
      </sheetData>
      <sheetData sheetId="8236">
        <row r="4">
          <cell r="I4">
            <v>0</v>
          </cell>
        </row>
      </sheetData>
      <sheetData sheetId="8237">
        <row r="4">
          <cell r="I4">
            <v>0</v>
          </cell>
        </row>
      </sheetData>
      <sheetData sheetId="8238">
        <row r="4">
          <cell r="I4">
            <v>0</v>
          </cell>
        </row>
      </sheetData>
      <sheetData sheetId="8239">
        <row r="4">
          <cell r="I4">
            <v>0</v>
          </cell>
        </row>
      </sheetData>
      <sheetData sheetId="8240">
        <row r="4">
          <cell r="I4">
            <v>0</v>
          </cell>
        </row>
      </sheetData>
      <sheetData sheetId="8241">
        <row r="4">
          <cell r="I4">
            <v>0</v>
          </cell>
        </row>
      </sheetData>
      <sheetData sheetId="8242">
        <row r="4">
          <cell r="I4">
            <v>0</v>
          </cell>
        </row>
      </sheetData>
      <sheetData sheetId="8243">
        <row r="4">
          <cell r="I4">
            <v>0</v>
          </cell>
        </row>
      </sheetData>
      <sheetData sheetId="8244">
        <row r="4">
          <cell r="I4">
            <v>0</v>
          </cell>
        </row>
      </sheetData>
      <sheetData sheetId="8245">
        <row r="4">
          <cell r="I4">
            <v>0</v>
          </cell>
        </row>
      </sheetData>
      <sheetData sheetId="8246">
        <row r="4">
          <cell r="I4">
            <v>0</v>
          </cell>
        </row>
      </sheetData>
      <sheetData sheetId="8247">
        <row r="4">
          <cell r="I4">
            <v>0</v>
          </cell>
        </row>
      </sheetData>
      <sheetData sheetId="8248">
        <row r="4">
          <cell r="I4">
            <v>0</v>
          </cell>
        </row>
      </sheetData>
      <sheetData sheetId="8249">
        <row r="4">
          <cell r="I4">
            <v>0</v>
          </cell>
        </row>
      </sheetData>
      <sheetData sheetId="8250">
        <row r="4">
          <cell r="I4">
            <v>0</v>
          </cell>
        </row>
      </sheetData>
      <sheetData sheetId="8251">
        <row r="4">
          <cell r="I4">
            <v>0</v>
          </cell>
        </row>
      </sheetData>
      <sheetData sheetId="8252">
        <row r="4">
          <cell r="I4">
            <v>0</v>
          </cell>
        </row>
      </sheetData>
      <sheetData sheetId="8253">
        <row r="4">
          <cell r="I4">
            <v>0</v>
          </cell>
        </row>
      </sheetData>
      <sheetData sheetId="8254">
        <row r="4">
          <cell r="I4">
            <v>0</v>
          </cell>
        </row>
      </sheetData>
      <sheetData sheetId="8255">
        <row r="4">
          <cell r="I4">
            <v>0</v>
          </cell>
        </row>
      </sheetData>
      <sheetData sheetId="8256">
        <row r="4">
          <cell r="I4">
            <v>0</v>
          </cell>
        </row>
      </sheetData>
      <sheetData sheetId="8257">
        <row r="4">
          <cell r="I4">
            <v>0</v>
          </cell>
        </row>
      </sheetData>
      <sheetData sheetId="8258">
        <row r="4">
          <cell r="I4">
            <v>0</v>
          </cell>
        </row>
      </sheetData>
      <sheetData sheetId="8259">
        <row r="4">
          <cell r="I4">
            <v>0</v>
          </cell>
        </row>
      </sheetData>
      <sheetData sheetId="8260">
        <row r="4">
          <cell r="I4">
            <v>0</v>
          </cell>
        </row>
      </sheetData>
      <sheetData sheetId="8261">
        <row r="4">
          <cell r="I4">
            <v>0</v>
          </cell>
        </row>
      </sheetData>
      <sheetData sheetId="8262">
        <row r="4">
          <cell r="I4">
            <v>0</v>
          </cell>
        </row>
      </sheetData>
      <sheetData sheetId="8263">
        <row r="4">
          <cell r="I4">
            <v>0</v>
          </cell>
        </row>
      </sheetData>
      <sheetData sheetId="8264">
        <row r="4">
          <cell r="I4">
            <v>0</v>
          </cell>
        </row>
      </sheetData>
      <sheetData sheetId="8265">
        <row r="4">
          <cell r="I4">
            <v>0</v>
          </cell>
        </row>
      </sheetData>
      <sheetData sheetId="8266">
        <row r="4">
          <cell r="I4">
            <v>0</v>
          </cell>
        </row>
      </sheetData>
      <sheetData sheetId="8267">
        <row r="4">
          <cell r="I4">
            <v>0</v>
          </cell>
        </row>
      </sheetData>
      <sheetData sheetId="8268">
        <row r="4">
          <cell r="I4">
            <v>0</v>
          </cell>
        </row>
      </sheetData>
      <sheetData sheetId="8269">
        <row r="4">
          <cell r="I4">
            <v>0</v>
          </cell>
        </row>
      </sheetData>
      <sheetData sheetId="8270">
        <row r="4">
          <cell r="I4">
            <v>0</v>
          </cell>
        </row>
      </sheetData>
      <sheetData sheetId="8271">
        <row r="4">
          <cell r="I4">
            <v>0</v>
          </cell>
        </row>
      </sheetData>
      <sheetData sheetId="8272">
        <row r="4">
          <cell r="I4">
            <v>0</v>
          </cell>
        </row>
      </sheetData>
      <sheetData sheetId="8273">
        <row r="4">
          <cell r="I4">
            <v>0</v>
          </cell>
        </row>
      </sheetData>
      <sheetData sheetId="8274">
        <row r="4">
          <cell r="I4">
            <v>0</v>
          </cell>
        </row>
      </sheetData>
      <sheetData sheetId="8275">
        <row r="4">
          <cell r="I4">
            <v>0</v>
          </cell>
        </row>
      </sheetData>
      <sheetData sheetId="8276">
        <row r="4">
          <cell r="I4">
            <v>0</v>
          </cell>
        </row>
      </sheetData>
      <sheetData sheetId="8277">
        <row r="4">
          <cell r="I4">
            <v>0</v>
          </cell>
        </row>
      </sheetData>
      <sheetData sheetId="8278">
        <row r="4">
          <cell r="I4">
            <v>0</v>
          </cell>
        </row>
      </sheetData>
      <sheetData sheetId="8279">
        <row r="4">
          <cell r="I4">
            <v>0</v>
          </cell>
        </row>
      </sheetData>
      <sheetData sheetId="8280">
        <row r="4">
          <cell r="I4">
            <v>0</v>
          </cell>
        </row>
      </sheetData>
      <sheetData sheetId="8281">
        <row r="4">
          <cell r="I4">
            <v>0</v>
          </cell>
        </row>
      </sheetData>
      <sheetData sheetId="8282">
        <row r="4">
          <cell r="I4">
            <v>0</v>
          </cell>
        </row>
      </sheetData>
      <sheetData sheetId="8283">
        <row r="4">
          <cell r="I4">
            <v>0</v>
          </cell>
        </row>
      </sheetData>
      <sheetData sheetId="8284">
        <row r="4">
          <cell r="I4">
            <v>0</v>
          </cell>
        </row>
      </sheetData>
      <sheetData sheetId="8285">
        <row r="4">
          <cell r="I4">
            <v>0</v>
          </cell>
        </row>
      </sheetData>
      <sheetData sheetId="8286">
        <row r="4">
          <cell r="I4">
            <v>0</v>
          </cell>
        </row>
      </sheetData>
      <sheetData sheetId="8287">
        <row r="4">
          <cell r="I4">
            <v>0</v>
          </cell>
        </row>
      </sheetData>
      <sheetData sheetId="8288">
        <row r="4">
          <cell r="I4">
            <v>0</v>
          </cell>
        </row>
      </sheetData>
      <sheetData sheetId="8289">
        <row r="4">
          <cell r="I4">
            <v>0</v>
          </cell>
        </row>
      </sheetData>
      <sheetData sheetId="8290">
        <row r="4">
          <cell r="I4">
            <v>0</v>
          </cell>
        </row>
      </sheetData>
      <sheetData sheetId="8291">
        <row r="4">
          <cell r="I4">
            <v>0</v>
          </cell>
        </row>
      </sheetData>
      <sheetData sheetId="8292">
        <row r="4">
          <cell r="I4">
            <v>0</v>
          </cell>
        </row>
      </sheetData>
      <sheetData sheetId="8293">
        <row r="4">
          <cell r="I4">
            <v>0</v>
          </cell>
        </row>
      </sheetData>
      <sheetData sheetId="8294">
        <row r="4">
          <cell r="I4">
            <v>0</v>
          </cell>
        </row>
      </sheetData>
      <sheetData sheetId="8295">
        <row r="4">
          <cell r="I4">
            <v>0</v>
          </cell>
        </row>
      </sheetData>
      <sheetData sheetId="8296">
        <row r="4">
          <cell r="I4">
            <v>0</v>
          </cell>
        </row>
      </sheetData>
      <sheetData sheetId="8297">
        <row r="4">
          <cell r="I4">
            <v>0</v>
          </cell>
        </row>
      </sheetData>
      <sheetData sheetId="8298">
        <row r="4">
          <cell r="I4">
            <v>0</v>
          </cell>
        </row>
      </sheetData>
      <sheetData sheetId="8299">
        <row r="4">
          <cell r="I4">
            <v>0</v>
          </cell>
        </row>
      </sheetData>
      <sheetData sheetId="8300">
        <row r="4">
          <cell r="I4">
            <v>0</v>
          </cell>
        </row>
      </sheetData>
      <sheetData sheetId="8301">
        <row r="4">
          <cell r="I4">
            <v>0</v>
          </cell>
        </row>
      </sheetData>
      <sheetData sheetId="8302">
        <row r="4">
          <cell r="I4">
            <v>0</v>
          </cell>
        </row>
      </sheetData>
      <sheetData sheetId="8303">
        <row r="4">
          <cell r="I4">
            <v>0</v>
          </cell>
        </row>
      </sheetData>
      <sheetData sheetId="8304">
        <row r="4">
          <cell r="I4">
            <v>0</v>
          </cell>
        </row>
      </sheetData>
      <sheetData sheetId="8305">
        <row r="4">
          <cell r="I4">
            <v>0</v>
          </cell>
        </row>
      </sheetData>
      <sheetData sheetId="8306">
        <row r="4">
          <cell r="I4">
            <v>0</v>
          </cell>
        </row>
      </sheetData>
      <sheetData sheetId="8307">
        <row r="4">
          <cell r="I4">
            <v>0</v>
          </cell>
        </row>
      </sheetData>
      <sheetData sheetId="8308">
        <row r="4">
          <cell r="I4">
            <v>0</v>
          </cell>
        </row>
      </sheetData>
      <sheetData sheetId="8309">
        <row r="4">
          <cell r="I4">
            <v>0</v>
          </cell>
        </row>
      </sheetData>
      <sheetData sheetId="8310">
        <row r="4">
          <cell r="I4">
            <v>0</v>
          </cell>
        </row>
      </sheetData>
      <sheetData sheetId="8311">
        <row r="4">
          <cell r="I4">
            <v>0</v>
          </cell>
        </row>
      </sheetData>
      <sheetData sheetId="8312">
        <row r="4">
          <cell r="I4">
            <v>0</v>
          </cell>
        </row>
      </sheetData>
      <sheetData sheetId="8313">
        <row r="4">
          <cell r="I4">
            <v>0</v>
          </cell>
        </row>
      </sheetData>
      <sheetData sheetId="8314">
        <row r="4">
          <cell r="I4">
            <v>0</v>
          </cell>
        </row>
      </sheetData>
      <sheetData sheetId="8315">
        <row r="4">
          <cell r="I4">
            <v>0</v>
          </cell>
        </row>
      </sheetData>
      <sheetData sheetId="8316">
        <row r="4">
          <cell r="I4">
            <v>0</v>
          </cell>
        </row>
      </sheetData>
      <sheetData sheetId="8317">
        <row r="4">
          <cell r="I4">
            <v>0</v>
          </cell>
        </row>
      </sheetData>
      <sheetData sheetId="8318">
        <row r="4">
          <cell r="I4">
            <v>0</v>
          </cell>
        </row>
      </sheetData>
      <sheetData sheetId="8319">
        <row r="4">
          <cell r="I4">
            <v>0</v>
          </cell>
        </row>
      </sheetData>
      <sheetData sheetId="8320">
        <row r="4">
          <cell r="I4">
            <v>0</v>
          </cell>
        </row>
      </sheetData>
      <sheetData sheetId="8321">
        <row r="4">
          <cell r="I4">
            <v>0</v>
          </cell>
        </row>
      </sheetData>
      <sheetData sheetId="8322">
        <row r="4">
          <cell r="I4">
            <v>0</v>
          </cell>
        </row>
      </sheetData>
      <sheetData sheetId="8323">
        <row r="4">
          <cell r="I4">
            <v>0</v>
          </cell>
        </row>
      </sheetData>
      <sheetData sheetId="8324">
        <row r="4">
          <cell r="I4">
            <v>0</v>
          </cell>
        </row>
      </sheetData>
      <sheetData sheetId="8325">
        <row r="4">
          <cell r="I4">
            <v>0</v>
          </cell>
        </row>
      </sheetData>
      <sheetData sheetId="8326">
        <row r="4">
          <cell r="I4">
            <v>0</v>
          </cell>
        </row>
      </sheetData>
      <sheetData sheetId="8327">
        <row r="4">
          <cell r="I4">
            <v>0</v>
          </cell>
        </row>
      </sheetData>
      <sheetData sheetId="8328">
        <row r="4">
          <cell r="I4">
            <v>0</v>
          </cell>
        </row>
      </sheetData>
      <sheetData sheetId="8329">
        <row r="4">
          <cell r="I4">
            <v>0</v>
          </cell>
        </row>
      </sheetData>
      <sheetData sheetId="8330">
        <row r="4">
          <cell r="I4">
            <v>0</v>
          </cell>
        </row>
      </sheetData>
      <sheetData sheetId="8331">
        <row r="4">
          <cell r="I4">
            <v>0</v>
          </cell>
        </row>
      </sheetData>
      <sheetData sheetId="8332">
        <row r="4">
          <cell r="I4">
            <v>0</v>
          </cell>
        </row>
      </sheetData>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ow r="4">
          <cell r="I4">
            <v>0</v>
          </cell>
        </row>
      </sheetData>
      <sheetData sheetId="8348">
        <row r="4">
          <cell r="I4">
            <v>0</v>
          </cell>
        </row>
      </sheetData>
      <sheetData sheetId="8349">
        <row r="4">
          <cell r="I4">
            <v>0</v>
          </cell>
        </row>
      </sheetData>
      <sheetData sheetId="8350">
        <row r="4">
          <cell r="I4">
            <v>0</v>
          </cell>
        </row>
      </sheetData>
      <sheetData sheetId="8351">
        <row r="4">
          <cell r="I4">
            <v>0</v>
          </cell>
        </row>
      </sheetData>
      <sheetData sheetId="8352">
        <row r="4">
          <cell r="I4">
            <v>0</v>
          </cell>
        </row>
      </sheetData>
      <sheetData sheetId="8353">
        <row r="4">
          <cell r="I4">
            <v>0</v>
          </cell>
        </row>
      </sheetData>
      <sheetData sheetId="8354">
        <row r="4">
          <cell r="I4">
            <v>0</v>
          </cell>
        </row>
      </sheetData>
      <sheetData sheetId="8355">
        <row r="4">
          <cell r="I4">
            <v>0</v>
          </cell>
        </row>
      </sheetData>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ow r="4">
          <cell r="I4">
            <v>0</v>
          </cell>
        </row>
      </sheetData>
      <sheetData sheetId="8365">
        <row r="4">
          <cell r="I4">
            <v>0</v>
          </cell>
        </row>
      </sheetData>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ow r="4">
          <cell r="I4">
            <v>0</v>
          </cell>
        </row>
      </sheetData>
      <sheetData sheetId="8386">
        <row r="4">
          <cell r="I4">
            <v>0</v>
          </cell>
        </row>
      </sheetData>
      <sheetData sheetId="8387">
        <row r="4">
          <cell r="I4">
            <v>0</v>
          </cell>
        </row>
      </sheetData>
      <sheetData sheetId="8388">
        <row r="4">
          <cell r="I4">
            <v>0</v>
          </cell>
        </row>
      </sheetData>
      <sheetData sheetId="8389">
        <row r="4">
          <cell r="I4">
            <v>0</v>
          </cell>
        </row>
      </sheetData>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ow r="4">
          <cell r="I4">
            <v>0</v>
          </cell>
        </row>
      </sheetData>
      <sheetData sheetId="8424">
        <row r="4">
          <cell r="I4">
            <v>0</v>
          </cell>
        </row>
      </sheetData>
      <sheetData sheetId="8425">
        <row r="4">
          <cell r="I4">
            <v>0</v>
          </cell>
        </row>
      </sheetData>
      <sheetData sheetId="8426">
        <row r="4">
          <cell r="I4">
            <v>0</v>
          </cell>
        </row>
      </sheetData>
      <sheetData sheetId="8427">
        <row r="4">
          <cell r="I4">
            <v>0</v>
          </cell>
        </row>
      </sheetData>
      <sheetData sheetId="8428">
        <row r="4">
          <cell r="I4">
            <v>0</v>
          </cell>
        </row>
      </sheetData>
      <sheetData sheetId="8429">
        <row r="4">
          <cell r="I4">
            <v>0</v>
          </cell>
        </row>
      </sheetData>
      <sheetData sheetId="8430">
        <row r="4">
          <cell r="I4">
            <v>0</v>
          </cell>
        </row>
      </sheetData>
      <sheetData sheetId="8431">
        <row r="4">
          <cell r="I4">
            <v>0</v>
          </cell>
        </row>
      </sheetData>
      <sheetData sheetId="8432">
        <row r="4">
          <cell r="I4">
            <v>0</v>
          </cell>
        </row>
      </sheetData>
      <sheetData sheetId="8433">
        <row r="4">
          <cell r="I4">
            <v>0</v>
          </cell>
        </row>
      </sheetData>
      <sheetData sheetId="8434">
        <row r="4">
          <cell r="I4">
            <v>0</v>
          </cell>
        </row>
      </sheetData>
      <sheetData sheetId="8435">
        <row r="4">
          <cell r="I4">
            <v>0</v>
          </cell>
        </row>
      </sheetData>
      <sheetData sheetId="8436">
        <row r="4">
          <cell r="I4">
            <v>0</v>
          </cell>
        </row>
      </sheetData>
      <sheetData sheetId="8437">
        <row r="4">
          <cell r="I4">
            <v>0</v>
          </cell>
        </row>
      </sheetData>
      <sheetData sheetId="8438">
        <row r="4">
          <cell r="I4">
            <v>0</v>
          </cell>
        </row>
      </sheetData>
      <sheetData sheetId="8439">
        <row r="4">
          <cell r="I4">
            <v>0</v>
          </cell>
        </row>
      </sheetData>
      <sheetData sheetId="8440">
        <row r="4">
          <cell r="I4">
            <v>0</v>
          </cell>
        </row>
      </sheetData>
      <sheetData sheetId="8441">
        <row r="4">
          <cell r="I4">
            <v>0</v>
          </cell>
        </row>
      </sheetData>
      <sheetData sheetId="8442">
        <row r="4">
          <cell r="I4">
            <v>0</v>
          </cell>
        </row>
      </sheetData>
      <sheetData sheetId="8443">
        <row r="4">
          <cell r="I4">
            <v>0</v>
          </cell>
        </row>
      </sheetData>
      <sheetData sheetId="8444">
        <row r="4">
          <cell r="I4">
            <v>0</v>
          </cell>
        </row>
      </sheetData>
      <sheetData sheetId="8445">
        <row r="4">
          <cell r="I4">
            <v>0</v>
          </cell>
        </row>
      </sheetData>
      <sheetData sheetId="8446">
        <row r="4">
          <cell r="I4">
            <v>0</v>
          </cell>
        </row>
      </sheetData>
      <sheetData sheetId="8447">
        <row r="4">
          <cell r="I4">
            <v>0</v>
          </cell>
        </row>
      </sheetData>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ow r="4">
          <cell r="I4">
            <v>0</v>
          </cell>
        </row>
      </sheetData>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ow r="4">
          <cell r="I4">
            <v>0</v>
          </cell>
        </row>
      </sheetData>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ow r="4">
          <cell r="I4">
            <v>0</v>
          </cell>
        </row>
      </sheetData>
      <sheetData sheetId="8516">
        <row r="4">
          <cell r="I4">
            <v>0</v>
          </cell>
        </row>
      </sheetData>
      <sheetData sheetId="8517">
        <row r="4">
          <cell r="I4">
            <v>0</v>
          </cell>
        </row>
      </sheetData>
      <sheetData sheetId="8518">
        <row r="4">
          <cell r="I4">
            <v>0</v>
          </cell>
        </row>
      </sheetData>
      <sheetData sheetId="8519">
        <row r="4">
          <cell r="I4">
            <v>0</v>
          </cell>
        </row>
      </sheetData>
      <sheetData sheetId="8520">
        <row r="4">
          <cell r="I4">
            <v>0</v>
          </cell>
        </row>
      </sheetData>
      <sheetData sheetId="8521">
        <row r="4">
          <cell r="I4">
            <v>0</v>
          </cell>
        </row>
      </sheetData>
      <sheetData sheetId="8522">
        <row r="4">
          <cell r="I4">
            <v>0</v>
          </cell>
        </row>
      </sheetData>
      <sheetData sheetId="8523">
        <row r="4">
          <cell r="I4">
            <v>0</v>
          </cell>
        </row>
      </sheetData>
      <sheetData sheetId="8524">
        <row r="4">
          <cell r="I4">
            <v>0</v>
          </cell>
        </row>
      </sheetData>
      <sheetData sheetId="8525">
        <row r="4">
          <cell r="I4">
            <v>0</v>
          </cell>
        </row>
      </sheetData>
      <sheetData sheetId="8526">
        <row r="4">
          <cell r="I4">
            <v>0</v>
          </cell>
        </row>
      </sheetData>
      <sheetData sheetId="8527">
        <row r="4">
          <cell r="I4">
            <v>0</v>
          </cell>
        </row>
      </sheetData>
      <sheetData sheetId="8528" refreshError="1"/>
      <sheetData sheetId="8529" refreshError="1"/>
      <sheetData sheetId="8530" refreshError="1"/>
      <sheetData sheetId="8531" refreshError="1"/>
      <sheetData sheetId="8532" refreshError="1"/>
      <sheetData sheetId="8533" refreshError="1"/>
      <sheetData sheetId="8534">
        <row r="4">
          <cell r="I4">
            <v>0</v>
          </cell>
        </row>
      </sheetData>
      <sheetData sheetId="8535">
        <row r="4">
          <cell r="I4">
            <v>0</v>
          </cell>
        </row>
      </sheetData>
      <sheetData sheetId="8536">
        <row r="4">
          <cell r="I4">
            <v>0</v>
          </cell>
        </row>
      </sheetData>
      <sheetData sheetId="8537">
        <row r="4">
          <cell r="I4">
            <v>0</v>
          </cell>
        </row>
      </sheetData>
      <sheetData sheetId="8538">
        <row r="4">
          <cell r="I4">
            <v>0</v>
          </cell>
        </row>
      </sheetData>
      <sheetData sheetId="8539">
        <row r="4">
          <cell r="I4">
            <v>0</v>
          </cell>
        </row>
      </sheetData>
      <sheetData sheetId="8540">
        <row r="4">
          <cell r="I4">
            <v>0</v>
          </cell>
        </row>
      </sheetData>
      <sheetData sheetId="8541" refreshError="1"/>
      <sheetData sheetId="8542" refreshError="1"/>
      <sheetData sheetId="8543" refreshError="1"/>
      <sheetData sheetId="8544">
        <row r="4">
          <cell r="I4">
            <v>0</v>
          </cell>
        </row>
      </sheetData>
      <sheetData sheetId="8545">
        <row r="4">
          <cell r="I4">
            <v>0</v>
          </cell>
        </row>
      </sheetData>
      <sheetData sheetId="8546">
        <row r="4">
          <cell r="I4">
            <v>0</v>
          </cell>
        </row>
      </sheetData>
      <sheetData sheetId="8547">
        <row r="4">
          <cell r="I4">
            <v>0</v>
          </cell>
        </row>
      </sheetData>
      <sheetData sheetId="8548">
        <row r="4">
          <cell r="I4">
            <v>0</v>
          </cell>
        </row>
      </sheetData>
      <sheetData sheetId="8549">
        <row r="4">
          <cell r="I4">
            <v>0</v>
          </cell>
        </row>
      </sheetData>
      <sheetData sheetId="8550">
        <row r="4">
          <cell r="I4">
            <v>0</v>
          </cell>
        </row>
      </sheetData>
      <sheetData sheetId="8551">
        <row r="4">
          <cell r="I4">
            <v>0</v>
          </cell>
        </row>
      </sheetData>
      <sheetData sheetId="8552">
        <row r="4">
          <cell r="I4">
            <v>0</v>
          </cell>
        </row>
      </sheetData>
      <sheetData sheetId="8553">
        <row r="4">
          <cell r="I4">
            <v>0</v>
          </cell>
        </row>
      </sheetData>
      <sheetData sheetId="8554">
        <row r="4">
          <cell r="I4">
            <v>0</v>
          </cell>
        </row>
      </sheetData>
      <sheetData sheetId="8555">
        <row r="4">
          <cell r="I4">
            <v>0</v>
          </cell>
        </row>
      </sheetData>
      <sheetData sheetId="8556">
        <row r="4">
          <cell r="I4">
            <v>0</v>
          </cell>
        </row>
      </sheetData>
      <sheetData sheetId="8557">
        <row r="4">
          <cell r="I4">
            <v>0</v>
          </cell>
        </row>
      </sheetData>
      <sheetData sheetId="8558">
        <row r="4">
          <cell r="I4">
            <v>0</v>
          </cell>
        </row>
      </sheetData>
      <sheetData sheetId="8559">
        <row r="4">
          <cell r="I4">
            <v>0</v>
          </cell>
        </row>
      </sheetData>
      <sheetData sheetId="8560">
        <row r="4">
          <cell r="I4">
            <v>0</v>
          </cell>
        </row>
      </sheetData>
      <sheetData sheetId="8561">
        <row r="4">
          <cell r="I4">
            <v>0</v>
          </cell>
        </row>
      </sheetData>
      <sheetData sheetId="8562">
        <row r="4">
          <cell r="I4">
            <v>0</v>
          </cell>
        </row>
      </sheetData>
      <sheetData sheetId="8563">
        <row r="4">
          <cell r="I4">
            <v>0</v>
          </cell>
        </row>
      </sheetData>
      <sheetData sheetId="8564">
        <row r="4">
          <cell r="I4">
            <v>0</v>
          </cell>
        </row>
      </sheetData>
      <sheetData sheetId="8565">
        <row r="4">
          <cell r="I4">
            <v>0</v>
          </cell>
        </row>
      </sheetData>
      <sheetData sheetId="8566">
        <row r="4">
          <cell r="I4">
            <v>0</v>
          </cell>
        </row>
      </sheetData>
      <sheetData sheetId="8567">
        <row r="4">
          <cell r="I4">
            <v>0</v>
          </cell>
        </row>
      </sheetData>
      <sheetData sheetId="8568">
        <row r="4">
          <cell r="I4">
            <v>0</v>
          </cell>
        </row>
      </sheetData>
      <sheetData sheetId="8569">
        <row r="4">
          <cell r="I4">
            <v>0</v>
          </cell>
        </row>
      </sheetData>
      <sheetData sheetId="8570">
        <row r="4">
          <cell r="I4">
            <v>0</v>
          </cell>
        </row>
      </sheetData>
      <sheetData sheetId="8571">
        <row r="4">
          <cell r="I4">
            <v>0</v>
          </cell>
        </row>
      </sheetData>
      <sheetData sheetId="8572">
        <row r="4">
          <cell r="I4">
            <v>0</v>
          </cell>
        </row>
      </sheetData>
      <sheetData sheetId="8573">
        <row r="4">
          <cell r="I4">
            <v>0</v>
          </cell>
        </row>
      </sheetData>
      <sheetData sheetId="8574">
        <row r="4">
          <cell r="I4">
            <v>0</v>
          </cell>
        </row>
      </sheetData>
      <sheetData sheetId="8575">
        <row r="4">
          <cell r="I4">
            <v>0</v>
          </cell>
        </row>
      </sheetData>
      <sheetData sheetId="8576">
        <row r="4">
          <cell r="I4">
            <v>0</v>
          </cell>
        </row>
      </sheetData>
      <sheetData sheetId="8577">
        <row r="4">
          <cell r="I4">
            <v>0</v>
          </cell>
        </row>
      </sheetData>
      <sheetData sheetId="8578">
        <row r="4">
          <cell r="I4">
            <v>0</v>
          </cell>
        </row>
      </sheetData>
      <sheetData sheetId="8579">
        <row r="4">
          <cell r="I4">
            <v>0</v>
          </cell>
        </row>
      </sheetData>
      <sheetData sheetId="8580">
        <row r="4">
          <cell r="I4">
            <v>0</v>
          </cell>
        </row>
      </sheetData>
      <sheetData sheetId="8581">
        <row r="4">
          <cell r="I4">
            <v>0</v>
          </cell>
        </row>
      </sheetData>
      <sheetData sheetId="8582">
        <row r="4">
          <cell r="I4">
            <v>0</v>
          </cell>
        </row>
      </sheetData>
      <sheetData sheetId="8583">
        <row r="4">
          <cell r="I4">
            <v>0</v>
          </cell>
        </row>
      </sheetData>
      <sheetData sheetId="8584">
        <row r="4">
          <cell r="I4">
            <v>0</v>
          </cell>
        </row>
      </sheetData>
      <sheetData sheetId="8585">
        <row r="4">
          <cell r="I4">
            <v>0</v>
          </cell>
        </row>
      </sheetData>
      <sheetData sheetId="8586">
        <row r="4">
          <cell r="I4">
            <v>0</v>
          </cell>
        </row>
      </sheetData>
      <sheetData sheetId="8587">
        <row r="4">
          <cell r="I4">
            <v>0</v>
          </cell>
        </row>
      </sheetData>
      <sheetData sheetId="8588">
        <row r="4">
          <cell r="I4">
            <v>0</v>
          </cell>
        </row>
      </sheetData>
      <sheetData sheetId="8589">
        <row r="4">
          <cell r="I4">
            <v>0</v>
          </cell>
        </row>
      </sheetData>
      <sheetData sheetId="8590">
        <row r="4">
          <cell r="I4">
            <v>0</v>
          </cell>
        </row>
      </sheetData>
      <sheetData sheetId="8591">
        <row r="4">
          <cell r="I4">
            <v>0</v>
          </cell>
        </row>
      </sheetData>
      <sheetData sheetId="8592">
        <row r="4">
          <cell r="I4">
            <v>0</v>
          </cell>
        </row>
      </sheetData>
      <sheetData sheetId="8593">
        <row r="4">
          <cell r="I4">
            <v>0</v>
          </cell>
        </row>
      </sheetData>
      <sheetData sheetId="8594">
        <row r="4">
          <cell r="I4">
            <v>0</v>
          </cell>
        </row>
      </sheetData>
      <sheetData sheetId="8595">
        <row r="4">
          <cell r="I4">
            <v>0</v>
          </cell>
        </row>
      </sheetData>
      <sheetData sheetId="8596">
        <row r="4">
          <cell r="I4">
            <v>0</v>
          </cell>
        </row>
      </sheetData>
      <sheetData sheetId="8597">
        <row r="4">
          <cell r="I4">
            <v>0</v>
          </cell>
        </row>
      </sheetData>
      <sheetData sheetId="8598">
        <row r="4">
          <cell r="I4">
            <v>0</v>
          </cell>
        </row>
      </sheetData>
      <sheetData sheetId="8599">
        <row r="4">
          <cell r="I4">
            <v>0</v>
          </cell>
        </row>
      </sheetData>
      <sheetData sheetId="8600">
        <row r="4">
          <cell r="I4">
            <v>0</v>
          </cell>
        </row>
      </sheetData>
      <sheetData sheetId="8601">
        <row r="4">
          <cell r="I4">
            <v>0</v>
          </cell>
        </row>
      </sheetData>
      <sheetData sheetId="8602">
        <row r="4">
          <cell r="I4">
            <v>0</v>
          </cell>
        </row>
      </sheetData>
      <sheetData sheetId="8603">
        <row r="4">
          <cell r="I4">
            <v>0</v>
          </cell>
        </row>
      </sheetData>
      <sheetData sheetId="8604">
        <row r="4">
          <cell r="I4">
            <v>0</v>
          </cell>
        </row>
      </sheetData>
      <sheetData sheetId="8605">
        <row r="4">
          <cell r="I4">
            <v>0</v>
          </cell>
        </row>
      </sheetData>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ow r="4">
          <cell r="I4">
            <v>0</v>
          </cell>
        </row>
      </sheetData>
      <sheetData sheetId="9241">
        <row r="4">
          <cell r="I4">
            <v>0</v>
          </cell>
        </row>
      </sheetData>
      <sheetData sheetId="9242" refreshError="1"/>
      <sheetData sheetId="9243" refreshError="1"/>
      <sheetData sheetId="9244" refreshError="1"/>
      <sheetData sheetId="9245" refreshError="1"/>
      <sheetData sheetId="9246" refreshError="1"/>
      <sheetData sheetId="9247" refreshError="1"/>
      <sheetData sheetId="9248"/>
      <sheetData sheetId="9249"/>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ow r="4">
          <cell r="I4">
            <v>0</v>
          </cell>
        </row>
      </sheetData>
      <sheetData sheetId="9266">
        <row r="4">
          <cell r="I4">
            <v>0</v>
          </cell>
        </row>
      </sheetData>
      <sheetData sheetId="9267">
        <row r="4">
          <cell r="I4">
            <v>0</v>
          </cell>
        </row>
      </sheetData>
      <sheetData sheetId="9268">
        <row r="4">
          <cell r="I4">
            <v>0</v>
          </cell>
        </row>
      </sheetData>
      <sheetData sheetId="9269" refreshError="1"/>
      <sheetData sheetId="9270">
        <row r="4">
          <cell r="I4">
            <v>0</v>
          </cell>
        </row>
      </sheetData>
      <sheetData sheetId="9271">
        <row r="4">
          <cell r="I4">
            <v>0</v>
          </cell>
        </row>
      </sheetData>
      <sheetData sheetId="9272">
        <row r="4">
          <cell r="I4">
            <v>0</v>
          </cell>
        </row>
      </sheetData>
      <sheetData sheetId="9273">
        <row r="4">
          <cell r="I4">
            <v>0</v>
          </cell>
        </row>
      </sheetData>
      <sheetData sheetId="9274">
        <row r="4">
          <cell r="I4">
            <v>0</v>
          </cell>
        </row>
      </sheetData>
      <sheetData sheetId="9275" refreshError="1"/>
      <sheetData sheetId="9276" refreshError="1"/>
      <sheetData sheetId="9277">
        <row r="4">
          <cell r="I4">
            <v>0</v>
          </cell>
        </row>
      </sheetData>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sheetData sheetId="9333"/>
      <sheetData sheetId="9334"/>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ow r="4">
          <cell r="I4">
            <v>0</v>
          </cell>
        </row>
      </sheetData>
      <sheetData sheetId="9345" refreshError="1"/>
      <sheetData sheetId="9346">
        <row r="4">
          <cell r="I4">
            <v>0</v>
          </cell>
        </row>
      </sheetData>
      <sheetData sheetId="9347" refreshError="1"/>
      <sheetData sheetId="9348" refreshError="1"/>
      <sheetData sheetId="9349">
        <row r="4">
          <cell r="I4">
            <v>0</v>
          </cell>
        </row>
      </sheetData>
      <sheetData sheetId="9350">
        <row r="4">
          <cell r="I4">
            <v>0</v>
          </cell>
        </row>
      </sheetData>
      <sheetData sheetId="9351">
        <row r="4">
          <cell r="I4">
            <v>0</v>
          </cell>
        </row>
      </sheetData>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ow r="4">
          <cell r="I4">
            <v>0</v>
          </cell>
        </row>
      </sheetData>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ow r="4">
          <cell r="I4">
            <v>0</v>
          </cell>
        </row>
      </sheetData>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ow r="4">
          <cell r="I4">
            <v>0</v>
          </cell>
        </row>
      </sheetData>
      <sheetData sheetId="9458">
        <row r="4">
          <cell r="I4">
            <v>0</v>
          </cell>
        </row>
      </sheetData>
      <sheetData sheetId="9459">
        <row r="4">
          <cell r="I4">
            <v>0</v>
          </cell>
        </row>
      </sheetData>
      <sheetData sheetId="9460" refreshError="1"/>
      <sheetData sheetId="9461">
        <row r="4">
          <cell r="I4">
            <v>0</v>
          </cell>
        </row>
      </sheetData>
      <sheetData sheetId="9462">
        <row r="4">
          <cell r="I4">
            <v>0</v>
          </cell>
        </row>
      </sheetData>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ow r="4">
          <cell r="I4">
            <v>0</v>
          </cell>
        </row>
      </sheetData>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ow r="4">
          <cell r="I4">
            <v>0</v>
          </cell>
        </row>
      </sheetData>
      <sheetData sheetId="9539">
        <row r="4">
          <cell r="I4">
            <v>0</v>
          </cell>
        </row>
      </sheetData>
      <sheetData sheetId="9540">
        <row r="4">
          <cell r="I4">
            <v>0</v>
          </cell>
        </row>
      </sheetData>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ow r="4">
          <cell r="I4">
            <v>0</v>
          </cell>
        </row>
      </sheetData>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ow r="4">
          <cell r="I4">
            <v>0</v>
          </cell>
        </row>
      </sheetData>
      <sheetData sheetId="9680">
        <row r="4">
          <cell r="I4">
            <v>0</v>
          </cell>
        </row>
      </sheetData>
      <sheetData sheetId="9681" refreshError="1"/>
      <sheetData sheetId="9682" refreshError="1"/>
      <sheetData sheetId="9683" refreshError="1"/>
      <sheetData sheetId="9684">
        <row r="4">
          <cell r="I4">
            <v>0</v>
          </cell>
        </row>
      </sheetData>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ow r="4">
          <cell r="I4">
            <v>0</v>
          </cell>
        </row>
      </sheetData>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ow r="4">
          <cell r="I4">
            <v>0</v>
          </cell>
        </row>
      </sheetData>
      <sheetData sheetId="9713">
        <row r="4">
          <cell r="I4">
            <v>0</v>
          </cell>
        </row>
      </sheetData>
      <sheetData sheetId="9714">
        <row r="4">
          <cell r="I4">
            <v>0</v>
          </cell>
        </row>
      </sheetData>
      <sheetData sheetId="9715" refreshError="1"/>
      <sheetData sheetId="9716" refreshError="1"/>
      <sheetData sheetId="9717" refreshError="1"/>
      <sheetData sheetId="9718" refreshError="1"/>
      <sheetData sheetId="9719" refreshError="1"/>
      <sheetData sheetId="9720">
        <row r="4">
          <cell r="I4">
            <v>0</v>
          </cell>
        </row>
      </sheetData>
      <sheetData sheetId="9721">
        <row r="4">
          <cell r="I4">
            <v>0</v>
          </cell>
        </row>
      </sheetData>
      <sheetData sheetId="9722">
        <row r="4">
          <cell r="I4">
            <v>0</v>
          </cell>
        </row>
      </sheetData>
      <sheetData sheetId="9723" refreshError="1"/>
      <sheetData sheetId="9724" refreshError="1"/>
      <sheetData sheetId="9725" refreshError="1"/>
      <sheetData sheetId="9726" refreshError="1"/>
      <sheetData sheetId="9727">
        <row r="4">
          <cell r="I4">
            <v>0</v>
          </cell>
        </row>
      </sheetData>
      <sheetData sheetId="9728">
        <row r="4">
          <cell r="I4">
            <v>0</v>
          </cell>
        </row>
      </sheetData>
      <sheetData sheetId="9729">
        <row r="4">
          <cell r="I4">
            <v>0</v>
          </cell>
        </row>
      </sheetData>
      <sheetData sheetId="9730">
        <row r="4">
          <cell r="I4">
            <v>0</v>
          </cell>
        </row>
      </sheetData>
      <sheetData sheetId="9731">
        <row r="4">
          <cell r="I4">
            <v>0</v>
          </cell>
        </row>
      </sheetData>
      <sheetData sheetId="9732">
        <row r="4">
          <cell r="I4">
            <v>0</v>
          </cell>
        </row>
      </sheetData>
      <sheetData sheetId="9733">
        <row r="4">
          <cell r="I4">
            <v>0</v>
          </cell>
        </row>
      </sheetData>
      <sheetData sheetId="9734">
        <row r="4">
          <cell r="I4">
            <v>0</v>
          </cell>
        </row>
      </sheetData>
      <sheetData sheetId="9735">
        <row r="4">
          <cell r="I4">
            <v>0</v>
          </cell>
        </row>
      </sheetData>
      <sheetData sheetId="9736">
        <row r="4">
          <cell r="I4">
            <v>0</v>
          </cell>
        </row>
      </sheetData>
      <sheetData sheetId="9737">
        <row r="4">
          <cell r="I4">
            <v>0</v>
          </cell>
        </row>
      </sheetData>
      <sheetData sheetId="9738">
        <row r="4">
          <cell r="I4">
            <v>0</v>
          </cell>
        </row>
      </sheetData>
      <sheetData sheetId="9739">
        <row r="4">
          <cell r="I4">
            <v>0</v>
          </cell>
        </row>
      </sheetData>
      <sheetData sheetId="9740">
        <row r="4">
          <cell r="I4">
            <v>0</v>
          </cell>
        </row>
      </sheetData>
      <sheetData sheetId="9741">
        <row r="4">
          <cell r="I4">
            <v>0</v>
          </cell>
        </row>
      </sheetData>
      <sheetData sheetId="9742">
        <row r="4">
          <cell r="I4">
            <v>0</v>
          </cell>
        </row>
      </sheetData>
      <sheetData sheetId="9743">
        <row r="4">
          <cell r="I4">
            <v>0</v>
          </cell>
        </row>
      </sheetData>
      <sheetData sheetId="9744">
        <row r="4">
          <cell r="I4">
            <v>0</v>
          </cell>
        </row>
      </sheetData>
      <sheetData sheetId="9745">
        <row r="4">
          <cell r="I4">
            <v>0</v>
          </cell>
        </row>
      </sheetData>
      <sheetData sheetId="9746">
        <row r="4">
          <cell r="I4">
            <v>0</v>
          </cell>
        </row>
      </sheetData>
      <sheetData sheetId="9747">
        <row r="4">
          <cell r="I4">
            <v>0</v>
          </cell>
        </row>
      </sheetData>
      <sheetData sheetId="9748">
        <row r="4">
          <cell r="I4">
            <v>0</v>
          </cell>
        </row>
      </sheetData>
      <sheetData sheetId="9749">
        <row r="4">
          <cell r="I4">
            <v>0</v>
          </cell>
        </row>
      </sheetData>
      <sheetData sheetId="9750">
        <row r="4">
          <cell r="I4">
            <v>0</v>
          </cell>
        </row>
      </sheetData>
      <sheetData sheetId="9751">
        <row r="4">
          <cell r="I4">
            <v>0</v>
          </cell>
        </row>
      </sheetData>
      <sheetData sheetId="9752">
        <row r="4">
          <cell r="I4">
            <v>0</v>
          </cell>
        </row>
      </sheetData>
      <sheetData sheetId="9753">
        <row r="4">
          <cell r="I4">
            <v>0</v>
          </cell>
        </row>
      </sheetData>
      <sheetData sheetId="9754">
        <row r="4">
          <cell r="I4">
            <v>0</v>
          </cell>
        </row>
      </sheetData>
      <sheetData sheetId="9755">
        <row r="4">
          <cell r="I4">
            <v>0</v>
          </cell>
        </row>
      </sheetData>
      <sheetData sheetId="9756">
        <row r="4">
          <cell r="I4">
            <v>0</v>
          </cell>
        </row>
      </sheetData>
      <sheetData sheetId="9757">
        <row r="4">
          <cell r="I4">
            <v>0</v>
          </cell>
        </row>
      </sheetData>
      <sheetData sheetId="9758">
        <row r="4">
          <cell r="I4">
            <v>0</v>
          </cell>
        </row>
      </sheetData>
      <sheetData sheetId="9759">
        <row r="4">
          <cell r="I4">
            <v>0</v>
          </cell>
        </row>
      </sheetData>
      <sheetData sheetId="9760">
        <row r="4">
          <cell r="I4">
            <v>0</v>
          </cell>
        </row>
      </sheetData>
      <sheetData sheetId="9761">
        <row r="4">
          <cell r="I4">
            <v>0</v>
          </cell>
        </row>
      </sheetData>
      <sheetData sheetId="9762">
        <row r="4">
          <cell r="I4">
            <v>0</v>
          </cell>
        </row>
      </sheetData>
      <sheetData sheetId="9763">
        <row r="4">
          <cell r="I4">
            <v>0</v>
          </cell>
        </row>
      </sheetData>
      <sheetData sheetId="9764">
        <row r="4">
          <cell r="I4">
            <v>0</v>
          </cell>
        </row>
      </sheetData>
      <sheetData sheetId="9765">
        <row r="4">
          <cell r="I4">
            <v>0</v>
          </cell>
        </row>
      </sheetData>
      <sheetData sheetId="9766">
        <row r="4">
          <cell r="I4">
            <v>0</v>
          </cell>
        </row>
      </sheetData>
      <sheetData sheetId="9767">
        <row r="4">
          <cell r="I4">
            <v>0</v>
          </cell>
        </row>
      </sheetData>
      <sheetData sheetId="9768">
        <row r="4">
          <cell r="I4">
            <v>0</v>
          </cell>
        </row>
      </sheetData>
      <sheetData sheetId="9769">
        <row r="4">
          <cell r="I4">
            <v>0</v>
          </cell>
        </row>
      </sheetData>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ow r="4">
          <cell r="I4">
            <v>0</v>
          </cell>
        </row>
      </sheetData>
      <sheetData sheetId="9801">
        <row r="4">
          <cell r="I4">
            <v>0</v>
          </cell>
        </row>
      </sheetData>
      <sheetData sheetId="9802">
        <row r="4">
          <cell r="I4">
            <v>0</v>
          </cell>
        </row>
      </sheetData>
      <sheetData sheetId="9803">
        <row r="4">
          <cell r="I4">
            <v>0</v>
          </cell>
        </row>
      </sheetData>
      <sheetData sheetId="9804">
        <row r="4">
          <cell r="I4">
            <v>0</v>
          </cell>
        </row>
      </sheetData>
      <sheetData sheetId="9805">
        <row r="4">
          <cell r="I4">
            <v>0</v>
          </cell>
        </row>
      </sheetData>
      <sheetData sheetId="9806">
        <row r="4">
          <cell r="I4">
            <v>0</v>
          </cell>
        </row>
      </sheetData>
      <sheetData sheetId="9807">
        <row r="4">
          <cell r="I4">
            <v>0</v>
          </cell>
        </row>
      </sheetData>
      <sheetData sheetId="9808">
        <row r="4">
          <cell r="I4">
            <v>0</v>
          </cell>
        </row>
      </sheetData>
      <sheetData sheetId="9809">
        <row r="4">
          <cell r="I4">
            <v>0</v>
          </cell>
        </row>
      </sheetData>
      <sheetData sheetId="9810">
        <row r="4">
          <cell r="I4">
            <v>0</v>
          </cell>
        </row>
      </sheetData>
      <sheetData sheetId="9811">
        <row r="4">
          <cell r="I4">
            <v>0</v>
          </cell>
        </row>
      </sheetData>
      <sheetData sheetId="9812">
        <row r="4">
          <cell r="I4">
            <v>0</v>
          </cell>
        </row>
      </sheetData>
      <sheetData sheetId="9813">
        <row r="4">
          <cell r="I4">
            <v>0</v>
          </cell>
        </row>
      </sheetData>
      <sheetData sheetId="9814">
        <row r="4">
          <cell r="I4">
            <v>0</v>
          </cell>
        </row>
      </sheetData>
      <sheetData sheetId="9815" refreshError="1"/>
      <sheetData sheetId="9816" refreshError="1"/>
      <sheetData sheetId="9817" refreshError="1"/>
      <sheetData sheetId="9818" refreshError="1"/>
      <sheetData sheetId="9819" refreshError="1"/>
      <sheetData sheetId="9820" refreshError="1"/>
      <sheetData sheetId="9821" refreshError="1"/>
      <sheetData sheetId="9822"/>
      <sheetData sheetId="9823" refreshError="1"/>
      <sheetData sheetId="9824"/>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ow r="4">
          <cell r="I4">
            <v>0</v>
          </cell>
        </row>
      </sheetData>
      <sheetData sheetId="9870">
        <row r="4">
          <cell r="I4">
            <v>0</v>
          </cell>
        </row>
      </sheetData>
      <sheetData sheetId="9871">
        <row r="4">
          <cell r="I4">
            <v>0</v>
          </cell>
        </row>
      </sheetData>
      <sheetData sheetId="9872">
        <row r="4">
          <cell r="I4">
            <v>0</v>
          </cell>
        </row>
      </sheetData>
      <sheetData sheetId="9873">
        <row r="4">
          <cell r="I4">
            <v>0</v>
          </cell>
        </row>
      </sheetData>
      <sheetData sheetId="9874">
        <row r="4">
          <cell r="I4">
            <v>0</v>
          </cell>
        </row>
      </sheetData>
      <sheetData sheetId="9875">
        <row r="4">
          <cell r="I4">
            <v>0</v>
          </cell>
        </row>
      </sheetData>
      <sheetData sheetId="9876">
        <row r="4">
          <cell r="I4">
            <v>0</v>
          </cell>
        </row>
      </sheetData>
      <sheetData sheetId="9877">
        <row r="4">
          <cell r="I4">
            <v>0</v>
          </cell>
        </row>
      </sheetData>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ow r="4">
          <cell r="I4">
            <v>0</v>
          </cell>
        </row>
      </sheetData>
      <sheetData sheetId="9884">
        <row r="4">
          <cell r="I4">
            <v>0</v>
          </cell>
        </row>
      </sheetData>
      <sheetData sheetId="9885">
        <row r="4">
          <cell r="I4">
            <v>0</v>
          </cell>
        </row>
      </sheetData>
      <sheetData sheetId="9886">
        <row r="4">
          <cell r="I4">
            <v>0</v>
          </cell>
        </row>
      </sheetData>
      <sheetData sheetId="9887">
        <row r="4">
          <cell r="I4">
            <v>0</v>
          </cell>
        </row>
      </sheetData>
      <sheetData sheetId="9888">
        <row r="4">
          <cell r="I4">
            <v>0</v>
          </cell>
        </row>
      </sheetData>
      <sheetData sheetId="9889">
        <row r="4">
          <cell r="I4">
            <v>0</v>
          </cell>
        </row>
      </sheetData>
      <sheetData sheetId="9890">
        <row r="4">
          <cell r="I4">
            <v>0</v>
          </cell>
        </row>
      </sheetData>
      <sheetData sheetId="9891">
        <row r="4">
          <cell r="I4">
            <v>0</v>
          </cell>
        </row>
      </sheetData>
      <sheetData sheetId="9892">
        <row r="4">
          <cell r="I4">
            <v>0</v>
          </cell>
        </row>
      </sheetData>
      <sheetData sheetId="9893">
        <row r="4">
          <cell r="I4">
            <v>0</v>
          </cell>
        </row>
      </sheetData>
      <sheetData sheetId="9894">
        <row r="4">
          <cell r="I4">
            <v>0</v>
          </cell>
        </row>
      </sheetData>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ow r="4">
          <cell r="I4">
            <v>0</v>
          </cell>
        </row>
      </sheetData>
      <sheetData sheetId="9901">
        <row r="4">
          <cell r="I4">
            <v>0</v>
          </cell>
        </row>
      </sheetData>
      <sheetData sheetId="9902">
        <row r="4">
          <cell r="I4">
            <v>0</v>
          </cell>
        </row>
      </sheetData>
      <sheetData sheetId="9903">
        <row r="4">
          <cell r="I4">
            <v>0</v>
          </cell>
        </row>
      </sheetData>
      <sheetData sheetId="9904">
        <row r="4">
          <cell r="I4">
            <v>0</v>
          </cell>
        </row>
      </sheetData>
      <sheetData sheetId="9905" refreshError="1"/>
      <sheetData sheetId="9906">
        <row r="4">
          <cell r="I4">
            <v>0</v>
          </cell>
        </row>
      </sheetData>
      <sheetData sheetId="9907">
        <row r="4">
          <cell r="I4">
            <v>0</v>
          </cell>
        </row>
      </sheetData>
      <sheetData sheetId="9908">
        <row r="4">
          <cell r="I4">
            <v>0</v>
          </cell>
        </row>
      </sheetData>
      <sheetData sheetId="9909">
        <row r="4">
          <cell r="I4">
            <v>0</v>
          </cell>
        </row>
      </sheetData>
      <sheetData sheetId="9910">
        <row r="4">
          <cell r="I4">
            <v>0</v>
          </cell>
        </row>
      </sheetData>
      <sheetData sheetId="9911">
        <row r="4">
          <cell r="I4">
            <v>0</v>
          </cell>
        </row>
      </sheetData>
      <sheetData sheetId="9912">
        <row r="4">
          <cell r="I4">
            <v>0</v>
          </cell>
        </row>
      </sheetData>
      <sheetData sheetId="9913">
        <row r="4">
          <cell r="I4">
            <v>0</v>
          </cell>
        </row>
      </sheetData>
      <sheetData sheetId="9914">
        <row r="4">
          <cell r="I4">
            <v>0</v>
          </cell>
        </row>
      </sheetData>
      <sheetData sheetId="9915">
        <row r="4">
          <cell r="I4">
            <v>0</v>
          </cell>
        </row>
      </sheetData>
      <sheetData sheetId="9916">
        <row r="4">
          <cell r="I4">
            <v>0</v>
          </cell>
        </row>
      </sheetData>
      <sheetData sheetId="9917">
        <row r="4">
          <cell r="I4">
            <v>0</v>
          </cell>
        </row>
      </sheetData>
      <sheetData sheetId="9918">
        <row r="4">
          <cell r="I4">
            <v>0</v>
          </cell>
        </row>
      </sheetData>
      <sheetData sheetId="9919">
        <row r="4">
          <cell r="I4">
            <v>0</v>
          </cell>
        </row>
      </sheetData>
      <sheetData sheetId="9920">
        <row r="4">
          <cell r="I4">
            <v>0</v>
          </cell>
        </row>
      </sheetData>
      <sheetData sheetId="9921">
        <row r="4">
          <cell r="I4">
            <v>0</v>
          </cell>
        </row>
      </sheetData>
      <sheetData sheetId="9922">
        <row r="4">
          <cell r="I4">
            <v>0</v>
          </cell>
        </row>
      </sheetData>
      <sheetData sheetId="9923">
        <row r="4">
          <cell r="I4">
            <v>0</v>
          </cell>
        </row>
      </sheetData>
      <sheetData sheetId="9924" refreshError="1"/>
      <sheetData sheetId="9925" refreshError="1"/>
      <sheetData sheetId="9926" refreshError="1"/>
      <sheetData sheetId="9927" refreshError="1"/>
      <sheetData sheetId="9928"/>
      <sheetData sheetId="9929"/>
      <sheetData sheetId="9930"/>
      <sheetData sheetId="9931" refreshError="1"/>
      <sheetData sheetId="9932" refreshError="1"/>
      <sheetData sheetId="9933" refreshError="1"/>
      <sheetData sheetId="9934" refreshError="1"/>
      <sheetData sheetId="9935" refreshError="1"/>
      <sheetData sheetId="9936" refreshError="1"/>
      <sheetData sheetId="9937"/>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ow r="4">
          <cell r="I4">
            <v>0</v>
          </cell>
        </row>
      </sheetData>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ow r="4">
          <cell r="I4">
            <v>0</v>
          </cell>
        </row>
      </sheetData>
      <sheetData sheetId="10040" refreshError="1"/>
      <sheetData sheetId="10041" refreshError="1"/>
      <sheetData sheetId="10042" refreshError="1"/>
      <sheetData sheetId="10043">
        <row r="4">
          <cell r="I4">
            <v>0</v>
          </cell>
        </row>
      </sheetData>
      <sheetData sheetId="10044" refreshError="1"/>
      <sheetData sheetId="10045">
        <row r="4">
          <cell r="I4">
            <v>0</v>
          </cell>
        </row>
      </sheetData>
      <sheetData sheetId="10046">
        <row r="4">
          <cell r="I4">
            <v>0</v>
          </cell>
        </row>
      </sheetData>
      <sheetData sheetId="10047">
        <row r="4">
          <cell r="I4">
            <v>0</v>
          </cell>
        </row>
      </sheetData>
      <sheetData sheetId="10048">
        <row r="4">
          <cell r="I4">
            <v>0</v>
          </cell>
        </row>
      </sheetData>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ow r="4">
          <cell r="I4">
            <v>0</v>
          </cell>
        </row>
      </sheetData>
      <sheetData sheetId="10090">
        <row r="4">
          <cell r="I4">
            <v>0</v>
          </cell>
        </row>
      </sheetData>
      <sheetData sheetId="10091">
        <row r="4">
          <cell r="I4">
            <v>0</v>
          </cell>
        </row>
      </sheetData>
      <sheetData sheetId="10092">
        <row r="4">
          <cell r="I4">
            <v>0</v>
          </cell>
        </row>
      </sheetData>
      <sheetData sheetId="10093">
        <row r="4">
          <cell r="I4">
            <v>0</v>
          </cell>
        </row>
      </sheetData>
      <sheetData sheetId="10094" refreshError="1"/>
      <sheetData sheetId="10095">
        <row r="4">
          <cell r="I4">
            <v>0</v>
          </cell>
        </row>
      </sheetData>
      <sheetData sheetId="10096">
        <row r="4">
          <cell r="I4">
            <v>0</v>
          </cell>
        </row>
      </sheetData>
      <sheetData sheetId="10097">
        <row r="4">
          <cell r="I4">
            <v>0</v>
          </cell>
        </row>
      </sheetData>
      <sheetData sheetId="10098">
        <row r="4">
          <cell r="I4">
            <v>0</v>
          </cell>
        </row>
      </sheetData>
      <sheetData sheetId="10099">
        <row r="4">
          <cell r="I4">
            <v>0</v>
          </cell>
        </row>
      </sheetData>
      <sheetData sheetId="10100">
        <row r="4">
          <cell r="I4">
            <v>0</v>
          </cell>
        </row>
      </sheetData>
      <sheetData sheetId="10101">
        <row r="4">
          <cell r="I4">
            <v>0</v>
          </cell>
        </row>
      </sheetData>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ow r="4">
          <cell r="I4">
            <v>0</v>
          </cell>
        </row>
      </sheetData>
      <sheetData sheetId="10116">
        <row r="4">
          <cell r="I4">
            <v>0</v>
          </cell>
        </row>
      </sheetData>
      <sheetData sheetId="10117">
        <row r="4">
          <cell r="I4">
            <v>0</v>
          </cell>
        </row>
      </sheetData>
      <sheetData sheetId="10118" refreshError="1"/>
      <sheetData sheetId="10119" refreshError="1"/>
      <sheetData sheetId="10120" refreshError="1"/>
      <sheetData sheetId="10121" refreshError="1"/>
      <sheetData sheetId="10122" refreshError="1"/>
      <sheetData sheetId="10123">
        <row r="4">
          <cell r="I4">
            <v>0</v>
          </cell>
        </row>
      </sheetData>
      <sheetData sheetId="10124">
        <row r="4">
          <cell r="I4">
            <v>0</v>
          </cell>
        </row>
      </sheetData>
      <sheetData sheetId="10125">
        <row r="4">
          <cell r="I4">
            <v>0</v>
          </cell>
        </row>
      </sheetData>
      <sheetData sheetId="10126">
        <row r="4">
          <cell r="I4">
            <v>0</v>
          </cell>
        </row>
      </sheetData>
      <sheetData sheetId="10127">
        <row r="4">
          <cell r="I4">
            <v>0</v>
          </cell>
        </row>
      </sheetData>
      <sheetData sheetId="10128">
        <row r="4">
          <cell r="I4">
            <v>0</v>
          </cell>
        </row>
      </sheetData>
      <sheetData sheetId="10129">
        <row r="4">
          <cell r="I4">
            <v>0</v>
          </cell>
        </row>
      </sheetData>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ow r="4">
          <cell r="I4">
            <v>0</v>
          </cell>
        </row>
      </sheetData>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ow r="4">
          <cell r="I4">
            <v>0</v>
          </cell>
        </row>
      </sheetData>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ow r="4">
          <cell r="I4">
            <v>0</v>
          </cell>
        </row>
      </sheetData>
      <sheetData sheetId="10223">
        <row r="4">
          <cell r="I4">
            <v>0</v>
          </cell>
        </row>
      </sheetData>
      <sheetData sheetId="10224">
        <row r="4">
          <cell r="I4">
            <v>0</v>
          </cell>
        </row>
      </sheetData>
      <sheetData sheetId="10225">
        <row r="4">
          <cell r="I4">
            <v>0</v>
          </cell>
        </row>
      </sheetData>
      <sheetData sheetId="10226">
        <row r="4">
          <cell r="I4">
            <v>0</v>
          </cell>
        </row>
      </sheetData>
      <sheetData sheetId="10227">
        <row r="4">
          <cell r="I4">
            <v>0</v>
          </cell>
        </row>
      </sheetData>
      <sheetData sheetId="10228">
        <row r="4">
          <cell r="I4">
            <v>0</v>
          </cell>
        </row>
      </sheetData>
      <sheetData sheetId="10229">
        <row r="4">
          <cell r="I4">
            <v>0</v>
          </cell>
        </row>
      </sheetData>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ow r="4">
          <cell r="I4">
            <v>0</v>
          </cell>
        </row>
      </sheetData>
      <sheetData sheetId="10310">
        <row r="4">
          <cell r="I4">
            <v>0</v>
          </cell>
        </row>
      </sheetData>
      <sheetData sheetId="10311">
        <row r="4">
          <cell r="I4">
            <v>0</v>
          </cell>
        </row>
      </sheetData>
      <sheetData sheetId="10312">
        <row r="4">
          <cell r="I4">
            <v>0</v>
          </cell>
        </row>
      </sheetData>
      <sheetData sheetId="10313">
        <row r="4">
          <cell r="I4">
            <v>0</v>
          </cell>
        </row>
      </sheetData>
      <sheetData sheetId="10314">
        <row r="4">
          <cell r="I4">
            <v>0</v>
          </cell>
        </row>
      </sheetData>
      <sheetData sheetId="10315">
        <row r="4">
          <cell r="I4">
            <v>0</v>
          </cell>
        </row>
      </sheetData>
      <sheetData sheetId="10316">
        <row r="4">
          <cell r="I4">
            <v>0</v>
          </cell>
        </row>
      </sheetData>
      <sheetData sheetId="10317">
        <row r="4">
          <cell r="I4">
            <v>0</v>
          </cell>
        </row>
      </sheetData>
      <sheetData sheetId="10318">
        <row r="4">
          <cell r="I4">
            <v>0</v>
          </cell>
        </row>
      </sheetData>
      <sheetData sheetId="10319">
        <row r="4">
          <cell r="I4">
            <v>0</v>
          </cell>
        </row>
      </sheetData>
      <sheetData sheetId="10320">
        <row r="4">
          <cell r="I4">
            <v>0</v>
          </cell>
        </row>
      </sheetData>
      <sheetData sheetId="10321">
        <row r="4">
          <cell r="I4">
            <v>0</v>
          </cell>
        </row>
      </sheetData>
      <sheetData sheetId="10322">
        <row r="4">
          <cell r="I4">
            <v>0</v>
          </cell>
        </row>
      </sheetData>
      <sheetData sheetId="10323">
        <row r="4">
          <cell r="I4">
            <v>0</v>
          </cell>
        </row>
      </sheetData>
      <sheetData sheetId="10324">
        <row r="4">
          <cell r="I4">
            <v>0</v>
          </cell>
        </row>
      </sheetData>
      <sheetData sheetId="10325">
        <row r="4">
          <cell r="I4">
            <v>0</v>
          </cell>
        </row>
      </sheetData>
      <sheetData sheetId="10326">
        <row r="4">
          <cell r="I4">
            <v>0</v>
          </cell>
        </row>
      </sheetData>
      <sheetData sheetId="10327">
        <row r="4">
          <cell r="I4">
            <v>0</v>
          </cell>
        </row>
      </sheetData>
      <sheetData sheetId="10328">
        <row r="4">
          <cell r="I4">
            <v>0</v>
          </cell>
        </row>
      </sheetData>
      <sheetData sheetId="10329">
        <row r="4">
          <cell r="I4">
            <v>0</v>
          </cell>
        </row>
      </sheetData>
      <sheetData sheetId="10330">
        <row r="4">
          <cell r="I4">
            <v>0</v>
          </cell>
        </row>
      </sheetData>
      <sheetData sheetId="10331">
        <row r="4">
          <cell r="I4">
            <v>0</v>
          </cell>
        </row>
      </sheetData>
      <sheetData sheetId="10332">
        <row r="4">
          <cell r="I4">
            <v>0</v>
          </cell>
        </row>
      </sheetData>
      <sheetData sheetId="10333">
        <row r="4">
          <cell r="I4">
            <v>0</v>
          </cell>
        </row>
      </sheetData>
      <sheetData sheetId="10334">
        <row r="4">
          <cell r="I4">
            <v>0</v>
          </cell>
        </row>
      </sheetData>
      <sheetData sheetId="10335">
        <row r="4">
          <cell r="I4">
            <v>0</v>
          </cell>
        </row>
      </sheetData>
      <sheetData sheetId="10336">
        <row r="4">
          <cell r="I4">
            <v>0</v>
          </cell>
        </row>
      </sheetData>
      <sheetData sheetId="10337">
        <row r="4">
          <cell r="I4">
            <v>0</v>
          </cell>
        </row>
      </sheetData>
      <sheetData sheetId="10338">
        <row r="4">
          <cell r="I4">
            <v>0</v>
          </cell>
        </row>
      </sheetData>
      <sheetData sheetId="10339">
        <row r="4">
          <cell r="I4">
            <v>0</v>
          </cell>
        </row>
      </sheetData>
      <sheetData sheetId="10340">
        <row r="4">
          <cell r="I4">
            <v>0</v>
          </cell>
        </row>
      </sheetData>
      <sheetData sheetId="10341">
        <row r="4">
          <cell r="I4">
            <v>0</v>
          </cell>
        </row>
      </sheetData>
      <sheetData sheetId="10342">
        <row r="4">
          <cell r="I4">
            <v>0</v>
          </cell>
        </row>
      </sheetData>
      <sheetData sheetId="10343">
        <row r="4">
          <cell r="I4">
            <v>0</v>
          </cell>
        </row>
      </sheetData>
      <sheetData sheetId="10344">
        <row r="4">
          <cell r="I4">
            <v>0</v>
          </cell>
        </row>
      </sheetData>
      <sheetData sheetId="10345">
        <row r="4">
          <cell r="I4">
            <v>0</v>
          </cell>
        </row>
      </sheetData>
      <sheetData sheetId="10346">
        <row r="4">
          <cell r="I4">
            <v>0</v>
          </cell>
        </row>
      </sheetData>
      <sheetData sheetId="10347">
        <row r="4">
          <cell r="I4">
            <v>0</v>
          </cell>
        </row>
      </sheetData>
      <sheetData sheetId="10348">
        <row r="4">
          <cell r="I4">
            <v>0</v>
          </cell>
        </row>
      </sheetData>
      <sheetData sheetId="10349">
        <row r="4">
          <cell r="I4">
            <v>0</v>
          </cell>
        </row>
      </sheetData>
      <sheetData sheetId="10350">
        <row r="4">
          <cell r="I4">
            <v>0</v>
          </cell>
        </row>
      </sheetData>
      <sheetData sheetId="10351">
        <row r="4">
          <cell r="I4">
            <v>0</v>
          </cell>
        </row>
      </sheetData>
      <sheetData sheetId="10352">
        <row r="4">
          <cell r="I4">
            <v>0</v>
          </cell>
        </row>
      </sheetData>
      <sheetData sheetId="10353">
        <row r="4">
          <cell r="I4">
            <v>0</v>
          </cell>
        </row>
      </sheetData>
      <sheetData sheetId="10354">
        <row r="4">
          <cell r="I4">
            <v>0</v>
          </cell>
        </row>
      </sheetData>
      <sheetData sheetId="10355">
        <row r="4">
          <cell r="I4">
            <v>0</v>
          </cell>
        </row>
      </sheetData>
      <sheetData sheetId="10356">
        <row r="4">
          <cell r="I4">
            <v>0</v>
          </cell>
        </row>
      </sheetData>
      <sheetData sheetId="10357">
        <row r="4">
          <cell r="I4">
            <v>0</v>
          </cell>
        </row>
      </sheetData>
      <sheetData sheetId="10358">
        <row r="4">
          <cell r="I4">
            <v>0</v>
          </cell>
        </row>
      </sheetData>
      <sheetData sheetId="10359">
        <row r="4">
          <cell r="I4">
            <v>0</v>
          </cell>
        </row>
      </sheetData>
      <sheetData sheetId="10360">
        <row r="4">
          <cell r="I4">
            <v>0</v>
          </cell>
        </row>
      </sheetData>
      <sheetData sheetId="10361">
        <row r="4">
          <cell r="I4">
            <v>0</v>
          </cell>
        </row>
      </sheetData>
      <sheetData sheetId="10362">
        <row r="4">
          <cell r="I4">
            <v>0</v>
          </cell>
        </row>
      </sheetData>
      <sheetData sheetId="10363">
        <row r="4">
          <cell r="I4">
            <v>0</v>
          </cell>
        </row>
      </sheetData>
      <sheetData sheetId="10364">
        <row r="4">
          <cell r="I4">
            <v>0</v>
          </cell>
        </row>
      </sheetData>
      <sheetData sheetId="10365">
        <row r="4">
          <cell r="I4">
            <v>0</v>
          </cell>
        </row>
      </sheetData>
      <sheetData sheetId="10366">
        <row r="4">
          <cell r="I4">
            <v>0</v>
          </cell>
        </row>
      </sheetData>
      <sheetData sheetId="10367">
        <row r="4">
          <cell r="I4">
            <v>0</v>
          </cell>
        </row>
      </sheetData>
      <sheetData sheetId="10368">
        <row r="4">
          <cell r="I4">
            <v>0</v>
          </cell>
        </row>
      </sheetData>
      <sheetData sheetId="10369">
        <row r="4">
          <cell r="I4">
            <v>0</v>
          </cell>
        </row>
      </sheetData>
      <sheetData sheetId="10370">
        <row r="4">
          <cell r="I4">
            <v>0</v>
          </cell>
        </row>
      </sheetData>
      <sheetData sheetId="10371">
        <row r="4">
          <cell r="I4">
            <v>0</v>
          </cell>
        </row>
      </sheetData>
      <sheetData sheetId="10372">
        <row r="4">
          <cell r="I4">
            <v>0</v>
          </cell>
        </row>
      </sheetData>
      <sheetData sheetId="10373">
        <row r="4">
          <cell r="I4">
            <v>0</v>
          </cell>
        </row>
      </sheetData>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ow r="4">
          <cell r="I4">
            <v>0</v>
          </cell>
        </row>
      </sheetData>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ow r="4">
          <cell r="I4">
            <v>0</v>
          </cell>
        </row>
      </sheetData>
      <sheetData sheetId="10419">
        <row r="4">
          <cell r="I4">
            <v>0</v>
          </cell>
        </row>
      </sheetData>
      <sheetData sheetId="10420">
        <row r="4">
          <cell r="I4">
            <v>0</v>
          </cell>
        </row>
      </sheetData>
      <sheetData sheetId="10421">
        <row r="4">
          <cell r="I4">
            <v>0</v>
          </cell>
        </row>
      </sheetData>
      <sheetData sheetId="10422">
        <row r="4">
          <cell r="I4">
            <v>0</v>
          </cell>
        </row>
      </sheetData>
      <sheetData sheetId="10423">
        <row r="4">
          <cell r="I4">
            <v>0</v>
          </cell>
        </row>
      </sheetData>
      <sheetData sheetId="10424">
        <row r="4">
          <cell r="I4">
            <v>0</v>
          </cell>
        </row>
      </sheetData>
      <sheetData sheetId="10425">
        <row r="4">
          <cell r="I4">
            <v>0</v>
          </cell>
        </row>
      </sheetData>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ow r="4">
          <cell r="I4">
            <v>0</v>
          </cell>
        </row>
      </sheetData>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ow r="4">
          <cell r="I4">
            <v>0</v>
          </cell>
        </row>
      </sheetData>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row r="4">
          <cell r="I4">
            <v>0</v>
          </cell>
        </row>
      </sheetData>
      <sheetData sheetId="10733">
        <row r="4">
          <cell r="I4">
            <v>0</v>
          </cell>
        </row>
      </sheetData>
      <sheetData sheetId="10734">
        <row r="4">
          <cell r="I4">
            <v>0</v>
          </cell>
        </row>
      </sheetData>
      <sheetData sheetId="10735">
        <row r="4">
          <cell r="I4">
            <v>0</v>
          </cell>
        </row>
      </sheetData>
      <sheetData sheetId="10736">
        <row r="4">
          <cell r="I4">
            <v>0</v>
          </cell>
        </row>
      </sheetData>
      <sheetData sheetId="10737">
        <row r="4">
          <cell r="I4">
            <v>0</v>
          </cell>
        </row>
      </sheetData>
      <sheetData sheetId="10738">
        <row r="4">
          <cell r="I4">
            <v>0</v>
          </cell>
        </row>
      </sheetData>
      <sheetData sheetId="10739">
        <row r="4">
          <cell r="I4">
            <v>0</v>
          </cell>
        </row>
      </sheetData>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row r="4">
          <cell r="I4">
            <v>0</v>
          </cell>
        </row>
      </sheetData>
      <sheetData sheetId="10757">
        <row r="4">
          <cell r="I4">
            <v>0</v>
          </cell>
        </row>
      </sheetData>
      <sheetData sheetId="10758">
        <row r="4">
          <cell r="I4">
            <v>0</v>
          </cell>
        </row>
      </sheetData>
      <sheetData sheetId="10759">
        <row r="4">
          <cell r="I4">
            <v>0</v>
          </cell>
        </row>
      </sheetData>
      <sheetData sheetId="10760">
        <row r="4">
          <cell r="I4">
            <v>0</v>
          </cell>
        </row>
      </sheetData>
      <sheetData sheetId="10761">
        <row r="4">
          <cell r="I4">
            <v>0</v>
          </cell>
        </row>
      </sheetData>
      <sheetData sheetId="10762">
        <row r="4">
          <cell r="I4">
            <v>0</v>
          </cell>
        </row>
      </sheetData>
      <sheetData sheetId="10763">
        <row r="4">
          <cell r="I4">
            <v>0</v>
          </cell>
        </row>
      </sheetData>
      <sheetData sheetId="10764">
        <row r="4">
          <cell r="I4">
            <v>0</v>
          </cell>
        </row>
      </sheetData>
      <sheetData sheetId="10765">
        <row r="4">
          <cell r="I4">
            <v>0</v>
          </cell>
        </row>
      </sheetData>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row r="4">
          <cell r="I4">
            <v>0</v>
          </cell>
        </row>
      </sheetData>
      <sheetData sheetId="10781">
        <row r="4">
          <cell r="I4">
            <v>0</v>
          </cell>
        </row>
      </sheetData>
      <sheetData sheetId="10782">
        <row r="4">
          <cell r="I4">
            <v>0</v>
          </cell>
        </row>
      </sheetData>
      <sheetData sheetId="10783">
        <row r="4">
          <cell r="I4">
            <v>0</v>
          </cell>
        </row>
      </sheetData>
      <sheetData sheetId="10784">
        <row r="4">
          <cell r="I4">
            <v>0</v>
          </cell>
        </row>
      </sheetData>
      <sheetData sheetId="10785">
        <row r="4">
          <cell r="I4">
            <v>0</v>
          </cell>
        </row>
      </sheetData>
      <sheetData sheetId="10786">
        <row r="4">
          <cell r="I4">
            <v>0</v>
          </cell>
        </row>
      </sheetData>
      <sheetData sheetId="10787">
        <row r="4">
          <cell r="I4">
            <v>0</v>
          </cell>
        </row>
      </sheetData>
      <sheetData sheetId="10788">
        <row r="4">
          <cell r="I4">
            <v>0</v>
          </cell>
        </row>
      </sheetData>
      <sheetData sheetId="10789">
        <row r="4">
          <cell r="I4">
            <v>0</v>
          </cell>
        </row>
      </sheetData>
      <sheetData sheetId="10790">
        <row r="4">
          <cell r="I4">
            <v>0</v>
          </cell>
        </row>
      </sheetData>
      <sheetData sheetId="10791">
        <row r="4">
          <cell r="I4">
            <v>0</v>
          </cell>
        </row>
      </sheetData>
      <sheetData sheetId="10792">
        <row r="4">
          <cell r="I4">
            <v>0</v>
          </cell>
        </row>
      </sheetData>
      <sheetData sheetId="10793">
        <row r="4">
          <cell r="I4">
            <v>0</v>
          </cell>
        </row>
      </sheetData>
      <sheetData sheetId="10794">
        <row r="4">
          <cell r="I4">
            <v>0</v>
          </cell>
        </row>
      </sheetData>
      <sheetData sheetId="10795">
        <row r="4">
          <cell r="I4">
            <v>0</v>
          </cell>
        </row>
      </sheetData>
      <sheetData sheetId="10796">
        <row r="4">
          <cell r="I4">
            <v>0</v>
          </cell>
        </row>
      </sheetData>
      <sheetData sheetId="10797">
        <row r="4">
          <cell r="I4">
            <v>0</v>
          </cell>
        </row>
      </sheetData>
      <sheetData sheetId="10798">
        <row r="4">
          <cell r="I4">
            <v>0</v>
          </cell>
        </row>
      </sheetData>
      <sheetData sheetId="10799">
        <row r="4">
          <cell r="I4">
            <v>0</v>
          </cell>
        </row>
      </sheetData>
      <sheetData sheetId="10800">
        <row r="4">
          <cell r="I4">
            <v>0</v>
          </cell>
        </row>
      </sheetData>
      <sheetData sheetId="10801">
        <row r="4">
          <cell r="I4">
            <v>0</v>
          </cell>
        </row>
      </sheetData>
      <sheetData sheetId="10802">
        <row r="4">
          <cell r="I4">
            <v>0</v>
          </cell>
        </row>
      </sheetData>
      <sheetData sheetId="10803">
        <row r="4">
          <cell r="I4">
            <v>0</v>
          </cell>
        </row>
      </sheetData>
      <sheetData sheetId="10804">
        <row r="4">
          <cell r="I4">
            <v>0</v>
          </cell>
        </row>
      </sheetData>
      <sheetData sheetId="10805">
        <row r="4">
          <cell r="I4">
            <v>0</v>
          </cell>
        </row>
      </sheetData>
      <sheetData sheetId="10806">
        <row r="4">
          <cell r="I4">
            <v>0</v>
          </cell>
        </row>
      </sheetData>
      <sheetData sheetId="10807">
        <row r="4">
          <cell r="I4">
            <v>0</v>
          </cell>
        </row>
      </sheetData>
      <sheetData sheetId="10808">
        <row r="4">
          <cell r="I4">
            <v>0</v>
          </cell>
        </row>
      </sheetData>
      <sheetData sheetId="10809">
        <row r="4">
          <cell r="I4">
            <v>0</v>
          </cell>
        </row>
      </sheetData>
      <sheetData sheetId="10810">
        <row r="4">
          <cell r="I4">
            <v>0</v>
          </cell>
        </row>
      </sheetData>
      <sheetData sheetId="10811">
        <row r="4">
          <cell r="I4">
            <v>0</v>
          </cell>
        </row>
      </sheetData>
      <sheetData sheetId="10812">
        <row r="4">
          <cell r="I4">
            <v>0</v>
          </cell>
        </row>
      </sheetData>
      <sheetData sheetId="10813">
        <row r="4">
          <cell r="I4">
            <v>0</v>
          </cell>
        </row>
      </sheetData>
      <sheetData sheetId="10814">
        <row r="4">
          <cell r="I4">
            <v>0</v>
          </cell>
        </row>
      </sheetData>
      <sheetData sheetId="10815">
        <row r="4">
          <cell r="I4">
            <v>0</v>
          </cell>
        </row>
      </sheetData>
      <sheetData sheetId="10816">
        <row r="4">
          <cell r="I4">
            <v>0</v>
          </cell>
        </row>
      </sheetData>
      <sheetData sheetId="10817">
        <row r="4">
          <cell r="I4">
            <v>0</v>
          </cell>
        </row>
      </sheetData>
      <sheetData sheetId="10818">
        <row r="4">
          <cell r="I4">
            <v>0</v>
          </cell>
        </row>
      </sheetData>
      <sheetData sheetId="10819">
        <row r="4">
          <cell r="I4">
            <v>0</v>
          </cell>
        </row>
      </sheetData>
      <sheetData sheetId="10820">
        <row r="4">
          <cell r="I4">
            <v>0</v>
          </cell>
        </row>
      </sheetData>
      <sheetData sheetId="10821">
        <row r="4">
          <cell r="I4">
            <v>0</v>
          </cell>
        </row>
      </sheetData>
      <sheetData sheetId="10822">
        <row r="4">
          <cell r="I4">
            <v>0</v>
          </cell>
        </row>
      </sheetData>
      <sheetData sheetId="10823">
        <row r="4">
          <cell r="I4">
            <v>0</v>
          </cell>
        </row>
      </sheetData>
      <sheetData sheetId="10824">
        <row r="4">
          <cell r="I4">
            <v>0</v>
          </cell>
        </row>
      </sheetData>
      <sheetData sheetId="10825">
        <row r="4">
          <cell r="I4">
            <v>0</v>
          </cell>
        </row>
      </sheetData>
      <sheetData sheetId="10826">
        <row r="4">
          <cell r="I4">
            <v>0</v>
          </cell>
        </row>
      </sheetData>
      <sheetData sheetId="10827">
        <row r="4">
          <cell r="I4">
            <v>0</v>
          </cell>
        </row>
      </sheetData>
      <sheetData sheetId="10828">
        <row r="4">
          <cell r="I4">
            <v>0</v>
          </cell>
        </row>
      </sheetData>
      <sheetData sheetId="10829">
        <row r="4">
          <cell r="I4">
            <v>0</v>
          </cell>
        </row>
      </sheetData>
      <sheetData sheetId="10830">
        <row r="4">
          <cell r="I4">
            <v>0</v>
          </cell>
        </row>
      </sheetData>
      <sheetData sheetId="10831">
        <row r="4">
          <cell r="I4">
            <v>0</v>
          </cell>
        </row>
      </sheetData>
      <sheetData sheetId="10832">
        <row r="4">
          <cell r="I4">
            <v>0</v>
          </cell>
        </row>
      </sheetData>
      <sheetData sheetId="10833">
        <row r="4">
          <cell r="I4">
            <v>0</v>
          </cell>
        </row>
      </sheetData>
      <sheetData sheetId="10834">
        <row r="4">
          <cell r="I4">
            <v>0</v>
          </cell>
        </row>
      </sheetData>
      <sheetData sheetId="10835">
        <row r="4">
          <cell r="I4">
            <v>0</v>
          </cell>
        </row>
      </sheetData>
      <sheetData sheetId="10836">
        <row r="4">
          <cell r="I4">
            <v>0</v>
          </cell>
        </row>
      </sheetData>
      <sheetData sheetId="10837">
        <row r="4">
          <cell r="I4">
            <v>0</v>
          </cell>
        </row>
      </sheetData>
      <sheetData sheetId="10838">
        <row r="4">
          <cell r="I4">
            <v>0</v>
          </cell>
        </row>
      </sheetData>
      <sheetData sheetId="10839">
        <row r="4">
          <cell r="I4">
            <v>0</v>
          </cell>
        </row>
      </sheetData>
      <sheetData sheetId="10840">
        <row r="4">
          <cell r="I4">
            <v>0</v>
          </cell>
        </row>
      </sheetData>
      <sheetData sheetId="10841">
        <row r="4">
          <cell r="I4">
            <v>0</v>
          </cell>
        </row>
      </sheetData>
      <sheetData sheetId="10842">
        <row r="4">
          <cell r="I4">
            <v>0</v>
          </cell>
        </row>
      </sheetData>
      <sheetData sheetId="10843">
        <row r="4">
          <cell r="I4">
            <v>0</v>
          </cell>
        </row>
      </sheetData>
      <sheetData sheetId="10844">
        <row r="4">
          <cell r="I4">
            <v>0</v>
          </cell>
        </row>
      </sheetData>
      <sheetData sheetId="10845">
        <row r="4">
          <cell r="I4">
            <v>0</v>
          </cell>
        </row>
      </sheetData>
      <sheetData sheetId="10846">
        <row r="4">
          <cell r="I4">
            <v>0</v>
          </cell>
        </row>
      </sheetData>
      <sheetData sheetId="10847">
        <row r="4">
          <cell r="I4">
            <v>0</v>
          </cell>
        </row>
      </sheetData>
      <sheetData sheetId="10848">
        <row r="4">
          <cell r="I4">
            <v>0</v>
          </cell>
        </row>
      </sheetData>
      <sheetData sheetId="10849">
        <row r="4">
          <cell r="I4">
            <v>0</v>
          </cell>
        </row>
      </sheetData>
      <sheetData sheetId="10850">
        <row r="4">
          <cell r="I4">
            <v>0</v>
          </cell>
        </row>
      </sheetData>
      <sheetData sheetId="10851">
        <row r="4">
          <cell r="I4">
            <v>0</v>
          </cell>
        </row>
      </sheetData>
      <sheetData sheetId="10852">
        <row r="4">
          <cell r="I4">
            <v>0</v>
          </cell>
        </row>
      </sheetData>
      <sheetData sheetId="10853">
        <row r="4">
          <cell r="I4">
            <v>0</v>
          </cell>
        </row>
      </sheetData>
      <sheetData sheetId="10854">
        <row r="4">
          <cell r="I4">
            <v>0</v>
          </cell>
        </row>
      </sheetData>
      <sheetData sheetId="10855">
        <row r="4">
          <cell r="I4">
            <v>0</v>
          </cell>
        </row>
      </sheetData>
      <sheetData sheetId="10856">
        <row r="4">
          <cell r="I4">
            <v>0</v>
          </cell>
        </row>
      </sheetData>
      <sheetData sheetId="10857">
        <row r="4">
          <cell r="I4">
            <v>0</v>
          </cell>
        </row>
      </sheetData>
      <sheetData sheetId="10858">
        <row r="4">
          <cell r="I4">
            <v>0</v>
          </cell>
        </row>
      </sheetData>
      <sheetData sheetId="10859">
        <row r="4">
          <cell r="I4">
            <v>0</v>
          </cell>
        </row>
      </sheetData>
      <sheetData sheetId="10860">
        <row r="4">
          <cell r="I4">
            <v>0</v>
          </cell>
        </row>
      </sheetData>
      <sheetData sheetId="10861">
        <row r="4">
          <cell r="I4">
            <v>0</v>
          </cell>
        </row>
      </sheetData>
      <sheetData sheetId="10862">
        <row r="4">
          <cell r="I4">
            <v>0</v>
          </cell>
        </row>
      </sheetData>
      <sheetData sheetId="10863">
        <row r="4">
          <cell r="I4">
            <v>0</v>
          </cell>
        </row>
      </sheetData>
      <sheetData sheetId="10864">
        <row r="4">
          <cell r="I4">
            <v>0</v>
          </cell>
        </row>
      </sheetData>
      <sheetData sheetId="10865">
        <row r="4">
          <cell r="I4">
            <v>0</v>
          </cell>
        </row>
      </sheetData>
      <sheetData sheetId="10866">
        <row r="4">
          <cell r="I4">
            <v>0</v>
          </cell>
        </row>
      </sheetData>
      <sheetData sheetId="10867">
        <row r="4">
          <cell r="I4">
            <v>0</v>
          </cell>
        </row>
      </sheetData>
      <sheetData sheetId="10868">
        <row r="4">
          <cell r="I4">
            <v>0</v>
          </cell>
        </row>
      </sheetData>
      <sheetData sheetId="10869">
        <row r="4">
          <cell r="I4">
            <v>0</v>
          </cell>
        </row>
      </sheetData>
      <sheetData sheetId="10870">
        <row r="4">
          <cell r="I4">
            <v>0</v>
          </cell>
        </row>
      </sheetData>
      <sheetData sheetId="10871">
        <row r="4">
          <cell r="I4">
            <v>0</v>
          </cell>
        </row>
      </sheetData>
      <sheetData sheetId="10872">
        <row r="4">
          <cell r="I4">
            <v>0</v>
          </cell>
        </row>
      </sheetData>
      <sheetData sheetId="10873">
        <row r="4">
          <cell r="I4">
            <v>0</v>
          </cell>
        </row>
      </sheetData>
      <sheetData sheetId="10874">
        <row r="4">
          <cell r="I4">
            <v>0</v>
          </cell>
        </row>
      </sheetData>
      <sheetData sheetId="10875">
        <row r="4">
          <cell r="I4">
            <v>0</v>
          </cell>
        </row>
      </sheetData>
      <sheetData sheetId="10876">
        <row r="4">
          <cell r="I4">
            <v>0</v>
          </cell>
        </row>
      </sheetData>
      <sheetData sheetId="10877">
        <row r="4">
          <cell r="I4">
            <v>0</v>
          </cell>
        </row>
      </sheetData>
      <sheetData sheetId="10878">
        <row r="4">
          <cell r="I4">
            <v>0</v>
          </cell>
        </row>
      </sheetData>
      <sheetData sheetId="10879">
        <row r="4">
          <cell r="I4">
            <v>0</v>
          </cell>
        </row>
      </sheetData>
      <sheetData sheetId="10880">
        <row r="4">
          <cell r="I4">
            <v>0</v>
          </cell>
        </row>
      </sheetData>
      <sheetData sheetId="10881">
        <row r="4">
          <cell r="I4">
            <v>0</v>
          </cell>
        </row>
      </sheetData>
      <sheetData sheetId="10882">
        <row r="4">
          <cell r="I4">
            <v>0</v>
          </cell>
        </row>
      </sheetData>
      <sheetData sheetId="10883">
        <row r="4">
          <cell r="I4">
            <v>0</v>
          </cell>
        </row>
      </sheetData>
      <sheetData sheetId="10884">
        <row r="4">
          <cell r="I4">
            <v>0</v>
          </cell>
        </row>
      </sheetData>
      <sheetData sheetId="10885">
        <row r="4">
          <cell r="I4">
            <v>0</v>
          </cell>
        </row>
      </sheetData>
      <sheetData sheetId="10886">
        <row r="4">
          <cell r="I4">
            <v>0</v>
          </cell>
        </row>
      </sheetData>
      <sheetData sheetId="10887">
        <row r="4">
          <cell r="I4">
            <v>0</v>
          </cell>
        </row>
      </sheetData>
      <sheetData sheetId="10888">
        <row r="4">
          <cell r="I4">
            <v>0</v>
          </cell>
        </row>
      </sheetData>
      <sheetData sheetId="10889">
        <row r="4">
          <cell r="I4">
            <v>0</v>
          </cell>
        </row>
      </sheetData>
      <sheetData sheetId="10890">
        <row r="4">
          <cell r="I4">
            <v>0</v>
          </cell>
        </row>
      </sheetData>
      <sheetData sheetId="10891">
        <row r="4">
          <cell r="I4">
            <v>0</v>
          </cell>
        </row>
      </sheetData>
      <sheetData sheetId="10892">
        <row r="4">
          <cell r="I4">
            <v>0</v>
          </cell>
        </row>
      </sheetData>
      <sheetData sheetId="10893">
        <row r="4">
          <cell r="I4">
            <v>0</v>
          </cell>
        </row>
      </sheetData>
      <sheetData sheetId="10894">
        <row r="4">
          <cell r="I4">
            <v>0</v>
          </cell>
        </row>
      </sheetData>
      <sheetData sheetId="10895">
        <row r="4">
          <cell r="I4">
            <v>0</v>
          </cell>
        </row>
      </sheetData>
      <sheetData sheetId="10896">
        <row r="4">
          <cell r="I4">
            <v>0</v>
          </cell>
        </row>
      </sheetData>
      <sheetData sheetId="10897">
        <row r="4">
          <cell r="I4">
            <v>0</v>
          </cell>
        </row>
      </sheetData>
      <sheetData sheetId="10898">
        <row r="4">
          <cell r="I4">
            <v>0</v>
          </cell>
        </row>
      </sheetData>
      <sheetData sheetId="10899">
        <row r="4">
          <cell r="I4">
            <v>0</v>
          </cell>
        </row>
      </sheetData>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ow r="4">
          <cell r="I4">
            <v>0</v>
          </cell>
        </row>
      </sheetData>
      <sheetData sheetId="10922">
        <row r="4">
          <cell r="I4">
            <v>0</v>
          </cell>
        </row>
      </sheetData>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ow r="4">
          <cell r="I4">
            <v>0</v>
          </cell>
        </row>
      </sheetData>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ow r="4">
          <cell r="I4">
            <v>0</v>
          </cell>
        </row>
      </sheetData>
      <sheetData sheetId="10952">
        <row r="4">
          <cell r="I4">
            <v>0</v>
          </cell>
        </row>
      </sheetData>
      <sheetData sheetId="10953">
        <row r="4">
          <cell r="I4">
            <v>0</v>
          </cell>
        </row>
      </sheetData>
      <sheetData sheetId="10954">
        <row r="4">
          <cell r="I4">
            <v>0</v>
          </cell>
        </row>
      </sheetData>
      <sheetData sheetId="10955">
        <row r="4">
          <cell r="I4">
            <v>0</v>
          </cell>
        </row>
      </sheetData>
      <sheetData sheetId="10956">
        <row r="4">
          <cell r="I4">
            <v>0</v>
          </cell>
        </row>
      </sheetData>
      <sheetData sheetId="10957">
        <row r="4">
          <cell r="I4">
            <v>0</v>
          </cell>
        </row>
      </sheetData>
      <sheetData sheetId="10958">
        <row r="4">
          <cell r="I4">
            <v>0</v>
          </cell>
        </row>
      </sheetData>
      <sheetData sheetId="10959">
        <row r="4">
          <cell r="I4">
            <v>0</v>
          </cell>
        </row>
      </sheetData>
      <sheetData sheetId="10960">
        <row r="4">
          <cell r="I4">
            <v>0</v>
          </cell>
        </row>
      </sheetData>
      <sheetData sheetId="10961">
        <row r="4">
          <cell r="I4">
            <v>0</v>
          </cell>
        </row>
      </sheetData>
      <sheetData sheetId="10962">
        <row r="4">
          <cell r="I4">
            <v>0</v>
          </cell>
        </row>
      </sheetData>
      <sheetData sheetId="10963">
        <row r="4">
          <cell r="I4">
            <v>0</v>
          </cell>
        </row>
      </sheetData>
      <sheetData sheetId="10964">
        <row r="4">
          <cell r="I4">
            <v>0</v>
          </cell>
        </row>
      </sheetData>
      <sheetData sheetId="10965">
        <row r="4">
          <cell r="I4">
            <v>0</v>
          </cell>
        </row>
      </sheetData>
      <sheetData sheetId="10966">
        <row r="4">
          <cell r="I4">
            <v>0</v>
          </cell>
        </row>
      </sheetData>
      <sheetData sheetId="10967">
        <row r="4">
          <cell r="I4">
            <v>0</v>
          </cell>
        </row>
      </sheetData>
      <sheetData sheetId="10968">
        <row r="4">
          <cell r="I4">
            <v>0</v>
          </cell>
        </row>
      </sheetData>
      <sheetData sheetId="10969">
        <row r="4">
          <cell r="I4">
            <v>0</v>
          </cell>
        </row>
      </sheetData>
      <sheetData sheetId="10970">
        <row r="4">
          <cell r="I4">
            <v>0</v>
          </cell>
        </row>
      </sheetData>
      <sheetData sheetId="10971">
        <row r="4">
          <cell r="I4">
            <v>0</v>
          </cell>
        </row>
      </sheetData>
      <sheetData sheetId="10972">
        <row r="4">
          <cell r="I4">
            <v>0</v>
          </cell>
        </row>
      </sheetData>
      <sheetData sheetId="10973">
        <row r="4">
          <cell r="I4">
            <v>0</v>
          </cell>
        </row>
      </sheetData>
      <sheetData sheetId="10974">
        <row r="4">
          <cell r="I4">
            <v>0</v>
          </cell>
        </row>
      </sheetData>
      <sheetData sheetId="10975">
        <row r="4">
          <cell r="I4">
            <v>0</v>
          </cell>
        </row>
      </sheetData>
      <sheetData sheetId="10976">
        <row r="4">
          <cell r="I4">
            <v>0</v>
          </cell>
        </row>
      </sheetData>
      <sheetData sheetId="10977">
        <row r="4">
          <cell r="I4">
            <v>0</v>
          </cell>
        </row>
      </sheetData>
      <sheetData sheetId="10978">
        <row r="4">
          <cell r="I4">
            <v>0</v>
          </cell>
        </row>
      </sheetData>
      <sheetData sheetId="10979">
        <row r="4">
          <cell r="I4">
            <v>0</v>
          </cell>
        </row>
      </sheetData>
      <sheetData sheetId="10980">
        <row r="4">
          <cell r="I4">
            <v>0</v>
          </cell>
        </row>
      </sheetData>
      <sheetData sheetId="10981">
        <row r="4">
          <cell r="I4">
            <v>0</v>
          </cell>
        </row>
      </sheetData>
      <sheetData sheetId="10982">
        <row r="4">
          <cell r="I4">
            <v>0</v>
          </cell>
        </row>
      </sheetData>
      <sheetData sheetId="10983">
        <row r="4">
          <cell r="I4">
            <v>0</v>
          </cell>
        </row>
      </sheetData>
      <sheetData sheetId="10984">
        <row r="4">
          <cell r="I4">
            <v>0</v>
          </cell>
        </row>
      </sheetData>
      <sheetData sheetId="10985">
        <row r="4">
          <cell r="I4">
            <v>0</v>
          </cell>
        </row>
      </sheetData>
      <sheetData sheetId="10986">
        <row r="4">
          <cell r="I4">
            <v>0</v>
          </cell>
        </row>
      </sheetData>
      <sheetData sheetId="10987">
        <row r="4">
          <cell r="I4">
            <v>0</v>
          </cell>
        </row>
      </sheetData>
      <sheetData sheetId="10988">
        <row r="4">
          <cell r="I4">
            <v>0</v>
          </cell>
        </row>
      </sheetData>
      <sheetData sheetId="10989">
        <row r="4">
          <cell r="I4">
            <v>0</v>
          </cell>
        </row>
      </sheetData>
      <sheetData sheetId="10990">
        <row r="4">
          <cell r="I4">
            <v>0</v>
          </cell>
        </row>
      </sheetData>
      <sheetData sheetId="10991">
        <row r="4">
          <cell r="I4">
            <v>0</v>
          </cell>
        </row>
      </sheetData>
      <sheetData sheetId="10992">
        <row r="4">
          <cell r="I4">
            <v>0</v>
          </cell>
        </row>
      </sheetData>
      <sheetData sheetId="10993">
        <row r="4">
          <cell r="I4">
            <v>0</v>
          </cell>
        </row>
      </sheetData>
      <sheetData sheetId="10994">
        <row r="4">
          <cell r="I4">
            <v>0</v>
          </cell>
        </row>
      </sheetData>
      <sheetData sheetId="10995">
        <row r="4">
          <cell r="I4">
            <v>0</v>
          </cell>
        </row>
      </sheetData>
      <sheetData sheetId="10996">
        <row r="4">
          <cell r="I4">
            <v>0</v>
          </cell>
        </row>
      </sheetData>
      <sheetData sheetId="10997">
        <row r="4">
          <cell r="I4">
            <v>0</v>
          </cell>
        </row>
      </sheetData>
      <sheetData sheetId="10998">
        <row r="4">
          <cell r="I4">
            <v>0</v>
          </cell>
        </row>
      </sheetData>
      <sheetData sheetId="10999">
        <row r="4">
          <cell r="I4">
            <v>0</v>
          </cell>
        </row>
      </sheetData>
      <sheetData sheetId="11000">
        <row r="4">
          <cell r="I4">
            <v>0</v>
          </cell>
        </row>
      </sheetData>
      <sheetData sheetId="11001">
        <row r="4">
          <cell r="I4">
            <v>0</v>
          </cell>
        </row>
      </sheetData>
      <sheetData sheetId="11002">
        <row r="4">
          <cell r="I4">
            <v>0</v>
          </cell>
        </row>
      </sheetData>
      <sheetData sheetId="11003">
        <row r="4">
          <cell r="I4">
            <v>0</v>
          </cell>
        </row>
      </sheetData>
      <sheetData sheetId="11004">
        <row r="4">
          <cell r="I4">
            <v>0</v>
          </cell>
        </row>
      </sheetData>
      <sheetData sheetId="11005">
        <row r="4">
          <cell r="I4">
            <v>0</v>
          </cell>
        </row>
      </sheetData>
      <sheetData sheetId="11006">
        <row r="4">
          <cell r="I4">
            <v>0</v>
          </cell>
        </row>
      </sheetData>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ow r="4">
          <cell r="I4">
            <v>0</v>
          </cell>
        </row>
      </sheetData>
      <sheetData sheetId="11031">
        <row r="4">
          <cell r="I4">
            <v>0</v>
          </cell>
        </row>
      </sheetData>
      <sheetData sheetId="11032">
        <row r="4">
          <cell r="I4">
            <v>0</v>
          </cell>
        </row>
      </sheetData>
      <sheetData sheetId="11033">
        <row r="4">
          <cell r="I4">
            <v>0</v>
          </cell>
        </row>
      </sheetData>
      <sheetData sheetId="11034">
        <row r="4">
          <cell r="I4">
            <v>0</v>
          </cell>
        </row>
      </sheetData>
      <sheetData sheetId="11035">
        <row r="4">
          <cell r="I4">
            <v>0</v>
          </cell>
        </row>
      </sheetData>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ow r="4">
          <cell r="I4">
            <v>0</v>
          </cell>
        </row>
      </sheetData>
      <sheetData sheetId="11051">
        <row r="4">
          <cell r="I4">
            <v>0</v>
          </cell>
        </row>
      </sheetData>
      <sheetData sheetId="11052" refreshError="1"/>
      <sheetData sheetId="11053" refreshError="1"/>
      <sheetData sheetId="11054" refreshError="1"/>
      <sheetData sheetId="11055"/>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ow r="4">
          <cell r="I4">
            <v>0</v>
          </cell>
        </row>
      </sheetData>
      <sheetData sheetId="11218">
        <row r="4">
          <cell r="I4">
            <v>0</v>
          </cell>
        </row>
      </sheetData>
      <sheetData sheetId="11219">
        <row r="4">
          <cell r="I4">
            <v>0</v>
          </cell>
        </row>
      </sheetData>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ow r="4">
          <cell r="I4">
            <v>0</v>
          </cell>
        </row>
      </sheetData>
      <sheetData sheetId="11258">
        <row r="4">
          <cell r="I4">
            <v>0</v>
          </cell>
        </row>
      </sheetData>
      <sheetData sheetId="11259">
        <row r="4">
          <cell r="I4">
            <v>0</v>
          </cell>
        </row>
      </sheetData>
      <sheetData sheetId="11260">
        <row r="4">
          <cell r="I4">
            <v>0</v>
          </cell>
        </row>
      </sheetData>
      <sheetData sheetId="11261">
        <row r="4">
          <cell r="I4">
            <v>0</v>
          </cell>
        </row>
      </sheetData>
      <sheetData sheetId="11262">
        <row r="4">
          <cell r="I4">
            <v>0</v>
          </cell>
        </row>
      </sheetData>
      <sheetData sheetId="11263">
        <row r="4">
          <cell r="I4">
            <v>0</v>
          </cell>
        </row>
      </sheetData>
      <sheetData sheetId="11264">
        <row r="4">
          <cell r="I4">
            <v>0</v>
          </cell>
        </row>
      </sheetData>
      <sheetData sheetId="11265">
        <row r="4">
          <cell r="I4">
            <v>0</v>
          </cell>
        </row>
      </sheetData>
      <sheetData sheetId="11266">
        <row r="4">
          <cell r="I4">
            <v>0</v>
          </cell>
        </row>
      </sheetData>
      <sheetData sheetId="11267">
        <row r="4">
          <cell r="I4">
            <v>0</v>
          </cell>
        </row>
      </sheetData>
      <sheetData sheetId="11268">
        <row r="4">
          <cell r="I4">
            <v>0</v>
          </cell>
        </row>
      </sheetData>
      <sheetData sheetId="11269">
        <row r="4">
          <cell r="I4">
            <v>0</v>
          </cell>
        </row>
      </sheetData>
      <sheetData sheetId="11270">
        <row r="4">
          <cell r="I4">
            <v>0</v>
          </cell>
        </row>
      </sheetData>
      <sheetData sheetId="11271"/>
      <sheetData sheetId="11272">
        <row r="4">
          <cell r="M4">
            <v>100</v>
          </cell>
        </row>
      </sheetData>
      <sheetData sheetId="11273">
        <row r="4">
          <cell r="I4">
            <v>0</v>
          </cell>
        </row>
      </sheetData>
      <sheetData sheetId="11274"/>
      <sheetData sheetId="11275"/>
      <sheetData sheetId="11276">
        <row r="4">
          <cell r="I4">
            <v>0</v>
          </cell>
        </row>
      </sheetData>
      <sheetData sheetId="11277">
        <row r="4">
          <cell r="I4">
            <v>0</v>
          </cell>
        </row>
      </sheetData>
      <sheetData sheetId="11278">
        <row r="4">
          <cell r="I4">
            <v>0</v>
          </cell>
        </row>
      </sheetData>
      <sheetData sheetId="11279">
        <row r="4">
          <cell r="I4">
            <v>0</v>
          </cell>
        </row>
      </sheetData>
      <sheetData sheetId="11280">
        <row r="4">
          <cell r="I4">
            <v>0</v>
          </cell>
        </row>
      </sheetData>
      <sheetData sheetId="11281"/>
      <sheetData sheetId="11282">
        <row r="4">
          <cell r="I4">
            <v>0</v>
          </cell>
        </row>
      </sheetData>
      <sheetData sheetId="11283"/>
      <sheetData sheetId="11284"/>
      <sheetData sheetId="11285">
        <row r="4">
          <cell r="I4">
            <v>0</v>
          </cell>
        </row>
      </sheetData>
      <sheetData sheetId="11286"/>
      <sheetData sheetId="11287">
        <row r="4">
          <cell r="I4">
            <v>0</v>
          </cell>
        </row>
      </sheetData>
      <sheetData sheetId="11288">
        <row r="4">
          <cell r="I4">
            <v>0</v>
          </cell>
        </row>
      </sheetData>
      <sheetData sheetId="11289">
        <row r="4">
          <cell r="I4">
            <v>0</v>
          </cell>
        </row>
      </sheetData>
      <sheetData sheetId="11290">
        <row r="4">
          <cell r="I4">
            <v>0</v>
          </cell>
        </row>
      </sheetData>
      <sheetData sheetId="11291">
        <row r="4">
          <cell r="I4">
            <v>0</v>
          </cell>
        </row>
      </sheetData>
      <sheetData sheetId="11292">
        <row r="4">
          <cell r="I4">
            <v>0</v>
          </cell>
        </row>
      </sheetData>
      <sheetData sheetId="11293">
        <row r="4">
          <cell r="I4">
            <v>0</v>
          </cell>
        </row>
      </sheetData>
      <sheetData sheetId="11294">
        <row r="4">
          <cell r="I4">
            <v>0</v>
          </cell>
        </row>
      </sheetData>
      <sheetData sheetId="11295">
        <row r="4">
          <cell r="I4">
            <v>0</v>
          </cell>
        </row>
      </sheetData>
      <sheetData sheetId="11296"/>
      <sheetData sheetId="11297"/>
      <sheetData sheetId="11298"/>
      <sheetData sheetId="11299">
        <row r="4">
          <cell r="I4">
            <v>0</v>
          </cell>
        </row>
      </sheetData>
      <sheetData sheetId="11300">
        <row r="4">
          <cell r="I4">
            <v>0</v>
          </cell>
        </row>
      </sheetData>
      <sheetData sheetId="11301"/>
      <sheetData sheetId="11302">
        <row r="4">
          <cell r="I4">
            <v>0</v>
          </cell>
        </row>
      </sheetData>
      <sheetData sheetId="11303"/>
      <sheetData sheetId="11304">
        <row r="4">
          <cell r="I4">
            <v>0</v>
          </cell>
        </row>
      </sheetData>
      <sheetData sheetId="11305">
        <row r="4">
          <cell r="I4">
            <v>0</v>
          </cell>
        </row>
      </sheetData>
      <sheetData sheetId="11306">
        <row r="4">
          <cell r="I4">
            <v>0</v>
          </cell>
        </row>
      </sheetData>
      <sheetData sheetId="11307"/>
      <sheetData sheetId="11308"/>
      <sheetData sheetId="11309"/>
      <sheetData sheetId="11310">
        <row r="4">
          <cell r="I4">
            <v>0</v>
          </cell>
        </row>
      </sheetData>
      <sheetData sheetId="11311">
        <row r="4">
          <cell r="I4">
            <v>0</v>
          </cell>
        </row>
      </sheetData>
      <sheetData sheetId="11312"/>
      <sheetData sheetId="11313"/>
      <sheetData sheetId="11314"/>
      <sheetData sheetId="11315"/>
      <sheetData sheetId="11316">
        <row r="4">
          <cell r="I4">
            <v>0</v>
          </cell>
        </row>
      </sheetData>
      <sheetData sheetId="11317"/>
      <sheetData sheetId="11318"/>
      <sheetData sheetId="11319"/>
      <sheetData sheetId="11320"/>
      <sheetData sheetId="11321">
        <row r="4">
          <cell r="I4">
            <v>0</v>
          </cell>
        </row>
      </sheetData>
      <sheetData sheetId="11322"/>
      <sheetData sheetId="11323"/>
      <sheetData sheetId="11324"/>
      <sheetData sheetId="11325"/>
      <sheetData sheetId="11326"/>
      <sheetData sheetId="11327">
        <row r="4">
          <cell r="I4">
            <v>0</v>
          </cell>
        </row>
      </sheetData>
      <sheetData sheetId="11328"/>
      <sheetData sheetId="11329">
        <row r="4">
          <cell r="I4">
            <v>0</v>
          </cell>
        </row>
      </sheetData>
      <sheetData sheetId="11330"/>
      <sheetData sheetId="11331"/>
      <sheetData sheetId="11332"/>
      <sheetData sheetId="11333"/>
      <sheetData sheetId="11334"/>
      <sheetData sheetId="11335">
        <row r="4">
          <cell r="I4">
            <v>0</v>
          </cell>
        </row>
      </sheetData>
      <sheetData sheetId="11336"/>
      <sheetData sheetId="11337"/>
      <sheetData sheetId="11338"/>
      <sheetData sheetId="11339"/>
      <sheetData sheetId="11340"/>
      <sheetData sheetId="11341">
        <row r="4">
          <cell r="I4">
            <v>0</v>
          </cell>
        </row>
      </sheetData>
      <sheetData sheetId="11342"/>
      <sheetData sheetId="11343"/>
      <sheetData sheetId="11344"/>
      <sheetData sheetId="11345"/>
      <sheetData sheetId="11346"/>
      <sheetData sheetId="11347">
        <row r="4">
          <cell r="I4">
            <v>0</v>
          </cell>
        </row>
      </sheetData>
      <sheetData sheetId="11348"/>
      <sheetData sheetId="11349"/>
      <sheetData sheetId="11350"/>
      <sheetData sheetId="11351">
        <row r="4">
          <cell r="I4">
            <v>0</v>
          </cell>
        </row>
      </sheetData>
      <sheetData sheetId="11352"/>
      <sheetData sheetId="11353"/>
      <sheetData sheetId="11354"/>
      <sheetData sheetId="11355"/>
      <sheetData sheetId="11356"/>
      <sheetData sheetId="11357">
        <row r="4">
          <cell r="I4">
            <v>0</v>
          </cell>
        </row>
      </sheetData>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row r="4">
          <cell r="I4">
            <v>0</v>
          </cell>
        </row>
      </sheetData>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row r="4">
          <cell r="I4">
            <v>0</v>
          </cell>
        </row>
      </sheetData>
      <sheetData sheetId="11442">
        <row r="4">
          <cell r="I4">
            <v>0</v>
          </cell>
        </row>
      </sheetData>
      <sheetData sheetId="11443">
        <row r="4">
          <cell r="I4">
            <v>0</v>
          </cell>
        </row>
      </sheetData>
      <sheetData sheetId="11444">
        <row r="4">
          <cell r="I4">
            <v>0</v>
          </cell>
        </row>
      </sheetData>
      <sheetData sheetId="11445">
        <row r="4">
          <cell r="I4">
            <v>0</v>
          </cell>
        </row>
      </sheetData>
      <sheetData sheetId="11446">
        <row r="4">
          <cell r="I4">
            <v>0</v>
          </cell>
        </row>
      </sheetData>
      <sheetData sheetId="11447">
        <row r="4">
          <cell r="I4">
            <v>0</v>
          </cell>
        </row>
      </sheetData>
      <sheetData sheetId="11448">
        <row r="4">
          <cell r="I4">
            <v>0</v>
          </cell>
        </row>
      </sheetData>
      <sheetData sheetId="11449">
        <row r="4">
          <cell r="I4">
            <v>0</v>
          </cell>
        </row>
      </sheetData>
      <sheetData sheetId="11450">
        <row r="4">
          <cell r="I4">
            <v>0</v>
          </cell>
        </row>
      </sheetData>
      <sheetData sheetId="11451">
        <row r="4">
          <cell r="I4">
            <v>0</v>
          </cell>
        </row>
      </sheetData>
      <sheetData sheetId="11452">
        <row r="4">
          <cell r="I4">
            <v>0</v>
          </cell>
        </row>
      </sheetData>
      <sheetData sheetId="11453">
        <row r="4">
          <cell r="I4">
            <v>0</v>
          </cell>
        </row>
      </sheetData>
      <sheetData sheetId="11454">
        <row r="4">
          <cell r="I4">
            <v>0</v>
          </cell>
        </row>
      </sheetData>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row r="4">
          <cell r="I4">
            <v>0</v>
          </cell>
        </row>
      </sheetData>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4">
          <cell r="I4">
            <v>0</v>
          </cell>
        </row>
      </sheetData>
      <sheetData sheetId="11595"/>
      <sheetData sheetId="11596"/>
      <sheetData sheetId="11597"/>
      <sheetData sheetId="11598">
        <row r="4">
          <cell r="I4">
            <v>0</v>
          </cell>
        </row>
      </sheetData>
      <sheetData sheetId="11599"/>
      <sheetData sheetId="11600">
        <row r="4">
          <cell r="I4">
            <v>0</v>
          </cell>
        </row>
      </sheetData>
      <sheetData sheetId="11601">
        <row r="4">
          <cell r="I4">
            <v>0</v>
          </cell>
        </row>
      </sheetData>
      <sheetData sheetId="11602">
        <row r="4">
          <cell r="I4">
            <v>0</v>
          </cell>
        </row>
      </sheetData>
      <sheetData sheetId="11603">
        <row r="4">
          <cell r="I4">
            <v>0</v>
          </cell>
        </row>
      </sheetData>
      <sheetData sheetId="11604">
        <row r="4">
          <cell r="I4">
            <v>0</v>
          </cell>
        </row>
      </sheetData>
      <sheetData sheetId="11605">
        <row r="4">
          <cell r="I4">
            <v>0</v>
          </cell>
        </row>
      </sheetData>
      <sheetData sheetId="11606">
        <row r="4">
          <cell r="I4">
            <v>0</v>
          </cell>
        </row>
      </sheetData>
      <sheetData sheetId="11607">
        <row r="4">
          <cell r="I4">
            <v>0</v>
          </cell>
        </row>
      </sheetData>
      <sheetData sheetId="11608"/>
      <sheetData sheetId="11609"/>
      <sheetData sheetId="11610">
        <row r="4">
          <cell r="I4">
            <v>0</v>
          </cell>
        </row>
      </sheetData>
      <sheetData sheetId="11611">
        <row r="4">
          <cell r="I4">
            <v>0</v>
          </cell>
        </row>
      </sheetData>
      <sheetData sheetId="11612">
        <row r="4">
          <cell r="I4">
            <v>0</v>
          </cell>
        </row>
      </sheetData>
      <sheetData sheetId="11613">
        <row r="4">
          <cell r="I4">
            <v>0</v>
          </cell>
        </row>
      </sheetData>
      <sheetData sheetId="11614">
        <row r="4">
          <cell r="I4">
            <v>0</v>
          </cell>
        </row>
      </sheetData>
      <sheetData sheetId="11615">
        <row r="4">
          <cell r="I4">
            <v>0</v>
          </cell>
        </row>
      </sheetData>
      <sheetData sheetId="11616"/>
      <sheetData sheetId="11617"/>
      <sheetData sheetId="11618"/>
      <sheetData sheetId="11619"/>
      <sheetData sheetId="11620"/>
      <sheetData sheetId="11621">
        <row r="4">
          <cell r="I4">
            <v>0</v>
          </cell>
        </row>
      </sheetData>
      <sheetData sheetId="11622">
        <row r="4">
          <cell r="I4">
            <v>0</v>
          </cell>
        </row>
      </sheetData>
      <sheetData sheetId="11623">
        <row r="4">
          <cell r="I4">
            <v>0</v>
          </cell>
        </row>
      </sheetData>
      <sheetData sheetId="11624">
        <row r="4">
          <cell r="I4">
            <v>0</v>
          </cell>
        </row>
      </sheetData>
      <sheetData sheetId="11625"/>
      <sheetData sheetId="11626"/>
      <sheetData sheetId="11627">
        <row r="4">
          <cell r="I4">
            <v>0</v>
          </cell>
        </row>
      </sheetData>
      <sheetData sheetId="11628">
        <row r="4">
          <cell r="I4">
            <v>0</v>
          </cell>
        </row>
      </sheetData>
      <sheetData sheetId="11629">
        <row r="4">
          <cell r="I4">
            <v>0</v>
          </cell>
        </row>
      </sheetData>
      <sheetData sheetId="11630">
        <row r="4">
          <cell r="I4">
            <v>0</v>
          </cell>
        </row>
      </sheetData>
      <sheetData sheetId="11631">
        <row r="4">
          <cell r="I4">
            <v>0</v>
          </cell>
        </row>
      </sheetData>
      <sheetData sheetId="11632">
        <row r="4">
          <cell r="I4">
            <v>0</v>
          </cell>
        </row>
      </sheetData>
      <sheetData sheetId="11633"/>
      <sheetData sheetId="11634"/>
      <sheetData sheetId="11635">
        <row r="4">
          <cell r="I4">
            <v>0</v>
          </cell>
        </row>
      </sheetData>
      <sheetData sheetId="11636">
        <row r="4">
          <cell r="I4">
            <v>0</v>
          </cell>
        </row>
      </sheetData>
      <sheetData sheetId="11637">
        <row r="4">
          <cell r="I4">
            <v>0</v>
          </cell>
        </row>
      </sheetData>
      <sheetData sheetId="11638">
        <row r="4">
          <cell r="I4">
            <v>0</v>
          </cell>
        </row>
      </sheetData>
      <sheetData sheetId="11639">
        <row r="4">
          <cell r="I4">
            <v>0</v>
          </cell>
        </row>
      </sheetData>
      <sheetData sheetId="11640">
        <row r="4">
          <cell r="I4">
            <v>0</v>
          </cell>
        </row>
      </sheetData>
      <sheetData sheetId="11641">
        <row r="4">
          <cell r="I4">
            <v>0</v>
          </cell>
        </row>
      </sheetData>
      <sheetData sheetId="11642">
        <row r="4">
          <cell r="I4">
            <v>0</v>
          </cell>
        </row>
      </sheetData>
      <sheetData sheetId="11643">
        <row r="4">
          <cell r="I4">
            <v>0</v>
          </cell>
        </row>
      </sheetData>
      <sheetData sheetId="11644">
        <row r="4">
          <cell r="I4">
            <v>0</v>
          </cell>
        </row>
      </sheetData>
      <sheetData sheetId="11645">
        <row r="4">
          <cell r="I4">
            <v>0</v>
          </cell>
        </row>
      </sheetData>
      <sheetData sheetId="11646">
        <row r="4">
          <cell r="I4">
            <v>0</v>
          </cell>
        </row>
      </sheetData>
      <sheetData sheetId="11647">
        <row r="4">
          <cell r="I4">
            <v>0</v>
          </cell>
        </row>
      </sheetData>
      <sheetData sheetId="11648">
        <row r="4">
          <cell r="I4">
            <v>0</v>
          </cell>
        </row>
      </sheetData>
      <sheetData sheetId="11649"/>
      <sheetData sheetId="11650"/>
      <sheetData sheetId="11651"/>
      <sheetData sheetId="11652">
        <row r="4">
          <cell r="I4">
            <v>0</v>
          </cell>
        </row>
      </sheetData>
      <sheetData sheetId="11653">
        <row r="4">
          <cell r="I4">
            <v>0</v>
          </cell>
        </row>
      </sheetData>
      <sheetData sheetId="11654">
        <row r="4">
          <cell r="I4">
            <v>0</v>
          </cell>
        </row>
      </sheetData>
      <sheetData sheetId="11655">
        <row r="4">
          <cell r="I4">
            <v>0</v>
          </cell>
        </row>
      </sheetData>
      <sheetData sheetId="11656">
        <row r="4">
          <cell r="I4">
            <v>0</v>
          </cell>
        </row>
      </sheetData>
      <sheetData sheetId="11657">
        <row r="4">
          <cell r="I4">
            <v>0</v>
          </cell>
        </row>
      </sheetData>
      <sheetData sheetId="11658">
        <row r="4">
          <cell r="I4">
            <v>0</v>
          </cell>
        </row>
      </sheetData>
      <sheetData sheetId="11659">
        <row r="4">
          <cell r="I4">
            <v>0</v>
          </cell>
        </row>
      </sheetData>
      <sheetData sheetId="11660">
        <row r="4">
          <cell r="I4">
            <v>0</v>
          </cell>
        </row>
      </sheetData>
      <sheetData sheetId="11661">
        <row r="4">
          <cell r="I4">
            <v>0</v>
          </cell>
        </row>
      </sheetData>
      <sheetData sheetId="11662">
        <row r="4">
          <cell r="I4">
            <v>0</v>
          </cell>
        </row>
      </sheetData>
      <sheetData sheetId="11663">
        <row r="4">
          <cell r="I4">
            <v>0</v>
          </cell>
        </row>
      </sheetData>
      <sheetData sheetId="11664">
        <row r="4">
          <cell r="I4">
            <v>0</v>
          </cell>
        </row>
      </sheetData>
      <sheetData sheetId="11665">
        <row r="4">
          <cell r="I4">
            <v>0</v>
          </cell>
        </row>
      </sheetData>
      <sheetData sheetId="11666">
        <row r="4">
          <cell r="I4">
            <v>0</v>
          </cell>
        </row>
      </sheetData>
      <sheetData sheetId="11667">
        <row r="4">
          <cell r="I4">
            <v>0</v>
          </cell>
        </row>
      </sheetData>
      <sheetData sheetId="11668">
        <row r="4">
          <cell r="I4">
            <v>0</v>
          </cell>
        </row>
      </sheetData>
      <sheetData sheetId="11669">
        <row r="4">
          <cell r="I4">
            <v>0</v>
          </cell>
        </row>
      </sheetData>
      <sheetData sheetId="11670">
        <row r="4">
          <cell r="I4">
            <v>0</v>
          </cell>
        </row>
      </sheetData>
      <sheetData sheetId="11671">
        <row r="4">
          <cell r="I4">
            <v>0</v>
          </cell>
        </row>
      </sheetData>
      <sheetData sheetId="11672"/>
      <sheetData sheetId="11673"/>
      <sheetData sheetId="11674">
        <row r="4">
          <cell r="I4">
            <v>0</v>
          </cell>
        </row>
      </sheetData>
      <sheetData sheetId="11675">
        <row r="4">
          <cell r="I4">
            <v>0</v>
          </cell>
        </row>
      </sheetData>
      <sheetData sheetId="11676">
        <row r="4">
          <cell r="I4">
            <v>0</v>
          </cell>
        </row>
      </sheetData>
      <sheetData sheetId="11677">
        <row r="4">
          <cell r="I4">
            <v>0</v>
          </cell>
        </row>
      </sheetData>
      <sheetData sheetId="11678">
        <row r="4">
          <cell r="I4">
            <v>0</v>
          </cell>
        </row>
      </sheetData>
      <sheetData sheetId="11679">
        <row r="4">
          <cell r="I4">
            <v>0</v>
          </cell>
        </row>
      </sheetData>
      <sheetData sheetId="11680">
        <row r="4">
          <cell r="I4">
            <v>0</v>
          </cell>
        </row>
      </sheetData>
      <sheetData sheetId="11681">
        <row r="4">
          <cell r="I4">
            <v>0</v>
          </cell>
        </row>
      </sheetData>
      <sheetData sheetId="11682">
        <row r="4">
          <cell r="I4">
            <v>0</v>
          </cell>
        </row>
      </sheetData>
      <sheetData sheetId="11683">
        <row r="4">
          <cell r="I4">
            <v>0</v>
          </cell>
        </row>
      </sheetData>
      <sheetData sheetId="11684">
        <row r="4">
          <cell r="I4">
            <v>0</v>
          </cell>
        </row>
      </sheetData>
      <sheetData sheetId="11685">
        <row r="4">
          <cell r="I4">
            <v>0</v>
          </cell>
        </row>
      </sheetData>
      <sheetData sheetId="11686">
        <row r="4">
          <cell r="I4">
            <v>0</v>
          </cell>
        </row>
      </sheetData>
      <sheetData sheetId="11687">
        <row r="4">
          <cell r="I4">
            <v>0</v>
          </cell>
        </row>
      </sheetData>
      <sheetData sheetId="11688">
        <row r="4">
          <cell r="I4">
            <v>0</v>
          </cell>
        </row>
      </sheetData>
      <sheetData sheetId="11689">
        <row r="4">
          <cell r="I4">
            <v>0</v>
          </cell>
        </row>
      </sheetData>
      <sheetData sheetId="11690">
        <row r="4">
          <cell r="I4">
            <v>0</v>
          </cell>
        </row>
      </sheetData>
      <sheetData sheetId="11691">
        <row r="4">
          <cell r="I4">
            <v>0</v>
          </cell>
        </row>
      </sheetData>
      <sheetData sheetId="11692">
        <row r="4">
          <cell r="I4">
            <v>0</v>
          </cell>
        </row>
      </sheetData>
      <sheetData sheetId="11693">
        <row r="4">
          <cell r="I4">
            <v>0</v>
          </cell>
        </row>
      </sheetData>
      <sheetData sheetId="11694">
        <row r="4">
          <cell r="I4">
            <v>0</v>
          </cell>
        </row>
      </sheetData>
      <sheetData sheetId="11695">
        <row r="4">
          <cell r="I4">
            <v>0</v>
          </cell>
        </row>
      </sheetData>
      <sheetData sheetId="11696">
        <row r="4">
          <cell r="I4">
            <v>0</v>
          </cell>
        </row>
      </sheetData>
      <sheetData sheetId="11697">
        <row r="4">
          <cell r="I4">
            <v>0</v>
          </cell>
        </row>
      </sheetData>
      <sheetData sheetId="11698">
        <row r="4">
          <cell r="I4">
            <v>0</v>
          </cell>
        </row>
      </sheetData>
      <sheetData sheetId="11699">
        <row r="4">
          <cell r="I4">
            <v>0</v>
          </cell>
        </row>
      </sheetData>
      <sheetData sheetId="11700">
        <row r="4">
          <cell r="I4">
            <v>0</v>
          </cell>
        </row>
      </sheetData>
      <sheetData sheetId="11701">
        <row r="4">
          <cell r="I4">
            <v>0</v>
          </cell>
        </row>
      </sheetData>
      <sheetData sheetId="11702">
        <row r="4">
          <cell r="I4">
            <v>0</v>
          </cell>
        </row>
      </sheetData>
      <sheetData sheetId="11703">
        <row r="4">
          <cell r="I4">
            <v>0</v>
          </cell>
        </row>
      </sheetData>
      <sheetData sheetId="11704">
        <row r="4">
          <cell r="I4">
            <v>0</v>
          </cell>
        </row>
      </sheetData>
      <sheetData sheetId="11705">
        <row r="4">
          <cell r="I4">
            <v>0</v>
          </cell>
        </row>
      </sheetData>
      <sheetData sheetId="11706">
        <row r="4">
          <cell r="I4">
            <v>0</v>
          </cell>
        </row>
      </sheetData>
      <sheetData sheetId="11707">
        <row r="4">
          <cell r="I4">
            <v>0</v>
          </cell>
        </row>
      </sheetData>
      <sheetData sheetId="11708">
        <row r="4">
          <cell r="I4">
            <v>0</v>
          </cell>
        </row>
      </sheetData>
      <sheetData sheetId="11709">
        <row r="4">
          <cell r="I4">
            <v>0</v>
          </cell>
        </row>
      </sheetData>
      <sheetData sheetId="11710">
        <row r="4">
          <cell r="I4">
            <v>0</v>
          </cell>
        </row>
      </sheetData>
      <sheetData sheetId="11711">
        <row r="4">
          <cell r="I4">
            <v>0</v>
          </cell>
        </row>
      </sheetData>
      <sheetData sheetId="11712">
        <row r="4">
          <cell r="I4">
            <v>0</v>
          </cell>
        </row>
      </sheetData>
      <sheetData sheetId="11713">
        <row r="4">
          <cell r="I4">
            <v>0</v>
          </cell>
        </row>
      </sheetData>
      <sheetData sheetId="11714">
        <row r="4">
          <cell r="I4">
            <v>0</v>
          </cell>
        </row>
      </sheetData>
      <sheetData sheetId="11715">
        <row r="4">
          <cell r="I4">
            <v>0</v>
          </cell>
        </row>
      </sheetData>
      <sheetData sheetId="11716">
        <row r="4">
          <cell r="I4">
            <v>0</v>
          </cell>
        </row>
      </sheetData>
      <sheetData sheetId="11717">
        <row r="4">
          <cell r="I4">
            <v>0</v>
          </cell>
        </row>
      </sheetData>
      <sheetData sheetId="11718">
        <row r="4">
          <cell r="I4">
            <v>0</v>
          </cell>
        </row>
      </sheetData>
      <sheetData sheetId="11719">
        <row r="4">
          <cell r="I4">
            <v>0</v>
          </cell>
        </row>
      </sheetData>
      <sheetData sheetId="11720">
        <row r="4">
          <cell r="I4">
            <v>0</v>
          </cell>
        </row>
      </sheetData>
      <sheetData sheetId="11721">
        <row r="4">
          <cell r="I4">
            <v>0</v>
          </cell>
        </row>
      </sheetData>
      <sheetData sheetId="11722">
        <row r="4">
          <cell r="I4">
            <v>0</v>
          </cell>
        </row>
      </sheetData>
      <sheetData sheetId="11723">
        <row r="4">
          <cell r="I4">
            <v>0</v>
          </cell>
        </row>
      </sheetData>
      <sheetData sheetId="11724">
        <row r="4">
          <cell r="I4">
            <v>0</v>
          </cell>
        </row>
      </sheetData>
      <sheetData sheetId="11725">
        <row r="4">
          <cell r="I4">
            <v>0</v>
          </cell>
        </row>
      </sheetData>
      <sheetData sheetId="11726">
        <row r="4">
          <cell r="I4">
            <v>0</v>
          </cell>
        </row>
      </sheetData>
      <sheetData sheetId="11727">
        <row r="4">
          <cell r="I4">
            <v>0</v>
          </cell>
        </row>
      </sheetData>
      <sheetData sheetId="11728">
        <row r="4">
          <cell r="I4">
            <v>0</v>
          </cell>
        </row>
      </sheetData>
      <sheetData sheetId="11729">
        <row r="4">
          <cell r="I4">
            <v>0</v>
          </cell>
        </row>
      </sheetData>
      <sheetData sheetId="11730">
        <row r="4">
          <cell r="I4">
            <v>0</v>
          </cell>
        </row>
      </sheetData>
      <sheetData sheetId="11731">
        <row r="4">
          <cell r="I4">
            <v>0</v>
          </cell>
        </row>
      </sheetData>
      <sheetData sheetId="11732">
        <row r="4">
          <cell r="I4">
            <v>0</v>
          </cell>
        </row>
      </sheetData>
      <sheetData sheetId="11733">
        <row r="4">
          <cell r="I4">
            <v>0</v>
          </cell>
        </row>
      </sheetData>
      <sheetData sheetId="11734">
        <row r="4">
          <cell r="I4">
            <v>0</v>
          </cell>
        </row>
      </sheetData>
      <sheetData sheetId="11735">
        <row r="4">
          <cell r="I4">
            <v>0</v>
          </cell>
        </row>
      </sheetData>
      <sheetData sheetId="11736">
        <row r="4">
          <cell r="I4">
            <v>0</v>
          </cell>
        </row>
      </sheetData>
      <sheetData sheetId="11737">
        <row r="4">
          <cell r="I4">
            <v>0</v>
          </cell>
        </row>
      </sheetData>
      <sheetData sheetId="11738">
        <row r="4">
          <cell r="I4">
            <v>0</v>
          </cell>
        </row>
      </sheetData>
      <sheetData sheetId="11739">
        <row r="4">
          <cell r="I4">
            <v>0</v>
          </cell>
        </row>
      </sheetData>
      <sheetData sheetId="11740">
        <row r="4">
          <cell r="I4">
            <v>0</v>
          </cell>
        </row>
      </sheetData>
      <sheetData sheetId="11741">
        <row r="4">
          <cell r="I4">
            <v>0</v>
          </cell>
        </row>
      </sheetData>
      <sheetData sheetId="11742">
        <row r="4">
          <cell r="I4">
            <v>0</v>
          </cell>
        </row>
      </sheetData>
      <sheetData sheetId="11743">
        <row r="4">
          <cell r="I4">
            <v>0</v>
          </cell>
        </row>
      </sheetData>
      <sheetData sheetId="11744">
        <row r="4">
          <cell r="I4">
            <v>0</v>
          </cell>
        </row>
      </sheetData>
      <sheetData sheetId="11745">
        <row r="4">
          <cell r="I4">
            <v>0</v>
          </cell>
        </row>
      </sheetData>
      <sheetData sheetId="11746">
        <row r="4">
          <cell r="I4">
            <v>0</v>
          </cell>
        </row>
      </sheetData>
      <sheetData sheetId="11747">
        <row r="4">
          <cell r="I4">
            <v>0</v>
          </cell>
        </row>
      </sheetData>
      <sheetData sheetId="11748">
        <row r="4">
          <cell r="I4">
            <v>0</v>
          </cell>
        </row>
      </sheetData>
      <sheetData sheetId="11749">
        <row r="4">
          <cell r="I4">
            <v>0</v>
          </cell>
        </row>
      </sheetData>
      <sheetData sheetId="11750">
        <row r="4">
          <cell r="I4">
            <v>0</v>
          </cell>
        </row>
      </sheetData>
      <sheetData sheetId="11751">
        <row r="4">
          <cell r="I4">
            <v>0</v>
          </cell>
        </row>
      </sheetData>
      <sheetData sheetId="11752">
        <row r="4">
          <cell r="I4">
            <v>0</v>
          </cell>
        </row>
      </sheetData>
      <sheetData sheetId="11753">
        <row r="4">
          <cell r="I4">
            <v>0</v>
          </cell>
        </row>
      </sheetData>
      <sheetData sheetId="11754">
        <row r="4">
          <cell r="I4">
            <v>0</v>
          </cell>
        </row>
      </sheetData>
      <sheetData sheetId="11755">
        <row r="4">
          <cell r="I4">
            <v>0</v>
          </cell>
        </row>
      </sheetData>
      <sheetData sheetId="11756">
        <row r="4">
          <cell r="I4">
            <v>0</v>
          </cell>
        </row>
      </sheetData>
      <sheetData sheetId="11757">
        <row r="4">
          <cell r="I4">
            <v>0</v>
          </cell>
        </row>
      </sheetData>
      <sheetData sheetId="11758">
        <row r="4">
          <cell r="I4">
            <v>0</v>
          </cell>
        </row>
      </sheetData>
      <sheetData sheetId="11759">
        <row r="4">
          <cell r="I4">
            <v>0</v>
          </cell>
        </row>
      </sheetData>
      <sheetData sheetId="11760">
        <row r="4">
          <cell r="I4">
            <v>0</v>
          </cell>
        </row>
      </sheetData>
      <sheetData sheetId="11761">
        <row r="4">
          <cell r="I4">
            <v>0</v>
          </cell>
        </row>
      </sheetData>
      <sheetData sheetId="11762">
        <row r="4">
          <cell r="I4">
            <v>0</v>
          </cell>
        </row>
      </sheetData>
      <sheetData sheetId="11763">
        <row r="4">
          <cell r="I4">
            <v>0</v>
          </cell>
        </row>
      </sheetData>
      <sheetData sheetId="11764">
        <row r="4">
          <cell r="I4">
            <v>0</v>
          </cell>
        </row>
      </sheetData>
      <sheetData sheetId="11765">
        <row r="4">
          <cell r="I4">
            <v>0</v>
          </cell>
        </row>
      </sheetData>
      <sheetData sheetId="11766">
        <row r="4">
          <cell r="I4">
            <v>0</v>
          </cell>
        </row>
      </sheetData>
      <sheetData sheetId="11767">
        <row r="4">
          <cell r="I4">
            <v>0</v>
          </cell>
        </row>
      </sheetData>
      <sheetData sheetId="11768">
        <row r="4">
          <cell r="I4">
            <v>0</v>
          </cell>
        </row>
      </sheetData>
      <sheetData sheetId="11769">
        <row r="4">
          <cell r="I4">
            <v>0</v>
          </cell>
        </row>
      </sheetData>
      <sheetData sheetId="11770">
        <row r="4">
          <cell r="I4">
            <v>0</v>
          </cell>
        </row>
      </sheetData>
      <sheetData sheetId="11771">
        <row r="4">
          <cell r="I4">
            <v>0</v>
          </cell>
        </row>
      </sheetData>
      <sheetData sheetId="11772">
        <row r="4">
          <cell r="I4">
            <v>0</v>
          </cell>
        </row>
      </sheetData>
      <sheetData sheetId="11773">
        <row r="4">
          <cell r="I4">
            <v>0</v>
          </cell>
        </row>
      </sheetData>
      <sheetData sheetId="11774">
        <row r="4">
          <cell r="I4">
            <v>0</v>
          </cell>
        </row>
      </sheetData>
      <sheetData sheetId="11775">
        <row r="4">
          <cell r="I4">
            <v>0</v>
          </cell>
        </row>
      </sheetData>
      <sheetData sheetId="11776">
        <row r="4">
          <cell r="I4">
            <v>0</v>
          </cell>
        </row>
      </sheetData>
      <sheetData sheetId="11777">
        <row r="4">
          <cell r="I4">
            <v>0</v>
          </cell>
        </row>
      </sheetData>
      <sheetData sheetId="11778">
        <row r="4">
          <cell r="I4">
            <v>0</v>
          </cell>
        </row>
      </sheetData>
      <sheetData sheetId="11779">
        <row r="4">
          <cell r="I4">
            <v>0</v>
          </cell>
        </row>
      </sheetData>
      <sheetData sheetId="11780">
        <row r="4">
          <cell r="I4">
            <v>0</v>
          </cell>
        </row>
      </sheetData>
      <sheetData sheetId="11781">
        <row r="4">
          <cell r="I4">
            <v>0</v>
          </cell>
        </row>
      </sheetData>
      <sheetData sheetId="11782">
        <row r="4">
          <cell r="I4">
            <v>0</v>
          </cell>
        </row>
      </sheetData>
      <sheetData sheetId="11783">
        <row r="4">
          <cell r="I4">
            <v>0</v>
          </cell>
        </row>
      </sheetData>
      <sheetData sheetId="11784">
        <row r="4">
          <cell r="I4">
            <v>0</v>
          </cell>
        </row>
      </sheetData>
      <sheetData sheetId="11785">
        <row r="4">
          <cell r="I4">
            <v>0</v>
          </cell>
        </row>
      </sheetData>
      <sheetData sheetId="11786">
        <row r="4">
          <cell r="I4">
            <v>0</v>
          </cell>
        </row>
      </sheetData>
      <sheetData sheetId="11787">
        <row r="4">
          <cell r="I4">
            <v>0</v>
          </cell>
        </row>
      </sheetData>
      <sheetData sheetId="11788">
        <row r="4">
          <cell r="I4">
            <v>0</v>
          </cell>
        </row>
      </sheetData>
      <sheetData sheetId="11789">
        <row r="4">
          <cell r="I4">
            <v>0</v>
          </cell>
        </row>
      </sheetData>
      <sheetData sheetId="11790">
        <row r="4">
          <cell r="I4">
            <v>0</v>
          </cell>
        </row>
      </sheetData>
      <sheetData sheetId="11791">
        <row r="4">
          <cell r="I4">
            <v>0</v>
          </cell>
        </row>
      </sheetData>
      <sheetData sheetId="11792">
        <row r="4">
          <cell r="I4">
            <v>0</v>
          </cell>
        </row>
      </sheetData>
      <sheetData sheetId="11793">
        <row r="4">
          <cell r="I4">
            <v>0</v>
          </cell>
        </row>
      </sheetData>
      <sheetData sheetId="11794">
        <row r="4">
          <cell r="I4">
            <v>0</v>
          </cell>
        </row>
      </sheetData>
      <sheetData sheetId="11795">
        <row r="4">
          <cell r="I4">
            <v>0</v>
          </cell>
        </row>
      </sheetData>
      <sheetData sheetId="11796">
        <row r="4">
          <cell r="I4">
            <v>0</v>
          </cell>
        </row>
      </sheetData>
      <sheetData sheetId="11797">
        <row r="4">
          <cell r="I4">
            <v>0</v>
          </cell>
        </row>
      </sheetData>
      <sheetData sheetId="11798">
        <row r="4">
          <cell r="I4">
            <v>0</v>
          </cell>
        </row>
      </sheetData>
      <sheetData sheetId="11799">
        <row r="4">
          <cell r="I4">
            <v>0</v>
          </cell>
        </row>
      </sheetData>
      <sheetData sheetId="11800">
        <row r="4">
          <cell r="I4">
            <v>0</v>
          </cell>
        </row>
      </sheetData>
      <sheetData sheetId="11801">
        <row r="4">
          <cell r="I4">
            <v>0</v>
          </cell>
        </row>
      </sheetData>
      <sheetData sheetId="11802">
        <row r="4">
          <cell r="I4">
            <v>0</v>
          </cell>
        </row>
      </sheetData>
      <sheetData sheetId="11803">
        <row r="4">
          <cell r="I4">
            <v>0</v>
          </cell>
        </row>
      </sheetData>
      <sheetData sheetId="11804">
        <row r="4">
          <cell r="I4">
            <v>0</v>
          </cell>
        </row>
      </sheetData>
      <sheetData sheetId="11805">
        <row r="4">
          <cell r="I4">
            <v>0</v>
          </cell>
        </row>
      </sheetData>
      <sheetData sheetId="11806">
        <row r="4">
          <cell r="I4">
            <v>0</v>
          </cell>
        </row>
      </sheetData>
      <sheetData sheetId="11807">
        <row r="4">
          <cell r="I4">
            <v>0</v>
          </cell>
        </row>
      </sheetData>
      <sheetData sheetId="11808">
        <row r="4">
          <cell r="I4">
            <v>0</v>
          </cell>
        </row>
      </sheetData>
      <sheetData sheetId="11809">
        <row r="4">
          <cell r="I4">
            <v>0</v>
          </cell>
        </row>
      </sheetData>
      <sheetData sheetId="11810">
        <row r="4">
          <cell r="I4">
            <v>0</v>
          </cell>
        </row>
      </sheetData>
      <sheetData sheetId="11811">
        <row r="4">
          <cell r="I4">
            <v>0</v>
          </cell>
        </row>
      </sheetData>
      <sheetData sheetId="11812">
        <row r="4">
          <cell r="I4">
            <v>0</v>
          </cell>
        </row>
      </sheetData>
      <sheetData sheetId="11813">
        <row r="4">
          <cell r="I4">
            <v>0</v>
          </cell>
        </row>
      </sheetData>
      <sheetData sheetId="11814">
        <row r="4">
          <cell r="I4">
            <v>0</v>
          </cell>
        </row>
      </sheetData>
      <sheetData sheetId="11815">
        <row r="4">
          <cell r="I4">
            <v>0</v>
          </cell>
        </row>
      </sheetData>
      <sheetData sheetId="11816">
        <row r="4">
          <cell r="I4">
            <v>0</v>
          </cell>
        </row>
      </sheetData>
      <sheetData sheetId="11817">
        <row r="4">
          <cell r="I4">
            <v>0</v>
          </cell>
        </row>
      </sheetData>
      <sheetData sheetId="11818">
        <row r="4">
          <cell r="I4">
            <v>0</v>
          </cell>
        </row>
      </sheetData>
      <sheetData sheetId="11819">
        <row r="4">
          <cell r="I4">
            <v>0</v>
          </cell>
        </row>
      </sheetData>
      <sheetData sheetId="11820">
        <row r="4">
          <cell r="I4">
            <v>0</v>
          </cell>
        </row>
      </sheetData>
      <sheetData sheetId="11821">
        <row r="4">
          <cell r="I4">
            <v>0</v>
          </cell>
        </row>
      </sheetData>
      <sheetData sheetId="11822">
        <row r="4">
          <cell r="I4">
            <v>0</v>
          </cell>
        </row>
      </sheetData>
      <sheetData sheetId="11823">
        <row r="4">
          <cell r="I4">
            <v>0</v>
          </cell>
        </row>
      </sheetData>
      <sheetData sheetId="11824">
        <row r="4">
          <cell r="I4">
            <v>0</v>
          </cell>
        </row>
      </sheetData>
      <sheetData sheetId="11825">
        <row r="4">
          <cell r="I4">
            <v>0</v>
          </cell>
        </row>
      </sheetData>
      <sheetData sheetId="11826">
        <row r="4">
          <cell r="I4">
            <v>0</v>
          </cell>
        </row>
      </sheetData>
      <sheetData sheetId="11827">
        <row r="4">
          <cell r="I4">
            <v>0</v>
          </cell>
        </row>
      </sheetData>
      <sheetData sheetId="11828">
        <row r="4">
          <cell r="I4">
            <v>0</v>
          </cell>
        </row>
      </sheetData>
      <sheetData sheetId="11829">
        <row r="4">
          <cell r="I4">
            <v>0</v>
          </cell>
        </row>
      </sheetData>
      <sheetData sheetId="11830">
        <row r="4">
          <cell r="I4">
            <v>0</v>
          </cell>
        </row>
      </sheetData>
      <sheetData sheetId="11831">
        <row r="4">
          <cell r="I4">
            <v>0</v>
          </cell>
        </row>
      </sheetData>
      <sheetData sheetId="11832">
        <row r="4">
          <cell r="I4">
            <v>0</v>
          </cell>
        </row>
      </sheetData>
      <sheetData sheetId="11833">
        <row r="4">
          <cell r="I4">
            <v>0</v>
          </cell>
        </row>
      </sheetData>
      <sheetData sheetId="11834">
        <row r="4">
          <cell r="I4">
            <v>0</v>
          </cell>
        </row>
      </sheetData>
      <sheetData sheetId="11835">
        <row r="4">
          <cell r="I4">
            <v>0</v>
          </cell>
        </row>
      </sheetData>
      <sheetData sheetId="11836"/>
      <sheetData sheetId="11837"/>
      <sheetData sheetId="11838"/>
      <sheetData sheetId="11839"/>
      <sheetData sheetId="11840"/>
      <sheetData sheetId="11841"/>
      <sheetData sheetId="11842"/>
      <sheetData sheetId="11843">
        <row r="4">
          <cell r="I4">
            <v>0</v>
          </cell>
        </row>
      </sheetData>
      <sheetData sheetId="11844">
        <row r="4">
          <cell r="I4">
            <v>0</v>
          </cell>
        </row>
      </sheetData>
      <sheetData sheetId="11845">
        <row r="4">
          <cell r="I4">
            <v>0</v>
          </cell>
        </row>
      </sheetData>
      <sheetData sheetId="11846">
        <row r="4">
          <cell r="I4">
            <v>0</v>
          </cell>
        </row>
      </sheetData>
      <sheetData sheetId="11847">
        <row r="4">
          <cell r="I4">
            <v>0</v>
          </cell>
        </row>
      </sheetData>
      <sheetData sheetId="11848">
        <row r="4">
          <cell r="I4">
            <v>0</v>
          </cell>
        </row>
      </sheetData>
      <sheetData sheetId="11849">
        <row r="4">
          <cell r="I4">
            <v>0</v>
          </cell>
        </row>
      </sheetData>
      <sheetData sheetId="11850">
        <row r="4">
          <cell r="I4">
            <v>0</v>
          </cell>
        </row>
      </sheetData>
      <sheetData sheetId="11851">
        <row r="4">
          <cell r="I4">
            <v>0</v>
          </cell>
        </row>
      </sheetData>
      <sheetData sheetId="11852">
        <row r="4">
          <cell r="I4">
            <v>0</v>
          </cell>
        </row>
      </sheetData>
      <sheetData sheetId="11853">
        <row r="4">
          <cell r="I4">
            <v>0</v>
          </cell>
        </row>
      </sheetData>
      <sheetData sheetId="11854">
        <row r="4">
          <cell r="I4">
            <v>0</v>
          </cell>
        </row>
      </sheetData>
      <sheetData sheetId="11855">
        <row r="4">
          <cell r="I4">
            <v>0</v>
          </cell>
        </row>
      </sheetData>
      <sheetData sheetId="11856">
        <row r="4">
          <cell r="I4">
            <v>0</v>
          </cell>
        </row>
      </sheetData>
      <sheetData sheetId="11857">
        <row r="4">
          <cell r="I4">
            <v>0</v>
          </cell>
        </row>
      </sheetData>
      <sheetData sheetId="11858">
        <row r="4">
          <cell r="I4">
            <v>0</v>
          </cell>
        </row>
      </sheetData>
      <sheetData sheetId="11859">
        <row r="4">
          <cell r="I4">
            <v>0</v>
          </cell>
        </row>
      </sheetData>
      <sheetData sheetId="11860">
        <row r="4">
          <cell r="I4">
            <v>0</v>
          </cell>
        </row>
      </sheetData>
      <sheetData sheetId="11861">
        <row r="4">
          <cell r="I4">
            <v>0</v>
          </cell>
        </row>
      </sheetData>
      <sheetData sheetId="11862">
        <row r="4">
          <cell r="I4">
            <v>0</v>
          </cell>
        </row>
      </sheetData>
      <sheetData sheetId="11863">
        <row r="4">
          <cell r="I4">
            <v>0</v>
          </cell>
        </row>
      </sheetData>
      <sheetData sheetId="11864">
        <row r="4">
          <cell r="I4">
            <v>0</v>
          </cell>
        </row>
      </sheetData>
      <sheetData sheetId="11865">
        <row r="4">
          <cell r="I4">
            <v>0</v>
          </cell>
        </row>
      </sheetData>
      <sheetData sheetId="11866">
        <row r="4">
          <cell r="I4">
            <v>0</v>
          </cell>
        </row>
      </sheetData>
      <sheetData sheetId="11867">
        <row r="4">
          <cell r="I4">
            <v>0</v>
          </cell>
        </row>
      </sheetData>
      <sheetData sheetId="11868">
        <row r="4">
          <cell r="I4">
            <v>0</v>
          </cell>
        </row>
      </sheetData>
      <sheetData sheetId="11869">
        <row r="4">
          <cell r="I4">
            <v>0</v>
          </cell>
        </row>
      </sheetData>
      <sheetData sheetId="11870">
        <row r="4">
          <cell r="I4">
            <v>0</v>
          </cell>
        </row>
      </sheetData>
      <sheetData sheetId="11871">
        <row r="4">
          <cell r="I4">
            <v>0</v>
          </cell>
        </row>
      </sheetData>
      <sheetData sheetId="11872">
        <row r="4">
          <cell r="I4">
            <v>0</v>
          </cell>
        </row>
      </sheetData>
      <sheetData sheetId="11873">
        <row r="4">
          <cell r="I4">
            <v>0</v>
          </cell>
        </row>
      </sheetData>
      <sheetData sheetId="11874">
        <row r="4">
          <cell r="I4">
            <v>0</v>
          </cell>
        </row>
      </sheetData>
      <sheetData sheetId="11875">
        <row r="4">
          <cell r="I4">
            <v>0</v>
          </cell>
        </row>
      </sheetData>
      <sheetData sheetId="11876">
        <row r="4">
          <cell r="I4">
            <v>0</v>
          </cell>
        </row>
      </sheetData>
      <sheetData sheetId="11877">
        <row r="4">
          <cell r="I4">
            <v>0</v>
          </cell>
        </row>
      </sheetData>
      <sheetData sheetId="11878">
        <row r="4">
          <cell r="I4">
            <v>0</v>
          </cell>
        </row>
      </sheetData>
      <sheetData sheetId="11879">
        <row r="4">
          <cell r="I4">
            <v>0</v>
          </cell>
        </row>
      </sheetData>
      <sheetData sheetId="11880">
        <row r="4">
          <cell r="I4">
            <v>0</v>
          </cell>
        </row>
      </sheetData>
      <sheetData sheetId="11881">
        <row r="4">
          <cell r="I4">
            <v>0</v>
          </cell>
        </row>
      </sheetData>
      <sheetData sheetId="11882">
        <row r="4">
          <cell r="I4">
            <v>0</v>
          </cell>
        </row>
      </sheetData>
      <sheetData sheetId="11883">
        <row r="4">
          <cell r="I4">
            <v>0</v>
          </cell>
        </row>
      </sheetData>
      <sheetData sheetId="11884">
        <row r="4">
          <cell r="I4">
            <v>0</v>
          </cell>
        </row>
      </sheetData>
      <sheetData sheetId="11885">
        <row r="4">
          <cell r="I4">
            <v>0</v>
          </cell>
        </row>
      </sheetData>
      <sheetData sheetId="11886">
        <row r="4">
          <cell r="I4">
            <v>0</v>
          </cell>
        </row>
      </sheetData>
      <sheetData sheetId="11887">
        <row r="4">
          <cell r="I4">
            <v>0</v>
          </cell>
        </row>
      </sheetData>
      <sheetData sheetId="11888">
        <row r="4">
          <cell r="I4">
            <v>0</v>
          </cell>
        </row>
      </sheetData>
      <sheetData sheetId="11889">
        <row r="4">
          <cell r="I4">
            <v>0</v>
          </cell>
        </row>
      </sheetData>
      <sheetData sheetId="11890">
        <row r="4">
          <cell r="I4">
            <v>0</v>
          </cell>
        </row>
      </sheetData>
      <sheetData sheetId="11891">
        <row r="4">
          <cell r="I4">
            <v>0</v>
          </cell>
        </row>
      </sheetData>
      <sheetData sheetId="11892">
        <row r="4">
          <cell r="I4">
            <v>0</v>
          </cell>
        </row>
      </sheetData>
      <sheetData sheetId="11893">
        <row r="4">
          <cell r="I4">
            <v>0</v>
          </cell>
        </row>
      </sheetData>
      <sheetData sheetId="11894">
        <row r="4">
          <cell r="I4">
            <v>0</v>
          </cell>
        </row>
      </sheetData>
      <sheetData sheetId="11895">
        <row r="4">
          <cell r="I4">
            <v>0</v>
          </cell>
        </row>
      </sheetData>
      <sheetData sheetId="11896">
        <row r="4">
          <cell r="I4">
            <v>0</v>
          </cell>
        </row>
      </sheetData>
      <sheetData sheetId="11897">
        <row r="4">
          <cell r="I4">
            <v>0</v>
          </cell>
        </row>
      </sheetData>
      <sheetData sheetId="11898">
        <row r="4">
          <cell r="I4">
            <v>0</v>
          </cell>
        </row>
      </sheetData>
      <sheetData sheetId="11899">
        <row r="4">
          <cell r="I4">
            <v>0</v>
          </cell>
        </row>
      </sheetData>
      <sheetData sheetId="11900">
        <row r="4">
          <cell r="I4">
            <v>0</v>
          </cell>
        </row>
      </sheetData>
      <sheetData sheetId="11901">
        <row r="4">
          <cell r="I4">
            <v>0</v>
          </cell>
        </row>
      </sheetData>
      <sheetData sheetId="11902">
        <row r="4">
          <cell r="I4">
            <v>0</v>
          </cell>
        </row>
      </sheetData>
      <sheetData sheetId="11903">
        <row r="4">
          <cell r="I4">
            <v>0</v>
          </cell>
        </row>
      </sheetData>
      <sheetData sheetId="11904">
        <row r="4">
          <cell r="I4">
            <v>0</v>
          </cell>
        </row>
      </sheetData>
      <sheetData sheetId="11905">
        <row r="4">
          <cell r="I4">
            <v>0</v>
          </cell>
        </row>
      </sheetData>
      <sheetData sheetId="11906">
        <row r="4">
          <cell r="I4">
            <v>0</v>
          </cell>
        </row>
      </sheetData>
      <sheetData sheetId="11907">
        <row r="4">
          <cell r="I4">
            <v>0</v>
          </cell>
        </row>
      </sheetData>
      <sheetData sheetId="11908">
        <row r="4">
          <cell r="I4">
            <v>0</v>
          </cell>
        </row>
      </sheetData>
      <sheetData sheetId="11909">
        <row r="4">
          <cell r="I4">
            <v>0</v>
          </cell>
        </row>
      </sheetData>
      <sheetData sheetId="11910">
        <row r="4">
          <cell r="I4">
            <v>0</v>
          </cell>
        </row>
      </sheetData>
      <sheetData sheetId="11911">
        <row r="4">
          <cell r="I4">
            <v>0</v>
          </cell>
        </row>
      </sheetData>
      <sheetData sheetId="11912">
        <row r="4">
          <cell r="I4">
            <v>0</v>
          </cell>
        </row>
      </sheetData>
      <sheetData sheetId="11913">
        <row r="4">
          <cell r="I4">
            <v>0</v>
          </cell>
        </row>
      </sheetData>
      <sheetData sheetId="11914">
        <row r="4">
          <cell r="I4">
            <v>0</v>
          </cell>
        </row>
      </sheetData>
      <sheetData sheetId="11915">
        <row r="4">
          <cell r="I4">
            <v>0</v>
          </cell>
        </row>
      </sheetData>
      <sheetData sheetId="11916">
        <row r="4">
          <cell r="I4">
            <v>0</v>
          </cell>
        </row>
      </sheetData>
      <sheetData sheetId="11917">
        <row r="4">
          <cell r="I4">
            <v>0</v>
          </cell>
        </row>
      </sheetData>
      <sheetData sheetId="11918">
        <row r="4">
          <cell r="I4">
            <v>0</v>
          </cell>
        </row>
      </sheetData>
      <sheetData sheetId="11919">
        <row r="4">
          <cell r="I4">
            <v>0</v>
          </cell>
        </row>
      </sheetData>
      <sheetData sheetId="11920">
        <row r="4">
          <cell r="I4">
            <v>0</v>
          </cell>
        </row>
      </sheetData>
      <sheetData sheetId="11921">
        <row r="4">
          <cell r="I4">
            <v>0</v>
          </cell>
        </row>
      </sheetData>
      <sheetData sheetId="11922">
        <row r="4">
          <cell r="I4">
            <v>0</v>
          </cell>
        </row>
      </sheetData>
      <sheetData sheetId="11923">
        <row r="4">
          <cell r="I4">
            <v>0</v>
          </cell>
        </row>
      </sheetData>
      <sheetData sheetId="11924">
        <row r="4">
          <cell r="I4">
            <v>0</v>
          </cell>
        </row>
      </sheetData>
      <sheetData sheetId="11925">
        <row r="4">
          <cell r="I4">
            <v>0</v>
          </cell>
        </row>
      </sheetData>
      <sheetData sheetId="11926">
        <row r="4">
          <cell r="I4">
            <v>0</v>
          </cell>
        </row>
      </sheetData>
      <sheetData sheetId="11927">
        <row r="4">
          <cell r="I4">
            <v>0</v>
          </cell>
        </row>
      </sheetData>
      <sheetData sheetId="11928">
        <row r="4">
          <cell r="I4">
            <v>0</v>
          </cell>
        </row>
      </sheetData>
      <sheetData sheetId="11929">
        <row r="4">
          <cell r="I4">
            <v>0</v>
          </cell>
        </row>
      </sheetData>
      <sheetData sheetId="11930">
        <row r="4">
          <cell r="I4">
            <v>0</v>
          </cell>
        </row>
      </sheetData>
      <sheetData sheetId="11931">
        <row r="4">
          <cell r="I4">
            <v>0</v>
          </cell>
        </row>
      </sheetData>
      <sheetData sheetId="11932">
        <row r="4">
          <cell r="I4">
            <v>0</v>
          </cell>
        </row>
      </sheetData>
      <sheetData sheetId="11933">
        <row r="4">
          <cell r="I4">
            <v>0</v>
          </cell>
        </row>
      </sheetData>
      <sheetData sheetId="11934">
        <row r="4">
          <cell r="I4">
            <v>0</v>
          </cell>
        </row>
      </sheetData>
      <sheetData sheetId="11935">
        <row r="4">
          <cell r="I4">
            <v>0</v>
          </cell>
        </row>
      </sheetData>
      <sheetData sheetId="11936">
        <row r="4">
          <cell r="I4">
            <v>0</v>
          </cell>
        </row>
      </sheetData>
      <sheetData sheetId="11937">
        <row r="4">
          <cell r="I4">
            <v>0</v>
          </cell>
        </row>
      </sheetData>
      <sheetData sheetId="11938">
        <row r="4">
          <cell r="I4">
            <v>0</v>
          </cell>
        </row>
      </sheetData>
      <sheetData sheetId="11939">
        <row r="4">
          <cell r="I4">
            <v>0</v>
          </cell>
        </row>
      </sheetData>
      <sheetData sheetId="11940">
        <row r="4">
          <cell r="I4">
            <v>0</v>
          </cell>
        </row>
      </sheetData>
      <sheetData sheetId="11941">
        <row r="4">
          <cell r="I4">
            <v>0</v>
          </cell>
        </row>
      </sheetData>
      <sheetData sheetId="11942">
        <row r="4">
          <cell r="I4">
            <v>0</v>
          </cell>
        </row>
      </sheetData>
      <sheetData sheetId="11943">
        <row r="4">
          <cell r="I4">
            <v>0</v>
          </cell>
        </row>
      </sheetData>
      <sheetData sheetId="11944">
        <row r="4">
          <cell r="I4">
            <v>0</v>
          </cell>
        </row>
      </sheetData>
      <sheetData sheetId="11945">
        <row r="4">
          <cell r="I4">
            <v>0</v>
          </cell>
        </row>
      </sheetData>
      <sheetData sheetId="11946">
        <row r="4">
          <cell r="I4">
            <v>0</v>
          </cell>
        </row>
      </sheetData>
      <sheetData sheetId="11947"/>
      <sheetData sheetId="11948"/>
      <sheetData sheetId="11949">
        <row r="4">
          <cell r="I4">
            <v>0</v>
          </cell>
        </row>
      </sheetData>
      <sheetData sheetId="11950"/>
      <sheetData sheetId="11951"/>
      <sheetData sheetId="11952"/>
      <sheetData sheetId="11953"/>
      <sheetData sheetId="11954">
        <row r="4">
          <cell r="I4">
            <v>0</v>
          </cell>
        </row>
      </sheetData>
      <sheetData sheetId="11955">
        <row r="4">
          <cell r="I4">
            <v>0</v>
          </cell>
        </row>
      </sheetData>
      <sheetData sheetId="11956">
        <row r="4">
          <cell r="I4">
            <v>0</v>
          </cell>
        </row>
      </sheetData>
      <sheetData sheetId="11957">
        <row r="4">
          <cell r="I4">
            <v>0</v>
          </cell>
        </row>
      </sheetData>
      <sheetData sheetId="11958">
        <row r="4">
          <cell r="I4">
            <v>0</v>
          </cell>
        </row>
      </sheetData>
      <sheetData sheetId="11959">
        <row r="4">
          <cell r="I4">
            <v>0</v>
          </cell>
        </row>
      </sheetData>
      <sheetData sheetId="11960">
        <row r="4">
          <cell r="I4">
            <v>0</v>
          </cell>
        </row>
      </sheetData>
      <sheetData sheetId="11961"/>
      <sheetData sheetId="11962">
        <row r="4">
          <cell r="I4">
            <v>0</v>
          </cell>
        </row>
      </sheetData>
      <sheetData sheetId="11963">
        <row r="4">
          <cell r="I4">
            <v>0</v>
          </cell>
        </row>
      </sheetData>
      <sheetData sheetId="11964">
        <row r="4">
          <cell r="I4">
            <v>0</v>
          </cell>
        </row>
      </sheetData>
      <sheetData sheetId="11965">
        <row r="4">
          <cell r="I4">
            <v>0</v>
          </cell>
        </row>
      </sheetData>
      <sheetData sheetId="11966">
        <row r="4">
          <cell r="I4">
            <v>0</v>
          </cell>
        </row>
      </sheetData>
      <sheetData sheetId="11967">
        <row r="4">
          <cell r="I4">
            <v>0</v>
          </cell>
        </row>
      </sheetData>
      <sheetData sheetId="11968">
        <row r="4">
          <cell r="I4">
            <v>0</v>
          </cell>
        </row>
      </sheetData>
      <sheetData sheetId="11969"/>
      <sheetData sheetId="11970"/>
      <sheetData sheetId="11971">
        <row r="4">
          <cell r="I4">
            <v>0</v>
          </cell>
        </row>
      </sheetData>
      <sheetData sheetId="11972">
        <row r="4">
          <cell r="I4">
            <v>0</v>
          </cell>
        </row>
      </sheetData>
      <sheetData sheetId="11973">
        <row r="4">
          <cell r="I4">
            <v>0</v>
          </cell>
        </row>
      </sheetData>
      <sheetData sheetId="11974">
        <row r="4">
          <cell r="I4">
            <v>0</v>
          </cell>
        </row>
      </sheetData>
      <sheetData sheetId="11975">
        <row r="4">
          <cell r="I4">
            <v>0</v>
          </cell>
        </row>
      </sheetData>
      <sheetData sheetId="11976">
        <row r="4">
          <cell r="I4">
            <v>0</v>
          </cell>
        </row>
      </sheetData>
      <sheetData sheetId="11977">
        <row r="4">
          <cell r="I4">
            <v>0</v>
          </cell>
        </row>
      </sheetData>
      <sheetData sheetId="11978"/>
      <sheetData sheetId="11979">
        <row r="4">
          <cell r="I4">
            <v>0</v>
          </cell>
        </row>
      </sheetData>
      <sheetData sheetId="11980"/>
      <sheetData sheetId="11981">
        <row r="4">
          <cell r="I4">
            <v>0</v>
          </cell>
        </row>
      </sheetData>
      <sheetData sheetId="11982">
        <row r="4">
          <cell r="I4">
            <v>0</v>
          </cell>
        </row>
      </sheetData>
      <sheetData sheetId="11983">
        <row r="4">
          <cell r="I4">
            <v>0</v>
          </cell>
        </row>
      </sheetData>
      <sheetData sheetId="11984">
        <row r="4">
          <cell r="I4">
            <v>0</v>
          </cell>
        </row>
      </sheetData>
      <sheetData sheetId="11985"/>
      <sheetData sheetId="11986">
        <row r="4">
          <cell r="I4">
            <v>0</v>
          </cell>
        </row>
      </sheetData>
      <sheetData sheetId="11987">
        <row r="4">
          <cell r="I4">
            <v>0</v>
          </cell>
        </row>
      </sheetData>
      <sheetData sheetId="11988">
        <row r="4">
          <cell r="I4">
            <v>0</v>
          </cell>
        </row>
      </sheetData>
      <sheetData sheetId="11989"/>
      <sheetData sheetId="11990">
        <row r="4">
          <cell r="I4">
            <v>0</v>
          </cell>
        </row>
      </sheetData>
      <sheetData sheetId="11991">
        <row r="4">
          <cell r="I4">
            <v>0</v>
          </cell>
        </row>
      </sheetData>
      <sheetData sheetId="11992">
        <row r="4">
          <cell r="I4">
            <v>0</v>
          </cell>
        </row>
      </sheetData>
      <sheetData sheetId="11993">
        <row r="4">
          <cell r="I4">
            <v>0</v>
          </cell>
        </row>
      </sheetData>
      <sheetData sheetId="11994">
        <row r="4">
          <cell r="I4">
            <v>0</v>
          </cell>
        </row>
      </sheetData>
      <sheetData sheetId="11995">
        <row r="4">
          <cell r="I4">
            <v>0</v>
          </cell>
        </row>
      </sheetData>
      <sheetData sheetId="11996">
        <row r="4">
          <cell r="I4">
            <v>0</v>
          </cell>
        </row>
      </sheetData>
      <sheetData sheetId="11997">
        <row r="4">
          <cell r="I4">
            <v>0</v>
          </cell>
        </row>
      </sheetData>
      <sheetData sheetId="11998">
        <row r="4">
          <cell r="I4">
            <v>0</v>
          </cell>
        </row>
      </sheetData>
      <sheetData sheetId="11999">
        <row r="4">
          <cell r="I4">
            <v>0</v>
          </cell>
        </row>
      </sheetData>
      <sheetData sheetId="12000">
        <row r="4">
          <cell r="I4">
            <v>0</v>
          </cell>
        </row>
      </sheetData>
      <sheetData sheetId="12001"/>
      <sheetData sheetId="12002">
        <row r="4">
          <cell r="I4">
            <v>0</v>
          </cell>
        </row>
      </sheetData>
      <sheetData sheetId="12003"/>
      <sheetData sheetId="12004">
        <row r="4">
          <cell r="I4">
            <v>0</v>
          </cell>
        </row>
      </sheetData>
      <sheetData sheetId="12005">
        <row r="4">
          <cell r="M4">
            <v>100</v>
          </cell>
        </row>
      </sheetData>
      <sheetData sheetId="12006">
        <row r="4">
          <cell r="M4">
            <v>100</v>
          </cell>
        </row>
      </sheetData>
      <sheetData sheetId="12007">
        <row r="4">
          <cell r="M4">
            <v>100</v>
          </cell>
        </row>
      </sheetData>
      <sheetData sheetId="12008">
        <row r="4">
          <cell r="I4">
            <v>0</v>
          </cell>
        </row>
      </sheetData>
      <sheetData sheetId="12009">
        <row r="4">
          <cell r="I4">
            <v>0</v>
          </cell>
        </row>
      </sheetData>
      <sheetData sheetId="12010">
        <row r="4">
          <cell r="I4">
            <v>0</v>
          </cell>
        </row>
      </sheetData>
      <sheetData sheetId="12011">
        <row r="4">
          <cell r="I4">
            <v>0</v>
          </cell>
        </row>
      </sheetData>
      <sheetData sheetId="12012">
        <row r="4">
          <cell r="I4">
            <v>0</v>
          </cell>
        </row>
      </sheetData>
      <sheetData sheetId="12013">
        <row r="4">
          <cell r="I4">
            <v>0</v>
          </cell>
        </row>
      </sheetData>
      <sheetData sheetId="12014">
        <row r="4">
          <cell r="I4">
            <v>0</v>
          </cell>
        </row>
      </sheetData>
      <sheetData sheetId="12015">
        <row r="4">
          <cell r="I4">
            <v>0</v>
          </cell>
        </row>
      </sheetData>
      <sheetData sheetId="12016">
        <row r="4">
          <cell r="I4">
            <v>0</v>
          </cell>
        </row>
      </sheetData>
      <sheetData sheetId="12017">
        <row r="4">
          <cell r="I4">
            <v>0</v>
          </cell>
        </row>
      </sheetData>
      <sheetData sheetId="12018">
        <row r="4">
          <cell r="I4">
            <v>0</v>
          </cell>
        </row>
      </sheetData>
      <sheetData sheetId="12019">
        <row r="4">
          <cell r="I4">
            <v>0</v>
          </cell>
        </row>
      </sheetData>
      <sheetData sheetId="12020">
        <row r="4">
          <cell r="I4">
            <v>0</v>
          </cell>
        </row>
      </sheetData>
      <sheetData sheetId="12021">
        <row r="4">
          <cell r="I4">
            <v>0</v>
          </cell>
        </row>
      </sheetData>
      <sheetData sheetId="12022">
        <row r="4">
          <cell r="I4">
            <v>0</v>
          </cell>
        </row>
      </sheetData>
      <sheetData sheetId="12023">
        <row r="4">
          <cell r="I4">
            <v>0</v>
          </cell>
        </row>
      </sheetData>
      <sheetData sheetId="12024">
        <row r="4">
          <cell r="I4">
            <v>0</v>
          </cell>
        </row>
      </sheetData>
      <sheetData sheetId="12025">
        <row r="4">
          <cell r="I4">
            <v>0</v>
          </cell>
        </row>
      </sheetData>
      <sheetData sheetId="12026">
        <row r="4">
          <cell r="I4">
            <v>0</v>
          </cell>
        </row>
      </sheetData>
      <sheetData sheetId="12027">
        <row r="4">
          <cell r="I4">
            <v>0</v>
          </cell>
        </row>
      </sheetData>
      <sheetData sheetId="12028">
        <row r="4">
          <cell r="I4">
            <v>0</v>
          </cell>
        </row>
      </sheetData>
      <sheetData sheetId="12029">
        <row r="4">
          <cell r="I4">
            <v>0</v>
          </cell>
        </row>
      </sheetData>
      <sheetData sheetId="12030">
        <row r="4">
          <cell r="I4">
            <v>0</v>
          </cell>
        </row>
      </sheetData>
      <sheetData sheetId="12031">
        <row r="4">
          <cell r="I4">
            <v>0</v>
          </cell>
        </row>
      </sheetData>
      <sheetData sheetId="12032">
        <row r="4">
          <cell r="I4">
            <v>0</v>
          </cell>
        </row>
      </sheetData>
      <sheetData sheetId="12033">
        <row r="4">
          <cell r="I4">
            <v>0</v>
          </cell>
        </row>
      </sheetData>
      <sheetData sheetId="12034">
        <row r="4">
          <cell r="I4">
            <v>0</v>
          </cell>
        </row>
      </sheetData>
      <sheetData sheetId="12035">
        <row r="4">
          <cell r="I4">
            <v>0</v>
          </cell>
        </row>
      </sheetData>
      <sheetData sheetId="12036">
        <row r="4">
          <cell r="I4">
            <v>0</v>
          </cell>
        </row>
      </sheetData>
      <sheetData sheetId="12037">
        <row r="4">
          <cell r="I4">
            <v>0</v>
          </cell>
        </row>
      </sheetData>
      <sheetData sheetId="12038">
        <row r="4">
          <cell r="I4">
            <v>0</v>
          </cell>
        </row>
      </sheetData>
      <sheetData sheetId="12039">
        <row r="4">
          <cell r="I4">
            <v>0</v>
          </cell>
        </row>
      </sheetData>
      <sheetData sheetId="12040">
        <row r="4">
          <cell r="I4">
            <v>0</v>
          </cell>
        </row>
      </sheetData>
      <sheetData sheetId="12041">
        <row r="4">
          <cell r="I4">
            <v>0</v>
          </cell>
        </row>
      </sheetData>
      <sheetData sheetId="12042">
        <row r="4">
          <cell r="I4">
            <v>0</v>
          </cell>
        </row>
      </sheetData>
      <sheetData sheetId="12043">
        <row r="4">
          <cell r="I4">
            <v>0</v>
          </cell>
        </row>
      </sheetData>
      <sheetData sheetId="12044">
        <row r="4">
          <cell r="I4">
            <v>0</v>
          </cell>
        </row>
      </sheetData>
      <sheetData sheetId="12045">
        <row r="4">
          <cell r="I4">
            <v>0</v>
          </cell>
        </row>
      </sheetData>
      <sheetData sheetId="12046">
        <row r="4">
          <cell r="I4">
            <v>0</v>
          </cell>
        </row>
      </sheetData>
      <sheetData sheetId="12047">
        <row r="4">
          <cell r="I4">
            <v>0</v>
          </cell>
        </row>
      </sheetData>
      <sheetData sheetId="12048">
        <row r="4">
          <cell r="I4">
            <v>0</v>
          </cell>
        </row>
      </sheetData>
      <sheetData sheetId="12049">
        <row r="4">
          <cell r="I4">
            <v>0</v>
          </cell>
        </row>
      </sheetData>
      <sheetData sheetId="12050">
        <row r="4">
          <cell r="I4">
            <v>0</v>
          </cell>
        </row>
      </sheetData>
      <sheetData sheetId="12051">
        <row r="4">
          <cell r="I4">
            <v>0</v>
          </cell>
        </row>
      </sheetData>
      <sheetData sheetId="12052">
        <row r="4">
          <cell r="I4">
            <v>0</v>
          </cell>
        </row>
      </sheetData>
      <sheetData sheetId="12053">
        <row r="4">
          <cell r="I4">
            <v>0</v>
          </cell>
        </row>
      </sheetData>
      <sheetData sheetId="12054">
        <row r="4">
          <cell r="I4">
            <v>0</v>
          </cell>
        </row>
      </sheetData>
      <sheetData sheetId="12055">
        <row r="4">
          <cell r="I4">
            <v>0</v>
          </cell>
        </row>
      </sheetData>
      <sheetData sheetId="12056">
        <row r="4">
          <cell r="I4">
            <v>0</v>
          </cell>
        </row>
      </sheetData>
      <sheetData sheetId="12057"/>
      <sheetData sheetId="12058"/>
      <sheetData sheetId="12059"/>
      <sheetData sheetId="12060">
        <row r="4">
          <cell r="I4">
            <v>0</v>
          </cell>
        </row>
      </sheetData>
      <sheetData sheetId="12061">
        <row r="4">
          <cell r="I4">
            <v>0</v>
          </cell>
        </row>
      </sheetData>
      <sheetData sheetId="12062">
        <row r="4">
          <cell r="I4">
            <v>0</v>
          </cell>
        </row>
      </sheetData>
      <sheetData sheetId="12063">
        <row r="4">
          <cell r="I4">
            <v>0</v>
          </cell>
        </row>
      </sheetData>
      <sheetData sheetId="12064">
        <row r="4">
          <cell r="I4">
            <v>0</v>
          </cell>
        </row>
      </sheetData>
      <sheetData sheetId="12065">
        <row r="4">
          <cell r="I4">
            <v>0</v>
          </cell>
        </row>
      </sheetData>
      <sheetData sheetId="12066">
        <row r="4">
          <cell r="I4">
            <v>0</v>
          </cell>
        </row>
      </sheetData>
      <sheetData sheetId="12067">
        <row r="4">
          <cell r="I4">
            <v>0</v>
          </cell>
        </row>
      </sheetData>
      <sheetData sheetId="12068">
        <row r="4">
          <cell r="I4">
            <v>0</v>
          </cell>
        </row>
      </sheetData>
      <sheetData sheetId="12069">
        <row r="4">
          <cell r="I4">
            <v>0</v>
          </cell>
        </row>
      </sheetData>
      <sheetData sheetId="12070">
        <row r="4">
          <cell r="I4">
            <v>0</v>
          </cell>
        </row>
      </sheetData>
      <sheetData sheetId="12071">
        <row r="4">
          <cell r="I4">
            <v>0</v>
          </cell>
        </row>
      </sheetData>
      <sheetData sheetId="12072">
        <row r="4">
          <cell r="I4">
            <v>0</v>
          </cell>
        </row>
      </sheetData>
      <sheetData sheetId="12073">
        <row r="4">
          <cell r="I4">
            <v>0</v>
          </cell>
        </row>
      </sheetData>
      <sheetData sheetId="12074">
        <row r="4">
          <cell r="I4">
            <v>0</v>
          </cell>
        </row>
      </sheetData>
      <sheetData sheetId="12075">
        <row r="4">
          <cell r="I4">
            <v>0</v>
          </cell>
        </row>
      </sheetData>
      <sheetData sheetId="12076">
        <row r="4">
          <cell r="I4">
            <v>0</v>
          </cell>
        </row>
      </sheetData>
      <sheetData sheetId="12077">
        <row r="4">
          <cell r="I4">
            <v>0</v>
          </cell>
        </row>
      </sheetData>
      <sheetData sheetId="12078">
        <row r="4">
          <cell r="I4">
            <v>0</v>
          </cell>
        </row>
      </sheetData>
      <sheetData sheetId="12079">
        <row r="4">
          <cell r="I4">
            <v>0</v>
          </cell>
        </row>
      </sheetData>
      <sheetData sheetId="12080">
        <row r="4">
          <cell r="I4">
            <v>0</v>
          </cell>
        </row>
      </sheetData>
      <sheetData sheetId="12081">
        <row r="4">
          <cell r="I4">
            <v>0</v>
          </cell>
        </row>
      </sheetData>
      <sheetData sheetId="12082">
        <row r="4">
          <cell r="I4">
            <v>0</v>
          </cell>
        </row>
      </sheetData>
      <sheetData sheetId="12083">
        <row r="4">
          <cell r="I4">
            <v>0</v>
          </cell>
        </row>
      </sheetData>
      <sheetData sheetId="12084">
        <row r="4">
          <cell r="I4">
            <v>0</v>
          </cell>
        </row>
      </sheetData>
      <sheetData sheetId="12085">
        <row r="4">
          <cell r="I4">
            <v>0</v>
          </cell>
        </row>
      </sheetData>
      <sheetData sheetId="12086">
        <row r="4">
          <cell r="I4">
            <v>0</v>
          </cell>
        </row>
      </sheetData>
      <sheetData sheetId="12087">
        <row r="4">
          <cell r="I4">
            <v>0</v>
          </cell>
        </row>
      </sheetData>
      <sheetData sheetId="12088">
        <row r="4">
          <cell r="I4">
            <v>0</v>
          </cell>
        </row>
      </sheetData>
      <sheetData sheetId="12089">
        <row r="4">
          <cell r="I4">
            <v>0</v>
          </cell>
        </row>
      </sheetData>
      <sheetData sheetId="12090"/>
      <sheetData sheetId="12091"/>
      <sheetData sheetId="12092"/>
      <sheetData sheetId="12093"/>
      <sheetData sheetId="12094"/>
      <sheetData sheetId="12095"/>
      <sheetData sheetId="12096"/>
      <sheetData sheetId="12097"/>
      <sheetData sheetId="12098">
        <row r="4">
          <cell r="I4">
            <v>0</v>
          </cell>
        </row>
      </sheetData>
      <sheetData sheetId="12099">
        <row r="4">
          <cell r="I4">
            <v>0</v>
          </cell>
        </row>
      </sheetData>
      <sheetData sheetId="12100">
        <row r="4">
          <cell r="I4">
            <v>0</v>
          </cell>
        </row>
      </sheetData>
      <sheetData sheetId="12101">
        <row r="4">
          <cell r="I4">
            <v>0</v>
          </cell>
        </row>
      </sheetData>
      <sheetData sheetId="12102"/>
      <sheetData sheetId="12103"/>
      <sheetData sheetId="12104"/>
      <sheetData sheetId="12105"/>
      <sheetData sheetId="12106">
        <row r="4">
          <cell r="I4">
            <v>0</v>
          </cell>
        </row>
      </sheetData>
      <sheetData sheetId="12107">
        <row r="4">
          <cell r="M4">
            <v>100</v>
          </cell>
        </row>
      </sheetData>
      <sheetData sheetId="12108"/>
      <sheetData sheetId="12109">
        <row r="4">
          <cell r="I4">
            <v>0</v>
          </cell>
        </row>
      </sheetData>
      <sheetData sheetId="12110"/>
      <sheetData sheetId="12111">
        <row r="4">
          <cell r="I4">
            <v>0</v>
          </cell>
        </row>
      </sheetData>
      <sheetData sheetId="12112"/>
      <sheetData sheetId="12113"/>
      <sheetData sheetId="12114">
        <row r="4">
          <cell r="I4">
            <v>0</v>
          </cell>
        </row>
      </sheetData>
      <sheetData sheetId="12115">
        <row r="4">
          <cell r="I4">
            <v>0</v>
          </cell>
        </row>
      </sheetData>
      <sheetData sheetId="12116"/>
      <sheetData sheetId="12117"/>
      <sheetData sheetId="12118"/>
      <sheetData sheetId="12119"/>
      <sheetData sheetId="12120"/>
      <sheetData sheetId="12121"/>
      <sheetData sheetId="12122"/>
      <sheetData sheetId="12123"/>
      <sheetData sheetId="12124"/>
      <sheetData sheetId="12125"/>
      <sheetData sheetId="12126"/>
      <sheetData sheetId="12127">
        <row r="4">
          <cell r="I4">
            <v>0</v>
          </cell>
        </row>
      </sheetData>
      <sheetData sheetId="12128"/>
      <sheetData sheetId="12129"/>
      <sheetData sheetId="12130">
        <row r="4">
          <cell r="I4">
            <v>0</v>
          </cell>
        </row>
      </sheetData>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row r="4">
          <cell r="I4">
            <v>0</v>
          </cell>
        </row>
      </sheetData>
      <sheetData sheetId="12155">
        <row r="4">
          <cell r="I4">
            <v>0</v>
          </cell>
        </row>
      </sheetData>
      <sheetData sheetId="12156">
        <row r="4">
          <cell r="I4">
            <v>0</v>
          </cell>
        </row>
      </sheetData>
      <sheetData sheetId="12157"/>
      <sheetData sheetId="12158">
        <row r="4">
          <cell r="I4">
            <v>0</v>
          </cell>
        </row>
      </sheetData>
      <sheetData sheetId="12159">
        <row r="4">
          <cell r="I4">
            <v>0</v>
          </cell>
        </row>
      </sheetData>
      <sheetData sheetId="12160">
        <row r="4">
          <cell r="I4">
            <v>0</v>
          </cell>
        </row>
      </sheetData>
      <sheetData sheetId="12161">
        <row r="4">
          <cell r="I4">
            <v>0</v>
          </cell>
        </row>
      </sheetData>
      <sheetData sheetId="12162">
        <row r="4">
          <cell r="I4">
            <v>0</v>
          </cell>
        </row>
      </sheetData>
      <sheetData sheetId="12163">
        <row r="4">
          <cell r="I4">
            <v>0</v>
          </cell>
        </row>
      </sheetData>
      <sheetData sheetId="12164">
        <row r="4">
          <cell r="I4">
            <v>0</v>
          </cell>
        </row>
      </sheetData>
      <sheetData sheetId="12165">
        <row r="4">
          <cell r="I4">
            <v>0</v>
          </cell>
        </row>
      </sheetData>
      <sheetData sheetId="12166">
        <row r="4">
          <cell r="I4">
            <v>0</v>
          </cell>
        </row>
      </sheetData>
      <sheetData sheetId="12167">
        <row r="4">
          <cell r="I4">
            <v>0</v>
          </cell>
        </row>
      </sheetData>
      <sheetData sheetId="12168">
        <row r="4">
          <cell r="I4">
            <v>0</v>
          </cell>
        </row>
      </sheetData>
      <sheetData sheetId="12169">
        <row r="4">
          <cell r="I4">
            <v>0</v>
          </cell>
        </row>
      </sheetData>
      <sheetData sheetId="12170">
        <row r="4">
          <cell r="I4">
            <v>0</v>
          </cell>
        </row>
      </sheetData>
      <sheetData sheetId="12171">
        <row r="4">
          <cell r="M4">
            <v>100</v>
          </cell>
        </row>
      </sheetData>
      <sheetData sheetId="12172"/>
      <sheetData sheetId="12173"/>
      <sheetData sheetId="12174"/>
      <sheetData sheetId="12175"/>
      <sheetData sheetId="12176">
        <row r="4">
          <cell r="I4">
            <v>0</v>
          </cell>
        </row>
      </sheetData>
      <sheetData sheetId="12177">
        <row r="4">
          <cell r="I4">
            <v>0</v>
          </cell>
        </row>
      </sheetData>
      <sheetData sheetId="12178">
        <row r="4">
          <cell r="I4">
            <v>0</v>
          </cell>
        </row>
      </sheetData>
      <sheetData sheetId="12179">
        <row r="4">
          <cell r="I4">
            <v>0</v>
          </cell>
        </row>
      </sheetData>
      <sheetData sheetId="12180">
        <row r="4">
          <cell r="I4">
            <v>0</v>
          </cell>
        </row>
      </sheetData>
      <sheetData sheetId="12181">
        <row r="4">
          <cell r="I4">
            <v>0</v>
          </cell>
        </row>
      </sheetData>
      <sheetData sheetId="12182">
        <row r="4">
          <cell r="I4">
            <v>0</v>
          </cell>
        </row>
      </sheetData>
      <sheetData sheetId="12183"/>
      <sheetData sheetId="12184">
        <row r="4">
          <cell r="I4">
            <v>0</v>
          </cell>
        </row>
      </sheetData>
      <sheetData sheetId="12185">
        <row r="4">
          <cell r="I4">
            <v>0</v>
          </cell>
        </row>
      </sheetData>
      <sheetData sheetId="12186">
        <row r="4">
          <cell r="I4">
            <v>0</v>
          </cell>
        </row>
      </sheetData>
      <sheetData sheetId="12187">
        <row r="4">
          <cell r="I4">
            <v>0</v>
          </cell>
        </row>
      </sheetData>
      <sheetData sheetId="12188">
        <row r="4">
          <cell r="I4">
            <v>0</v>
          </cell>
        </row>
      </sheetData>
      <sheetData sheetId="12189">
        <row r="4">
          <cell r="I4">
            <v>0</v>
          </cell>
        </row>
      </sheetData>
      <sheetData sheetId="12190">
        <row r="4">
          <cell r="I4">
            <v>0</v>
          </cell>
        </row>
      </sheetData>
      <sheetData sheetId="12191">
        <row r="4">
          <cell r="I4">
            <v>0</v>
          </cell>
        </row>
      </sheetData>
      <sheetData sheetId="12192">
        <row r="4">
          <cell r="I4">
            <v>0</v>
          </cell>
        </row>
      </sheetData>
      <sheetData sheetId="12193">
        <row r="4">
          <cell r="I4">
            <v>0</v>
          </cell>
        </row>
      </sheetData>
      <sheetData sheetId="12194">
        <row r="4">
          <cell r="I4">
            <v>0</v>
          </cell>
        </row>
      </sheetData>
      <sheetData sheetId="12195">
        <row r="4">
          <cell r="I4">
            <v>0</v>
          </cell>
        </row>
      </sheetData>
      <sheetData sheetId="12196">
        <row r="4">
          <cell r="I4">
            <v>0</v>
          </cell>
        </row>
      </sheetData>
      <sheetData sheetId="12197">
        <row r="4">
          <cell r="I4">
            <v>0</v>
          </cell>
        </row>
      </sheetData>
      <sheetData sheetId="12198">
        <row r="4">
          <cell r="I4">
            <v>0</v>
          </cell>
        </row>
      </sheetData>
      <sheetData sheetId="12199">
        <row r="4">
          <cell r="I4">
            <v>0</v>
          </cell>
        </row>
      </sheetData>
      <sheetData sheetId="12200">
        <row r="4">
          <cell r="I4">
            <v>0</v>
          </cell>
        </row>
      </sheetData>
      <sheetData sheetId="12201">
        <row r="4">
          <cell r="I4">
            <v>0</v>
          </cell>
        </row>
      </sheetData>
      <sheetData sheetId="12202">
        <row r="4">
          <cell r="I4">
            <v>0</v>
          </cell>
        </row>
      </sheetData>
      <sheetData sheetId="12203">
        <row r="4">
          <cell r="I4">
            <v>0</v>
          </cell>
        </row>
      </sheetData>
      <sheetData sheetId="12204">
        <row r="4">
          <cell r="I4">
            <v>0</v>
          </cell>
        </row>
      </sheetData>
      <sheetData sheetId="12205">
        <row r="4">
          <cell r="I4">
            <v>0</v>
          </cell>
        </row>
      </sheetData>
      <sheetData sheetId="12206">
        <row r="4">
          <cell r="I4">
            <v>0</v>
          </cell>
        </row>
      </sheetData>
      <sheetData sheetId="12207">
        <row r="4">
          <cell r="I4">
            <v>0</v>
          </cell>
        </row>
      </sheetData>
      <sheetData sheetId="12208">
        <row r="4">
          <cell r="I4">
            <v>0</v>
          </cell>
        </row>
      </sheetData>
      <sheetData sheetId="12209">
        <row r="4">
          <cell r="I4">
            <v>0</v>
          </cell>
        </row>
      </sheetData>
      <sheetData sheetId="12210">
        <row r="4">
          <cell r="I4">
            <v>0</v>
          </cell>
        </row>
      </sheetData>
      <sheetData sheetId="12211">
        <row r="4">
          <cell r="I4">
            <v>0</v>
          </cell>
        </row>
      </sheetData>
      <sheetData sheetId="12212">
        <row r="4">
          <cell r="I4">
            <v>0</v>
          </cell>
        </row>
      </sheetData>
      <sheetData sheetId="12213">
        <row r="4">
          <cell r="I4">
            <v>0</v>
          </cell>
        </row>
      </sheetData>
      <sheetData sheetId="12214">
        <row r="4">
          <cell r="I4">
            <v>0</v>
          </cell>
        </row>
      </sheetData>
      <sheetData sheetId="12215"/>
      <sheetData sheetId="12216"/>
      <sheetData sheetId="12217">
        <row r="4">
          <cell r="I4">
            <v>0</v>
          </cell>
        </row>
      </sheetData>
      <sheetData sheetId="12218">
        <row r="4">
          <cell r="M4">
            <v>100</v>
          </cell>
        </row>
      </sheetData>
      <sheetData sheetId="12219"/>
      <sheetData sheetId="12220"/>
      <sheetData sheetId="12221">
        <row r="4">
          <cell r="I4">
            <v>0</v>
          </cell>
        </row>
      </sheetData>
      <sheetData sheetId="12222">
        <row r="4">
          <cell r="I4">
            <v>0</v>
          </cell>
        </row>
      </sheetData>
      <sheetData sheetId="12223"/>
      <sheetData sheetId="12224"/>
      <sheetData sheetId="12225"/>
      <sheetData sheetId="12226"/>
      <sheetData sheetId="12227">
        <row r="4">
          <cell r="M4">
            <v>100</v>
          </cell>
        </row>
      </sheetData>
      <sheetData sheetId="12228"/>
      <sheetData sheetId="12229">
        <row r="4">
          <cell r="I4">
            <v>0</v>
          </cell>
        </row>
      </sheetData>
      <sheetData sheetId="12230">
        <row r="4">
          <cell r="I4">
            <v>0</v>
          </cell>
        </row>
      </sheetData>
      <sheetData sheetId="12231">
        <row r="4">
          <cell r="I4">
            <v>0</v>
          </cell>
        </row>
      </sheetData>
      <sheetData sheetId="12232">
        <row r="4">
          <cell r="I4">
            <v>0</v>
          </cell>
        </row>
      </sheetData>
      <sheetData sheetId="12233">
        <row r="4">
          <cell r="I4">
            <v>0</v>
          </cell>
        </row>
      </sheetData>
      <sheetData sheetId="12234">
        <row r="4">
          <cell r="I4">
            <v>0</v>
          </cell>
        </row>
      </sheetData>
      <sheetData sheetId="12235"/>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ow r="4">
          <cell r="I4">
            <v>0</v>
          </cell>
        </row>
      </sheetData>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ow r="4">
          <cell r="I4">
            <v>0</v>
          </cell>
        </row>
      </sheetData>
      <sheetData sheetId="12265">
        <row r="4">
          <cell r="I4">
            <v>0</v>
          </cell>
        </row>
      </sheetData>
      <sheetData sheetId="12266">
        <row r="4">
          <cell r="I4">
            <v>0</v>
          </cell>
        </row>
      </sheetData>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sheetData sheetId="12305"/>
      <sheetData sheetId="12306"/>
      <sheetData sheetId="12307"/>
      <sheetData sheetId="12308">
        <row r="4">
          <cell r="I4">
            <v>0</v>
          </cell>
        </row>
      </sheetData>
      <sheetData sheetId="12309">
        <row r="4">
          <cell r="I4">
            <v>0</v>
          </cell>
        </row>
      </sheetData>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sheetData sheetId="12399"/>
      <sheetData sheetId="12400">
        <row r="4">
          <cell r="I4">
            <v>0</v>
          </cell>
        </row>
      </sheetData>
      <sheetData sheetId="12401"/>
      <sheetData sheetId="12402"/>
      <sheetData sheetId="12403"/>
      <sheetData sheetId="12404"/>
      <sheetData sheetId="12405"/>
      <sheetData sheetId="12406"/>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refreshError="1"/>
      <sheetData sheetId="12507" refreshError="1"/>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refreshError="1"/>
      <sheetData sheetId="12533" refreshError="1"/>
      <sheetData sheetId="12534" refreshError="1"/>
      <sheetData sheetId="12535"/>
      <sheetData sheetId="12536"/>
      <sheetData sheetId="12537"/>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sheetData sheetId="12557" refreshError="1"/>
      <sheetData sheetId="12558" refreshError="1"/>
      <sheetData sheetId="12559" refreshError="1"/>
      <sheetData sheetId="12560" refreshError="1"/>
      <sheetData sheetId="12561"/>
      <sheetData sheetId="12562"/>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sheetData sheetId="12621"/>
      <sheetData sheetId="12622"/>
      <sheetData sheetId="12623"/>
      <sheetData sheetId="12624">
        <row r="4">
          <cell r="I4">
            <v>0</v>
          </cell>
        </row>
      </sheetData>
      <sheetData sheetId="12625"/>
      <sheetData sheetId="12626"/>
      <sheetData sheetId="12627"/>
      <sheetData sheetId="12628"/>
      <sheetData sheetId="12629">
        <row r="4">
          <cell r="I4">
            <v>0</v>
          </cell>
        </row>
      </sheetData>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sheetData sheetId="12678" refreshError="1"/>
      <sheetData sheetId="12679" refreshError="1"/>
      <sheetData sheetId="12680" refreshError="1"/>
      <sheetData sheetId="12681"/>
      <sheetData sheetId="12682"/>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sheetData sheetId="12818"/>
      <sheetData sheetId="12819"/>
      <sheetData sheetId="12820"/>
      <sheetData sheetId="12821" refreshError="1"/>
      <sheetData sheetId="12822"/>
      <sheetData sheetId="12823"/>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sheetData sheetId="12838">
        <row r="4">
          <cell r="I4">
            <v>0</v>
          </cell>
        </row>
      </sheetData>
      <sheetData sheetId="12839">
        <row r="4">
          <cell r="I4">
            <v>0</v>
          </cell>
        </row>
      </sheetData>
      <sheetData sheetId="12840">
        <row r="4">
          <cell r="I4">
            <v>0</v>
          </cell>
        </row>
      </sheetData>
      <sheetData sheetId="12841">
        <row r="4">
          <cell r="I4">
            <v>0</v>
          </cell>
        </row>
      </sheetData>
      <sheetData sheetId="12842">
        <row r="4">
          <cell r="I4">
            <v>0</v>
          </cell>
        </row>
      </sheetData>
      <sheetData sheetId="12843">
        <row r="4">
          <cell r="I4">
            <v>0</v>
          </cell>
        </row>
      </sheetData>
      <sheetData sheetId="12844">
        <row r="4">
          <cell r="I4">
            <v>0</v>
          </cell>
        </row>
      </sheetData>
      <sheetData sheetId="12845">
        <row r="4">
          <cell r="I4">
            <v>0</v>
          </cell>
        </row>
      </sheetData>
      <sheetData sheetId="12846">
        <row r="4">
          <cell r="I4">
            <v>0</v>
          </cell>
        </row>
      </sheetData>
      <sheetData sheetId="12847">
        <row r="4">
          <cell r="I4">
            <v>0</v>
          </cell>
        </row>
      </sheetData>
      <sheetData sheetId="12848">
        <row r="4">
          <cell r="I4">
            <v>0</v>
          </cell>
        </row>
      </sheetData>
      <sheetData sheetId="12849">
        <row r="4">
          <cell r="I4">
            <v>0</v>
          </cell>
        </row>
      </sheetData>
      <sheetData sheetId="12850">
        <row r="4">
          <cell r="I4">
            <v>0</v>
          </cell>
        </row>
      </sheetData>
      <sheetData sheetId="12851">
        <row r="4">
          <cell r="I4">
            <v>0</v>
          </cell>
        </row>
      </sheetData>
      <sheetData sheetId="12852">
        <row r="4">
          <cell r="I4">
            <v>0</v>
          </cell>
        </row>
      </sheetData>
      <sheetData sheetId="12853">
        <row r="4">
          <cell r="I4">
            <v>0</v>
          </cell>
        </row>
      </sheetData>
      <sheetData sheetId="12854">
        <row r="4">
          <cell r="I4">
            <v>0</v>
          </cell>
        </row>
      </sheetData>
      <sheetData sheetId="12855">
        <row r="4">
          <cell r="I4">
            <v>0</v>
          </cell>
        </row>
      </sheetData>
      <sheetData sheetId="12856">
        <row r="4">
          <cell r="I4">
            <v>0</v>
          </cell>
        </row>
      </sheetData>
      <sheetData sheetId="12857">
        <row r="4">
          <cell r="I4">
            <v>0</v>
          </cell>
        </row>
      </sheetData>
      <sheetData sheetId="12858">
        <row r="4">
          <cell r="I4">
            <v>0</v>
          </cell>
        </row>
      </sheetData>
      <sheetData sheetId="12859">
        <row r="4">
          <cell r="I4">
            <v>0</v>
          </cell>
        </row>
      </sheetData>
      <sheetData sheetId="12860">
        <row r="4">
          <cell r="I4">
            <v>0</v>
          </cell>
        </row>
      </sheetData>
      <sheetData sheetId="12861">
        <row r="4">
          <cell r="I4">
            <v>0</v>
          </cell>
        </row>
      </sheetData>
      <sheetData sheetId="12862">
        <row r="4">
          <cell r="I4">
            <v>0</v>
          </cell>
        </row>
      </sheetData>
      <sheetData sheetId="12863">
        <row r="4">
          <cell r="I4">
            <v>0</v>
          </cell>
        </row>
      </sheetData>
      <sheetData sheetId="12864">
        <row r="4">
          <cell r="I4">
            <v>0</v>
          </cell>
        </row>
      </sheetData>
      <sheetData sheetId="12865">
        <row r="4">
          <cell r="I4">
            <v>0</v>
          </cell>
        </row>
      </sheetData>
      <sheetData sheetId="12866">
        <row r="4">
          <cell r="I4">
            <v>0</v>
          </cell>
        </row>
      </sheetData>
      <sheetData sheetId="12867">
        <row r="4">
          <cell r="I4">
            <v>0</v>
          </cell>
        </row>
      </sheetData>
      <sheetData sheetId="12868">
        <row r="4">
          <cell r="I4">
            <v>0</v>
          </cell>
        </row>
      </sheetData>
      <sheetData sheetId="12869">
        <row r="4">
          <cell r="I4">
            <v>0</v>
          </cell>
        </row>
      </sheetData>
      <sheetData sheetId="12870">
        <row r="4">
          <cell r="I4">
            <v>0</v>
          </cell>
        </row>
      </sheetData>
      <sheetData sheetId="12871">
        <row r="4">
          <cell r="I4">
            <v>0</v>
          </cell>
        </row>
      </sheetData>
      <sheetData sheetId="12872">
        <row r="4">
          <cell r="I4">
            <v>0</v>
          </cell>
        </row>
      </sheetData>
      <sheetData sheetId="12873">
        <row r="4">
          <cell r="I4">
            <v>0</v>
          </cell>
        </row>
      </sheetData>
      <sheetData sheetId="12874">
        <row r="4">
          <cell r="I4">
            <v>0</v>
          </cell>
        </row>
      </sheetData>
      <sheetData sheetId="12875">
        <row r="4">
          <cell r="I4">
            <v>0</v>
          </cell>
        </row>
      </sheetData>
      <sheetData sheetId="12876">
        <row r="4">
          <cell r="I4">
            <v>0</v>
          </cell>
        </row>
      </sheetData>
      <sheetData sheetId="12877">
        <row r="4">
          <cell r="I4">
            <v>0</v>
          </cell>
        </row>
      </sheetData>
      <sheetData sheetId="12878">
        <row r="4">
          <cell r="I4">
            <v>0</v>
          </cell>
        </row>
      </sheetData>
      <sheetData sheetId="12879">
        <row r="4">
          <cell r="I4">
            <v>0</v>
          </cell>
        </row>
      </sheetData>
      <sheetData sheetId="12880">
        <row r="4">
          <cell r="I4">
            <v>0</v>
          </cell>
        </row>
      </sheetData>
      <sheetData sheetId="12881">
        <row r="4">
          <cell r="I4">
            <v>0</v>
          </cell>
        </row>
      </sheetData>
      <sheetData sheetId="12882">
        <row r="4">
          <cell r="I4">
            <v>0</v>
          </cell>
        </row>
      </sheetData>
      <sheetData sheetId="12883">
        <row r="4">
          <cell r="I4">
            <v>0</v>
          </cell>
        </row>
      </sheetData>
      <sheetData sheetId="12884">
        <row r="4">
          <cell r="I4">
            <v>0</v>
          </cell>
        </row>
      </sheetData>
      <sheetData sheetId="12885">
        <row r="4">
          <cell r="I4">
            <v>0</v>
          </cell>
        </row>
      </sheetData>
      <sheetData sheetId="12886">
        <row r="4">
          <cell r="I4">
            <v>0</v>
          </cell>
        </row>
      </sheetData>
      <sheetData sheetId="12887">
        <row r="4">
          <cell r="I4">
            <v>0</v>
          </cell>
        </row>
      </sheetData>
      <sheetData sheetId="12888">
        <row r="4">
          <cell r="I4">
            <v>0</v>
          </cell>
        </row>
      </sheetData>
      <sheetData sheetId="12889">
        <row r="4">
          <cell r="I4">
            <v>0</v>
          </cell>
        </row>
      </sheetData>
      <sheetData sheetId="12890">
        <row r="4">
          <cell r="I4">
            <v>0</v>
          </cell>
        </row>
      </sheetData>
      <sheetData sheetId="12891">
        <row r="4">
          <cell r="I4">
            <v>0</v>
          </cell>
        </row>
      </sheetData>
      <sheetData sheetId="12892">
        <row r="4">
          <cell r="I4">
            <v>0</v>
          </cell>
        </row>
      </sheetData>
      <sheetData sheetId="12893">
        <row r="4">
          <cell r="I4">
            <v>0</v>
          </cell>
        </row>
      </sheetData>
      <sheetData sheetId="12894">
        <row r="4">
          <cell r="I4">
            <v>0</v>
          </cell>
        </row>
      </sheetData>
      <sheetData sheetId="12895">
        <row r="4">
          <cell r="I4">
            <v>0</v>
          </cell>
        </row>
      </sheetData>
      <sheetData sheetId="12896">
        <row r="4">
          <cell r="I4">
            <v>0</v>
          </cell>
        </row>
      </sheetData>
      <sheetData sheetId="12897">
        <row r="4">
          <cell r="I4">
            <v>0</v>
          </cell>
        </row>
      </sheetData>
      <sheetData sheetId="12898">
        <row r="4">
          <cell r="I4">
            <v>0</v>
          </cell>
        </row>
      </sheetData>
      <sheetData sheetId="12899">
        <row r="4">
          <cell r="I4">
            <v>0</v>
          </cell>
        </row>
      </sheetData>
      <sheetData sheetId="12900">
        <row r="4">
          <cell r="I4">
            <v>0</v>
          </cell>
        </row>
      </sheetData>
      <sheetData sheetId="12901">
        <row r="4">
          <cell r="I4">
            <v>0</v>
          </cell>
        </row>
      </sheetData>
      <sheetData sheetId="12902">
        <row r="4">
          <cell r="I4">
            <v>0</v>
          </cell>
        </row>
      </sheetData>
      <sheetData sheetId="12903">
        <row r="4">
          <cell r="I4">
            <v>0</v>
          </cell>
        </row>
      </sheetData>
      <sheetData sheetId="12904">
        <row r="4">
          <cell r="I4">
            <v>0</v>
          </cell>
        </row>
      </sheetData>
      <sheetData sheetId="12905">
        <row r="4">
          <cell r="I4">
            <v>0</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row r="4">
          <cell r="I4">
            <v>0</v>
          </cell>
        </row>
      </sheetData>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refreshError="1"/>
      <sheetData sheetId="13014" refreshError="1"/>
      <sheetData sheetId="13015" refreshError="1"/>
      <sheetData sheetId="13016"/>
      <sheetData sheetId="13017"/>
      <sheetData sheetId="13018">
        <row r="4">
          <cell r="I4">
            <v>0</v>
          </cell>
        </row>
      </sheetData>
      <sheetData sheetId="13019">
        <row r="4">
          <cell r="M4">
            <v>100</v>
          </cell>
        </row>
      </sheetData>
      <sheetData sheetId="13020">
        <row r="4">
          <cell r="I4">
            <v>0</v>
          </cell>
        </row>
      </sheetData>
      <sheetData sheetId="13021">
        <row r="4">
          <cell r="M4">
            <v>100</v>
          </cell>
        </row>
      </sheetData>
      <sheetData sheetId="13022">
        <row r="4">
          <cell r="I4">
            <v>0</v>
          </cell>
        </row>
      </sheetData>
      <sheetData sheetId="13023" refreshError="1"/>
      <sheetData sheetId="13024" refreshError="1"/>
      <sheetData sheetId="13025" refreshError="1"/>
      <sheetData sheetId="13026" refreshError="1"/>
      <sheetData sheetId="13027" refreshError="1"/>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sheetData sheetId="13925"/>
      <sheetData sheetId="13926"/>
      <sheetData sheetId="13927" refreshError="1"/>
      <sheetData sheetId="13928" refreshError="1"/>
      <sheetData sheetId="13929" refreshError="1"/>
      <sheetData sheetId="13930" refreshError="1"/>
      <sheetData sheetId="13931" refreshError="1"/>
      <sheetData sheetId="13932"/>
      <sheetData sheetId="13933" refreshError="1"/>
      <sheetData sheetId="13934"/>
      <sheetData sheetId="13935"/>
      <sheetData sheetId="13936"/>
      <sheetData sheetId="13937" refreshError="1"/>
      <sheetData sheetId="13938" refreshError="1"/>
      <sheetData sheetId="13939" refreshError="1"/>
      <sheetData sheetId="13940"/>
      <sheetData sheetId="13941"/>
      <sheetData sheetId="13942"/>
      <sheetData sheetId="13943"/>
      <sheetData sheetId="13944"/>
      <sheetData sheetId="13945" refreshError="1"/>
      <sheetData sheetId="13946" refreshError="1"/>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sheetData sheetId="14092"/>
      <sheetData sheetId="14093"/>
      <sheetData sheetId="14094"/>
      <sheetData sheetId="14095"/>
      <sheetData sheetId="14096"/>
      <sheetData sheetId="14097"/>
      <sheetData sheetId="14098"/>
      <sheetData sheetId="14099" refreshError="1"/>
      <sheetData sheetId="14100" refreshError="1"/>
      <sheetData sheetId="14101" refreshError="1"/>
      <sheetData sheetId="14102" refreshError="1"/>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sheetData sheetId="15267"/>
      <sheetData sheetId="15268"/>
      <sheetData sheetId="15269"/>
      <sheetData sheetId="15270"/>
      <sheetData sheetId="15271"/>
      <sheetData sheetId="15272"/>
      <sheetData sheetId="15273"/>
      <sheetData sheetId="15274"/>
      <sheetData sheetId="15275"/>
      <sheetData sheetId="15276"/>
      <sheetData sheetId="15277"/>
      <sheetData sheetId="15278"/>
      <sheetData sheetId="15279"/>
      <sheetData sheetId="15280"/>
      <sheetData sheetId="15281"/>
      <sheetData sheetId="15282"/>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sheetData sheetId="15341"/>
      <sheetData sheetId="15342"/>
      <sheetData sheetId="15343"/>
      <sheetData sheetId="15344"/>
      <sheetData sheetId="15345"/>
      <sheetData sheetId="15346"/>
      <sheetData sheetId="15347"/>
      <sheetData sheetId="15348"/>
      <sheetData sheetId="15349"/>
      <sheetData sheetId="15350"/>
      <sheetData sheetId="15351"/>
      <sheetData sheetId="15352"/>
      <sheetData sheetId="15353"/>
      <sheetData sheetId="15354"/>
      <sheetData sheetId="15355"/>
      <sheetData sheetId="15356"/>
      <sheetData sheetId="15357"/>
      <sheetData sheetId="15358"/>
      <sheetData sheetId="15359"/>
      <sheetData sheetId="15360"/>
      <sheetData sheetId="15361"/>
      <sheetData sheetId="15362"/>
      <sheetData sheetId="15363"/>
      <sheetData sheetId="15364"/>
      <sheetData sheetId="15365"/>
      <sheetData sheetId="15366"/>
      <sheetData sheetId="15367"/>
      <sheetData sheetId="15368"/>
      <sheetData sheetId="15369"/>
      <sheetData sheetId="15370"/>
      <sheetData sheetId="15371"/>
      <sheetData sheetId="15372"/>
      <sheetData sheetId="15373"/>
      <sheetData sheetId="15374"/>
      <sheetData sheetId="15375"/>
      <sheetData sheetId="15376"/>
      <sheetData sheetId="15377"/>
      <sheetData sheetId="15378"/>
      <sheetData sheetId="15379"/>
      <sheetData sheetId="15380"/>
      <sheetData sheetId="15381"/>
      <sheetData sheetId="15382"/>
      <sheetData sheetId="15383"/>
      <sheetData sheetId="15384"/>
      <sheetData sheetId="15385"/>
      <sheetData sheetId="15386"/>
      <sheetData sheetId="15387"/>
      <sheetData sheetId="15388"/>
      <sheetData sheetId="15389"/>
      <sheetData sheetId="15390"/>
      <sheetData sheetId="15391"/>
      <sheetData sheetId="15392"/>
      <sheetData sheetId="15393"/>
      <sheetData sheetId="15394"/>
      <sheetData sheetId="15395"/>
      <sheetData sheetId="15396"/>
      <sheetData sheetId="15397"/>
      <sheetData sheetId="15398"/>
      <sheetData sheetId="15399"/>
      <sheetData sheetId="15400"/>
      <sheetData sheetId="15401"/>
      <sheetData sheetId="15402"/>
      <sheetData sheetId="15403"/>
      <sheetData sheetId="15404"/>
      <sheetData sheetId="15405"/>
      <sheetData sheetId="15406"/>
      <sheetData sheetId="15407"/>
      <sheetData sheetId="15408"/>
      <sheetData sheetId="15409"/>
      <sheetData sheetId="15410"/>
      <sheetData sheetId="15411"/>
      <sheetData sheetId="15412"/>
      <sheetData sheetId="15413"/>
      <sheetData sheetId="15414"/>
      <sheetData sheetId="15415"/>
      <sheetData sheetId="15416"/>
      <sheetData sheetId="15417"/>
      <sheetData sheetId="15418"/>
      <sheetData sheetId="15419"/>
      <sheetData sheetId="15420"/>
      <sheetData sheetId="15421"/>
      <sheetData sheetId="15422"/>
      <sheetData sheetId="15423"/>
      <sheetData sheetId="15424"/>
      <sheetData sheetId="15425"/>
      <sheetData sheetId="15426"/>
      <sheetData sheetId="15427"/>
      <sheetData sheetId="15428"/>
      <sheetData sheetId="15429"/>
      <sheetData sheetId="15430"/>
      <sheetData sheetId="15431"/>
      <sheetData sheetId="15432"/>
      <sheetData sheetId="15433"/>
      <sheetData sheetId="15434"/>
      <sheetData sheetId="15435"/>
      <sheetData sheetId="15436"/>
      <sheetData sheetId="15437"/>
      <sheetData sheetId="15438"/>
      <sheetData sheetId="15439"/>
      <sheetData sheetId="15440"/>
      <sheetData sheetId="15441"/>
      <sheetData sheetId="15442"/>
      <sheetData sheetId="15443"/>
      <sheetData sheetId="15444"/>
      <sheetData sheetId="15445"/>
      <sheetData sheetId="15446"/>
      <sheetData sheetId="15447"/>
      <sheetData sheetId="15448"/>
      <sheetData sheetId="15449"/>
      <sheetData sheetId="15450"/>
      <sheetData sheetId="15451"/>
      <sheetData sheetId="15452"/>
      <sheetData sheetId="15453"/>
      <sheetData sheetId="15454"/>
      <sheetData sheetId="15455"/>
      <sheetData sheetId="15456"/>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sheetData sheetId="15474"/>
      <sheetData sheetId="15475"/>
      <sheetData sheetId="15476"/>
      <sheetData sheetId="15477"/>
      <sheetData sheetId="15478"/>
      <sheetData sheetId="15479"/>
      <sheetData sheetId="15480"/>
      <sheetData sheetId="15481"/>
      <sheetData sheetId="15482"/>
      <sheetData sheetId="15483"/>
      <sheetData sheetId="15484"/>
      <sheetData sheetId="15485"/>
      <sheetData sheetId="15486"/>
      <sheetData sheetId="15487"/>
      <sheetData sheetId="15488"/>
      <sheetData sheetId="15489"/>
      <sheetData sheetId="15490"/>
      <sheetData sheetId="15491"/>
      <sheetData sheetId="15492"/>
      <sheetData sheetId="15493"/>
      <sheetData sheetId="15494"/>
      <sheetData sheetId="15495"/>
      <sheetData sheetId="15496"/>
      <sheetData sheetId="15497"/>
      <sheetData sheetId="15498"/>
      <sheetData sheetId="15499"/>
      <sheetData sheetId="15500"/>
      <sheetData sheetId="15501"/>
      <sheetData sheetId="15502"/>
      <sheetData sheetId="15503"/>
      <sheetData sheetId="15504"/>
      <sheetData sheetId="15505"/>
      <sheetData sheetId="15506"/>
      <sheetData sheetId="15507"/>
      <sheetData sheetId="15508"/>
      <sheetData sheetId="15509"/>
      <sheetData sheetId="15510"/>
      <sheetData sheetId="15511"/>
      <sheetData sheetId="15512"/>
      <sheetData sheetId="15513"/>
      <sheetData sheetId="15514"/>
      <sheetData sheetId="15515"/>
      <sheetData sheetId="15516"/>
      <sheetData sheetId="15517"/>
      <sheetData sheetId="15518"/>
      <sheetData sheetId="15519"/>
      <sheetData sheetId="15520"/>
      <sheetData sheetId="1552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sheetData sheetId="15614"/>
      <sheetData sheetId="15615"/>
      <sheetData sheetId="15616"/>
      <sheetData sheetId="15617"/>
      <sheetData sheetId="15618"/>
      <sheetData sheetId="15619"/>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sheetData sheetId="15634"/>
      <sheetData sheetId="15635" refreshError="1"/>
      <sheetData sheetId="15636" refreshError="1"/>
      <sheetData sheetId="15637" refreshError="1"/>
      <sheetData sheetId="15638"/>
      <sheetData sheetId="15639"/>
      <sheetData sheetId="15640"/>
      <sheetData sheetId="15641" refreshError="1"/>
      <sheetData sheetId="15642" refreshError="1"/>
      <sheetData sheetId="15643" refreshError="1"/>
      <sheetData sheetId="15644"/>
      <sheetData sheetId="15645"/>
      <sheetData sheetId="15646"/>
      <sheetData sheetId="15647"/>
      <sheetData sheetId="15648"/>
      <sheetData sheetId="15649"/>
      <sheetData sheetId="15650"/>
      <sheetData sheetId="15651"/>
      <sheetData sheetId="15652"/>
      <sheetData sheetId="15653"/>
      <sheetData sheetId="1565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근"/>
      <sheetName val="갑지"/>
      <sheetName val="Appendix A14"/>
      <sheetName val="Total"/>
      <sheetName val="M"/>
      <sheetName val="Kiss"/>
      <sheetName val="List"/>
      <sheetName val="ITI"/>
      <sheetName val="IS"/>
      <sheetName val="MCS"/>
      <sheetName val="Act"/>
      <sheetName val="Late"/>
      <sheetName val="Disc"/>
      <sheetName val="PO-MFG-CT"/>
      <sheetName val="Sheet2"/>
      <sheetName val="Inpu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집계표(OPTION)"/>
      <sheetName val="Sheet1"/>
      <sheetName val="5대총괄"/>
      <sheetName val="찍기"/>
      <sheetName val="환율"/>
      <sheetName val="PROPOSAL"/>
      <sheetName val="DB_ET200(R. A)"/>
      <sheetName val="경영현황"/>
      <sheetName val="No Inspection"/>
      <sheetName val="INSTR"/>
      <sheetName val="Orbit"/>
      <sheetName val="INPUT DATA OF SCHEDULE"/>
      <sheetName val="예산"/>
      <sheetName val="#REF"/>
      <sheetName val="설산1.나"/>
      <sheetName val="본사S"/>
      <sheetName val="jobhist"/>
      <sheetName val="??"/>
      <sheetName val="건내용"/>
      <sheetName val="상반기손익차2총괄"/>
      <sheetName val="Equipment"/>
      <sheetName val="TL,Termination"/>
      <sheetName val="Cable,Conduit"/>
      <sheetName val="ACTDATA"/>
      <sheetName val="단가산출서"/>
      <sheetName val="자바라1"/>
      <sheetName val="해외 연수비용 계산-삭제"/>
      <sheetName val="해외 기술훈련비 (합계)"/>
      <sheetName val=" 3 2 2 2 3_x0000_ᨀєﾔ㊠_x0009__x0000__x0009__x0000_줨ܕls_x0000__x0000__x0000__x0000__x0000__x0000_ca"/>
      <sheetName val="nd Settings\Owner\바탕 화면_x0000_ALLUSER"/>
      <sheetName val="Peralatan (2)"/>
      <sheetName val="BQ GEDUNG"/>
      <sheetName val="Peralatan"/>
      <sheetName val="Basic Price"/>
      <sheetName val="Cash2"/>
      <sheetName val="Z"/>
      <sheetName val="alat (2)"/>
      <sheetName val="I-KAMAR"/>
      <sheetName val="BM"/>
      <sheetName val="Ahs.2"/>
      <sheetName val="Ahs.1"/>
      <sheetName val="VC2 10.99"/>
      <sheetName val="95삼성급(본사)"/>
      <sheetName val="일위대가"/>
      <sheetName val="수질정화시설"/>
      <sheetName val="설계조건"/>
      <sheetName val="수입"/>
      <sheetName val="Volume"/>
      <sheetName val="DB_on_off valve"/>
      <sheetName val="공사내역"/>
      <sheetName val="A"/>
      <sheetName val="Appendix_A14"/>
      <sheetName val="03년_현장공사비_실적_총괄"/>
      <sheetName val="03년_현장공사비_실적_상세"/>
      <sheetName val="03년_현장자재_및_장비비_실적총괄"/>
      <sheetName val="03년_현장_외주비_자재_및_장비비_실적"/>
      <sheetName val="BM_DATA_SHEET"/>
      <sheetName val="DB_ET200(R__A)"/>
      <sheetName val="인원계획"/>
      <sheetName val="7.6.3.J.Inline Instrument"/>
      <sheetName val=" 3 2 2 2 3_x0000_ᨀєﾔ㊠ _x0000_ _x0000_줨ܕls_x0000__x0000__x0000__x0000__x0000__x0000_ca"/>
      <sheetName val="DRUM"/>
      <sheetName val="D-3109"/>
      <sheetName val="도면자료제출일정"/>
      <sheetName val="조명시설"/>
      <sheetName val="[PROPOSAL.XLS][PROPOSAL.XLS]nd "/>
      <sheetName val="[PROPOSAL.XLS]nd Settings\Owner"/>
      <sheetName val="__"/>
      <sheetName val=" 3 2 2 2 3"/>
      <sheetName val="nd Settings_Owner_바탕 화면"/>
      <sheetName val="_PROPOSAL.XLS__PROPOSAL.XLS_nd "/>
      <sheetName val="_PROPOSAL.XLS_nd Settings_Owner"/>
      <sheetName val="97년추정손익계산서"/>
      <sheetName val="2.2 띠장의 설계"/>
      <sheetName val="Plantscape-FPSO"/>
      <sheetName val="CRITERIA"/>
      <sheetName val="Appendix_A141"/>
      <sheetName val="03년_현장공사비_실적_총괄1"/>
      <sheetName val="03년_현장공사비_실적_상세1"/>
      <sheetName val="03년_현장자재_및_장비비_실적총괄1"/>
      <sheetName val="03년_현장_외주비_자재_및_장비비_실적1"/>
      <sheetName val="Pag. 1"/>
      <sheetName val="Eier"/>
      <sheetName val="BREAKDOWN(철거설치)"/>
      <sheetName val="예가표"/>
      <sheetName val="WE'T"/>
      <sheetName val="리비아견적작업"/>
      <sheetName val="뜃맟뭁돽띿맟?-BLDG"/>
      <sheetName val="BREAKDOWN(신규설치)"/>
      <sheetName val="SUMMARY_철거"/>
      <sheetName val="REDUCER"/>
      <sheetName val="Benchmark"/>
      <sheetName val="nd Settings\Owner\바탕 화면"/>
      <sheetName val="설계명세"/>
      <sheetName val="summary"/>
      <sheetName val="12CGOU"/>
      <sheetName val="재료비"/>
      <sheetName val="현장지지물물량"/>
      <sheetName val="총괄표"/>
      <sheetName val="Piping Design Data"/>
      <sheetName val="Sheet4"/>
      <sheetName val="할증 "/>
      <sheetName val="갑지(추정)"/>
      <sheetName val="2-Conc"/>
      <sheetName val="연돌일위집계"/>
      <sheetName val="VXXXXX"/>
      <sheetName val="M 11"/>
      <sheetName val="Data"/>
      <sheetName val="2,000"/>
      <sheetName val="Chiet tinh dz35"/>
      <sheetName val="Chiet tinh dz22"/>
      <sheetName val="CT Thang Mo"/>
      <sheetName val="CT  PL"/>
      <sheetName val="MTP"/>
      <sheetName val="MTP1"/>
      <sheetName val="BQMPALOC"/>
      <sheetName val="기성내역"/>
      <sheetName val="EQUIP LIST"/>
      <sheetName val="Process Piping"/>
      <sheetName val="M3산출"/>
      <sheetName val="BAND(200)"/>
      <sheetName val="EL 표면적"/>
      <sheetName val="부하(성남)"/>
      <sheetName val="COVER"/>
      <sheetName val="BW"/>
      <sheetName val="금액내역서"/>
      <sheetName val="공사비예산서(토목분)"/>
      <sheetName val="LEGEND"/>
      <sheetName val="대비표"/>
      <sheetName val="AREA"/>
      <sheetName val="footing"/>
      <sheetName val="10241PIP1ON-SITE"/>
      <sheetName val="10241EQLIST"/>
      <sheetName val="SPEC"/>
      <sheetName val="PROCURE"/>
      <sheetName val="PIPE-HOT"/>
      <sheetName val="TTL"/>
      <sheetName val="HX"/>
      <sheetName val="inter"/>
      <sheetName val="영업2"/>
      <sheetName val="영업3"/>
      <sheetName val="Code"/>
      <sheetName val="Default"/>
      <sheetName val="단면가정"/>
      <sheetName val="단면검토"/>
      <sheetName val="C &amp; G RHS"/>
      <sheetName val="운반"/>
      <sheetName val="Code_Magics"/>
      <sheetName val="Utility and Fire flange"/>
      <sheetName val="ASCEandUBC"/>
      <sheetName val="harsat"/>
      <sheetName val="PI"/>
      <sheetName val="뜃맟뭁돽띿맟_-BLDG"/>
      <sheetName val="설치공사"/>
      <sheetName val="Arch"/>
      <sheetName val="co-no.2"/>
      <sheetName val="0000"/>
      <sheetName val="TOSHIBA-Structure"/>
      <sheetName val="표지"/>
      <sheetName val="GAE8'97"/>
      <sheetName val="대비"/>
      <sheetName val="LLEGADA"/>
      <sheetName val="(10) Other Costs5"/>
      <sheetName val="8.PILE  (돌출)"/>
      <sheetName val="CABLE DATA"/>
      <sheetName val="No_Inspection"/>
      <sheetName val="DISCOUNT"/>
      <sheetName val="IWO"/>
      <sheetName val="3051"/>
      <sheetName val="3501T"/>
      <sheetName val=" 3 2 2 2 3_x005f_x0000_ᨀєﾔ㊠_x005f_x0009__x0"/>
      <sheetName val="nd Settings\Owner\바탕 화면_x005f_x0000_A"/>
      <sheetName val="RAP"/>
      <sheetName val="정부노임단가"/>
      <sheetName val="업무처리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FIT"/>
      <sheetName val="P-L"/>
      <sheetName val="BUDg"/>
      <sheetName val="예산"/>
      <sheetName val="FAS"/>
      <sheetName val="FCST"/>
      <sheetName val="M_H"/>
      <sheetName val="F_MONY"/>
      <sheetName val="환보고"/>
      <sheetName val="환자료"/>
      <sheetName val="inter"/>
      <sheetName val="노무비(MM)"/>
      <sheetName val="노무비(비용)"/>
      <sheetName val="공사비"/>
      <sheetName val="Sheet6"/>
      <sheetName val="Sheet7"/>
      <sheetName val="Sheet8"/>
      <sheetName val="Sheet9"/>
      <sheetName val="Sheet10"/>
      <sheetName val="Sheet11"/>
      <sheetName val="Sheet12"/>
      <sheetName val="Sheet13"/>
      <sheetName val="Sheet14"/>
      <sheetName val="Sheet15"/>
      <sheetName val="Sheet16"/>
      <sheetName val="Module1"/>
      <sheetName val="Module2"/>
      <sheetName val="Module3"/>
      <sheetName val="LinerWt"/>
      <sheetName val="견적"/>
      <sheetName val="General Data"/>
      <sheetName val="COA-17"/>
      <sheetName val="C-18"/>
      <sheetName val="별총"/>
      <sheetName val="갑지"/>
      <sheetName val="h-013211-2"/>
      <sheetName val="총괄표"/>
      <sheetName val="POWER"/>
      <sheetName val="도"/>
      <sheetName val="CAT_5"/>
      <sheetName val="Plan"/>
      <sheetName val="SHL"/>
      <sheetName val="SG"/>
      <sheetName val="TTL"/>
      <sheetName val="INSTR"/>
      <sheetName val="기계내역서"/>
      <sheetName val="일위대가"/>
      <sheetName val="DESIGN"/>
      <sheetName val="OCT.FDN"/>
      <sheetName val="산근"/>
      <sheetName val="12CGOU"/>
      <sheetName val="Summary Sheets"/>
      <sheetName val="Input"/>
      <sheetName val="Activity"/>
      <sheetName val="Crew"/>
      <sheetName val="Piping"/>
      <sheetName val="Pipe Supports"/>
      <sheetName val="VXXXXX"/>
      <sheetName val="Cash2"/>
      <sheetName val="Z"/>
      <sheetName val="공조위생"/>
      <sheetName val="EQUIP LIST"/>
      <sheetName val="인원계획"/>
      <sheetName val="CST_STAT"/>
      <sheetName val="rate"/>
      <sheetName val="FILTER"/>
      <sheetName val="기준"/>
      <sheetName val="P-HOT.XLS"/>
      <sheetName val="노임9월"/>
      <sheetName val="내역서"/>
      <sheetName val="boq"/>
      <sheetName val="WORK-VOL"/>
      <sheetName val="Process Piping"/>
      <sheetName val="B"/>
      <sheetName val="실행내역"/>
      <sheetName val="PROCURE"/>
      <sheetName val="3. GROUNDING SYSTEM"/>
      <sheetName val="SKETCH"/>
      <sheetName val="단가"/>
      <sheetName val="blk"/>
      <sheetName val="Sheet3"/>
      <sheetName val="EQT-ESTN"/>
      <sheetName val="당진1,2호기전선관설치및접지4차공사내역서-을지"/>
      <sheetName val="환율"/>
      <sheetName val="9_Material Rates"/>
      <sheetName val="1_References"/>
      <sheetName val="집계표"/>
      <sheetName val="일위대가표"/>
      <sheetName val="갑지1"/>
      <sheetName val="조명시설"/>
      <sheetName val="PRO_DCI"/>
      <sheetName val="INST_DCI"/>
      <sheetName val="HVAC_DCI"/>
      <sheetName val="PIPE_DCI"/>
      <sheetName val="CALCULATION"/>
      <sheetName val="대비표"/>
      <sheetName val="Material and Manpower data"/>
      <sheetName val="Pricing Summary"/>
      <sheetName val="Project-A"/>
      <sheetName val="Chart"/>
      <sheetName val="EQUIP"/>
      <sheetName val="견"/>
      <sheetName val="보온자재단가표"/>
      <sheetName val="작성기준"/>
      <sheetName val="Alum."/>
      <sheetName val="Data"/>
      <sheetName val="Calc"/>
      <sheetName val="LEGEND"/>
      <sheetName val="look-up"/>
      <sheetName val="AILC004"/>
      <sheetName val="Fax"/>
      <sheetName val="현장지지물물량"/>
      <sheetName val="Code"/>
      <sheetName val="2.2 STAFF Scedule"/>
      <sheetName val="CONTENTS"/>
      <sheetName val="금액내역서"/>
      <sheetName val="WORK"/>
      <sheetName val="HORI. VESSEL"/>
      <sheetName val="BQ"/>
      <sheetName val="@PRICE1"/>
      <sheetName val="최종단가"/>
      <sheetName val="#REF"/>
      <sheetName val="steam table"/>
      <sheetName val="토목품셈"/>
      <sheetName val="장비"/>
      <sheetName val="노무"/>
      <sheetName val="자재"/>
      <sheetName val="산근1"/>
      <sheetName val="Quantity"/>
      <sheetName val="BQMPALOC"/>
      <sheetName val="입출재고현황 (2)"/>
      <sheetName val="AREA"/>
      <sheetName val="바닥판"/>
      <sheetName val="TYPE1"/>
      <sheetName val="철근량"/>
      <sheetName val="토목주소"/>
      <sheetName val="프랜트면허"/>
      <sheetName val="역T형"/>
      <sheetName val="PILE"/>
      <sheetName val="내역"/>
      <sheetName val="초기화면"/>
      <sheetName val="95삼성급(본사)"/>
      <sheetName val="Sheet1"/>
      <sheetName val="Rate Analysi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insulation"/>
      <sheetName val="Sheet5"/>
      <sheetName val="97 사업추정(WEKI)"/>
      <sheetName val="GiaVL"/>
      <sheetName val="Code_Magics"/>
      <sheetName val="MP MOB"/>
      <sheetName val="Inst Matl Table"/>
      <sheetName val="Inst_Type"/>
      <sheetName val="Loop Type"/>
      <sheetName val="Tracing"/>
      <sheetName val="Hookup"/>
      <sheetName val="WBS"/>
      <sheetName val="재료비"/>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경비"/>
      <sheetName val="찍기"/>
      <sheetName val="TABLES"/>
      <sheetName val="GROUNDING SYSTEM"/>
      <sheetName val="El(Increased)"/>
      <sheetName val="집계표(OPTION)"/>
      <sheetName val="1. 설계조건 2.단면가정 3. 하중계산"/>
      <sheetName val="DATA 입력란"/>
      <sheetName val="공사비예산서(토목분)"/>
      <sheetName val="가격조사서"/>
      <sheetName val="연돌일위집계"/>
      <sheetName val="HANDHOLE(2)"/>
      <sheetName val="PAD TR보호대기초"/>
      <sheetName val="가로등기초"/>
      <sheetName val="Civil"/>
      <sheetName val="DB@Acess"/>
      <sheetName val="공사내역"/>
      <sheetName val="D-3109"/>
      <sheetName val="당초"/>
      <sheetName val="배명(단가)"/>
      <sheetName val="TANK"/>
      <sheetName val="LTR-2"/>
      <sheetName val="Car park lease"/>
      <sheetName val="C1"/>
      <sheetName val="sum1 (2)"/>
      <sheetName val="s"/>
      <sheetName val="대비"/>
      <sheetName val="철근단위중량"/>
      <sheetName val="단면가정"/>
      <sheetName val="설계조건"/>
      <sheetName val="PI"/>
      <sheetName val="Master_Data"/>
      <sheetName val="8.PILE  (돌출)"/>
      <sheetName val="CTEMCOST"/>
      <sheetName val="부하(성남)"/>
      <sheetName val="SILICATE"/>
      <sheetName val="Default"/>
      <sheetName val="Utility and Fire flange"/>
      <sheetName val="IBASE"/>
      <sheetName val="소화실적"/>
      <sheetName val="SCHEDULE"/>
      <sheetName val="bldg list"/>
      <sheetName val="L V Separator"/>
      <sheetName val="Eq. Mobilization"/>
      <sheetName val="노임단가"/>
      <sheetName val="DRUM"/>
      <sheetName val="계수시트"/>
      <sheetName val="MTO REV.2(ARMOR)"/>
      <sheetName val="Steel-Main Work"/>
      <sheetName val="parts-V2"/>
      <sheetName val="전기"/>
      <sheetName val="ABB"/>
      <sheetName val="C-301E~305E"/>
      <sheetName val="M3산출"/>
      <sheetName val="SM1-09"/>
      <sheetName val="SM2-09"/>
      <sheetName val="BAND(200)"/>
      <sheetName val="BD-09"/>
      <sheetName val="EL 표면적"/>
      <sheetName val="MT-09"/>
      <sheetName val="980731"/>
      <sheetName val="실행철강하도"/>
      <sheetName val="jobhist"/>
      <sheetName val="DATE"/>
      <sheetName val="MK2-1"/>
      <sheetName val="초임연봉"/>
      <sheetName val="시가지우회도로공내역서"/>
      <sheetName val="TOTAL"/>
      <sheetName val="영업소실적"/>
      <sheetName val="D2old"/>
      <sheetName val="D2"/>
      <sheetName val="D1.1"/>
      <sheetName val="Library"/>
      <sheetName val="D1X"/>
      <sheetName val="D2X"/>
      <sheetName val="D2.1"/>
      <sheetName val="Checklist"/>
      <sheetName val="D4"/>
      <sheetName val="Administrative Prices"/>
      <sheetName val="Summary"/>
      <sheetName val="2000년1차"/>
      <sheetName val="Bid Summary"/>
      <sheetName val="eq_data"/>
      <sheetName val="날개벽(좌,우=60도-4개)"/>
      <sheetName val="Ex-Rate"/>
      <sheetName val="Proj Cost Sumry"/>
      <sheetName val="Wt of Mod."/>
      <sheetName val="Sheet4"/>
      <sheetName val="BM"/>
      <sheetName val="장비검사 사진"/>
      <sheetName val="15100"/>
      <sheetName val="SPEC"/>
      <sheetName val="EAS"/>
      <sheetName val="HX"/>
      <sheetName val="백분율"/>
      <sheetName val="DHEQSUPT"/>
      <sheetName val="Engineering"/>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IN"/>
      <sheetName val="토공정보"/>
      <sheetName val="두앙"/>
      <sheetName val="2"/>
      <sheetName val="MEXICO-C"/>
      <sheetName val="골조시행"/>
      <sheetName val="PriceSummary"/>
      <sheetName val="CASH"/>
      <sheetName val="dc1"/>
      <sheetName val="2-Conc"/>
      <sheetName val="Air Cooler-E"/>
      <sheetName val="수입"/>
      <sheetName val="static.cal"/>
      <sheetName val="⑤항목별2"/>
      <sheetName val="SOS_PLC &amp; Panel"/>
      <sheetName val="95D"/>
      <sheetName val="94D"/>
      <sheetName val="p2-1"/>
      <sheetName val="#1유량조정조"/>
      <sheetName val="중간재 재공"/>
      <sheetName val="UTCA"/>
      <sheetName val="CAUDIT"/>
      <sheetName val="본문"/>
      <sheetName val="118.세금과공과"/>
      <sheetName val="108.수선비"/>
      <sheetName val="EXT.CHECK"/>
      <sheetName val="기성내역"/>
      <sheetName val="KUNGDEVI"/>
      <sheetName val="부대공Ⅱ"/>
      <sheetName val="12월 수선비 사용실적"/>
      <sheetName val="Based Data_WACC"/>
      <sheetName val="일위(PN)"/>
      <sheetName val="PIPE(UG)내역"/>
      <sheetName val="Summary_Sheets1"/>
      <sheetName val="OCT_FDN1"/>
      <sheetName val="Pipe_Supports1"/>
      <sheetName val="Process_Piping1"/>
      <sheetName val="EQUIP_LIST1"/>
      <sheetName val="9_Material_Rates1"/>
      <sheetName val="3__GROUNDING_SYSTEM1"/>
      <sheetName val="Material_and_Manpower_data1"/>
      <sheetName val="Pricing_Summary1"/>
      <sheetName val="P-HOT_XLS1"/>
      <sheetName val="Alum_1"/>
      <sheetName val="steam_table1"/>
      <sheetName val="2_2_STAFF_Scedule1"/>
      <sheetName val="Civil_11"/>
      <sheetName val="Civil_21"/>
      <sheetName val="Civil_31"/>
      <sheetName val="Site_11"/>
      <sheetName val="Site_21"/>
      <sheetName val="Site_31"/>
      <sheetName val="Site_Faci1"/>
      <sheetName val="Rate_Analysis1"/>
      <sheetName val="HORI__VESSEL1"/>
      <sheetName val="입출재고현황_(2)1"/>
      <sheetName val="Man_Hole1"/>
      <sheetName val="Inst_Matl_Table1"/>
      <sheetName val="Loop_Type1"/>
      <sheetName val="MP_MOB1"/>
      <sheetName val="1__설계조건_2_단면가정_3__하중계산1"/>
      <sheetName val="DATA_입력란1"/>
      <sheetName val="GROUNDING_SYSTEM1"/>
      <sheetName val="General_Data1"/>
      <sheetName val="97_사업추정(WEKI)1"/>
      <sheetName val="Car_park_lease1"/>
      <sheetName val="sum1_(2)1"/>
      <sheetName val="PAD_TR보호대기초1"/>
      <sheetName val="Utility_and_Fire_flange1"/>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8_PILE__(돌출)1"/>
      <sheetName val="L_V_Separator1"/>
      <sheetName val="Eq__Mobilization1"/>
      <sheetName val="bldg_list1"/>
      <sheetName val="MTO_REV_2(ARMOR)"/>
      <sheetName val="Steel-Main_Work"/>
      <sheetName val="Proj_Cost_Sumry"/>
      <sheetName val="Administrative_Prices"/>
      <sheetName val="Wt_of_Mod_"/>
      <sheetName val="D1_1"/>
      <sheetName val="D2_1"/>
      <sheetName val="A"/>
      <sheetName val="CRITERIA"/>
      <sheetName val="업무분장"/>
      <sheetName val="1.설계조건"/>
      <sheetName val="Insts"/>
      <sheetName val="Benchmark"/>
      <sheetName val="영동(D)"/>
      <sheetName val="ANALISA"/>
      <sheetName val="M 11"/>
      <sheetName val="terdistribusi"/>
      <sheetName val="PKG &quot;A&quot; Detail - 정풍"/>
      <sheetName val="nde_request"/>
      <sheetName val="공문"/>
      <sheetName val="sum3"/>
      <sheetName val="근로자명부"/>
      <sheetName val="입찰안"/>
      <sheetName val="h_013211_2"/>
      <sheetName val="DB3"/>
      <sheetName val="EL_표면적"/>
      <sheetName val="Bid_Summary"/>
      <sheetName val="장비검사_사진"/>
      <sheetName val="Readiness"/>
      <sheetName val="backup"/>
      <sheetName val="Part A"/>
      <sheetName val="Part B"/>
      <sheetName val="Part C"/>
      <sheetName val="COVERSHEET"/>
      <sheetName val="CBF-Boş"/>
      <sheetName val="PRICES"/>
      <sheetName val="견적총괄표"/>
      <sheetName val="예산M11A"/>
      <sheetName val="부표총괄"/>
      <sheetName val="품셈1-26"/>
      <sheetName val="교각계산"/>
      <sheetName val="Attach 4-18"/>
      <sheetName val="주관사업"/>
      <sheetName val="요약배부"/>
      <sheetName val="Proposal"/>
      <sheetName val="Page 2"/>
      <sheetName val="Coeff"/>
      <sheetName val="Subcon TR"/>
      <sheetName val="Material_TR"/>
      <sheetName val="PRO_A"/>
      <sheetName val="DWG"/>
      <sheetName val="ELEC_MCI"/>
      <sheetName val="MAIN"/>
      <sheetName val="INST_MCI"/>
      <sheetName val="MECH_MCI"/>
      <sheetName val="PRO"/>
      <sheetName val="상반기손익차2총괄"/>
      <sheetName val="Valve Cl"/>
      <sheetName val="CODE-STR"/>
      <sheetName val="FLUID_INFO"/>
      <sheetName val=" 표지"/>
      <sheetName val="날개벽"/>
      <sheetName val="Malaysia incl. RET"/>
      <sheetName val="pipeline-1"/>
      <sheetName val="Paint Mat Summ"/>
      <sheetName val=""/>
      <sheetName val="Param"/>
      <sheetName val="EQUIPMENT -2"/>
      <sheetName val="R01 p1"/>
      <sheetName val="OCT_FDN5"/>
      <sheetName val="Pipe_Supports5"/>
      <sheetName val="Summary_Sheets5"/>
      <sheetName val="Process_Piping5"/>
      <sheetName val="EQUIP_LIST5"/>
      <sheetName val="3__GROUNDING_SYSTEM5"/>
      <sheetName val="Material_and_Manpower_data5"/>
      <sheetName val="Pricing_Summary5"/>
      <sheetName val="P-HOT_XLS5"/>
      <sheetName val="Alum_5"/>
      <sheetName val="9_Material_Rates5"/>
      <sheetName val="2_2_STAFF_Scedule5"/>
      <sheetName val="steam_table5"/>
      <sheetName val="HORI__VESSEL5"/>
      <sheetName val="입출재고현황_(2)5"/>
      <sheetName val="Rate_Analysis5"/>
      <sheetName val="Inst_Matl_Table5"/>
      <sheetName val="Loop_Type5"/>
      <sheetName val="Civil_15"/>
      <sheetName val="Civil_25"/>
      <sheetName val="Civil_35"/>
      <sheetName val="Site_15"/>
      <sheetName val="Site_25"/>
      <sheetName val="Site_35"/>
      <sheetName val="Site_Faci5"/>
      <sheetName val="Man_Hole5"/>
      <sheetName val="97_사업추정(WEKI)5"/>
      <sheetName val="MP_MOB5"/>
      <sheetName val="1__설계조건_2_단면가정_3__하중계산5"/>
      <sheetName val="DATA_입력란5"/>
      <sheetName val="Car_park_lease5"/>
      <sheetName val="GROUNDING_SYSTEM5"/>
      <sheetName val="PAD_TR보호대기초5"/>
      <sheetName val="Utility_and_Fire_flange5"/>
      <sheetName val="sum1_(2)5"/>
      <sheetName val="General_Data5"/>
      <sheetName val="L_V_Separator2"/>
      <sheetName val="Eq__Mobilization2"/>
      <sheetName val="8_PILE__(돌출)3"/>
      <sheetName val="bldg_list2"/>
      <sheetName val="MTO_REV_2(ARMOR)1"/>
      <sheetName val="Steel-Main_Work1"/>
      <sheetName val="D1_11"/>
      <sheetName val="D2_11"/>
      <sheetName val="Administrative_Prices1"/>
      <sheetName val="Proj_Cost_Sumry1"/>
      <sheetName val="Wt_of_Mod_1"/>
      <sheetName val="Air_Cooler-E"/>
      <sheetName val="SOS_PLC_&amp;_Panel"/>
      <sheetName val="중간재_재공"/>
      <sheetName val="static_cal"/>
      <sheetName val="EXT_CHECK"/>
      <sheetName val="G2설비도급"/>
      <sheetName val="FORM-0"/>
      <sheetName val="의왕"/>
      <sheetName val="HP"/>
      <sheetName val="갑지(추정)"/>
      <sheetName val="118_세금과공과"/>
      <sheetName val="108_수선비"/>
      <sheetName val="12월_수선비_사용실적"/>
      <sheetName val="Based_Data_WACC"/>
      <sheetName val="1_설계조건"/>
      <sheetName val="M_11"/>
      <sheetName val="CSR"/>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Factor"/>
      <sheetName val="BID"/>
      <sheetName val="MANP"/>
      <sheetName val="7. Aeration Tanks (ATV)"/>
      <sheetName val="8. Aeration"/>
      <sheetName val="1. Project Base"/>
      <sheetName val="p9work"/>
      <sheetName val="Subcon A"/>
      <sheetName val="Subcon_A"/>
      <sheetName val="Land Dev't. Ph-1"/>
      <sheetName val="Hac.Lots"/>
      <sheetName val="4-Lane bridge"/>
      <sheetName val="Res.Lots"/>
      <sheetName val="Spine Road"/>
      <sheetName val="Wind"/>
      <sheetName val="H.Satuan"/>
      <sheetName val="HOURS INDEX"/>
      <sheetName val="RATE INDEX"/>
      <sheetName val="SP10"/>
      <sheetName val="石炭性状"/>
      <sheetName val="F4-F7"/>
      <sheetName val="float&amp;bear"/>
      <sheetName val="Kfracture"/>
      <sheetName val="Feuil3"/>
      <sheetName val="M-EQPT-Z"/>
      <sheetName val="XZLC003_PART1"/>
      <sheetName val="Project Brief"/>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Measurement sheet"/>
      <sheetName val="Sheet2"/>
      <sheetName val="Material Only"/>
      <sheetName val="Man power supply"/>
      <sheetName val="Camp Deduction"/>
      <sheetName val="tabulation of deductions"/>
      <sheetName val="Insulation_Utl_Off"/>
      <sheetName val="Note_Piping"/>
      <sheetName val="DESBAST"/>
      <sheetName val="GAE8'97"/>
      <sheetName val="2.223M_due to adj profit"/>
      <sheetName val="Table"/>
      <sheetName val="co-no.2"/>
      <sheetName val="PipWT"/>
      <sheetName val="LLEGADA"/>
      <sheetName val="경비2내역"/>
      <sheetName val="EXRATE"/>
      <sheetName val="BOQ(검토용)"/>
      <sheetName val="UPA"/>
      <sheetName val="EQUI"/>
      <sheetName val="LABOR"/>
      <sheetName val="MATRI"/>
      <sheetName val="EQUIPT"/>
      <sheetName val="SCIC-GenReq"/>
      <sheetName val="Materials"/>
      <sheetName val="CPA_EQP"/>
      <sheetName val="Code 07"/>
      <sheetName val="eqpmt"/>
      <sheetName val="mat'ls"/>
      <sheetName val="hauling"/>
      <sheetName val="공사비SUM"/>
      <sheetName val="Assump (Time) - Project Co."/>
      <sheetName val="LabCost"/>
      <sheetName val="Code03"/>
      <sheetName val="UPA(Part C,D,E,G,H)"/>
      <sheetName val="UPA(Part F)"/>
      <sheetName val="일위대가 (Part C,D,E,G,H)"/>
      <sheetName val="ironmongery"/>
      <sheetName val="E"/>
      <sheetName val="salary"/>
      <sheetName val="EL_표면적1"/>
      <sheetName val="Bid_Summary1"/>
      <sheetName val="장비검사_사진1"/>
      <sheetName val="12월_수선비_사용실적1"/>
      <sheetName val="Based_Data_WACC1"/>
      <sheetName val="BLR 1"/>
      <sheetName val="GEN"/>
      <sheetName val="GAS"/>
      <sheetName val="DEAE"/>
      <sheetName val="BLR2"/>
      <sheetName val="BLR3"/>
      <sheetName val="BLR4"/>
      <sheetName val="BLR5"/>
      <sheetName val="DEM"/>
      <sheetName val="SAM"/>
      <sheetName val="CHEM"/>
      <sheetName val="COP"/>
      <sheetName val="노임이"/>
      <sheetName val="1"/>
      <sheetName val="Civ⁩l_24"/>
      <sheetName val="CRITERI⁁"/>
      <sheetName val="EST-1"/>
      <sheetName val="upah bahan"/>
      <sheetName val="ana"/>
      <sheetName val="SEX"/>
      <sheetName val="RefG"/>
      <sheetName val="IRR sponsor"/>
      <sheetName val="품셈TABLE"/>
      <sheetName val="LAST UPDATE"/>
      <sheetName val="Arch"/>
      <sheetName val="HRB"/>
      <sheetName val="sc"/>
      <sheetName val="worksheet"/>
      <sheetName val="Dir-Conc "/>
      <sheetName val="Derv"/>
      <sheetName val="BOQ-mdc"/>
      <sheetName val="EQ"/>
      <sheetName val="ﾄﾞﾊﾞｲFUEL GAS追見"/>
      <sheetName val="Forecast"/>
      <sheetName val="203 Eqpt r1"/>
      <sheetName val="project management"/>
      <sheetName val="1) COMMON FACILITIES"/>
      <sheetName val="Wind Calculation(cpi-0.4)"/>
      <sheetName val="PIPE"/>
      <sheetName val="FLANGE"/>
      <sheetName val="VALVE"/>
      <sheetName val="cpvl"/>
      <sheetName val="CHITIET-DZ04"/>
      <sheetName val="General_Data6"/>
      <sheetName val="OCT_FDN6"/>
      <sheetName val="Summary_Sheets6"/>
      <sheetName val="Pipe_Supports6"/>
      <sheetName val="EQUIP_LIST6"/>
      <sheetName val="P-HOT_XLS6"/>
      <sheetName val="Process_Piping6"/>
      <sheetName val="3__GROUNDING_SYSTEM6"/>
      <sheetName val="9_Material_Rates6"/>
      <sheetName val="Material_and_Manpower_data6"/>
      <sheetName val="Pricing_Summary6"/>
      <sheetName val="Alum_6"/>
      <sheetName val="2_2_STAFF_Scedule6"/>
      <sheetName val="HORI__VESSEL6"/>
      <sheetName val="steam_table6"/>
      <sheetName val="입출재고현황_(2)6"/>
      <sheetName val="Rate_Analysis6"/>
      <sheetName val="Civil_16"/>
      <sheetName val="Civil_26"/>
      <sheetName val="Civil_36"/>
      <sheetName val="Site_16"/>
      <sheetName val="Site_26"/>
      <sheetName val="Site_36"/>
      <sheetName val="Site_Faci6"/>
      <sheetName val="97_사업추정(WEKI)6"/>
      <sheetName val="MP_MOB6"/>
      <sheetName val="Inst_Matl_Table6"/>
      <sheetName val="Loop_Type6"/>
      <sheetName val="Man_Hole6"/>
      <sheetName val="GROUNDING_SYSTEM6"/>
      <sheetName val="1__설계조건_2_단면가정_3__하중계산6"/>
      <sheetName val="DATA_입력란6"/>
      <sheetName val="PAD_TR보호대기초6"/>
      <sheetName val="Car_park_lease6"/>
      <sheetName val="sum1_(2)6"/>
      <sheetName val="8_PILE__(돌출)4"/>
      <sheetName val="Utility_and_Fire_flange6"/>
      <sheetName val="bldg_list3"/>
      <sheetName val="L_V_Separator3"/>
      <sheetName val="Eq__Mobilization3"/>
      <sheetName val="MTO_REV_2(ARMOR)2"/>
      <sheetName val="Steel-Main_Work2"/>
      <sheetName val="D1_12"/>
      <sheetName val="D2_12"/>
      <sheetName val="Administrative_Prices2"/>
      <sheetName val="Proj_Cost_Sumry2"/>
      <sheetName val="Wt_of_Mod_2"/>
      <sheetName val="Air_Cooler-E1"/>
      <sheetName val="static_cal1"/>
      <sheetName val="SOS_PLC_&amp;_Panel1"/>
      <sheetName val="중간재_재공1"/>
      <sheetName val="118_세금과공과1"/>
      <sheetName val="108_수선비1"/>
      <sheetName val="EXT_CHECK1"/>
      <sheetName val="1_설계조건1"/>
      <sheetName val="M_111"/>
      <sheetName val="PKG_&quot;A&quot;_Detail_-_정풍"/>
      <sheetName val="Part_A"/>
      <sheetName val="Part_B"/>
      <sheetName val="Part_C"/>
      <sheetName val="_표지"/>
      <sheetName val="Valve_Cl"/>
      <sheetName val="Attach_4-18"/>
      <sheetName val="Page_2"/>
      <sheetName val="Subcon_TR"/>
      <sheetName val="Malaysia_incl__RET"/>
      <sheetName val="Paint_Mat_Summ"/>
      <sheetName val="EQUIPMENT_-2"/>
      <sheetName val="R01_p1"/>
      <sheetName val="Subcon_A1"/>
      <sheetName val="Land_Dev't__Ph-1"/>
      <sheetName val="Hac_Lots"/>
      <sheetName val="4-Lane_bridge"/>
      <sheetName val="Res_Lots"/>
      <sheetName val="Spine_Road"/>
      <sheetName val="7__Aeration_Tanks_(ATV)"/>
      <sheetName val="8__Aeration"/>
      <sheetName val="1__Project_Base"/>
      <sheetName val="Total_Staff"/>
      <sheetName val="0__SUMMARY"/>
      <sheetName val="1__Engineering"/>
      <sheetName val="2__Check_point"/>
      <sheetName val="II_Changes_1"/>
      <sheetName val="III_Changes_2"/>
      <sheetName val="Qty_"/>
      <sheetName val="OQC_Summary"/>
      <sheetName val="6_Unit_Rates"/>
      <sheetName val="tabulation_of_deductions"/>
      <sheetName val="2_223M_due_to_adj_profit"/>
      <sheetName val="co-no_2"/>
      <sheetName val="Code_07"/>
      <sheetName val="Assump_(Time)_-_Project_Co_"/>
      <sheetName val="UPA(Part_C,D,E,G,H)"/>
      <sheetName val="UPA(Part_F)"/>
      <sheetName val="일위대가_(Part_C,D,E,G,H)"/>
      <sheetName val="H_Satuan"/>
      <sheetName val="HOURS_INDEX"/>
      <sheetName val="RATE_INDEX"/>
      <sheetName val="M"/>
      <sheetName val="4121"/>
      <sheetName val="견적금액(2003.12.22)"/>
      <sheetName val="45,46"/>
      <sheetName val="ORIGN"/>
      <sheetName val="OS"/>
      <sheetName val="Applications"/>
      <sheetName val="1.PPC Summary EN"/>
      <sheetName val="2.Price List"/>
      <sheetName val="3.Fireproofing"/>
      <sheetName val="FP List"/>
      <sheetName val="4.Equip. Insulation"/>
      <sheetName val="Insulation list"/>
      <sheetName val="5.Piping Insulation"/>
      <sheetName val="6.Painting"/>
      <sheetName val="7.RWEs"/>
      <sheetName val="8.CD&amp;VAT rbst"/>
      <sheetName val="detail vat and CD"/>
      <sheetName val="SQM"/>
      <sheetName val="직무명&amp;직무코드"/>
      <sheetName val="A &amp; B"/>
      <sheetName val="Manpower List-1"/>
      <sheetName val="DAILY"/>
      <sheetName val="Index Daily Alloaction"/>
      <sheetName val="SUMMARY FOR DPR"/>
      <sheetName val="Manpower List"/>
      <sheetName val="G.R300경비"/>
      <sheetName val="General"/>
      <sheetName val="Tubi"/>
      <sheetName val="final abstract"/>
      <sheetName val="Material "/>
      <sheetName val="Labour &amp; Plant"/>
      <sheetName val="CONCRETE"/>
      <sheetName val="Form 6"/>
      <sheetName val="PW3"/>
      <sheetName val="PW4"/>
      <sheetName val="SC1"/>
      <sheetName val="공사원가"/>
      <sheetName val="Curves"/>
      <sheetName val="Note"/>
      <sheetName val="Heads"/>
      <sheetName val="Dbase"/>
      <sheetName val="data_dci"/>
      <sheetName val="data_mci"/>
      <sheetName val="behind"/>
      <sheetName val="Material Standards"/>
      <sheetName val="BREAKDOWN(철거설치)"/>
      <sheetName val="TKOFF"/>
      <sheetName val="Exch Rates &amp; duties"/>
      <sheetName val="ANALYSIS"/>
      <sheetName val="Proj_Info"/>
      <sheetName val="Defn"/>
      <sheetName val="man 150221"/>
      <sheetName val="Ummantelung"/>
      <sheetName val=" Armaflex "/>
      <sheetName val="Drahtnetzmatte"/>
      <sheetName val="   Basis-Kalk.   "/>
      <sheetName val="MW-Schale, alukasch."/>
      <sheetName val="UK, Kleinmaterial"/>
      <sheetName val="PUR, FOAMGLAS"/>
      <sheetName val="Cashflow Analysis"/>
      <sheetName val="beam-reinft-IIInd floor"/>
      <sheetName val="COLUMN"/>
      <sheetName val="Pipe Sizes"/>
      <sheetName val="EQUIVALENT LENGTH"/>
      <sheetName val="Estimate-Cold"/>
      <sheetName val="ALLOWANCE"/>
      <sheetName val="MH RATE"/>
      <sheetName val="PRICE-COMP"/>
      <sheetName val="an. struktur"/>
      <sheetName val="harsat"/>
      <sheetName val="Dashboard"/>
      <sheetName val="BP"/>
      <sheetName val="JGC Weekly MH "/>
      <sheetName val="チューブ仕様"/>
      <sheetName val="rumus"/>
      <sheetName val="jpr"/>
      <sheetName val="REKAP.VOLUME"/>
      <sheetName val="SAT-BHN"/>
      <sheetName val="HMB Case 1"/>
      <sheetName val="BOQ for HRSG &amp; BOP-mech."/>
      <sheetName val="Customize Your Invoice"/>
      <sheetName val="derive"/>
      <sheetName val="DESBASTE"/>
      <sheetName val="List Equip"/>
      <sheetName val="MatCost"/>
      <sheetName val="Process C (1-166)"/>
      <sheetName val="예총"/>
      <sheetName val="Schedule S-Curve Revision#3"/>
      <sheetName val="TOSHIBA-Structure"/>
      <sheetName val="lookups"/>
      <sheetName val="ref"/>
      <sheetName val="Bach Dang"/>
      <sheetName val="Bill summary of cost"/>
      <sheetName val="THISWORKSHEET"/>
      <sheetName val="MATERIAL'S PRICE"/>
      <sheetName val="EqptRate (2)"/>
      <sheetName val="HSBC"/>
      <sheetName val="차액보증"/>
      <sheetName val="Activity(new)"/>
      <sheetName val="Total(new)"/>
      <sheetName val="BRICK"/>
      <sheetName val="ESCON"/>
      <sheetName val="Cash Flow bulanan"/>
      <sheetName val="6PILE  (돌출)"/>
      <sheetName val="RATES G-5"/>
      <sheetName val="RSB_RATIO"/>
      <sheetName val="Summary-In House"/>
      <sheetName val="factors"/>
      <sheetName val="UC"/>
      <sheetName val="BSD (2)"/>
      <sheetName val="타견적(을)"/>
      <sheetName val="VERTICAL CENTR. PUMP Sh. 2"/>
      <sheetName val="CD-실적"/>
      <sheetName val="BW"/>
      <sheetName val="6호기"/>
      <sheetName val="HRSG SMALL07220"/>
      <sheetName val="PROG."/>
      <sheetName val="Pengalaman Per"/>
      <sheetName val="临建"/>
      <sheetName val="BoQ_Int"/>
      <sheetName val="RAB_ALT (2)"/>
      <sheetName val="MIJIBI"/>
      <sheetName val="구성비"/>
      <sheetName val="COVER-P"/>
      <sheetName val="9-1차이내역"/>
      <sheetName val="PaintBreak"/>
      <sheetName val="INSSUBCON"/>
      <sheetName val="LANGUAGE"/>
      <sheetName val="PART_DISCOUNT"/>
      <sheetName val="Bag_1"/>
      <sheetName val="DAFTAR 7"/>
      <sheetName val="DAF_1"/>
      <sheetName val="DAFTAR_8"/>
      <sheetName val="Rekap Direct Cost"/>
      <sheetName val="Rekap Prelim"/>
      <sheetName val="DAFTAR_7"/>
      <sheetName val="Rekap_Direct_Cost"/>
      <sheetName val="Rekap_Prelim"/>
      <sheetName val="산출내역서"/>
      <sheetName val="BHANDUP"/>
      <sheetName val="Sch.1"/>
      <sheetName val="OCT_FDN7"/>
      <sheetName val="Summary_Sheets7"/>
      <sheetName val="Pipe_Supports7"/>
      <sheetName val="EQUIP_LIST7"/>
      <sheetName val="Process_Piping7"/>
      <sheetName val="P-HOT_XLS7"/>
      <sheetName val="3__GROUNDING_SYSTEM7"/>
      <sheetName val="Material_and_Manpower_data7"/>
      <sheetName val="Pricing_Summary7"/>
      <sheetName val="Alum_7"/>
      <sheetName val="9_Material_Rates7"/>
      <sheetName val="steam_table7"/>
      <sheetName val="2_2_STAFF_Scedule7"/>
      <sheetName val="HORI__VESSEL7"/>
      <sheetName val="97_사업추정(WEKI)7"/>
      <sheetName val="입출재고현황_(2)7"/>
      <sheetName val="Rate_Analysis7"/>
      <sheetName val="Civil_17"/>
      <sheetName val="Civil_27"/>
      <sheetName val="Civil_37"/>
      <sheetName val="Site_17"/>
      <sheetName val="Site_27"/>
      <sheetName val="Site_37"/>
      <sheetName val="Site_Faci7"/>
      <sheetName val="Man_Hole7"/>
      <sheetName val="Inst_Matl_Table7"/>
      <sheetName val="Loop_Type7"/>
      <sheetName val="GROUNDING_SYSTEM7"/>
      <sheetName val="1__설계조건_2_단면가정_3__하중계산7"/>
      <sheetName val="DATA_입력란7"/>
      <sheetName val="MP_MOB7"/>
      <sheetName val="General_Data7"/>
      <sheetName val="PAD_TR보호대기초7"/>
      <sheetName val="Car_park_lease7"/>
      <sheetName val="8_PILE__(돌출)5"/>
      <sheetName val="Utility_and_Fire_flange7"/>
      <sheetName val="sum1_(2)7"/>
      <sheetName val="L_V_Separator4"/>
      <sheetName val="Eq__Mobilization4"/>
      <sheetName val="bldg_list4"/>
      <sheetName val="MTO_REV_2(ARMOR)3"/>
      <sheetName val="Steel-Main_Work3"/>
      <sheetName val="EL_표면적2"/>
      <sheetName val="D1_13"/>
      <sheetName val="D2_13"/>
      <sheetName val="Administrative_Prices3"/>
      <sheetName val="Proj_Cost_Sumry3"/>
      <sheetName val="Wt_of_Mod_3"/>
      <sheetName val="Bid_Summary2"/>
      <sheetName val="장비검사_사진2"/>
      <sheetName val="Air_Cooler-E2"/>
      <sheetName val="static_cal2"/>
      <sheetName val="SOS_PLC_&amp;_Panel2"/>
      <sheetName val="중간재_재공2"/>
      <sheetName val="EXT_CHECK2"/>
      <sheetName val="PKG_&quot;A&quot;_Detail_-_정풍1"/>
      <sheetName val="Part_A1"/>
      <sheetName val="Part_B1"/>
      <sheetName val="Part_C1"/>
      <sheetName val="EQUIPMENT_-21"/>
      <sheetName val="R01_p11"/>
      <sheetName val="Valve_Cl1"/>
      <sheetName val="Attach_4-181"/>
      <sheetName val="Page_21"/>
      <sheetName val="Subcon_TR1"/>
      <sheetName val="Malaysia_incl__RET1"/>
      <sheetName val="Paint_Mat_Summ1"/>
      <sheetName val="_표지1"/>
      <sheetName val="OCT_FDN8"/>
      <sheetName val="Summary_Sheets8"/>
      <sheetName val="Pipe_Supports8"/>
      <sheetName val="EQUIP_LIST8"/>
      <sheetName val="Process_Piping8"/>
      <sheetName val="P-HOT_XLS8"/>
      <sheetName val="3__GROUNDING_SYSTEM8"/>
      <sheetName val="Material_and_Manpower_data8"/>
      <sheetName val="Pricing_Summary8"/>
      <sheetName val="Alum_8"/>
      <sheetName val="9_Material_Rates8"/>
      <sheetName val="steam_table8"/>
      <sheetName val="2_2_STAFF_Scedule8"/>
      <sheetName val="HORI__VESSEL8"/>
      <sheetName val="97_사업추정(WEKI)8"/>
      <sheetName val="입출재고현황_(2)8"/>
      <sheetName val="Rate_Analysis8"/>
      <sheetName val="Civil_18"/>
      <sheetName val="Civil_28"/>
      <sheetName val="Civil_38"/>
      <sheetName val="Site_18"/>
      <sheetName val="Site_28"/>
      <sheetName val="Site_38"/>
      <sheetName val="Site_Faci8"/>
      <sheetName val="Man_Hole8"/>
      <sheetName val="Inst_Matl_Table8"/>
      <sheetName val="Loop_Type8"/>
      <sheetName val="GROUNDING_SYSTEM8"/>
      <sheetName val="1__설계조건_2_단면가정_3__하중계산8"/>
      <sheetName val="DATA_입력란8"/>
      <sheetName val="MP_MOB8"/>
      <sheetName val="General_Data8"/>
      <sheetName val="PAD_TR보호대기초8"/>
      <sheetName val="Car_park_lease8"/>
      <sheetName val="8_PILE__(돌출)6"/>
      <sheetName val="Utility_and_Fire_flange8"/>
      <sheetName val="sum1_(2)8"/>
      <sheetName val="L_V_Separator5"/>
      <sheetName val="Eq__Mobilization5"/>
      <sheetName val="bldg_list5"/>
      <sheetName val="MTO_REV_2(ARMOR)4"/>
      <sheetName val="Steel-Main_Work4"/>
      <sheetName val="EL_표면적3"/>
      <sheetName val="D1_14"/>
      <sheetName val="D2_14"/>
      <sheetName val="Administrative_Prices4"/>
      <sheetName val="Proj_Cost_Sumry4"/>
      <sheetName val="Wt_of_Mod_4"/>
      <sheetName val="Bid_Summary3"/>
      <sheetName val="장비검사_사진3"/>
      <sheetName val="Air_Cooler-E3"/>
      <sheetName val="static_cal3"/>
      <sheetName val="SOS_PLC_&amp;_Panel3"/>
      <sheetName val="중간재_재공3"/>
      <sheetName val="118_세금과공과2"/>
      <sheetName val="108_수선비2"/>
      <sheetName val="EXT_CHECK3"/>
      <sheetName val="1_설계조건2"/>
      <sheetName val="12월_수선비_사용실적2"/>
      <sheetName val="Based_Data_WACC2"/>
      <sheetName val="PKG_&quot;A&quot;_Detail_-_정풍2"/>
      <sheetName val="M_112"/>
      <sheetName val="Part_A2"/>
      <sheetName val="Part_B2"/>
      <sheetName val="Part_C2"/>
      <sheetName val="EQUIPMENT_-22"/>
      <sheetName val="R01_p12"/>
      <sheetName val="Valve_Cl2"/>
      <sheetName val="Attach_4-182"/>
      <sheetName val="Page_22"/>
      <sheetName val="Subcon_TR2"/>
      <sheetName val="Malaysia_incl__RET2"/>
      <sheetName val="Paint_Mat_Summ2"/>
      <sheetName val="_표지2"/>
      <sheetName val="33628-Rev. A"/>
      <sheetName val="동해title"/>
      <sheetName val="SCH5"/>
      <sheetName val="References"/>
      <sheetName val="DeltaAmount"/>
      <sheetName val="Material Database"/>
      <sheetName val="CBS Code"/>
      <sheetName val="Material Code"/>
      <sheetName val="0865"/>
      <sheetName val="8000"/>
      <sheetName val="8002"/>
      <sheetName val="8004"/>
      <sheetName val="8005"/>
      <sheetName val="8007"/>
      <sheetName val="8008"/>
      <sheetName val="8009"/>
      <sheetName val="8010"/>
      <sheetName val="8011"/>
      <sheetName val="8302"/>
      <sheetName val="8309"/>
      <sheetName val="8310"/>
      <sheetName val="8311"/>
      <sheetName val="8312"/>
      <sheetName val="8313"/>
      <sheetName val="8314"/>
      <sheetName val="8315"/>
      <sheetName val="8316"/>
      <sheetName val="8317"/>
      <sheetName val="8318"/>
      <sheetName val="8319"/>
      <sheetName val="8320"/>
      <sheetName val="8321"/>
      <sheetName val="8322"/>
      <sheetName val="8323"/>
      <sheetName val="8324"/>
      <sheetName val="8325"/>
      <sheetName val="8327"/>
      <sheetName val="9772"/>
      <sheetName val="9773"/>
      <sheetName val="9918"/>
      <sheetName val="9919"/>
      <sheetName val="Consolidated"/>
      <sheetName val="PSRLIC"/>
      <sheetName val="CONST OD"/>
      <sheetName val="DMPOWER"/>
      <sheetName val="D CONSUMABLE"/>
      <sheetName val="D MATERIAL"/>
      <sheetName val="EQPTMNT"/>
      <sheetName val="FINAL"/>
      <sheetName val="OTHER OD"/>
      <sheetName val="SITE FCT"/>
      <sheetName val="CCTR wise cost summ"/>
      <sheetName val="SUPERVISION"/>
      <sheetName val="Price Sheet TP AD"/>
      <sheetName val="Material"/>
      <sheetName val="Works"/>
      <sheetName val="Form MF - 2"/>
      <sheetName val="BQ INSUL"/>
      <sheetName val="BQ PIPE"/>
      <sheetName val="제출계산서"/>
      <sheetName val="TPAD"/>
      <sheetName val="data sheet"/>
      <sheetName val="OCT_FDN9"/>
      <sheetName val="Summary_Sheets9"/>
      <sheetName val="Pipe_Supports9"/>
      <sheetName val="EQUIP_LIST9"/>
      <sheetName val="Process_Piping9"/>
      <sheetName val="P-HOT_XLS9"/>
      <sheetName val="3__GROUNDING_SYSTEM9"/>
      <sheetName val="Material_and_Manpower_data9"/>
      <sheetName val="Pricing_Summary9"/>
      <sheetName val="Alum_9"/>
      <sheetName val="9_Material_Rates9"/>
      <sheetName val="steam_table9"/>
      <sheetName val="2_2_STAFF_Scedule9"/>
      <sheetName val="HORI__VESSEL9"/>
      <sheetName val="97_사업추정(WEKI)9"/>
      <sheetName val="입출재고현황_(2)9"/>
      <sheetName val="Rate_Analysis9"/>
      <sheetName val="Civil_19"/>
      <sheetName val="Civil_29"/>
      <sheetName val="Civil_39"/>
      <sheetName val="Site_19"/>
      <sheetName val="Site_29"/>
      <sheetName val="Site_39"/>
      <sheetName val="Site_Faci9"/>
      <sheetName val="Man_Hole9"/>
      <sheetName val="Inst_Matl_Table9"/>
      <sheetName val="Loop_Type9"/>
      <sheetName val="GROUNDING_SYSTEM9"/>
      <sheetName val="1__설계조건_2_단면가정_3__하중계산9"/>
      <sheetName val="DATA_입력란9"/>
      <sheetName val="MP_MOB9"/>
      <sheetName val="General_Data9"/>
      <sheetName val="PAD_TR보호대기초9"/>
      <sheetName val="Car_park_lease9"/>
      <sheetName val="8_PILE__(돌출)7"/>
      <sheetName val="Utility_and_Fire_flange9"/>
      <sheetName val="sum1_(2)9"/>
      <sheetName val="L_V_Separator6"/>
      <sheetName val="Eq__Mobilization6"/>
      <sheetName val="bldg_list6"/>
      <sheetName val="MTO_REV_2(ARMOR)5"/>
      <sheetName val="Steel-Main_Work5"/>
      <sheetName val="EL_표면적4"/>
      <sheetName val="D1_15"/>
      <sheetName val="D2_15"/>
      <sheetName val="Administrative_Prices5"/>
      <sheetName val="Proj_Cost_Sumry5"/>
      <sheetName val="Wt_of_Mod_5"/>
      <sheetName val="Bid_Summary4"/>
      <sheetName val="장비검사_사진4"/>
      <sheetName val="Air_Cooler-E4"/>
      <sheetName val="static_cal4"/>
      <sheetName val="SOS_PLC_&amp;_Panel4"/>
      <sheetName val="중간재_재공4"/>
      <sheetName val="118_세금과공과3"/>
      <sheetName val="108_수선비3"/>
      <sheetName val="EXT_CHECK4"/>
      <sheetName val="1_설계조건3"/>
      <sheetName val="12월_수선비_사용실적3"/>
      <sheetName val="Based_Data_WACC3"/>
      <sheetName val="PKG_&quot;A&quot;_Detail_-_정풍3"/>
      <sheetName val="M_113"/>
      <sheetName val="Part_A3"/>
      <sheetName val="Part_B3"/>
      <sheetName val="Part_C3"/>
      <sheetName val="EQUIPMENT_-23"/>
      <sheetName val="R01_p13"/>
      <sheetName val="Valve_Cl3"/>
      <sheetName val="Attach_4-183"/>
      <sheetName val="Page_23"/>
      <sheetName val="Subcon_TR3"/>
      <sheetName val="Malaysia_incl__RET3"/>
      <sheetName val="Paint_Mat_Summ3"/>
      <sheetName val="_표지3"/>
      <sheetName val="Subcon_A2"/>
      <sheetName val="Land_Dev't__Ph-11"/>
      <sheetName val="Hac_Lots1"/>
      <sheetName val="4-Lane_bridge1"/>
      <sheetName val="Res_Lots1"/>
      <sheetName val="Spine_Road1"/>
      <sheetName val="7__Aeration_Tanks_(ATV)1"/>
      <sheetName val="8__Aeration1"/>
      <sheetName val="1__Project_Base1"/>
      <sheetName val="Total_Staff1"/>
      <sheetName val="0__SUMMARY1"/>
      <sheetName val="1__Engineering1"/>
      <sheetName val="2__Check_point1"/>
      <sheetName val="II_Changes_11"/>
      <sheetName val="III_Changes_21"/>
      <sheetName val="Qty_1"/>
      <sheetName val="OQC_Summary1"/>
      <sheetName val="6_Unit_Rates1"/>
      <sheetName val="OCT_FDN10"/>
      <sheetName val="Summary_Sheets10"/>
      <sheetName val="Pipe_Supports10"/>
      <sheetName val="EQUIP_LIST10"/>
      <sheetName val="Process_Piping10"/>
      <sheetName val="P-HOT_XLS10"/>
      <sheetName val="3__GROUNDING_SYSTEM10"/>
      <sheetName val="Material_and_Manpower_data10"/>
      <sheetName val="Pricing_Summary10"/>
      <sheetName val="Alum_10"/>
      <sheetName val="9_Material_Rates10"/>
      <sheetName val="steam_table10"/>
      <sheetName val="2_2_STAFF_Scedule10"/>
      <sheetName val="HORI__VESSEL10"/>
      <sheetName val="97_사업추정(WEKI)10"/>
      <sheetName val="입출재고현황_(2)10"/>
      <sheetName val="Rate_Analysis10"/>
      <sheetName val="Civil_110"/>
      <sheetName val="Civil_210"/>
      <sheetName val="Civil_310"/>
      <sheetName val="Site_110"/>
      <sheetName val="Site_210"/>
      <sheetName val="Site_310"/>
      <sheetName val="Site_Faci10"/>
      <sheetName val="Man_Hole10"/>
      <sheetName val="Inst_Matl_Table10"/>
      <sheetName val="Loop_Type10"/>
      <sheetName val="GROUNDING_SYSTEM10"/>
      <sheetName val="1__설계조건_2_단면가정_3__하중계산10"/>
      <sheetName val="DATA_입력란10"/>
      <sheetName val="MP_MOB10"/>
      <sheetName val="General_Data10"/>
      <sheetName val="PAD_TR보호대기초10"/>
      <sheetName val="Car_park_lease10"/>
      <sheetName val="8_PILE__(돌출)8"/>
      <sheetName val="Utility_and_Fire_flange10"/>
      <sheetName val="sum1_(2)10"/>
      <sheetName val="L_V_Separator7"/>
      <sheetName val="Eq__Mobilization7"/>
      <sheetName val="bldg_list7"/>
      <sheetName val="MTO_REV_2(ARMOR)6"/>
      <sheetName val="Steel-Main_Work6"/>
      <sheetName val="EL_표면적5"/>
      <sheetName val="D1_16"/>
      <sheetName val="D2_16"/>
      <sheetName val="Administrative_Prices6"/>
      <sheetName val="Proj_Cost_Sumry6"/>
      <sheetName val="Wt_of_Mod_6"/>
      <sheetName val="Bid_Summary5"/>
      <sheetName val="장비검사_사진5"/>
      <sheetName val="Air_Cooler-E5"/>
      <sheetName val="static_cal5"/>
      <sheetName val="SOS_PLC_&amp;_Panel5"/>
      <sheetName val="중간재_재공5"/>
      <sheetName val="118_세금과공과4"/>
      <sheetName val="108_수선비4"/>
      <sheetName val="EXT_CHECK5"/>
      <sheetName val="1_설계조건4"/>
      <sheetName val="12월_수선비_사용실적4"/>
      <sheetName val="Based_Data_WACC4"/>
      <sheetName val="PKG_&quot;A&quot;_Detail_-_정풍4"/>
      <sheetName val="M_114"/>
      <sheetName val="Part_A4"/>
      <sheetName val="Part_B4"/>
      <sheetName val="Part_C4"/>
      <sheetName val="EQUIPMENT_-24"/>
      <sheetName val="R01_p14"/>
      <sheetName val="Valve_Cl4"/>
      <sheetName val="Attach_4-184"/>
      <sheetName val="Page_24"/>
      <sheetName val="Subcon_TR4"/>
      <sheetName val="Malaysia_incl__RET4"/>
      <sheetName val="Paint_Mat_Summ4"/>
      <sheetName val="_표지4"/>
      <sheetName val="Subcon_A3"/>
      <sheetName val="Land_Dev't__Ph-12"/>
      <sheetName val="Hac_Lots2"/>
      <sheetName val="4-Lane_bridge2"/>
      <sheetName val="Res_Lots2"/>
      <sheetName val="Spine_Road2"/>
      <sheetName val="7__Aeration_Tanks_(ATV)2"/>
      <sheetName val="8__Aeration2"/>
      <sheetName val="1__Project_Base2"/>
      <sheetName val="Total_Staff2"/>
      <sheetName val="0__SUMMARY2"/>
      <sheetName val="1__Engineering2"/>
      <sheetName val="2__Check_point2"/>
      <sheetName val="II_Changes_12"/>
      <sheetName val="III_Changes_22"/>
      <sheetName val="Qty_2"/>
      <sheetName val="OQC_Summary2"/>
      <sheetName val="6_Unit_Rates2"/>
      <sheetName val="Cost Components"/>
      <sheetName val="CPS"/>
      <sheetName val="BORDGC"/>
      <sheetName val="WPA_Mechanical Equipment AMP2"/>
      <sheetName val="office"/>
      <sheetName val="Lab"/>
      <sheetName val="Material&amp;equipment"/>
      <sheetName val="TBEAM"/>
      <sheetName val="Sales &amp; Prod"/>
      <sheetName val="Internet"/>
      <sheetName val="Project_Brief"/>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BLR_1"/>
      <sheetName val="IRR_sponsor"/>
      <sheetName val="LAST_UPDATE"/>
      <sheetName val="Dir-Conc_"/>
      <sheetName val="ﾄﾞﾊﾞｲFUEL_GAS追見"/>
      <sheetName val="203_Eqpt_r1"/>
      <sheetName val="project_management"/>
      <sheetName val="1)_COMMON_FACILITIES"/>
      <sheetName val="upah_bahan"/>
      <sheetName val="Wind_Calculation(cpi-0_4)"/>
      <sheetName val="1_PPC_Summary_EN"/>
      <sheetName val="2_Price_List"/>
      <sheetName val="3_Fireproofing"/>
      <sheetName val="FP_List"/>
      <sheetName val="4_Equip__Insulation"/>
      <sheetName val="Insulation_list"/>
      <sheetName val="5_Piping_Insulation"/>
      <sheetName val="6_Painting"/>
      <sheetName val="7_RWEs"/>
      <sheetName val="8_CD&amp;VAT_rbst"/>
      <sheetName val="detail_vat_and_CD"/>
      <sheetName val="A_&amp;_B"/>
      <sheetName val="Manpower_List-1"/>
      <sheetName val="Index_Daily_Alloaction"/>
      <sheetName val="SUMMARY_FOR_DPR"/>
      <sheetName val="Manpower_List"/>
      <sheetName val="Form_6"/>
      <sheetName val="final_abstract"/>
      <sheetName val="Material_"/>
      <sheetName val="Labour_&amp;_Plant"/>
      <sheetName val="Material_Standards"/>
      <sheetName val="G_R300경비"/>
      <sheetName val="견적금액(2003_12_22)"/>
      <sheetName val="FREE"/>
      <sheetName val="List of prices"/>
      <sheetName val="List_of_prices"/>
      <sheetName val="을"/>
      <sheetName val="1.0표준품셈"/>
      <sheetName val="1.0계산품셈"/>
      <sheetName val="ISO_input"/>
      <sheetName val="lookup"/>
      <sheetName val="BQMP"/>
      <sheetName val="Micro"/>
      <sheetName val="Macro"/>
      <sheetName val="Titles"/>
      <sheetName val="Information"/>
      <sheetName val="공용정보"/>
      <sheetName val="음료실행"/>
      <sheetName val="schtng"/>
      <sheetName val="schbhn"/>
      <sheetName val="schalt"/>
      <sheetName val="Fixset"/>
      <sheetName val="CBE (Vendor)"/>
      <sheetName val="HRG BAHAN &amp; UPAH okk"/>
      <sheetName val="Analis Kusen okk"/>
      <sheetName val="Konfirm"/>
      <sheetName val="CRUDE PSV LIST"/>
      <sheetName val="安装取费"/>
      <sheetName val="土建取费"/>
      <sheetName val="引进表"/>
      <sheetName val="磨煤加压"/>
      <sheetName val="空分"/>
      <sheetName val="KP1590_E"/>
      <sheetName val="Project Details"/>
      <sheetName val="7-2"/>
      <sheetName val="TIE-INS"/>
      <sheetName val="MTO REV.0"/>
      <sheetName val="B101"/>
      <sheetName val="설계내역서"/>
      <sheetName val="예산대비"/>
      <sheetName val="실행"/>
      <sheetName val="주식"/>
      <sheetName val="Main Bldg."/>
      <sheetName val="표지"/>
      <sheetName val="CERTIFICATE"/>
      <sheetName val="CapitalMetrics"/>
      <sheetName val="03"/>
      <sheetName val="INPUT DATA HERE"/>
      <sheetName val="Account Summary"/>
      <sheetName val="ITB COST"/>
      <sheetName val="Regenerator  Concrete Structure"/>
      <sheetName val="INTERIOR WALLS"/>
      <sheetName val="bridge # 1"/>
      <sheetName val="MANHOLE"/>
      <sheetName val="MATL"/>
      <sheetName val="CIM"/>
      <sheetName val="Electrical Pricelist"/>
      <sheetName val="Candy ee"/>
      <sheetName val="수안보-MBR1"/>
      <sheetName val="COPING"/>
      <sheetName val="0000"/>
      <sheetName val="Computed Floor Area"/>
      <sheetName val="10현장조직"/>
      <sheetName val="AROMIN"/>
      <sheetName val="FOOTING"/>
      <sheetName val="마감물량"/>
      <sheetName val="MU"/>
      <sheetName val="FINISHES"/>
      <sheetName val="예산M12A"/>
      <sheetName val="本体取纏"/>
      <sheetName val="S-curve"/>
      <sheetName val="subcon sched"/>
      <sheetName val="PL Plumbing"/>
      <sheetName val="Floor Level"/>
      <sheetName val="FINANCIAL (FLR)"/>
      <sheetName val="structural ratios"/>
      <sheetName val="ok slab on grade"/>
      <sheetName val="Bill 3 -BPO1"/>
      <sheetName val="Bill 3 -BPO2"/>
      <sheetName val="Bill 2 -RETAIL"/>
      <sheetName val="RFP Codes"/>
      <sheetName val="DeltaCom wan orders"/>
      <sheetName val="업무처리전"/>
      <sheetName val="TEST1"/>
      <sheetName val="ITEM"/>
      <sheetName val="확인서"/>
      <sheetName val="LOADDAT"/>
      <sheetName val="tabulation_of_deductions1"/>
      <sheetName val="2_223M_due_to_adj_profit1"/>
      <sheetName val="co-no_21"/>
      <sheetName val="Code_071"/>
      <sheetName val="Assump_(Time)_-_Project_Co_1"/>
      <sheetName val="UPA(Part_C,D,E,G,H)1"/>
      <sheetName val="UPA(Part_F)1"/>
      <sheetName val="일위대가_(Part_C,D,E,G,H)1"/>
      <sheetName val="H_Satuan1"/>
      <sheetName val="HOURS_INDEX1"/>
      <sheetName val="RATE_INDEX1"/>
      <sheetName val="beam-reinft-IIInd_floor"/>
      <sheetName val="an__struktur"/>
      <sheetName val="BOQ_for_HRSG_&amp;_BOP-mech_"/>
      <sheetName val="Customize_Your_Invoice"/>
      <sheetName val="HRSG_SMALL07220"/>
      <sheetName val="Pipe_Sizes"/>
      <sheetName val="EQUIVALENT_LENGTH"/>
      <sheetName val="VERTICAL_CENTR__PUMP_Sh__2"/>
      <sheetName val="List_Equip"/>
      <sheetName val="Process_C_(1-166)"/>
      <sheetName val="Schedule_S-Curve_Revision#3"/>
      <sheetName val="Bach_Dang"/>
      <sheetName val="Bill_summary_of_cost"/>
      <sheetName val="MATERIAL'S_PRICE"/>
      <sheetName val="EqptRate_(2)"/>
      <sheetName val="Cash_Flow_bulanan"/>
      <sheetName val="6PILE__(돌출)"/>
      <sheetName val="RATES_G-5"/>
      <sheetName val="Summary-In_House"/>
      <sheetName val="BSD_(2)"/>
      <sheetName val="man_150221"/>
      <sheetName val="MH_RATE"/>
      <sheetName val="RAB_ALT_(2)"/>
      <sheetName val="_Armaflex_"/>
      <sheetName val="___Basis-Kalk____"/>
      <sheetName val="MW-Schale,_alukasch_"/>
      <sheetName val="UK,_Kleinmaterial"/>
      <sheetName val="PUR,_FOAMGLAS"/>
      <sheetName val="Cashflow_Analysis"/>
      <sheetName val="Pengalaman_Per"/>
      <sheetName val="Exch_Rates_&amp;_duties"/>
      <sheetName val="JGC_Weekly_MH_"/>
      <sheetName val="REKAP_VOLUME"/>
      <sheetName val="HMB_Case_1"/>
      <sheetName val="PROG_"/>
      <sheetName val="SPARE PART"/>
      <sheetName val="Project_Brief1"/>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tabulation_of_deductions2"/>
      <sheetName val="Project_Brief2"/>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FINA"/>
      <sheetName val="MCC제원"/>
      <sheetName val="TACE"/>
      <sheetName val="MSH51C"/>
      <sheetName val="FitOutConfCentre"/>
      <sheetName val="Graph"/>
      <sheetName val="Labor abs-NMR"/>
      <sheetName val="Westin FOH &amp; BOH Split"/>
      <sheetName val="Basis"/>
      <sheetName val="Assumptions"/>
      <sheetName val="@risk rents and incentives"/>
      <sheetName val="Net rent analysis"/>
      <sheetName val="SA-1 Oil"/>
      <sheetName val="AN"/>
      <sheetName val="VXXXX"/>
      <sheetName val="COVER "/>
      <sheetName val="CAL-SHEET"/>
      <sheetName val="개별표지"/>
      <sheetName val="DESIGN CRITERIA"/>
      <sheetName val="1~5 (2)"/>
      <sheetName val="Rot-Pack"/>
      <sheetName val="STEP"/>
      <sheetName val="MASTER"/>
      <sheetName val="spc 배관견적"/>
      <sheetName val="Cost Summary"/>
      <sheetName val="Dwg_List"/>
      <sheetName val="Ts&amp;Cs"/>
      <sheetName val="sal"/>
      <sheetName val="유림골조"/>
      <sheetName val="공통비총괄표"/>
      <sheetName val="1,2공구원가계산서"/>
      <sheetName val="2공구산출내역"/>
      <sheetName val="1공구산출내역서"/>
      <sheetName val="TRIS"/>
      <sheetName val="OIL SYST DATA SHTS"/>
      <sheetName val="PAINT-CODE"/>
      <sheetName val="6MONTHS"/>
      <sheetName val="여흥"/>
      <sheetName val="금융비용"/>
      <sheetName val="2.설계제원"/>
      <sheetName val="TON 56"/>
      <sheetName val="10241EQLIST"/>
      <sheetName val="Costos Sum"/>
      <sheetName val="tifico"/>
      <sheetName val="Check Sheet"/>
      <sheetName val="Base-1000"/>
      <sheetName val="CAL"/>
      <sheetName val="Equipment"/>
      <sheetName val="산출근거#2-3"/>
      <sheetName val="member design"/>
      <sheetName val="VA_code"/>
      <sheetName val="ELEC_DCI"/>
      <sheetName val="D.UPH&amp;PEK"/>
      <sheetName val="SPT vs PHI"/>
      <sheetName val="BLR_11"/>
      <sheetName val="upah_bahan1"/>
      <sheetName val="IRR_sponsor1"/>
      <sheetName val="LAST_UPDATE1"/>
      <sheetName val="Dir-Conc_1"/>
      <sheetName val="ﾄﾞﾊﾞｲFUEL_GAS追見1"/>
      <sheetName val="203_Eqpt_r11"/>
      <sheetName val="project_management1"/>
      <sheetName val="1)_COMMON_FACILITIES1"/>
      <sheetName val="Wind_Calculation(cpi-0_4)1"/>
      <sheetName val="1_PPC_Summary_EN1"/>
      <sheetName val="2_Price_List1"/>
      <sheetName val="3_Fireproofing1"/>
      <sheetName val="FP_List1"/>
      <sheetName val="4_Equip__Insulation1"/>
      <sheetName val="Insulation_list1"/>
      <sheetName val="5_Piping_Insulation1"/>
      <sheetName val="6_Painting1"/>
      <sheetName val="7_RWEs1"/>
      <sheetName val="8_CD&amp;VAT_rbst1"/>
      <sheetName val="detail_vat_and_CD1"/>
      <sheetName val="A_&amp;_B1"/>
      <sheetName val="Manpower_List-11"/>
      <sheetName val="Index_Daily_Alloaction1"/>
      <sheetName val="SUMMARY_FOR_DPR1"/>
      <sheetName val="Manpower_List1"/>
      <sheetName val="final_abstract1"/>
      <sheetName val="Material_1"/>
      <sheetName val="Labour_&amp;_Plant1"/>
      <sheetName val="Form_61"/>
      <sheetName val="Material_Standards1"/>
      <sheetName val="G_R300경비1"/>
      <sheetName val="견적금액(2003_12_22)1"/>
      <sheetName val="2_223M_due_to_adj_profit2"/>
      <sheetName val="co-no_22"/>
      <sheetName val="Code_072"/>
      <sheetName val="Assump_(Time)_-_Project_Co_2"/>
      <sheetName val="UPA(Part_C,D,E,G,H)2"/>
      <sheetName val="UPA(Part_F)2"/>
      <sheetName val="일위대가_(Part_C,D,E,G,H)2"/>
      <sheetName val="H_Satuan2"/>
      <sheetName val="HOURS_INDEX2"/>
      <sheetName val="RATE_INDEX2"/>
      <sheetName val="BLR_12"/>
      <sheetName val="upah_bahan2"/>
      <sheetName val="IRR_sponsor2"/>
      <sheetName val="LAST_UPDATE2"/>
      <sheetName val="Dir-Conc_2"/>
      <sheetName val="ﾄﾞﾊﾞｲFUEL_GAS追見2"/>
      <sheetName val="203_Eqpt_r12"/>
      <sheetName val="project_management2"/>
      <sheetName val="1)_COMMON_FACILITIES2"/>
      <sheetName val="Wind_Calculation(cpi-0_4)2"/>
      <sheetName val="1_PPC_Summary_EN2"/>
      <sheetName val="2_Price_List2"/>
      <sheetName val="3_Fireproofing2"/>
      <sheetName val="FP_List2"/>
      <sheetName val="4_Equip__Insulation2"/>
      <sheetName val="Insulation_list2"/>
      <sheetName val="5_Piping_Insulation2"/>
      <sheetName val="6_Painting2"/>
      <sheetName val="7_RWEs2"/>
      <sheetName val="8_CD&amp;VAT_rbst2"/>
      <sheetName val="detail_vat_and_CD2"/>
      <sheetName val="A_&amp;_B2"/>
      <sheetName val="Manpower_List-12"/>
      <sheetName val="Index_Daily_Alloaction2"/>
      <sheetName val="SUMMARY_FOR_DPR2"/>
      <sheetName val="Manpower_List2"/>
      <sheetName val="final_abstract2"/>
      <sheetName val="Material_2"/>
      <sheetName val="Labour_&amp;_Plant2"/>
      <sheetName val="Form_62"/>
      <sheetName val="Material_Standards2"/>
      <sheetName val="_Armaflex_1"/>
      <sheetName val="___Basis-Kalk____1"/>
      <sheetName val="MW-Schale,_alukasch_1"/>
      <sheetName val="UK,_Kleinmaterial1"/>
      <sheetName val="PUR,_FOAMGLAS1"/>
      <sheetName val="Cashflow_Analysis1"/>
      <sheetName val="G_R300경비2"/>
      <sheetName val="beam-reinft-IIInd_floor1"/>
      <sheetName val="견적금액(2003_12_22)2"/>
      <sheetName val="PROG_1"/>
      <sheetName val="man_1502211"/>
      <sheetName val="List_Equip1"/>
      <sheetName val="Process_C_(1-166)1"/>
      <sheetName val="Schedule_S-Curve_Revision#31"/>
      <sheetName val="Bach_Dang1"/>
      <sheetName val="Bill_summary_of_cost1"/>
      <sheetName val="MATERIAL'S_PRICE1"/>
      <sheetName val="EqptRate_(2)1"/>
      <sheetName val="Cash_Flow_bulanan1"/>
      <sheetName val="6PILE__(돌출)1"/>
      <sheetName val="RATES_G-51"/>
      <sheetName val="Summary-In_House1"/>
      <sheetName val="BSD_(2)1"/>
      <sheetName val="an__struktur1"/>
      <sheetName val="BOQ_for_HRSG_&amp;_BOP-mech_1"/>
      <sheetName val="Customize_Your_Invoice1"/>
      <sheetName val="HRSG_SMALL072201"/>
      <sheetName val="Pipe_Sizes1"/>
      <sheetName val="EQUIVALENT_LENGTH1"/>
      <sheetName val="Qty"/>
      <sheetName val="OCT_FDN11"/>
      <sheetName val="Summary_Sheets11"/>
      <sheetName val="Pipe_Supports11"/>
      <sheetName val="EQUIP_LIST11"/>
      <sheetName val="Process_Piping11"/>
      <sheetName val="P-HOT_XLS11"/>
      <sheetName val="3__GROUNDING_SYSTEM11"/>
      <sheetName val="Material_and_Manpower_data11"/>
      <sheetName val="Pricing_Summary11"/>
      <sheetName val="Alum_11"/>
      <sheetName val="9_Material_Rates11"/>
      <sheetName val="steam_table11"/>
      <sheetName val="2_2_STAFF_Scedule11"/>
      <sheetName val="HORI__VESSEL11"/>
      <sheetName val="97_사업추정(WEKI)11"/>
      <sheetName val="입출재고현황_(2)11"/>
      <sheetName val="Rate_Analysis11"/>
      <sheetName val="Civil_111"/>
      <sheetName val="Civil_211"/>
      <sheetName val="Civil_311"/>
      <sheetName val="Site_111"/>
      <sheetName val="Site_211"/>
      <sheetName val="Site_311"/>
      <sheetName val="Site_Faci11"/>
      <sheetName val="Man_Hole11"/>
      <sheetName val="Inst_Matl_Table11"/>
      <sheetName val="Loop_Type11"/>
      <sheetName val="GROUNDING_SYSTEM11"/>
      <sheetName val="1__설계조건_2_단면가정_3__하중계산11"/>
      <sheetName val="DATA_입력란11"/>
      <sheetName val="MP_MOB11"/>
      <sheetName val="General_Data11"/>
      <sheetName val="PAD_TR보호대기초11"/>
      <sheetName val="Car_park_lease11"/>
      <sheetName val="8_PILE__(돌출)9"/>
      <sheetName val="Utility_and_Fire_flange11"/>
      <sheetName val="sum1_(2)11"/>
      <sheetName val="L_V_Separator8"/>
      <sheetName val="Eq__Mobilization8"/>
      <sheetName val="bldg_list8"/>
      <sheetName val="MTO_REV_2(ARMOR)7"/>
      <sheetName val="Steel-Main_Work7"/>
      <sheetName val="EL_표면적6"/>
      <sheetName val="D1_17"/>
      <sheetName val="D2_17"/>
      <sheetName val="Administrative_Prices7"/>
      <sheetName val="Proj_Cost_Sumry7"/>
      <sheetName val="Wt_of_Mod_7"/>
      <sheetName val="Bid_Summary6"/>
      <sheetName val="장비검사_사진6"/>
      <sheetName val="Air_Cooler-E6"/>
      <sheetName val="static_cal6"/>
      <sheetName val="SOS_PLC_&amp;_Panel6"/>
      <sheetName val="중간재_재공6"/>
      <sheetName val="118_세금과공과5"/>
      <sheetName val="108_수선비5"/>
      <sheetName val="EXT_CHECK6"/>
      <sheetName val="1_설계조건5"/>
      <sheetName val="12월_수선비_사용실적5"/>
      <sheetName val="Based_Data_WACC5"/>
      <sheetName val="PKG_&quot;A&quot;_Detail_-_정풍5"/>
      <sheetName val="M_115"/>
      <sheetName val="Part_A5"/>
      <sheetName val="Part_B5"/>
      <sheetName val="Part_C5"/>
      <sheetName val="EQUIPMENT_-25"/>
      <sheetName val="R01_p15"/>
      <sheetName val="Valve_Cl5"/>
      <sheetName val="Attach_4-185"/>
      <sheetName val="Page_25"/>
      <sheetName val="Subcon_TR5"/>
      <sheetName val="Malaysia_incl__RET5"/>
      <sheetName val="Paint_Mat_Summ5"/>
      <sheetName val="_표지5"/>
      <sheetName val="Subcon_A4"/>
      <sheetName val="Land_Dev't__Ph-13"/>
      <sheetName val="Hac_Lots3"/>
      <sheetName val="4-Lane_bridge3"/>
      <sheetName val="Res_Lots3"/>
      <sheetName val="Spine_Road3"/>
      <sheetName val="7__Aeration_Tanks_(ATV)3"/>
      <sheetName val="8__Aeration3"/>
      <sheetName val="1__Project_Base3"/>
      <sheetName val="Total_Staff3"/>
      <sheetName val="0__SUMMARY3"/>
      <sheetName val="1__Engineering3"/>
      <sheetName val="2__Check_point3"/>
      <sheetName val="II_Changes_13"/>
      <sheetName val="III_Changes_23"/>
      <sheetName val="Qty_3"/>
      <sheetName val="OQC_Summary3"/>
      <sheetName val="6_Unit_Rates3"/>
      <sheetName val="OCT_FDN12"/>
      <sheetName val="Summary_Sheets12"/>
      <sheetName val="Pipe_Supports12"/>
      <sheetName val="EQUIP_LIST12"/>
      <sheetName val="Process_Piping12"/>
      <sheetName val="P-HOT_XLS12"/>
      <sheetName val="3__GROUNDING_SYSTEM12"/>
      <sheetName val="Material_and_Manpower_data12"/>
      <sheetName val="Pricing_Summary12"/>
      <sheetName val="Alum_12"/>
      <sheetName val="9_Material_Rates12"/>
      <sheetName val="steam_table12"/>
      <sheetName val="2_2_STAFF_Scedule12"/>
      <sheetName val="HORI__VESSEL12"/>
      <sheetName val="97_사업추정(WEKI)12"/>
      <sheetName val="입출재고현황_(2)12"/>
      <sheetName val="Rate_Analysis12"/>
      <sheetName val="Civil_112"/>
      <sheetName val="Civil_212"/>
      <sheetName val="Civil_312"/>
      <sheetName val="Site_112"/>
      <sheetName val="Site_212"/>
      <sheetName val="Site_312"/>
      <sheetName val="Site_Faci12"/>
      <sheetName val="Man_Hole12"/>
      <sheetName val="Inst_Matl_Table12"/>
      <sheetName val="Loop_Type12"/>
      <sheetName val="GROUNDING_SYSTEM12"/>
      <sheetName val="1__설계조건_2_단면가정_3__하중계산12"/>
      <sheetName val="DATA_입력란12"/>
      <sheetName val="MP_MOB12"/>
      <sheetName val="General_Data12"/>
      <sheetName val="PAD_TR보호대기초12"/>
      <sheetName val="Car_park_lease12"/>
      <sheetName val="8_PILE__(돌출)10"/>
      <sheetName val="Utility_and_Fire_flange12"/>
      <sheetName val="sum1_(2)12"/>
      <sheetName val="L_V_Separator9"/>
      <sheetName val="Eq__Mobilization9"/>
      <sheetName val="bldg_list9"/>
      <sheetName val="MTO_REV_2(ARMOR)8"/>
      <sheetName val="Steel-Main_Work8"/>
      <sheetName val="EL_표면적7"/>
      <sheetName val="D1_18"/>
      <sheetName val="D2_18"/>
      <sheetName val="Administrative_Prices8"/>
      <sheetName val="Proj_Cost_Sumry8"/>
      <sheetName val="Wt_of_Mod_8"/>
      <sheetName val="Bid_Summary7"/>
      <sheetName val="장비검사_사진7"/>
      <sheetName val="Air_Cooler-E7"/>
      <sheetName val="static_cal7"/>
      <sheetName val="SOS_PLC_&amp;_Panel7"/>
      <sheetName val="중간재_재공7"/>
      <sheetName val="118_세금과공과6"/>
      <sheetName val="108_수선비6"/>
      <sheetName val="EXT_CHECK7"/>
      <sheetName val="1_설계조건6"/>
      <sheetName val="12월_수선비_사용실적6"/>
      <sheetName val="Based_Data_WACC6"/>
      <sheetName val="PKG_&quot;A&quot;_Detail_-_정풍6"/>
      <sheetName val="M_116"/>
      <sheetName val="Part_A6"/>
      <sheetName val="Part_B6"/>
      <sheetName val="Part_C6"/>
      <sheetName val="EQUIPMENT_-26"/>
      <sheetName val="R01_p16"/>
      <sheetName val="Valve_Cl6"/>
      <sheetName val="Attach_4-186"/>
      <sheetName val="Page_26"/>
      <sheetName val="Subcon_TR6"/>
      <sheetName val="Malaysia_incl__RET6"/>
      <sheetName val="Paint_Mat_Summ6"/>
      <sheetName val="_표지6"/>
      <sheetName val="Subcon_A5"/>
      <sheetName val="Land_Dev't__Ph-14"/>
      <sheetName val="Hac_Lots4"/>
      <sheetName val="4-Lane_bridge4"/>
      <sheetName val="Res_Lots4"/>
      <sheetName val="Spine_Road4"/>
      <sheetName val="7__Aeration_Tanks_(ATV)4"/>
      <sheetName val="8__Aeration4"/>
      <sheetName val="1__Project_Base4"/>
      <sheetName val="Total_Staff4"/>
      <sheetName val="0__SUMMARY4"/>
      <sheetName val="1__Engineering4"/>
      <sheetName val="2__Check_point4"/>
      <sheetName val="II_Changes_14"/>
      <sheetName val="III_Changes_24"/>
      <sheetName val="Qty_4"/>
      <sheetName val="OQC_Summary4"/>
      <sheetName val="6_Unit_Rates4"/>
      <sheetName val="working load at the btm ft."/>
      <sheetName val="plan&amp;section of foundation"/>
      <sheetName val="soil bearing check"/>
      <sheetName val="설계내역"/>
      <sheetName val="Control"/>
      <sheetName val="D"/>
      <sheetName val="H"/>
      <sheetName val="Riesgos y Oportunidades"/>
      <sheetName val="Dynamic Query"/>
      <sheetName val="EQUIPOS"/>
      <sheetName val="지수"/>
      <sheetName val="10.25"/>
      <sheetName val="EP0618"/>
      <sheetName val="tabulation_of_deductions3"/>
      <sheetName val="Project_Brief3"/>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Pengalaman_Per1"/>
      <sheetName val="RAB_ALT_(2)1"/>
      <sheetName val="MH_RATE1"/>
      <sheetName val="VERTICAL_CENTR__PUMP_Sh__21"/>
      <sheetName val="JGC_Weekly_MH_1"/>
      <sheetName val="REKAP_VOLUME1"/>
      <sheetName val="HMB_Case_11"/>
      <sheetName val="Exch_Rates_&amp;_duties1"/>
      <sheetName val="DAFTAR_71"/>
      <sheetName val="Rekap_Direct_Cost1"/>
      <sheetName val="Rekap_Prelim1"/>
      <sheetName val="CBE_(Vendor)"/>
      <sheetName val="HRG_BAHAN_&amp;_UPAH_okk"/>
      <sheetName val="Analis_Kusen_okk"/>
      <sheetName val="CONST_OD"/>
      <sheetName val="D_CONSUMABLE"/>
      <sheetName val="D_MATERIAL"/>
      <sheetName val="OTHER_OD"/>
      <sheetName val="SITE_FCT"/>
      <sheetName val="CCTR_wise_cost_summ"/>
      <sheetName val="Price_Sheet_TP_AD"/>
      <sheetName val="Form_MF_-_2"/>
      <sheetName val="BQ_INSUL"/>
      <sheetName val="BQ_PIPE"/>
      <sheetName val="data_sheet"/>
      <sheetName val="Material_Database"/>
      <sheetName val="CBS_Code"/>
      <sheetName val="Material_Code"/>
      <sheetName val="Cost_Components"/>
      <sheetName val="WPA_Mechanical_Equipment_AMP2"/>
      <sheetName val="Sales_&amp;_Prod"/>
      <sheetName val="List_of_prices1"/>
      <sheetName val="33628-Rev__A"/>
      <sheetName val="1_0표준품셈"/>
      <sheetName val="1_0계산품셈"/>
      <sheetName val="Sch_1"/>
      <sheetName val="CRUDE_PSV_LIST"/>
      <sheetName val="Project_Details"/>
      <sheetName val="SPARE_PART"/>
      <sheetName val="MTO_REV_0"/>
      <sheetName val="DeltaCom_wan_orders"/>
      <sheetName val="2_설계제원"/>
      <sheetName val="structural_ratios"/>
      <sheetName val="ok_slab_on_grade"/>
      <sheetName val="OIL_SYST_DATA_SHTS"/>
      <sheetName val="손익차9월2"/>
      <sheetName val="RESOURCES"/>
      <sheetName val="BASIC RATES"/>
      <sheetName val="Inputs"/>
      <sheetName val="List"/>
      <sheetName val="Elect."/>
      <sheetName val="SITE DEV,T"/>
      <sheetName val="Price Summary (1)"/>
      <sheetName val="Price Summary (2)"/>
      <sheetName val="pile Fabrication"/>
      <sheetName val="CONTRACT-SUM"/>
      <sheetName val="masonry works"/>
      <sheetName val="TOWER 12TON"/>
      <sheetName val="TOWER 10TON"/>
      <sheetName val="Sheet1 (2)"/>
      <sheetName val="식재인부"/>
      <sheetName val="단가결정"/>
      <sheetName val="PLAN_FEB97"/>
      <sheetName val="Site"/>
      <sheetName val="직원동원SCH"/>
      <sheetName val="기본대가"/>
      <sheetName val="JOB"/>
      <sheetName val="PH 5"/>
      <sheetName val="GFA"/>
      <sheetName val="markup"/>
      <sheetName val="Substation Column"/>
      <sheetName val="PSV2701F"/>
      <sheetName val="예산작성기준(전기)"/>
      <sheetName val="도기류"/>
      <sheetName val="BD"/>
      <sheetName val="8-31-98"/>
      <sheetName val="worksheet inchican"/>
      <sheetName val="combined 9-30"/>
      <sheetName val="HYDROTEST DIAGRAM"/>
      <sheetName val="GM 000"/>
      <sheetName val="GTG TR PIT"/>
      <sheetName val="BOQ segment2 (PartB)"/>
      <sheetName val="2.2 띠장의 설계"/>
      <sheetName val="Named Range"/>
      <sheetName val="Equipment Rental"/>
      <sheetName val="Recovered_Sheet1"/>
      <sheetName val="electrical"/>
      <sheetName val="MAT_N048"/>
      <sheetName val="간접비 총괄표"/>
      <sheetName val="특수선일위대가"/>
      <sheetName val="KP_List"/>
      <sheetName val="GKP"/>
      <sheetName val="품셈"/>
      <sheetName val="5-Digit"/>
      <sheetName val="Item#9.3"/>
      <sheetName val="Item#1.9"/>
      <sheetName val="Item#6.7"/>
      <sheetName val="Item#2.6"/>
      <sheetName val="Item#4.10"/>
      <sheetName val="Item#5.8"/>
      <sheetName val="Item#7.21"/>
      <sheetName val="Item#3.8"/>
      <sheetName val="Item#8.7"/>
      <sheetName val="Door (5F-16F) BPO"/>
      <sheetName val="Canopy"/>
      <sheetName val="Labor Rates"/>
      <sheetName val="Sch.6"/>
      <sheetName val="Eqpt"/>
      <sheetName val="breakdown"/>
      <sheetName val="GAEYO"/>
      <sheetName val="목표세부명세"/>
      <sheetName val="remaining billing"/>
      <sheetName val="struc derive"/>
      <sheetName val="Bill No. 2 July 6"/>
      <sheetName val="Riesgos_y_Oportunidades"/>
      <sheetName val="Dynamic_Query"/>
      <sheetName val="615E101AB(CASE85F)"/>
      <sheetName val="BUILDING"/>
      <sheetName val="XZLC004_PART2"/>
      <sheetName val="Equipment List"/>
      <sheetName val="Hist Fc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refreshError="1"/>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refreshError="1"/>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sheetData sheetId="654"/>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refreshError="1"/>
      <sheetData sheetId="672" refreshError="1"/>
      <sheetData sheetId="673" refreshError="1"/>
      <sheetData sheetId="674" refreshError="1"/>
      <sheetData sheetId="675" refreshError="1"/>
      <sheetData sheetId="676" refreshError="1"/>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sheetData sheetId="951"/>
      <sheetData sheetId="952"/>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sheetData sheetId="1019"/>
      <sheetData sheetId="1020"/>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refreshError="1"/>
      <sheetData sheetId="1413" refreshError="1"/>
      <sheetData sheetId="1414" refreshError="1"/>
      <sheetData sheetId="1415" refreshError="1"/>
      <sheetData sheetId="1416"/>
      <sheetData sheetId="1417"/>
      <sheetData sheetId="1418" refreshError="1"/>
      <sheetData sheetId="1419" refreshError="1"/>
      <sheetData sheetId="1420" refreshError="1"/>
      <sheetData sheetId="1421" refreshError="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refreshError="1"/>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sheetData sheetId="1693" refreshError="1"/>
      <sheetData sheetId="1694" refreshError="1"/>
      <sheetData sheetId="1695" refreshError="1"/>
      <sheetData sheetId="1696" refreshError="1"/>
      <sheetData sheetId="1697" refreshError="1"/>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refreshError="1"/>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sheetData sheetId="2138"/>
      <sheetData sheetId="2139" refreshError="1"/>
      <sheetData sheetId="2140" refreshError="1"/>
      <sheetData sheetId="2141" refreshError="1"/>
      <sheetData sheetId="2142" refreshError="1"/>
      <sheetData sheetId="214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개요"/>
      <sheetName val="기초공"/>
      <sheetName val="기둥(원형)"/>
      <sheetName val="BID"/>
      <sheetName val="내역서"/>
      <sheetName val="입출재고현황 (2)"/>
      <sheetName val="대비"/>
      <sheetName val="견적서"/>
      <sheetName val="공사비집계"/>
      <sheetName val="일위대가"/>
      <sheetName val="DATA"/>
      <sheetName val="8공구투찰내역서"/>
      <sheetName val="Sheet2"/>
      <sheetName val="TEL"/>
      <sheetName val="공사개요"/>
      <sheetName val="98지급계획"/>
      <sheetName val="인사자료총집계"/>
      <sheetName val="type-F"/>
      <sheetName val="부대대비"/>
      <sheetName val="냉연집계"/>
      <sheetName val="design criteria"/>
      <sheetName val="working load at the btm ft."/>
      <sheetName val="plan&amp;section of foundation"/>
      <sheetName val="member design"/>
      <sheetName val="조명시설"/>
      <sheetName val="영업.일"/>
      <sheetName val="데이타"/>
      <sheetName val="설계조건"/>
      <sheetName val="단면검토"/>
      <sheetName val="DATE"/>
      <sheetName val="경비2내역"/>
      <sheetName val="내역"/>
      <sheetName val="1.설계조건"/>
      <sheetName val="6.OUTPUT"/>
      <sheetName val="단가조건"/>
      <sheetName val="설 계"/>
      <sheetName val="일위대가목차"/>
      <sheetName val="표지"/>
      <sheetName val="예산M12A"/>
      <sheetName val="공사내역"/>
      <sheetName val="총괄"/>
      <sheetName val="EKOG10건축"/>
      <sheetName val="ERECTION"/>
      <sheetName val="POL설치공정"/>
      <sheetName val="RAHMEN"/>
      <sheetName val="Main"/>
      <sheetName val="공정양식"/>
      <sheetName val="단위중기"/>
      <sheetName val="설계명세서"/>
      <sheetName val="1단계"/>
      <sheetName val="전기일위대가"/>
      <sheetName val="말뚝지지력산정"/>
      <sheetName val="Total"/>
      <sheetName val="을"/>
      <sheetName val="말뚝물량"/>
      <sheetName val="협조전"/>
      <sheetName val="1.우편집중내역서"/>
      <sheetName val="터파기및재료"/>
      <sheetName val="공사비예산서(토목분)"/>
      <sheetName val="BSD (2)"/>
      <sheetName val="정보매체A동"/>
      <sheetName val="UNIT"/>
      <sheetName val="ITB COST"/>
      <sheetName val="정부노임단가"/>
      <sheetName val="공틀공사"/>
      <sheetName val="Customer Databas"/>
      <sheetName val="hvac내역서(제어동)"/>
      <sheetName val="예산변경사항"/>
      <sheetName val="산출기준(파견전산실)"/>
      <sheetName val="본부소개"/>
      <sheetName val="지급자재"/>
      <sheetName val="청천내"/>
      <sheetName val="2000.05"/>
      <sheetName val="2.대외공문"/>
      <sheetName val="BSD _2_"/>
      <sheetName val="M1"/>
      <sheetName val="실행철강하도"/>
      <sheetName val="BOQ건축"/>
      <sheetName val="Sheet3"/>
      <sheetName val="토목주소"/>
      <sheetName val="프랜트면허"/>
      <sheetName val="Sheet1"/>
      <sheetName val="품종별-이름"/>
      <sheetName val="퇴비산출근거"/>
      <sheetName val="ABUT수량-A1"/>
      <sheetName val="I.설계조건"/>
      <sheetName val="99노임기준"/>
      <sheetName val="보도경계블럭"/>
      <sheetName val="Y-WORK"/>
      <sheetName val="CAPVC"/>
      <sheetName val="계약내역서"/>
      <sheetName val="코드표"/>
      <sheetName val="출력표"/>
      <sheetName val="단면가정"/>
      <sheetName val="soil bearing check"/>
      <sheetName val="기계내역"/>
      <sheetName val="2002상반기노임기준"/>
      <sheetName val="분류작업"/>
      <sheetName val="노원열병합  건축공사기성내역서"/>
      <sheetName val="단가조사"/>
      <sheetName val="분석"/>
      <sheetName val="#REF"/>
      <sheetName val="내역서(총)"/>
      <sheetName val="구미4단2"/>
      <sheetName val="EACT10"/>
      <sheetName val="물가"/>
      <sheetName val="Budget 2004(DW)"/>
      <sheetName val="첨"/>
      <sheetName val="9-1차이내역"/>
      <sheetName val="결과조달"/>
      <sheetName val="CODE"/>
      <sheetName val="노임단가"/>
      <sheetName val="1련박스"/>
      <sheetName val="연결임시"/>
      <sheetName val="FB25JN"/>
      <sheetName val=" 견적서"/>
      <sheetName val="수량산출서"/>
      <sheetName val="전체"/>
      <sheetName val="PUMP"/>
      <sheetName val="VENDOR LIST"/>
      <sheetName val="공통비"/>
      <sheetName val="현장"/>
      <sheetName val="MOTOR"/>
      <sheetName val="일위목록"/>
      <sheetName val="공통가설"/>
      <sheetName val="수량산출"/>
      <sheetName val="Macro1"/>
      <sheetName val="시멘트"/>
      <sheetName val="조명율표"/>
      <sheetName val="갑지1"/>
      <sheetName val="갑지(추정)"/>
      <sheetName val="TB-내역서"/>
      <sheetName val="교각1"/>
      <sheetName val="포장공"/>
      <sheetName val="토공"/>
      <sheetName val="기계"/>
      <sheetName val="토공(완충)"/>
      <sheetName val="집계표"/>
      <sheetName val="첨부파일"/>
      <sheetName val="가격조사서"/>
      <sheetName val="Load Total"/>
      <sheetName val="A"/>
      <sheetName val="단가표"/>
      <sheetName val="노무비단가"/>
      <sheetName val="케이블및전선관규격표"/>
      <sheetName val="적용환율"/>
      <sheetName val="FRT_O"/>
      <sheetName val="FAB_I"/>
      <sheetName val="신우"/>
      <sheetName val="TEST1"/>
      <sheetName val="부대내역"/>
      <sheetName val="기초일위"/>
      <sheetName val="시설일위"/>
      <sheetName val="조명일위"/>
      <sheetName val="설비내역서"/>
      <sheetName val="건축내역서"/>
      <sheetName val="전기내역서"/>
      <sheetName val="PROJECT BRIEF(EX.NEW)"/>
      <sheetName val="Sheet4"/>
      <sheetName val="재무가정"/>
      <sheetName val="hvac(제어동)"/>
      <sheetName val="깨기"/>
      <sheetName val="6PILE  (돌출)"/>
      <sheetName val="Proposal"/>
      <sheetName val="날개벽(좌,우=45도,75도)"/>
      <sheetName val="품종코드"/>
      <sheetName val="기초자료"/>
      <sheetName val="견적집계표"/>
      <sheetName val="손익(10월)"/>
      <sheetName val="항목"/>
      <sheetName val="투자양식"/>
      <sheetName val="crude.SLAB RE-bar"/>
      <sheetName val="WORK"/>
      <sheetName val="TAIHAN"/>
      <sheetName val="변경내역대비표(2)"/>
      <sheetName val="AILC004"/>
      <sheetName val="음료실행"/>
      <sheetName val="COVER"/>
      <sheetName val="물량표"/>
      <sheetName val="토공계산서(부체도로)"/>
      <sheetName val="1.설계기준"/>
      <sheetName val="CTEMCOST"/>
      <sheetName val="6호기"/>
      <sheetName val="Pengalaman Per"/>
      <sheetName val="BREAKDOWN(철거설치)"/>
      <sheetName val="Piping(Methanol)"/>
      <sheetName val="FUND"/>
      <sheetName val="견적가 검토"/>
      <sheetName val="공문"/>
      <sheetName val="3차준공"/>
      <sheetName val="A-4"/>
      <sheetName val="내역(입찰)"/>
      <sheetName val="danga"/>
      <sheetName val="ilch"/>
      <sheetName val="1호맨홀토공"/>
      <sheetName val="가정급수관"/>
      <sheetName val="11"/>
      <sheetName val="날개벽"/>
      <sheetName val="산출근거"/>
      <sheetName val="Discount Group"/>
      <sheetName val="옹벽"/>
      <sheetName val="2000년1차"/>
      <sheetName val="건축원가계산서"/>
      <sheetName val="골조시행"/>
      <sheetName val="세부내역"/>
      <sheetName val="예산M5A"/>
      <sheetName val="소업1교"/>
      <sheetName val="전기"/>
      <sheetName val="대로근거"/>
      <sheetName val="중로근거"/>
      <sheetName val="현금"/>
      <sheetName val="교량전기"/>
      <sheetName val="woo(mac)"/>
      <sheetName val="자재단가비교표"/>
      <sheetName val="98수문일위"/>
      <sheetName val="1-1"/>
      <sheetName val="전체도급"/>
      <sheetName val="AP1"/>
      <sheetName val="96수출"/>
      <sheetName val="Sheet5"/>
      <sheetName val="FAB별"/>
      <sheetName val="일위대가표"/>
      <sheetName val="대대터널 설계서"/>
      <sheetName val="내역표지"/>
      <sheetName val="노임이"/>
      <sheetName val="기본"/>
      <sheetName val="통합"/>
      <sheetName val="인건비"/>
      <sheetName val="물가자료"/>
      <sheetName val="Material Specification"/>
      <sheetName val="단면 (2)"/>
      <sheetName val="토목내역"/>
      <sheetName val="안정검토"/>
      <sheetName val="재1"/>
      <sheetName val="정렬"/>
      <sheetName val="투찰금액"/>
      <sheetName val="일위(설)"/>
      <sheetName val="사용성검토"/>
      <sheetName val="J直材4"/>
      <sheetName val="토 적 표"/>
      <sheetName val="투찰"/>
      <sheetName val="참조"/>
      <sheetName val="P&amp;L01-02GR"/>
      <sheetName val="방식총괄"/>
      <sheetName val="요율"/>
      <sheetName val="소방"/>
      <sheetName val="산출"/>
      <sheetName val="직노"/>
      <sheetName val="산출내역서집계표"/>
      <sheetName val="담장산출"/>
      <sheetName val="도"/>
      <sheetName val="J"/>
      <sheetName val="진행 DATA (2)"/>
      <sheetName val="실행견적"/>
      <sheetName val="공통(20-91)"/>
      <sheetName val="건축내역"/>
      <sheetName val="자재표"/>
      <sheetName val="공내역"/>
      <sheetName val="전신환매도율"/>
      <sheetName val="소비자가"/>
      <sheetName val="DATA1"/>
      <sheetName val="포장복구집계"/>
      <sheetName val="접속 SLAB,BRACKET 설계"/>
      <sheetName val="12용지"/>
      <sheetName val="토적"/>
      <sheetName val="보일러"/>
      <sheetName val="인건비 "/>
      <sheetName val="SLAB&quot;1&quot;"/>
      <sheetName val="COPING"/>
      <sheetName val="단가조사서"/>
      <sheetName val="기성내역서표지"/>
      <sheetName val="유출부"/>
      <sheetName val="안정계산"/>
      <sheetName val="3차토목내역"/>
      <sheetName val="견적조건"/>
      <sheetName val="Budget 2005(DW)"/>
      <sheetName val="배수통관(좌)"/>
      <sheetName val="계약내력"/>
      <sheetName val="바.한일양산"/>
      <sheetName val="1. 설계조건 2.단면가정 3. 하중계산"/>
      <sheetName val="DATA 입력란"/>
      <sheetName val="CAL"/>
      <sheetName val="하도급기성_(2)"/>
      <sheetName val="하도급단가산출_(2)"/>
      <sheetName val="입출재고현황_(2)"/>
      <sheetName val="설계예산"/>
      <sheetName val="건축"/>
      <sheetName val="부재예실"/>
      <sheetName val="SUMMARY(S)"/>
      <sheetName val="첨부1"/>
      <sheetName val="관리비"/>
      <sheetName val="재집"/>
      <sheetName val="직재"/>
      <sheetName val="설계"/>
      <sheetName val="가로등기초"/>
      <sheetName val="자판실행"/>
      <sheetName val="모델링"/>
      <sheetName val="하중계산"/>
      <sheetName val="INPUT(덕도방향-시점)"/>
      <sheetName val="진주방향"/>
      <sheetName val="보온자재단가표"/>
      <sheetName val="조경"/>
      <sheetName val="Front"/>
      <sheetName val="wall"/>
      <sheetName val="DESCRIPTION"/>
      <sheetName val="공사개요설명서"/>
      <sheetName val="근고 블록 유형별 수량"/>
      <sheetName val="간접재료비산출표-27-30"/>
      <sheetName val="숙소"/>
      <sheetName val="간접경상비"/>
      <sheetName val="공종별 집계"/>
      <sheetName val="UR2-Calculation"/>
      <sheetName val="마산월령동골조물량변경"/>
      <sheetName val="당진생산팀"/>
      <sheetName val="대차대조표"/>
      <sheetName val="3본사"/>
      <sheetName val="소운반"/>
      <sheetName val="조도계산서 (도서)"/>
      <sheetName val="INPUT"/>
      <sheetName val="영업소실적"/>
      <sheetName val="eq_data"/>
      <sheetName val="횡날개수집"/>
      <sheetName val="건축공사"/>
      <sheetName val="Macro(전선)"/>
      <sheetName val="Sheet1 (2)"/>
      <sheetName val="삼성전기"/>
      <sheetName val="날개벽수량표"/>
      <sheetName val="MCC제원"/>
      <sheetName val="c_balju"/>
      <sheetName val="내역(전체)"/>
      <sheetName val="#34 CIVL_Original"/>
      <sheetName val="TOEC"/>
      <sheetName val="INDIRECT"/>
      <sheetName val="calculation-1"/>
      <sheetName val="guard(mac)"/>
      <sheetName val="상가지급현황"/>
      <sheetName val="토적1"/>
      <sheetName val="실행"/>
      <sheetName val="design_criteria"/>
      <sheetName val="working_load_at_the_btm_ft_"/>
      <sheetName val="plan&amp;section_of_foundation"/>
      <sheetName val="member_design"/>
      <sheetName val="1_설계조건"/>
      <sheetName val="6_OUTPUT"/>
      <sheetName val="설_계"/>
      <sheetName val="영업_일"/>
      <sheetName val="1_우편집중내역서"/>
      <sheetName val="BSD_(2)"/>
      <sheetName val="ITB_COST"/>
      <sheetName val="Customer_Databas"/>
      <sheetName val="2000_05"/>
      <sheetName val="2_대외공문"/>
      <sheetName val="BSD__2_"/>
      <sheetName val="유림골조"/>
      <sheetName val="4)유동표"/>
      <sheetName val="총괄표"/>
      <sheetName val="교각계산"/>
      <sheetName val="맨홀수량산출"/>
      <sheetName val="가감수량"/>
      <sheetName val="설비원가"/>
      <sheetName val="바닥판"/>
      <sheetName val="입력DATA"/>
      <sheetName val="5사남"/>
      <sheetName val="토사(PE)"/>
      <sheetName val="내역서2안"/>
      <sheetName val="F4-F7"/>
      <sheetName val="중기사용료"/>
      <sheetName val="가시설단위수량"/>
      <sheetName val="한강운반비"/>
      <sheetName val="전기공사"/>
      <sheetName val="combi(wall)"/>
      <sheetName val="건축공사 집계표"/>
      <sheetName val="골조"/>
      <sheetName val="Ext. Stone-P"/>
      <sheetName val="수목데이타 "/>
      <sheetName val="MAT_N048"/>
      <sheetName val="6-2차"/>
      <sheetName val="경비_원본"/>
      <sheetName val="노무단가"/>
      <sheetName val="123"/>
      <sheetName val="내역서 "/>
      <sheetName val="TABLE"/>
      <sheetName val="KMT물량"/>
      <sheetName val="단면치수"/>
      <sheetName val="일위대가표(DEEP)"/>
      <sheetName val="2F 회의실견적(5_14 일대)"/>
      <sheetName val="페이징 배관배선"/>
      <sheetName val="기기리스트"/>
      <sheetName val="SG"/>
      <sheetName val="부표총괄"/>
      <sheetName val="품셈1-17"/>
      <sheetName val="토목"/>
      <sheetName val="8.PILE  (돌출)"/>
      <sheetName val="입력값"/>
      <sheetName val="간선계산"/>
      <sheetName val="갑지"/>
      <sheetName val="sheets"/>
      <sheetName val="오억미만"/>
      <sheetName val="금액내역서"/>
      <sheetName val="노임"/>
      <sheetName val="배수공 시멘트 및 골재량 산출"/>
      <sheetName val="NS"/>
      <sheetName val="1근거"/>
      <sheetName val="계산근거"/>
      <sheetName val="차수"/>
      <sheetName val="OD"/>
      <sheetName val="수량산출서 갑지"/>
      <sheetName val="설계내역서"/>
      <sheetName val="통계연보"/>
      <sheetName val="직접기초설계"/>
      <sheetName val="자재단가"/>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수량명세서"/>
      <sheetName val="변화치수"/>
      <sheetName val="방송(체육관)"/>
      <sheetName val="설계서"/>
      <sheetName val="9811"/>
      <sheetName val="9509"/>
      <sheetName val="대전21토목내역서"/>
      <sheetName val="과거교육훈련비"/>
      <sheetName val="3BL공동구 수량"/>
      <sheetName val="간접비"/>
      <sheetName val="예가표"/>
      <sheetName val="Breakdown"/>
      <sheetName val="변경비교-을"/>
      <sheetName val="예산내역서"/>
      <sheetName val="설계예산서"/>
      <sheetName val="총계"/>
      <sheetName val="수문일1"/>
      <sheetName val="역T형"/>
      <sheetName val="SLAB근거-1"/>
      <sheetName val="3.공통공사대비"/>
      <sheetName val="예산서"/>
      <sheetName val="AABS내역"/>
      <sheetName val="CAT_5"/>
      <sheetName val="SIL98"/>
      <sheetName val="수로교총재료집계"/>
      <sheetName val="중기(목록)"/>
      <sheetName val="일위대가(목록)"/>
      <sheetName val="산근(목록)"/>
      <sheetName val="노무비"/>
      <sheetName val="재료비"/>
      <sheetName val="경비"/>
      <sheetName val="일위대가표 (2)"/>
      <sheetName val="TYPE-A"/>
      <sheetName val="본장"/>
      <sheetName val="일집"/>
      <sheetName val="일위"/>
      <sheetName val="원형1호맨홀토공수량"/>
      <sheetName val="Sheet14"/>
      <sheetName val="Sheet13"/>
      <sheetName val="T13(P68~72,78)"/>
      <sheetName val="금액집계"/>
      <sheetName val="총집계표"/>
      <sheetName val="시설물"/>
      <sheetName val="2000년 임금추정"/>
      <sheetName val="실행내역"/>
      <sheetName val="좌측"/>
      <sheetName val="PO-BOQ"/>
      <sheetName val="설계개요"/>
      <sheetName val="토공정보"/>
      <sheetName val="기성내역서"/>
      <sheetName val="수량 산출서(당초)"/>
      <sheetName val="플랜트 설치"/>
      <sheetName val="96까지"/>
      <sheetName val="97년"/>
      <sheetName val="98이후"/>
      <sheetName val="1"/>
      <sheetName val="부대공자재집계표"/>
      <sheetName val="unitpric"/>
      <sheetName val="일위_파일"/>
      <sheetName val="여과지동"/>
      <sheetName val="수목표준대가"/>
      <sheetName val="손익분석"/>
      <sheetName val="soil_bearing_check"/>
      <sheetName val="노원열병합__건축공사기성내역서"/>
      <sheetName val="실정보고내역서"/>
      <sheetName val="GAEYO"/>
      <sheetName val="별표집계"/>
      <sheetName val="정읍농소"/>
      <sheetName val="지주목시비량산출서"/>
      <sheetName val="입력"/>
      <sheetName val="빈"/>
      <sheetName val="기초목"/>
      <sheetName val="비용"/>
      <sheetName val="1월"/>
      <sheetName val="VXXXXXXX"/>
      <sheetName val="#3E1_GCR"/>
      <sheetName val="구분자"/>
      <sheetName val="dtxl"/>
      <sheetName val="서울산업대(토)"/>
      <sheetName val="설계예시"/>
      <sheetName val="물량표S"/>
      <sheetName val="자료"/>
      <sheetName val="대림경상68억"/>
      <sheetName val="저판(버림100)"/>
      <sheetName val="REINF."/>
      <sheetName val="CHECK1"/>
      <sheetName val="약품설비"/>
      <sheetName val="기본입력표"/>
      <sheetName val="2000전체분"/>
      <sheetName val="APT내역"/>
      <sheetName val="도대하도변경최종정산조경"/>
      <sheetName val="원가계산서구조조정"/>
      <sheetName val="VOR"/>
      <sheetName val="당진1,2호기전선관설치및접지4차공사내역서-을지"/>
      <sheetName val="노임,재료비"/>
      <sheetName val="교통시설 표지판"/>
      <sheetName val="가로등내역서"/>
      <sheetName val="초기화면"/>
      <sheetName val="이름정의"/>
      <sheetName val="원가계산서(건축)"/>
      <sheetName val="36+45-113-18+19+20I"/>
      <sheetName val="측구터파기공수량집계"/>
      <sheetName val="구조물터파기수량집계"/>
      <sheetName val="외자배분"/>
      <sheetName val="가공비"/>
      <sheetName val="준공평가"/>
      <sheetName val="LinerWt"/>
      <sheetName val="설산1.나"/>
      <sheetName val="본사S"/>
      <sheetName val="3.하중산정4.지지력"/>
      <sheetName val="신규일위대가"/>
      <sheetName val="적용기준"/>
      <sheetName val="환률"/>
      <sheetName val="FOB발"/>
      <sheetName val="물량"/>
      <sheetName val="건축집계표"/>
      <sheetName val="당초"/>
      <sheetName val="접속슬래브"/>
      <sheetName val="기계내역서"/>
      <sheetName val="EE-PROP"/>
      <sheetName val="FIRE FIGHTING"/>
      <sheetName val="단중표"/>
      <sheetName val="BEND LOSS"/>
      <sheetName val="45,46"/>
      <sheetName val="원형맨홀수량"/>
      <sheetName val="일위대가목록"/>
      <sheetName val="총 원가계산"/>
      <sheetName val="보통예금"/>
      <sheetName val="냉천부속동"/>
      <sheetName val="회사기본자료"/>
      <sheetName val="LOADS"/>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6PILE__(돌출)"/>
      <sheetName val="Budget_2004(DW)"/>
      <sheetName val="I_설계조건"/>
      <sheetName val="단면_(2)"/>
      <sheetName val="대대터널_설계서"/>
      <sheetName val="VENDOR_LIST"/>
      <sheetName val="견적가_검토"/>
      <sheetName val="PROJECT_BRIEF(EX_NEW)"/>
      <sheetName val="접속_SLAB,BRACKET_설계"/>
      <sheetName val="_견적서"/>
      <sheetName val="토공(우물통,기타) "/>
      <sheetName val="2.하자처리현황(CS)"/>
      <sheetName val="기성2"/>
      <sheetName val="주식"/>
      <sheetName val="예정공정표(도급)"/>
      <sheetName val="과천MAIN"/>
      <sheetName val="견적3"/>
      <sheetName val="매크로"/>
      <sheetName val="흄관기초"/>
      <sheetName val="외주가공"/>
      <sheetName val="취수탑"/>
      <sheetName val="재료집계"/>
      <sheetName val="횡배수관토공수량"/>
      <sheetName val="Galaxy 소비자가격표"/>
      <sheetName val="CON포장수량"/>
      <sheetName val="ACUNIT"/>
      <sheetName val="CONUNIT"/>
      <sheetName val="토적계산"/>
      <sheetName val="목차"/>
      <sheetName val="CAUDIT"/>
      <sheetName val="내역을"/>
      <sheetName val="일위대가(1)"/>
      <sheetName val="내역서(당초변경)"/>
      <sheetName val="구성비"/>
      <sheetName val="960318-1"/>
      <sheetName val="산출내역서"/>
      <sheetName val="갑지(비계타입)"/>
      <sheetName val="토공집계"/>
      <sheetName val="주관사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S BOQ"/>
      <sheetName val="DATABASE"/>
      <sheetName val="Sheet1"/>
    </sheetNames>
    <sheetDataSet>
      <sheetData sheetId="0" refreshError="1"/>
      <sheetData sheetId="1">
        <row r="3">
          <cell r="A3" t="str">
            <v>ONYX NFS2-3030 Fire Alarm Control Panel</v>
          </cell>
        </row>
        <row r="4">
          <cell r="A4" t="str">
            <v>AMPS-24</v>
          </cell>
        </row>
        <row r="5">
          <cell r="A5" t="str">
            <v>AMPS-24E</v>
          </cell>
        </row>
        <row r="6">
          <cell r="A6" t="str">
            <v>CHS-M3</v>
          </cell>
        </row>
        <row r="7">
          <cell r="A7" t="str">
            <v>CPU2-3030D</v>
          </cell>
        </row>
        <row r="8">
          <cell r="A8" t="str">
            <v>CPU2-3030ND</v>
          </cell>
        </row>
        <row r="9">
          <cell r="A9" t="str">
            <v>DP-DISP</v>
          </cell>
        </row>
        <row r="10">
          <cell r="A10" t="str">
            <v>LCM-320</v>
          </cell>
        </row>
        <row r="11">
          <cell r="A11" t="str">
            <v>LEM-320</v>
          </cell>
        </row>
        <row r="12">
          <cell r="A12" t="str">
            <v>ONYX NFS2-640 Fire Alarm Control Panel</v>
          </cell>
        </row>
        <row r="13">
          <cell r="A13" t="str">
            <v>CHS-M2</v>
          </cell>
        </row>
        <row r="14">
          <cell r="A14" t="str">
            <v>CPU2-640</v>
          </cell>
        </row>
        <row r="15">
          <cell r="A15" t="str">
            <v>CPU2-640E</v>
          </cell>
        </row>
        <row r="16">
          <cell r="A16" t="str">
            <v>DP-DISP2</v>
          </cell>
        </row>
        <row r="17">
          <cell r="A17" t="str">
            <v>KDM-R2</v>
          </cell>
        </row>
        <row r="18">
          <cell r="A18" t="str">
            <v>NFS-320 Analog Fire Panel and Accessories</v>
          </cell>
        </row>
        <row r="19">
          <cell r="A19" t="str">
            <v>NFS-320</v>
          </cell>
        </row>
        <row r="20">
          <cell r="A20" t="str">
            <v>NFS-320E</v>
          </cell>
        </row>
        <row r="21">
          <cell r="A21" t="str">
            <v>NFS-320R</v>
          </cell>
        </row>
        <row r="22">
          <cell r="A22" t="str">
            <v>Network Control Annunciators</v>
          </cell>
        </row>
        <row r="23">
          <cell r="A23" t="str">
            <v>NCA</v>
          </cell>
        </row>
        <row r="24">
          <cell r="A24" t="str">
            <v>NCA-2</v>
          </cell>
        </row>
        <row r="25">
          <cell r="A25" t="str">
            <v>NCA-2RETRO</v>
          </cell>
        </row>
        <row r="26">
          <cell r="A26" t="str">
            <v>NCA/640-2-KIT</v>
          </cell>
        </row>
        <row r="27">
          <cell r="A27" t="str">
            <v>Intelligent Panel Programming Utilities</v>
          </cell>
        </row>
        <row r="28">
          <cell r="A28" t="str">
            <v>VERIFIRE-CD</v>
          </cell>
        </row>
        <row r="29">
          <cell r="A29" t="str">
            <v>VERIFIRE-CDUG</v>
          </cell>
        </row>
        <row r="30">
          <cell r="A30" t="str">
            <v>VERIFIRE-HK</v>
          </cell>
        </row>
        <row r="31">
          <cell r="A31" t="str">
            <v>VERIFIRE-TCD</v>
          </cell>
        </row>
        <row r="32">
          <cell r="A32" t="str">
            <v>VERIFIREUG-1020</v>
          </cell>
        </row>
        <row r="33">
          <cell r="A33" t="str">
            <v>VERIFIREUG-TCD</v>
          </cell>
        </row>
        <row r="34">
          <cell r="A34" t="str">
            <v>FIRSTVISION - Fire Fighters Display</v>
          </cell>
        </row>
        <row r="35">
          <cell r="A35" t="str">
            <v>FIRSTVISION-ENC</v>
          </cell>
        </row>
        <row r="36">
          <cell r="A36" t="str">
            <v>FIRSTVISION-LCD</v>
          </cell>
        </row>
        <row r="37">
          <cell r="A37" t="str">
            <v>FlashScan Addressable Devices</v>
          </cell>
        </row>
        <row r="38">
          <cell r="A38" t="str">
            <v>B200S</v>
          </cell>
        </row>
        <row r="39">
          <cell r="A39" t="str">
            <v>B200SR</v>
          </cell>
        </row>
        <row r="40">
          <cell r="A40" t="str">
            <v>B224BI</v>
          </cell>
        </row>
        <row r="41">
          <cell r="A41" t="str">
            <v>B224RB</v>
          </cell>
        </row>
        <row r="42">
          <cell r="A42" t="str">
            <v>B501</v>
          </cell>
        </row>
        <row r="43">
          <cell r="A43" t="str">
            <v>B501BP</v>
          </cell>
        </row>
        <row r="44">
          <cell r="A44" t="str">
            <v>DNR</v>
          </cell>
        </row>
        <row r="45">
          <cell r="A45" t="str">
            <v>DST1</v>
          </cell>
        </row>
        <row r="46">
          <cell r="A46" t="str">
            <v>DST1.5</v>
          </cell>
        </row>
        <row r="47">
          <cell r="A47" t="str">
            <v>DST10</v>
          </cell>
        </row>
        <row r="48">
          <cell r="A48" t="str">
            <v>DST3</v>
          </cell>
        </row>
        <row r="49">
          <cell r="A49" t="str">
            <v>DST5</v>
          </cell>
        </row>
        <row r="50">
          <cell r="A50" t="str">
            <v>FAPT-851</v>
          </cell>
        </row>
        <row r="51">
          <cell r="A51" t="str">
            <v>FCM-1</v>
          </cell>
        </row>
        <row r="52">
          <cell r="A52" t="str">
            <v>FCM-1-REL</v>
          </cell>
        </row>
        <row r="53">
          <cell r="A53" t="str">
            <v>FDM-1</v>
          </cell>
        </row>
        <row r="54">
          <cell r="A54" t="str">
            <v>FMM-1</v>
          </cell>
        </row>
        <row r="55">
          <cell r="A55" t="str">
            <v>FMM-101</v>
          </cell>
        </row>
        <row r="56">
          <cell r="A56" t="str">
            <v>FMM-4-20</v>
          </cell>
        </row>
        <row r="57">
          <cell r="A57" t="str">
            <v>FRM-1</v>
          </cell>
        </row>
        <row r="58">
          <cell r="A58" t="str">
            <v>FSB-200</v>
          </cell>
        </row>
        <row r="59">
          <cell r="A59" t="str">
            <v>FSB-200S</v>
          </cell>
        </row>
        <row r="60">
          <cell r="A60" t="str">
            <v>FSC-851</v>
          </cell>
        </row>
        <row r="61">
          <cell r="A61" t="str">
            <v>FSI-851</v>
          </cell>
        </row>
        <row r="62">
          <cell r="A62" t="str">
            <v>FSL-751</v>
          </cell>
        </row>
        <row r="63">
          <cell r="A63" t="str">
            <v>FSP-851</v>
          </cell>
        </row>
        <row r="64">
          <cell r="A64" t="str">
            <v>FSP-851R</v>
          </cell>
        </row>
        <row r="65">
          <cell r="A65" t="str">
            <v>FSP-851T</v>
          </cell>
        </row>
        <row r="66">
          <cell r="A66" t="str">
            <v>FST-851</v>
          </cell>
        </row>
        <row r="67">
          <cell r="A67" t="str">
            <v>FST-851H</v>
          </cell>
        </row>
        <row r="68">
          <cell r="A68" t="str">
            <v>FST-851R</v>
          </cell>
        </row>
        <row r="69">
          <cell r="A69" t="str">
            <v>FTM-1</v>
          </cell>
        </row>
        <row r="70">
          <cell r="A70" t="str">
            <v>FZM-1</v>
          </cell>
        </row>
        <row r="71">
          <cell r="A71" t="str">
            <v>ISO-X</v>
          </cell>
        </row>
        <row r="72">
          <cell r="A72" t="str">
            <v>LPX-751L</v>
          </cell>
        </row>
        <row r="73">
          <cell r="A73" t="str">
            <v>NBG-12LX</v>
          </cell>
        </row>
        <row r="74">
          <cell r="A74" t="str">
            <v>NBG-12LXBL</v>
          </cell>
        </row>
        <row r="75">
          <cell r="A75" t="str">
            <v>NBG-12LXP</v>
          </cell>
        </row>
        <row r="76">
          <cell r="A76" t="str">
            <v>RTS151</v>
          </cell>
        </row>
        <row r="77">
          <cell r="A77" t="str">
            <v>RTS151KEY</v>
          </cell>
        </row>
        <row r="78">
          <cell r="A78" t="str">
            <v>SMB500</v>
          </cell>
        </row>
        <row r="79">
          <cell r="A79" t="str">
            <v>XP10-M</v>
          </cell>
        </row>
        <row r="80">
          <cell r="A80" t="str">
            <v>XP6-C</v>
          </cell>
        </row>
        <row r="81">
          <cell r="A81" t="str">
            <v>XP6-MA</v>
          </cell>
        </row>
        <row r="82">
          <cell r="A82" t="str">
            <v>XP6-R</v>
          </cell>
        </row>
        <row r="83">
          <cell r="A83" t="str">
            <v>FCO-851</v>
          </cell>
        </row>
        <row r="85">
          <cell r="A85" t="str">
            <v>B501-IN</v>
          </cell>
        </row>
        <row r="86">
          <cell r="A86" t="str">
            <v>FAPT-851-IN</v>
          </cell>
        </row>
        <row r="87">
          <cell r="A87" t="str">
            <v>FCM-1-IN</v>
          </cell>
        </row>
        <row r="88">
          <cell r="A88" t="str">
            <v>FMM-1-IN</v>
          </cell>
        </row>
        <row r="89">
          <cell r="A89" t="str">
            <v>FRM-1-IN</v>
          </cell>
        </row>
        <row r="90">
          <cell r="A90" t="str">
            <v>FSP-851-IN</v>
          </cell>
        </row>
        <row r="91">
          <cell r="A91" t="str">
            <v>FSP-851T-IN</v>
          </cell>
        </row>
        <row r="92">
          <cell r="A92" t="str">
            <v>FST-851-IN</v>
          </cell>
        </row>
        <row r="93">
          <cell r="A93" t="str">
            <v>FST-851H-IN</v>
          </cell>
        </row>
        <row r="95">
          <cell r="A95" t="str">
            <v>FZM-1-IN</v>
          </cell>
        </row>
        <row r="96">
          <cell r="A96" t="str">
            <v>ISO-X-IN</v>
          </cell>
        </row>
        <row r="97">
          <cell r="A97" t="str">
            <v>FireWarden Addressable Fire Panels</v>
          </cell>
        </row>
        <row r="98">
          <cell r="A98" t="str">
            <v>NFW-50</v>
          </cell>
        </row>
        <row r="99">
          <cell r="A99" t="str">
            <v>NFW-50R</v>
          </cell>
        </row>
        <row r="100">
          <cell r="A100" t="str">
            <v>NFW2-100</v>
          </cell>
        </row>
        <row r="101">
          <cell r="A101" t="str">
            <v>NFW2-100E</v>
          </cell>
        </row>
        <row r="102">
          <cell r="A102" t="str">
            <v>NFW2-100R</v>
          </cell>
        </row>
        <row r="103">
          <cell r="A103" t="str">
            <v>FireWarden Accessories</v>
          </cell>
        </row>
        <row r="104">
          <cell r="A104" t="str">
            <v>ANN-MBRLY</v>
          </cell>
        </row>
        <row r="105">
          <cell r="A105" t="str">
            <v>DP-51050B</v>
          </cell>
        </row>
        <row r="106">
          <cell r="A106" t="str">
            <v>DP-9692B</v>
          </cell>
        </row>
        <row r="107">
          <cell r="A107" t="str">
            <v>N-ANN-80</v>
          </cell>
        </row>
        <row r="108">
          <cell r="A108" t="str">
            <v>N-ANN-80-W</v>
          </cell>
        </row>
        <row r="109">
          <cell r="A109" t="str">
            <v>N-ANN-I/O</v>
          </cell>
        </row>
        <row r="110">
          <cell r="A110" t="str">
            <v>N-ANN-LED</v>
          </cell>
        </row>
        <row r="111">
          <cell r="A111" t="str">
            <v>N-ANN-LED-R</v>
          </cell>
        </row>
        <row r="112">
          <cell r="A112" t="str">
            <v>N-ANN-LED-W</v>
          </cell>
        </row>
        <row r="113">
          <cell r="A113" t="str">
            <v>N-ANN-RLED</v>
          </cell>
        </row>
        <row r="114">
          <cell r="A114" t="str">
            <v>N-ANN-RLED-R</v>
          </cell>
        </row>
        <row r="115">
          <cell r="A115" t="str">
            <v>N-ANN-RLED-W</v>
          </cell>
        </row>
        <row r="116">
          <cell r="A116" t="str">
            <v>N-ANN-RLY</v>
          </cell>
        </row>
        <row r="117">
          <cell r="A117" t="str">
            <v>N-ANN-S/PG</v>
          </cell>
        </row>
        <row r="118">
          <cell r="A118" t="str">
            <v>N-FPJ</v>
          </cell>
        </row>
        <row r="119">
          <cell r="A119" t="str">
            <v>NFW-50RB</v>
          </cell>
        </row>
        <row r="120">
          <cell r="A120" t="str">
            <v>NFW-TR</v>
          </cell>
        </row>
        <row r="121">
          <cell r="A121" t="str">
            <v>PRT/PK-CABLE</v>
          </cell>
        </row>
        <row r="122">
          <cell r="A122" t="str">
            <v>TR-CE</v>
          </cell>
        </row>
        <row r="123">
          <cell r="A123" t="str">
            <v>TR-CE-B</v>
          </cell>
        </row>
        <row r="124">
          <cell r="A124" t="str">
            <v>VFWARDEN-CD</v>
          </cell>
        </row>
        <row r="125">
          <cell r="A125" t="str">
            <v>FireWarden Devices</v>
          </cell>
        </row>
        <row r="126">
          <cell r="A126" t="str">
            <v>N100-ISO</v>
          </cell>
        </row>
        <row r="127">
          <cell r="A127" t="str">
            <v>NC-100</v>
          </cell>
        </row>
        <row r="128">
          <cell r="A128" t="str">
            <v>NC-100R</v>
          </cell>
        </row>
        <row r="129">
          <cell r="A129" t="str">
            <v>NDM-100</v>
          </cell>
        </row>
        <row r="130">
          <cell r="A130" t="str">
            <v>NH-100</v>
          </cell>
        </row>
        <row r="131">
          <cell r="A131" t="str">
            <v>NH-100R</v>
          </cell>
        </row>
        <row r="132">
          <cell r="A132" t="str">
            <v>NI-100</v>
          </cell>
        </row>
        <row r="133">
          <cell r="A133" t="str">
            <v>NMM-100</v>
          </cell>
        </row>
        <row r="134">
          <cell r="A134" t="str">
            <v>NMM-100P</v>
          </cell>
        </row>
        <row r="135">
          <cell r="A135" t="str">
            <v>NOT-BG12LX</v>
          </cell>
        </row>
        <row r="136">
          <cell r="A136" t="str">
            <v>NP-100</v>
          </cell>
        </row>
        <row r="137">
          <cell r="A137" t="str">
            <v>NP-100T</v>
          </cell>
        </row>
        <row r="138">
          <cell r="A138" t="str">
            <v>NZM-100</v>
          </cell>
        </row>
        <row r="139">
          <cell r="A139" t="str">
            <v>NZM-100-6</v>
          </cell>
        </row>
        <row r="141">
          <cell r="A141" t="str">
            <v>SFP-2402</v>
          </cell>
        </row>
        <row r="142">
          <cell r="A142" t="str">
            <v>SFP-2402E</v>
          </cell>
        </row>
        <row r="143">
          <cell r="A143" t="str">
            <v>SFP-2404</v>
          </cell>
        </row>
        <row r="144">
          <cell r="A144" t="str">
            <v>SFP-2404E</v>
          </cell>
        </row>
        <row r="146">
          <cell r="A146" t="str">
            <v>4XLM</v>
          </cell>
        </row>
        <row r="147">
          <cell r="A147" t="str">
            <v>4XTM</v>
          </cell>
        </row>
        <row r="148">
          <cell r="A148" t="str">
            <v>4XZM</v>
          </cell>
        </row>
        <row r="149">
          <cell r="A149" t="str">
            <v>CAC-4</v>
          </cell>
        </row>
        <row r="150">
          <cell r="A150" t="str">
            <v>DP-3-B</v>
          </cell>
        </row>
        <row r="151">
          <cell r="A151" t="str">
            <v>RZA-4X</v>
          </cell>
        </row>
        <row r="152">
          <cell r="A152" t="str">
            <v>TR-1-B</v>
          </cell>
        </row>
        <row r="153">
          <cell r="A153" t="str">
            <v>XRM-24</v>
          </cell>
        </row>
        <row r="154">
          <cell r="A154" t="str">
            <v>SFP-5UD 5 Zone Control Panels</v>
          </cell>
        </row>
        <row r="155">
          <cell r="A155" t="str">
            <v>SFP-5UD</v>
          </cell>
        </row>
        <row r="156">
          <cell r="A156" t="str">
            <v>SFP-5UDE</v>
          </cell>
        </row>
        <row r="157">
          <cell r="A157" t="str">
            <v>SFP-5UDR</v>
          </cell>
        </row>
        <row r="159">
          <cell r="A159" t="str">
            <v>SFP-10UD</v>
          </cell>
        </row>
        <row r="160">
          <cell r="A160" t="str">
            <v>SFP-10UDE</v>
          </cell>
        </row>
        <row r="161">
          <cell r="A161" t="str">
            <v>SFP-10UDR</v>
          </cell>
        </row>
        <row r="162">
          <cell r="A162" t="str">
            <v>5 &amp; 10 Zone Control Panel Accessories</v>
          </cell>
        </row>
        <row r="163">
          <cell r="A163" t="str">
            <v>BB-26</v>
          </cell>
        </row>
        <row r="164">
          <cell r="A164" t="str">
            <v>DP-51050</v>
          </cell>
        </row>
        <row r="165">
          <cell r="A165" t="str">
            <v>N-CAC-5X</v>
          </cell>
        </row>
        <row r="167">
          <cell r="A167" t="str">
            <v>RP-2001</v>
          </cell>
        </row>
        <row r="168">
          <cell r="A168" t="str">
            <v>RP-2001E</v>
          </cell>
        </row>
        <row r="169">
          <cell r="A169" t="str">
            <v>RP-2002</v>
          </cell>
        </row>
        <row r="170">
          <cell r="A170" t="str">
            <v>RP-2002E</v>
          </cell>
        </row>
        <row r="171">
          <cell r="A171" t="str">
            <v>411 Series Slave Digital Communicator</v>
          </cell>
        </row>
        <row r="172">
          <cell r="A172">
            <v>411</v>
          </cell>
        </row>
        <row r="173">
          <cell r="A173" t="str">
            <v>411RK</v>
          </cell>
        </row>
        <row r="174">
          <cell r="A174" t="str">
            <v>411UD</v>
          </cell>
        </row>
        <row r="175">
          <cell r="A175" t="str">
            <v>411UDAC</v>
          </cell>
        </row>
        <row r="176">
          <cell r="A176" t="str">
            <v>MCBL-7</v>
          </cell>
        </row>
        <row r="177">
          <cell r="A177" t="str">
            <v>PRO-411</v>
          </cell>
        </row>
        <row r="178">
          <cell r="A178" t="str">
            <v>NBG-12 Series Pull Stations</v>
          </cell>
        </row>
        <row r="179">
          <cell r="A179" t="str">
            <v>NBG-12</v>
          </cell>
        </row>
        <row r="180">
          <cell r="A180" t="str">
            <v>NBG-12L</v>
          </cell>
        </row>
        <row r="181">
          <cell r="A181" t="str">
            <v>NBG-12LA</v>
          </cell>
        </row>
        <row r="182">
          <cell r="A182" t="str">
            <v>NBG-12LO</v>
          </cell>
        </row>
        <row r="183">
          <cell r="A183" t="str">
            <v>NBG-12LOB</v>
          </cell>
        </row>
        <row r="184">
          <cell r="A184" t="str">
            <v>NBG-12LPS</v>
          </cell>
        </row>
        <row r="185">
          <cell r="A185" t="str">
            <v>NBG-12LR</v>
          </cell>
        </row>
        <row r="186">
          <cell r="A186" t="str">
            <v>NBG-12LRA</v>
          </cell>
        </row>
        <row r="187">
          <cell r="A187" t="str">
            <v>NBG-12S</v>
          </cell>
        </row>
        <row r="188">
          <cell r="A188" t="str">
            <v>System Power Supplies and Chargers</v>
          </cell>
        </row>
        <row r="189">
          <cell r="A189" t="str">
            <v>APS2-6R</v>
          </cell>
        </row>
        <row r="190">
          <cell r="A190" t="str">
            <v>APS2-6RE</v>
          </cell>
        </row>
        <row r="191">
          <cell r="A191" t="str">
            <v>CHG-120</v>
          </cell>
        </row>
        <row r="192">
          <cell r="A192" t="str">
            <v>CHG-75</v>
          </cell>
        </row>
        <row r="193">
          <cell r="A193" t="str">
            <v>MPM-2</v>
          </cell>
        </row>
        <row r="194">
          <cell r="A194" t="str">
            <v>MPS-24A</v>
          </cell>
        </row>
        <row r="195">
          <cell r="A195" t="str">
            <v>MPS-24AE</v>
          </cell>
        </row>
        <row r="196">
          <cell r="A196" t="str">
            <v>MPS-TR</v>
          </cell>
        </row>
        <row r="197">
          <cell r="A197" t="str">
            <v>Remote Power Supplies with built in charger</v>
          </cell>
        </row>
        <row r="198">
          <cell r="A198" t="str">
            <v>ACPS-610</v>
          </cell>
        </row>
        <row r="199">
          <cell r="A199" t="str">
            <v>ACPS-610E</v>
          </cell>
        </row>
        <row r="200">
          <cell r="A200" t="str">
            <v>CAB-PS1</v>
          </cell>
        </row>
        <row r="201">
          <cell r="A201" t="str">
            <v>DR-PS1</v>
          </cell>
        </row>
        <row r="202">
          <cell r="A202" t="str">
            <v>FCPS-24S6</v>
          </cell>
        </row>
        <row r="203">
          <cell r="A203" t="str">
            <v>FCPS-24S6E</v>
          </cell>
        </row>
        <row r="204">
          <cell r="A204" t="str">
            <v>FCPS-24S6R</v>
          </cell>
        </row>
        <row r="205">
          <cell r="A205" t="str">
            <v>FCPS-24S8</v>
          </cell>
        </row>
        <row r="206">
          <cell r="A206" t="str">
            <v>FCPS-24S8E</v>
          </cell>
        </row>
        <row r="207">
          <cell r="A207" t="str">
            <v>FCPS-24S8R</v>
          </cell>
        </row>
        <row r="208">
          <cell r="A208" t="str">
            <v>MPM-4</v>
          </cell>
        </row>
        <row r="209">
          <cell r="A209" t="str">
            <v>ZNAC-4</v>
          </cell>
        </row>
        <row r="210">
          <cell r="A210" t="str">
            <v>Fire Power Supplies</v>
          </cell>
        </row>
        <row r="211">
          <cell r="A211" t="str">
            <v>HPF24S6</v>
          </cell>
        </row>
        <row r="212">
          <cell r="A212" t="str">
            <v>HPF24S6E</v>
          </cell>
        </row>
        <row r="213">
          <cell r="A213" t="str">
            <v>HPF24S8</v>
          </cell>
        </row>
        <row r="214">
          <cell r="A214" t="str">
            <v>HPF24S8E</v>
          </cell>
        </row>
        <row r="215">
          <cell r="A215" t="str">
            <v>HPF602ULADA</v>
          </cell>
        </row>
        <row r="216">
          <cell r="A216" t="str">
            <v>HPF902ULADA</v>
          </cell>
        </row>
        <row r="217">
          <cell r="A217" t="str">
            <v>HPP31076</v>
          </cell>
        </row>
        <row r="218">
          <cell r="A218" t="str">
            <v>ONYX CAB-4 Series Cabinets</v>
          </cell>
        </row>
        <row r="219">
          <cell r="A219" t="str">
            <v>ADP-4B</v>
          </cell>
        </row>
        <row r="220">
          <cell r="A220" t="str">
            <v>BB-XP</v>
          </cell>
        </row>
        <row r="221">
          <cell r="A221" t="str">
            <v>BM-1B</v>
          </cell>
        </row>
        <row r="222">
          <cell r="A222" t="str">
            <v>BMP-1</v>
          </cell>
        </row>
        <row r="223">
          <cell r="A223" t="str">
            <v>BP2-4</v>
          </cell>
        </row>
        <row r="224">
          <cell r="A224" t="str">
            <v>CHS-4</v>
          </cell>
        </row>
        <row r="225">
          <cell r="A225" t="str">
            <v>CHS-4L</v>
          </cell>
        </row>
        <row r="226">
          <cell r="A226" t="str">
            <v>CHS-4MB</v>
          </cell>
        </row>
        <row r="227">
          <cell r="A227" t="str">
            <v>CHS-6</v>
          </cell>
        </row>
        <row r="228">
          <cell r="A228" t="str">
            <v>DP-1B</v>
          </cell>
        </row>
        <row r="229">
          <cell r="A229" t="str">
            <v>DR-A4</v>
          </cell>
        </row>
        <row r="230">
          <cell r="A230" t="str">
            <v>DR-A4B</v>
          </cell>
        </row>
        <row r="231">
          <cell r="A231" t="str">
            <v>DR-A4BR</v>
          </cell>
        </row>
        <row r="232">
          <cell r="A232" t="str">
            <v>DR-A4R</v>
          </cell>
        </row>
        <row r="233">
          <cell r="A233" t="str">
            <v>DR-AA4</v>
          </cell>
        </row>
        <row r="234">
          <cell r="A234" t="str">
            <v>DR-AA4B</v>
          </cell>
        </row>
        <row r="235">
          <cell r="A235" t="str">
            <v>DR-AA4R</v>
          </cell>
        </row>
        <row r="236">
          <cell r="A236" t="str">
            <v>DR-B4</v>
          </cell>
        </row>
        <row r="237">
          <cell r="A237" t="str">
            <v>DR-B4B</v>
          </cell>
        </row>
        <row r="238">
          <cell r="A238" t="str">
            <v>DR-B4BR</v>
          </cell>
        </row>
        <row r="239">
          <cell r="A239" t="str">
            <v>DR-B4R</v>
          </cell>
        </row>
        <row r="240">
          <cell r="A240" t="str">
            <v>DR-C4</v>
          </cell>
        </row>
        <row r="241">
          <cell r="A241" t="str">
            <v>DR-C4B</v>
          </cell>
        </row>
        <row r="242">
          <cell r="A242" t="str">
            <v>DR-C4BR</v>
          </cell>
        </row>
        <row r="243">
          <cell r="A243" t="str">
            <v>DR-C4R</v>
          </cell>
        </row>
        <row r="244">
          <cell r="A244" t="str">
            <v>DR-D4</v>
          </cell>
        </row>
        <row r="245">
          <cell r="A245" t="str">
            <v>DR-D4B</v>
          </cell>
        </row>
        <row r="246">
          <cell r="A246" t="str">
            <v>DR-D4BR</v>
          </cell>
        </row>
        <row r="247">
          <cell r="A247" t="str">
            <v>DR-D4R</v>
          </cell>
        </row>
        <row r="248">
          <cell r="A248" t="str">
            <v>MP-1B</v>
          </cell>
        </row>
        <row r="249">
          <cell r="A249" t="str">
            <v>SBB-A4</v>
          </cell>
        </row>
        <row r="250">
          <cell r="A250" t="str">
            <v>SBB-A4R</v>
          </cell>
        </row>
        <row r="251">
          <cell r="A251" t="str">
            <v>SBB-AA4</v>
          </cell>
        </row>
        <row r="252">
          <cell r="A252" t="str">
            <v>SBB-AA4R</v>
          </cell>
        </row>
        <row r="253">
          <cell r="A253" t="str">
            <v>SBB-B4</v>
          </cell>
        </row>
        <row r="254">
          <cell r="A254" t="str">
            <v>SBB-B4R</v>
          </cell>
        </row>
        <row r="255">
          <cell r="A255" t="str">
            <v>SBB-C4</v>
          </cell>
        </row>
        <row r="256">
          <cell r="A256" t="str">
            <v>SBB-C4R</v>
          </cell>
        </row>
        <row r="257">
          <cell r="A257" t="str">
            <v>SBB-D4</v>
          </cell>
        </row>
        <row r="258">
          <cell r="A258" t="str">
            <v>SBB-D4R</v>
          </cell>
        </row>
        <row r="259">
          <cell r="A259" t="str">
            <v>Trim Rings</v>
          </cell>
        </row>
        <row r="260">
          <cell r="A260" t="str">
            <v>TR-320</v>
          </cell>
        </row>
        <row r="261">
          <cell r="A261" t="str">
            <v>TR-A4</v>
          </cell>
        </row>
        <row r="262">
          <cell r="A262" t="str">
            <v>TR-AA4</v>
          </cell>
        </row>
        <row r="263">
          <cell r="A263" t="str">
            <v>TR-B4</v>
          </cell>
        </row>
        <row r="264">
          <cell r="A264" t="str">
            <v>TR-C4</v>
          </cell>
        </row>
        <row r="265">
          <cell r="A265" t="str">
            <v>TR-D4</v>
          </cell>
        </row>
        <row r="266">
          <cell r="A266" t="str">
            <v>Digital Voice Cabinet Doors</v>
          </cell>
        </row>
        <row r="267">
          <cell r="A267" t="str">
            <v>ADDR-B4</v>
          </cell>
        </row>
        <row r="268">
          <cell r="A268" t="str">
            <v>ADDR-B4R</v>
          </cell>
        </row>
        <row r="269">
          <cell r="A269" t="str">
            <v>ADDR-C4</v>
          </cell>
        </row>
        <row r="270">
          <cell r="A270" t="str">
            <v>ADDR-C4R</v>
          </cell>
        </row>
        <row r="271">
          <cell r="A271" t="str">
            <v>ADDR-D4</v>
          </cell>
        </row>
        <row r="272">
          <cell r="A272" t="str">
            <v>ADDR-D4R</v>
          </cell>
        </row>
        <row r="273">
          <cell r="A273" t="str">
            <v>ADP2-640</v>
          </cell>
        </row>
        <row r="274">
          <cell r="A274" t="str">
            <v>BP-CA2</v>
          </cell>
        </row>
        <row r="275">
          <cell r="A275" t="str">
            <v>CA-1</v>
          </cell>
        </row>
        <row r="276">
          <cell r="A276" t="str">
            <v>CA-2</v>
          </cell>
        </row>
        <row r="277">
          <cell r="A277" t="str">
            <v>CHS-BH1</v>
          </cell>
        </row>
        <row r="278">
          <cell r="A278" t="str">
            <v>DPA-1</v>
          </cell>
        </row>
        <row r="279">
          <cell r="A279" t="str">
            <v>DPA-1A4</v>
          </cell>
        </row>
        <row r="280">
          <cell r="A280" t="str">
            <v>DPA-2B</v>
          </cell>
        </row>
        <row r="281">
          <cell r="A281" t="str">
            <v>EQBB-B4</v>
          </cell>
        </row>
        <row r="282">
          <cell r="A282" t="str">
            <v>EQBB-C4</v>
          </cell>
        </row>
        <row r="283">
          <cell r="A283" t="str">
            <v>EQBB-D4</v>
          </cell>
        </row>
        <row r="284">
          <cell r="A284" t="str">
            <v>EQDR-B4</v>
          </cell>
        </row>
        <row r="285">
          <cell r="A285" t="str">
            <v>EQDR-C4</v>
          </cell>
        </row>
        <row r="286">
          <cell r="A286" t="str">
            <v>EQDR-D4</v>
          </cell>
        </row>
        <row r="288">
          <cell r="A288" t="str">
            <v>BB-100</v>
          </cell>
        </row>
        <row r="289">
          <cell r="A289" t="str">
            <v>BB-17</v>
          </cell>
        </row>
        <row r="290">
          <cell r="A290" t="str">
            <v>BB-200</v>
          </cell>
        </row>
        <row r="291">
          <cell r="A291" t="str">
            <v>BB-25</v>
          </cell>
        </row>
        <row r="292">
          <cell r="A292" t="str">
            <v>CB-1</v>
          </cell>
        </row>
        <row r="293">
          <cell r="A293" t="str">
            <v>CHS-BH</v>
          </cell>
        </row>
        <row r="294">
          <cell r="A294" t="str">
            <v>CHS-PS</v>
          </cell>
        </row>
        <row r="295">
          <cell r="A295" t="str">
            <v>NFS-LBB</v>
          </cell>
        </row>
        <row r="296">
          <cell r="A296" t="str">
            <v>NFS-LBBR</v>
          </cell>
        </row>
        <row r="297">
          <cell r="A297" t="str">
            <v>WC-2</v>
          </cell>
        </row>
        <row r="298">
          <cell r="A298" t="str">
            <v>Marine Approved Cabinets</v>
          </cell>
        </row>
        <row r="299">
          <cell r="A299" t="str">
            <v>CAB-AM</v>
          </cell>
        </row>
        <row r="300">
          <cell r="A300" t="str">
            <v>CAB-BM</v>
          </cell>
        </row>
        <row r="301">
          <cell r="A301" t="str">
            <v>PL-AM</v>
          </cell>
        </row>
        <row r="302">
          <cell r="A302" t="str">
            <v>PL-BM</v>
          </cell>
        </row>
        <row r="303">
          <cell r="A303" t="str">
            <v>Gel Cell Batteries - BAT Series</v>
          </cell>
        </row>
        <row r="304">
          <cell r="A304" t="str">
            <v>BAT-121000</v>
          </cell>
        </row>
        <row r="305">
          <cell r="A305" t="str">
            <v>BAT-12120-BP</v>
          </cell>
        </row>
        <row r="306">
          <cell r="A306" t="str">
            <v>BAT-12180-BP</v>
          </cell>
        </row>
        <row r="307">
          <cell r="A307" t="str">
            <v>BAT-12260-BP</v>
          </cell>
        </row>
        <row r="308">
          <cell r="A308" t="str">
            <v>BAT-1250-BP</v>
          </cell>
        </row>
        <row r="309">
          <cell r="A309" t="str">
            <v>BAT-12550</v>
          </cell>
        </row>
        <row r="310">
          <cell r="A310" t="str">
            <v>BAT-1270-BP</v>
          </cell>
        </row>
        <row r="311">
          <cell r="A311" t="str">
            <v>Digital Voice</v>
          </cell>
        </row>
        <row r="312">
          <cell r="A312" t="str">
            <v>BDA-25V</v>
          </cell>
        </row>
        <row r="313">
          <cell r="A313" t="str">
            <v>BDA-70V</v>
          </cell>
        </row>
        <row r="314">
          <cell r="A314" t="str">
            <v>CMIC-1</v>
          </cell>
        </row>
        <row r="315">
          <cell r="A315" t="str">
            <v>DAA2-5025</v>
          </cell>
        </row>
        <row r="316">
          <cell r="A316" t="str">
            <v>DAA2-5025E</v>
          </cell>
        </row>
        <row r="317">
          <cell r="A317" t="str">
            <v>DAA2-5070</v>
          </cell>
        </row>
        <row r="318">
          <cell r="A318" t="str">
            <v>DAA2-5070E</v>
          </cell>
        </row>
        <row r="319">
          <cell r="A319" t="str">
            <v>DAA2-7525</v>
          </cell>
        </row>
        <row r="320">
          <cell r="A320" t="str">
            <v>DAA2-7525E</v>
          </cell>
        </row>
        <row r="321">
          <cell r="A321" t="str">
            <v>DAX-3525</v>
          </cell>
        </row>
        <row r="322">
          <cell r="A322" t="str">
            <v>DAX-3525E</v>
          </cell>
        </row>
        <row r="323">
          <cell r="A323" t="str">
            <v>DAX-3570</v>
          </cell>
        </row>
        <row r="324">
          <cell r="A324" t="str">
            <v>DAX-3570E</v>
          </cell>
        </row>
        <row r="325">
          <cell r="A325" t="str">
            <v>DAX-5025</v>
          </cell>
        </row>
        <row r="326">
          <cell r="A326" t="str">
            <v>DAX-5025E</v>
          </cell>
        </row>
        <row r="327">
          <cell r="A327" t="str">
            <v>DAX-5070</v>
          </cell>
        </row>
        <row r="328">
          <cell r="A328" t="str">
            <v>DAX-5070E</v>
          </cell>
        </row>
        <row r="329">
          <cell r="A329" t="str">
            <v>DS-FM</v>
          </cell>
        </row>
        <row r="330">
          <cell r="A330" t="str">
            <v>DS-RFM</v>
          </cell>
        </row>
        <row r="332">
          <cell r="A332" t="str">
            <v>DS-SFM</v>
          </cell>
        </row>
        <row r="333">
          <cell r="A333" t="str">
            <v>DVC-AO</v>
          </cell>
        </row>
        <row r="334">
          <cell r="A334" t="str">
            <v>DVC-EM</v>
          </cell>
        </row>
        <row r="335">
          <cell r="A335" t="str">
            <v>DVC-EMF</v>
          </cell>
        </row>
        <row r="336">
          <cell r="A336" t="str">
            <v>DVC-EMSF</v>
          </cell>
        </row>
        <row r="337">
          <cell r="A337" t="str">
            <v>DVC-KD</v>
          </cell>
        </row>
        <row r="338">
          <cell r="A338" t="str">
            <v>MIC-1</v>
          </cell>
        </row>
        <row r="339">
          <cell r="A339" t="str">
            <v>TELH-1</v>
          </cell>
        </row>
        <row r="340">
          <cell r="A340" t="str">
            <v>RM-1 Remote Microphone</v>
          </cell>
        </row>
        <row r="341">
          <cell r="A341" t="str">
            <v>CAB-RM</v>
          </cell>
        </row>
        <row r="342">
          <cell r="A342" t="str">
            <v>CAB-RMR</v>
          </cell>
        </row>
        <row r="343">
          <cell r="A343" t="str">
            <v>RM-1</v>
          </cell>
        </row>
        <row r="344">
          <cell r="A344" t="str">
            <v>RM-1SA</v>
          </cell>
        </row>
        <row r="345">
          <cell r="A345" t="str">
            <v>Ampli ers</v>
          </cell>
        </row>
        <row r="346">
          <cell r="A346" t="str">
            <v>AA-100</v>
          </cell>
        </row>
        <row r="347">
          <cell r="A347" t="str">
            <v>AA-100E</v>
          </cell>
        </row>
        <row r="348">
          <cell r="A348" t="str">
            <v>AA-120</v>
          </cell>
        </row>
        <row r="349">
          <cell r="A349" t="str">
            <v>AA-120E</v>
          </cell>
        </row>
        <row r="350">
          <cell r="A350" t="str">
            <v>AA-30</v>
          </cell>
        </row>
        <row r="351">
          <cell r="A351" t="str">
            <v>AA-30E</v>
          </cell>
        </row>
        <row r="352">
          <cell r="A352" t="str">
            <v>ACT-1</v>
          </cell>
        </row>
        <row r="353">
          <cell r="A353" t="str">
            <v>ACT-2</v>
          </cell>
        </row>
        <row r="354">
          <cell r="A354" t="str">
            <v>ACT-25</v>
          </cell>
        </row>
        <row r="355">
          <cell r="A355" t="str">
            <v>ACT-4</v>
          </cell>
        </row>
        <row r="356">
          <cell r="A356" t="str">
            <v>ACT-70</v>
          </cell>
        </row>
        <row r="358">
          <cell r="A358" t="str">
            <v>AFL-RM</v>
          </cell>
        </row>
        <row r="359">
          <cell r="A359" t="str">
            <v>AFL-RS</v>
          </cell>
        </row>
        <row r="360">
          <cell r="A360" t="str">
            <v>AFL-TM</v>
          </cell>
        </row>
        <row r="361">
          <cell r="A361" t="str">
            <v>AFL-TS</v>
          </cell>
        </row>
        <row r="362">
          <cell r="A362" t="str">
            <v>FFT-7</v>
          </cell>
        </row>
        <row r="363">
          <cell r="A363" t="str">
            <v>VRAM-1</v>
          </cell>
        </row>
        <row r="365">
          <cell r="A365" t="str">
            <v>ACC-9KP</v>
          </cell>
        </row>
        <row r="366">
          <cell r="A366" t="str">
            <v>ACC-AAM25</v>
          </cell>
        </row>
        <row r="367">
          <cell r="A367" t="str">
            <v>ACC-MCB</v>
          </cell>
        </row>
        <row r="368">
          <cell r="A368" t="str">
            <v>ACC-ZPMK</v>
          </cell>
        </row>
        <row r="369">
          <cell r="A369" t="str">
            <v>ACC-ZSM</v>
          </cell>
        </row>
        <row r="370">
          <cell r="A370" t="str">
            <v>FC-RM</v>
          </cell>
        </row>
        <row r="371">
          <cell r="A371" t="str">
            <v>FCMIM</v>
          </cell>
        </row>
        <row r="372">
          <cell r="A372" t="str">
            <v>NFV-25/50</v>
          </cell>
        </row>
        <row r="373">
          <cell r="A373" t="str">
            <v>NFV-25/50DA</v>
          </cell>
        </row>
        <row r="374">
          <cell r="A374" t="str">
            <v>NFV-25/50DAZS</v>
          </cell>
        </row>
        <row r="375">
          <cell r="A375" t="str">
            <v>NFV-25/50ZS</v>
          </cell>
        </row>
        <row r="376">
          <cell r="A376" t="str">
            <v>NFV-25/50ZST</v>
          </cell>
        </row>
        <row r="377">
          <cell r="A377" t="str">
            <v>NFV-TR</v>
          </cell>
        </row>
        <row r="379">
          <cell r="A379" t="str">
            <v>PK-XPIQ</v>
          </cell>
        </row>
        <row r="380">
          <cell r="A380" t="str">
            <v>XPIQ-AA2270</v>
          </cell>
        </row>
        <row r="381">
          <cell r="A381" t="str">
            <v>XPIQ-AA25</v>
          </cell>
        </row>
        <row r="382">
          <cell r="A382" t="str">
            <v>XPIQ-AIB1</v>
          </cell>
        </row>
        <row r="383">
          <cell r="A383" t="str">
            <v>XPIQ-AIB4</v>
          </cell>
        </row>
        <row r="384">
          <cell r="A384" t="str">
            <v>XPIQ-CA</v>
          </cell>
        </row>
        <row r="385">
          <cell r="A385" t="str">
            <v>XPIQ-MB</v>
          </cell>
        </row>
        <row r="386">
          <cell r="A386" t="str">
            <v>XPIQ-PS</v>
          </cell>
        </row>
        <row r="387">
          <cell r="A387" t="str">
            <v>XPIQ-PSE</v>
          </cell>
        </row>
        <row r="388">
          <cell r="A388" t="str">
            <v>XPIQ-RMI</v>
          </cell>
        </row>
        <row r="389">
          <cell r="A389" t="str">
            <v>XPIQ-SLI</v>
          </cell>
        </row>
        <row r="390">
          <cell r="A390" t="str">
            <v>Fire Fighters Jacks, Handsets and Storage Cabinets</v>
          </cell>
        </row>
        <row r="391">
          <cell r="A391" t="str">
            <v>AFAWS-BX</v>
          </cell>
        </row>
        <row r="392">
          <cell r="A392" t="str">
            <v>AFAWS-KR</v>
          </cell>
        </row>
        <row r="393">
          <cell r="A393" t="str">
            <v>AFAWS-KS</v>
          </cell>
        </row>
        <row r="394">
          <cell r="A394" t="str">
            <v>AFAWS-LR</v>
          </cell>
        </row>
        <row r="395">
          <cell r="A395" t="str">
            <v>AFAWS-LS</v>
          </cell>
        </row>
        <row r="396">
          <cell r="A396" t="str">
            <v>AFAWS-TELA</v>
          </cell>
        </row>
        <row r="397">
          <cell r="A397" t="str">
            <v>AFAWS-TELC</v>
          </cell>
        </row>
        <row r="398">
          <cell r="A398" t="str">
            <v>FHS</v>
          </cell>
        </row>
        <row r="399">
          <cell r="A399" t="str">
            <v>FHSC-R</v>
          </cell>
        </row>
        <row r="400">
          <cell r="A400" t="str">
            <v>FHSC-S</v>
          </cell>
        </row>
        <row r="401">
          <cell r="A401" t="str">
            <v>FPJ</v>
          </cell>
        </row>
        <row r="402">
          <cell r="A402" t="str">
            <v>EIA-232 Peripheral Devices</v>
          </cell>
        </row>
        <row r="403">
          <cell r="A403" t="str">
            <v>DPI-232</v>
          </cell>
        </row>
        <row r="404">
          <cell r="A404" t="str">
            <v>Zone Coder and Slave Network Interface</v>
          </cell>
        </row>
        <row r="405">
          <cell r="A405" t="str">
            <v>NIB-96</v>
          </cell>
        </row>
        <row r="406">
          <cell r="A406" t="str">
            <v>UZC-256</v>
          </cell>
        </row>
        <row r="407">
          <cell r="A407" t="str">
            <v>UZC-HI</v>
          </cell>
        </row>
        <row r="408">
          <cell r="A408" t="str">
            <v>Universal Digital Alarm Communicator (UDACT)</v>
          </cell>
        </row>
        <row r="409">
          <cell r="A409" t="str">
            <v>UBS-1</v>
          </cell>
        </row>
        <row r="410">
          <cell r="A410" t="str">
            <v>UDACT</v>
          </cell>
        </row>
        <row r="411">
          <cell r="A411" t="str">
            <v>LCD Display Annunciators</v>
          </cell>
        </row>
        <row r="412">
          <cell r="A412" t="str">
            <v>FDU-80</v>
          </cell>
        </row>
        <row r="413">
          <cell r="A413" t="str">
            <v>LCD-160</v>
          </cell>
        </row>
        <row r="414">
          <cell r="A414" t="str">
            <v>LCD-160-TC</v>
          </cell>
        </row>
        <row r="415">
          <cell r="A415" t="str">
            <v>LCD-80</v>
          </cell>
        </row>
        <row r="416">
          <cell r="A416" t="str">
            <v>LCD2-80</v>
          </cell>
        </row>
        <row r="418">
          <cell r="A418" t="str">
            <v>Smoke Control Station</v>
          </cell>
        </row>
        <row r="419">
          <cell r="A419" t="str">
            <v>SCE-8</v>
          </cell>
        </row>
        <row r="420">
          <cell r="A420" t="str">
            <v>SCE-8L</v>
          </cell>
        </row>
        <row r="421">
          <cell r="A421" t="str">
            <v>SCS-8</v>
          </cell>
        </row>
        <row r="422">
          <cell r="A422" t="str">
            <v>SCS-8L</v>
          </cell>
        </row>
        <row r="423">
          <cell r="A423" t="str">
            <v>SCS8L-CBL48</v>
          </cell>
        </row>
        <row r="424">
          <cell r="A424" t="str">
            <v>ONYX ACM and AEM Series LED Annunciators</v>
          </cell>
        </row>
        <row r="425">
          <cell r="A425" t="str">
            <v>ACM-24AT</v>
          </cell>
        </row>
        <row r="426">
          <cell r="A426" t="str">
            <v>ACM-48A</v>
          </cell>
        </row>
        <row r="427">
          <cell r="A427" t="str">
            <v>AEM-24AT</v>
          </cell>
        </row>
        <row r="428">
          <cell r="A428" t="str">
            <v>AEM-48A</v>
          </cell>
        </row>
        <row r="429">
          <cell r="A429" t="str">
            <v>ACM-16AT Alarm and Trouble Annunciators</v>
          </cell>
        </row>
        <row r="430">
          <cell r="A430" t="str">
            <v>ACM-16AT</v>
          </cell>
        </row>
        <row r="431">
          <cell r="A431" t="str">
            <v>ACM-32A</v>
          </cell>
        </row>
        <row r="432">
          <cell r="A432" t="str">
            <v>AEM-16AT</v>
          </cell>
        </row>
        <row r="433">
          <cell r="A433" t="str">
            <v>AEM-32A</v>
          </cell>
        </row>
        <row r="434">
          <cell r="A434" t="str">
            <v>Graphic Annunciator - Lamp Driver Modules</v>
          </cell>
        </row>
        <row r="435">
          <cell r="A435" t="str">
            <v>LDM-32</v>
          </cell>
        </row>
        <row r="436">
          <cell r="A436" t="str">
            <v>LDM-CBL24</v>
          </cell>
        </row>
        <row r="437">
          <cell r="A437" t="str">
            <v>LDM-CBL48</v>
          </cell>
        </row>
        <row r="438">
          <cell r="A438" t="str">
            <v>LDM-E32</v>
          </cell>
        </row>
        <row r="439">
          <cell r="A439" t="str">
            <v>LDM-R32</v>
          </cell>
        </row>
        <row r="440">
          <cell r="A440" t="str">
            <v>ACM-8R Remote Relays</v>
          </cell>
        </row>
        <row r="441">
          <cell r="A441" t="str">
            <v>ACM-8R</v>
          </cell>
        </row>
        <row r="442">
          <cell r="A442" t="str">
            <v>ACS Enclosures and Mounting Hardware</v>
          </cell>
        </row>
        <row r="443">
          <cell r="A443" t="str">
            <v>ABF-1B</v>
          </cell>
        </row>
        <row r="444">
          <cell r="A444" t="str">
            <v>ABF-1DB</v>
          </cell>
        </row>
        <row r="445">
          <cell r="A445" t="str">
            <v>ABF-2B</v>
          </cell>
        </row>
        <row r="446">
          <cell r="A446" t="str">
            <v>ABF-2DB</v>
          </cell>
        </row>
        <row r="447">
          <cell r="A447" t="str">
            <v>ABF-4B</v>
          </cell>
        </row>
        <row r="448">
          <cell r="A448" t="str">
            <v>ABM-1</v>
          </cell>
        </row>
        <row r="449">
          <cell r="A449" t="str">
            <v>ABS-1B</v>
          </cell>
        </row>
        <row r="450">
          <cell r="A450" t="str">
            <v>ABS-1TB</v>
          </cell>
        </row>
        <row r="451">
          <cell r="A451" t="str">
            <v>ABS-2B</v>
          </cell>
        </row>
        <row r="452">
          <cell r="A452" t="str">
            <v>ABS-2D</v>
          </cell>
        </row>
        <row r="453">
          <cell r="A453" t="str">
            <v>ABS-2DR</v>
          </cell>
        </row>
        <row r="454">
          <cell r="A454" t="str">
            <v>ABS-4D</v>
          </cell>
        </row>
        <row r="455">
          <cell r="A455" t="str">
            <v>ABS-4DR</v>
          </cell>
        </row>
        <row r="456">
          <cell r="A456" t="str">
            <v>ABS-8RB</v>
          </cell>
        </row>
        <row r="457">
          <cell r="A457" t="str">
            <v>AKS-1B</v>
          </cell>
        </row>
        <row r="458">
          <cell r="A458" t="str">
            <v>CHS-2D</v>
          </cell>
        </row>
        <row r="459">
          <cell r="A459" t="str">
            <v>TR-ABS2D</v>
          </cell>
        </row>
        <row r="460">
          <cell r="A460" t="str">
            <v>TRABS-4D</v>
          </cell>
        </row>
        <row r="461">
          <cell r="A461" t="str">
            <v>SpectrAlert Advance Amber Strobes</v>
          </cell>
        </row>
        <row r="462">
          <cell r="A462" t="str">
            <v>SW-ALERT</v>
          </cell>
        </row>
        <row r="463">
          <cell r="A463" t="str">
            <v>SWH-ALERT</v>
          </cell>
        </row>
        <row r="464">
          <cell r="A464" t="str">
            <v>SpectrAlert Advance Strobe Lenses</v>
          </cell>
        </row>
        <row r="465">
          <cell r="A465" t="str">
            <v>LENS-A</v>
          </cell>
        </row>
        <row r="466">
          <cell r="A466" t="str">
            <v>LENS-AC</v>
          </cell>
        </row>
        <row r="467">
          <cell r="A467" t="str">
            <v>LENS-B</v>
          </cell>
        </row>
        <row r="468">
          <cell r="A468" t="str">
            <v>LENS-BC</v>
          </cell>
        </row>
        <row r="469">
          <cell r="A469" t="str">
            <v>LENS-G</v>
          </cell>
        </row>
        <row r="470">
          <cell r="A470" t="str">
            <v>LENS-GC</v>
          </cell>
        </row>
        <row r="471">
          <cell r="A471" t="str">
            <v>LENS-R</v>
          </cell>
        </row>
        <row r="472">
          <cell r="A472" t="str">
            <v>LENS-RC</v>
          </cell>
        </row>
        <row r="473">
          <cell r="A473" t="str">
            <v>NotiFireNet ONYX Network Upgrades</v>
          </cell>
        </row>
        <row r="474">
          <cell r="A474" t="str">
            <v>NCSCDUG-US-5</v>
          </cell>
        </row>
        <row r="475">
          <cell r="A475" t="str">
            <v>NROM-NAM5.0M</v>
          </cell>
        </row>
        <row r="477">
          <cell r="A477" t="str">
            <v>grade Requirements</v>
          </cell>
        </row>
        <row r="478">
          <cell r="A478" t="str">
            <v>NAM-232F</v>
          </cell>
        </row>
        <row r="479">
          <cell r="A479" t="str">
            <v>NAM-232W</v>
          </cell>
        </row>
        <row r="480">
          <cell r="A480" t="str">
            <v>NCM-F</v>
          </cell>
        </row>
        <row r="481">
          <cell r="A481" t="str">
            <v>NCM-W</v>
          </cell>
        </row>
        <row r="483">
          <cell r="A483" t="str">
            <v>NCS Version 5.0</v>
          </cell>
        </row>
        <row r="484">
          <cell r="A484" t="str">
            <v>NCSCD-US-5</v>
          </cell>
        </row>
        <row r="485">
          <cell r="A485" t="str">
            <v>ONYXWorks Workstation Components</v>
          </cell>
        </row>
        <row r="486">
          <cell r="A486" t="str">
            <v>CA-GW-WINPACK</v>
          </cell>
        </row>
        <row r="487">
          <cell r="A487" t="str">
            <v>DACR-GW</v>
          </cell>
        </row>
        <row r="488">
          <cell r="A488" t="str">
            <v>ECH-GW-PC-W</v>
          </cell>
        </row>
        <row r="489">
          <cell r="A489" t="str">
            <v>* ONYXWORKS-WS</v>
          </cell>
        </row>
        <row r="490">
          <cell r="A490" t="str">
            <v>* MON-19LCDW</v>
          </cell>
        </row>
        <row r="491">
          <cell r="A491" t="str">
            <v>* MON-19LCDW-TS</v>
          </cell>
        </row>
        <row r="492">
          <cell r="A492" t="str">
            <v>NFN-GW-PC-F</v>
          </cell>
        </row>
        <row r="493">
          <cell r="A493" t="str">
            <v>NFN-GW-PC-HNMF</v>
          </cell>
        </row>
        <row r="494">
          <cell r="A494" t="str">
            <v>NFN-GW-PC-HNSF</v>
          </cell>
        </row>
        <row r="496">
          <cell r="A496" t="str">
            <v>NFN-GW-PC-HNW</v>
          </cell>
        </row>
        <row r="497">
          <cell r="A497" t="str">
            <v>NFN-GW-PC-W</v>
          </cell>
        </row>
        <row r="498">
          <cell r="A498" t="str">
            <v>NOTIFY-IP</v>
          </cell>
        </row>
        <row r="499">
          <cell r="A499" t="str">
            <v>ONYX-NOTIFY</v>
          </cell>
        </row>
        <row r="500">
          <cell r="A500" t="str">
            <v>ONYX-PAGER</v>
          </cell>
        </row>
        <row r="502">
          <cell r="A502" t="str">
            <v>Network Gateways</v>
          </cell>
        </row>
        <row r="503">
          <cell r="A503" t="str">
            <v>BAC-WCE-UG</v>
          </cell>
        </row>
        <row r="504">
          <cell r="A504" t="str">
            <v>BACNET-GW-3</v>
          </cell>
        </row>
        <row r="505">
          <cell r="A505" t="str">
            <v>HS-NCM-MF</v>
          </cell>
        </row>
        <row r="506">
          <cell r="A506" t="str">
            <v>HS-NCM-MFSF</v>
          </cell>
        </row>
        <row r="507">
          <cell r="A507" t="str">
            <v>HS-NCM-SF</v>
          </cell>
        </row>
        <row r="508">
          <cell r="A508" t="str">
            <v>HS-NCM-W</v>
          </cell>
        </row>
        <row r="509">
          <cell r="A509" t="str">
            <v>HS-NCM-WMF</v>
          </cell>
        </row>
        <row r="510">
          <cell r="A510" t="str">
            <v>HS-NCM-WSF</v>
          </cell>
        </row>
        <row r="511">
          <cell r="A511" t="str">
            <v>MODBUS-GW</v>
          </cell>
        </row>
        <row r="512">
          <cell r="A512" t="str">
            <v>NFN-GW-EM-3</v>
          </cell>
        </row>
        <row r="513">
          <cell r="A513" t="str">
            <v>NWS-WCE-UG</v>
          </cell>
        </row>
        <row r="515">
          <cell r="A515" t="str">
            <v>RPT-F</v>
          </cell>
        </row>
        <row r="516">
          <cell r="A516" t="str">
            <v>RPT-W</v>
          </cell>
        </row>
        <row r="517">
          <cell r="A517" t="str">
            <v>RPT-WF</v>
          </cell>
        </row>
        <row r="518">
          <cell r="A518" t="str">
            <v>ONYXWORKS-Lite</v>
          </cell>
        </row>
        <row r="519">
          <cell r="A519" t="str">
            <v>OW-LITE-NF</v>
          </cell>
        </row>
        <row r="520">
          <cell r="A520" t="str">
            <v>OW-LITE-NW</v>
          </cell>
        </row>
        <row r="522">
          <cell r="A522">
            <v>31004</v>
          </cell>
        </row>
        <row r="523">
          <cell r="A523" t="str">
            <v>WSSUP</v>
          </cell>
        </row>
        <row r="525">
          <cell r="A525" t="str">
            <v>AFP-200RB</v>
          </cell>
        </row>
        <row r="526">
          <cell r="A526" t="str">
            <v>AFP-200RBE</v>
          </cell>
        </row>
        <row r="527">
          <cell r="A527" t="str">
            <v>AFP-200TA</v>
          </cell>
        </row>
        <row r="528">
          <cell r="A528" t="str">
            <v>AFP-200TAE</v>
          </cell>
        </row>
        <row r="529">
          <cell r="A529" t="str">
            <v>CPU-3030D</v>
          </cell>
        </row>
        <row r="530">
          <cell r="A530" t="str">
            <v>CPU-3030ND</v>
          </cell>
        </row>
        <row r="531">
          <cell r="A531" t="str">
            <v>CPU-640</v>
          </cell>
        </row>
        <row r="532">
          <cell r="A532" t="str">
            <v>CPU-640E</v>
          </cell>
        </row>
        <row r="533">
          <cell r="A533" t="str">
            <v>KDM-2</v>
          </cell>
        </row>
        <row r="534">
          <cell r="A534" t="str">
            <v>NFS-320-RB</v>
          </cell>
        </row>
        <row r="535">
          <cell r="A535" t="str">
            <v>NFS-320-RB-SPE</v>
          </cell>
        </row>
        <row r="536">
          <cell r="A536" t="str">
            <v>NFS-320-RBE</v>
          </cell>
        </row>
        <row r="537">
          <cell r="A537" t="str">
            <v>PD-2</v>
          </cell>
        </row>
        <row r="538">
          <cell r="A538" t="str">
            <v>NF - Others</v>
          </cell>
        </row>
        <row r="539">
          <cell r="A539">
            <v>90106</v>
          </cell>
        </row>
        <row r="540">
          <cell r="A540" t="str">
            <v>APS-6R</v>
          </cell>
        </row>
        <row r="541">
          <cell r="A541" t="str">
            <v>APS-6RE</v>
          </cell>
        </row>
        <row r="542">
          <cell r="A542" t="str">
            <v>CPU-320SYS</v>
          </cell>
        </row>
        <row r="544">
          <cell r="A544" t="str">
            <v>CPU-320SYSE</v>
          </cell>
        </row>
        <row r="546">
          <cell r="A546" t="str">
            <v>IPDACT-2</v>
          </cell>
        </row>
        <row r="547">
          <cell r="A547" t="str">
            <v>IPDACT-2UD</v>
          </cell>
        </row>
        <row r="548">
          <cell r="A548" t="str">
            <v>NSP-25E</v>
          </cell>
        </row>
        <row r="549">
          <cell r="A549" t="str">
            <v>NWS-3</v>
          </cell>
        </row>
        <row r="550">
          <cell r="A550" t="str">
            <v>ROM-AFP400</v>
          </cell>
        </row>
        <row r="551">
          <cell r="A551" t="str">
            <v>Printers And Cables</v>
          </cell>
        </row>
        <row r="552">
          <cell r="A552" t="str">
            <v>P40-KITB</v>
          </cell>
        </row>
        <row r="553">
          <cell r="A553" t="str">
            <v>PRN-6</v>
          </cell>
        </row>
        <row r="554">
          <cell r="A554" t="str">
            <v>VP-2B</v>
          </cell>
        </row>
        <row r="555">
          <cell r="A555" t="str">
            <v>VS4095/5</v>
          </cell>
        </row>
        <row r="556">
          <cell r="A556" t="str">
            <v>System Sensor - UL Approved</v>
          </cell>
        </row>
        <row r="557">
          <cell r="A557" t="str">
            <v>Conventional Initiating Devices</v>
          </cell>
        </row>
        <row r="558">
          <cell r="A558" t="str">
            <v>BNG, BRG and BG-1 Series Pull Stations</v>
          </cell>
        </row>
        <row r="559">
          <cell r="A559" t="str">
            <v>BG-2</v>
          </cell>
        </row>
        <row r="560">
          <cell r="A560" t="str">
            <v>BG-2R</v>
          </cell>
        </row>
        <row r="561">
          <cell r="A561" t="str">
            <v>BNG-1F</v>
          </cell>
        </row>
        <row r="562">
          <cell r="A562" t="str">
            <v>BNG-1FTS</v>
          </cell>
        </row>
        <row r="563">
          <cell r="A563" t="str">
            <v>BNG-1R</v>
          </cell>
        </row>
        <row r="564">
          <cell r="A564" t="str">
            <v>BNG-1TS</v>
          </cell>
        </row>
        <row r="565">
          <cell r="A565" t="str">
            <v>BNG-1TSR</v>
          </cell>
        </row>
        <row r="566">
          <cell r="A566" t="str">
            <v>BRG-1</v>
          </cell>
        </row>
        <row r="567">
          <cell r="A567" t="str">
            <v>BRG-1R</v>
          </cell>
        </row>
        <row r="568">
          <cell r="A568" t="str">
            <v>DABC</v>
          </cell>
        </row>
        <row r="569">
          <cell r="A569" t="str">
            <v>Explosion-Proof Stations</v>
          </cell>
        </row>
        <row r="570">
          <cell r="A570" t="str">
            <v>XAL-53</v>
          </cell>
        </row>
        <row r="571">
          <cell r="A571" t="str">
            <v>Plug-in Smoke Detectors</v>
          </cell>
        </row>
        <row r="572">
          <cell r="A572">
            <v>2151</v>
          </cell>
        </row>
        <row r="573">
          <cell r="A573" t="str">
            <v>2151T</v>
          </cell>
        </row>
        <row r="574">
          <cell r="A574">
            <v>5451</v>
          </cell>
        </row>
        <row r="575">
          <cell r="A575" t="str">
            <v>Rate Compensation Heat Detectors</v>
          </cell>
        </row>
        <row r="576">
          <cell r="A576" t="str">
            <v>302-135</v>
          </cell>
        </row>
        <row r="577">
          <cell r="A577" t="str">
            <v>302-194</v>
          </cell>
        </row>
        <row r="578">
          <cell r="A578" t="str">
            <v>302-AW-135</v>
          </cell>
        </row>
        <row r="579">
          <cell r="A579" t="str">
            <v>302-AW-194</v>
          </cell>
        </row>
        <row r="580">
          <cell r="A580" t="str">
            <v>302-EPM-135</v>
          </cell>
        </row>
        <row r="581">
          <cell r="A581" t="str">
            <v>302-EPM-194</v>
          </cell>
        </row>
        <row r="582">
          <cell r="A582" t="str">
            <v>302-ET-135</v>
          </cell>
        </row>
        <row r="583">
          <cell r="A583" t="str">
            <v>302-ET-194</v>
          </cell>
        </row>
        <row r="584">
          <cell r="A584" t="str">
            <v>AP-P</v>
          </cell>
        </row>
        <row r="585">
          <cell r="A585" t="str">
            <v>STI Detector Covers</v>
          </cell>
        </row>
        <row r="586">
          <cell r="A586" t="str">
            <v>STI9601</v>
          </cell>
        </row>
        <row r="587">
          <cell r="A587" t="str">
            <v>STI9602</v>
          </cell>
        </row>
        <row r="588">
          <cell r="A588" t="str">
            <v>STI9604</v>
          </cell>
        </row>
        <row r="589">
          <cell r="A589" t="str">
            <v>STI9605</v>
          </cell>
        </row>
        <row r="590">
          <cell r="A590" t="str">
            <v>STI9609</v>
          </cell>
        </row>
        <row r="591">
          <cell r="A591" t="str">
            <v>STI9610</v>
          </cell>
        </row>
        <row r="592">
          <cell r="A592" t="str">
            <v>STI9713</v>
          </cell>
        </row>
        <row r="593">
          <cell r="A593" t="str">
            <v>STI Polycarbonate Covers</v>
          </cell>
        </row>
        <row r="594">
          <cell r="A594" t="str">
            <v>BG12TR</v>
          </cell>
        </row>
        <row r="595">
          <cell r="A595" t="str">
            <v>SB-10</v>
          </cell>
        </row>
        <row r="596">
          <cell r="A596" t="str">
            <v>SB-I/O</v>
          </cell>
        </row>
        <row r="597">
          <cell r="A597" t="str">
            <v>SBA-10</v>
          </cell>
        </row>
        <row r="598">
          <cell r="A598" t="str">
            <v>STI-7550</v>
          </cell>
        </row>
        <row r="599">
          <cell r="A599" t="str">
            <v>STI-7551</v>
          </cell>
        </row>
        <row r="600">
          <cell r="A600" t="str">
            <v>STI1229</v>
          </cell>
        </row>
        <row r="601">
          <cell r="A601" t="str">
            <v>STI1280</v>
          </cell>
        </row>
        <row r="602">
          <cell r="A602" t="str">
            <v>STI6500</v>
          </cell>
        </row>
        <row r="603">
          <cell r="A603" t="str">
            <v>STI7500A</v>
          </cell>
        </row>
        <row r="604">
          <cell r="A604" t="str">
            <v>STI7501A</v>
          </cell>
        </row>
        <row r="605">
          <cell r="A605" t="str">
            <v>STI7510A</v>
          </cell>
        </row>
        <row r="606">
          <cell r="A606" t="str">
            <v>STI7520</v>
          </cell>
        </row>
        <row r="607">
          <cell r="A607" t="str">
            <v>STI7530</v>
          </cell>
        </row>
        <row r="608">
          <cell r="A608" t="str">
            <v>STI9621</v>
          </cell>
        </row>
        <row r="609">
          <cell r="A609" t="str">
            <v>STI Push Stations</v>
          </cell>
        </row>
        <row r="610">
          <cell r="A610" t="str">
            <v>NSS-2400E</v>
          </cell>
        </row>
        <row r="611">
          <cell r="A611" t="str">
            <v>NSS-2440E</v>
          </cell>
        </row>
        <row r="612">
          <cell r="A612" t="str">
            <v>Stopper Pull Station Covers</v>
          </cell>
        </row>
        <row r="613">
          <cell r="A613" t="str">
            <v>STI1100</v>
          </cell>
        </row>
        <row r="614">
          <cell r="A614" t="str">
            <v>STI1130</v>
          </cell>
        </row>
        <row r="615">
          <cell r="A615" t="str">
            <v>STI1200</v>
          </cell>
        </row>
        <row r="616">
          <cell r="A616" t="str">
            <v>STI1210D</v>
          </cell>
        </row>
        <row r="617">
          <cell r="A617" t="str">
            <v>STI1210E</v>
          </cell>
        </row>
        <row r="618">
          <cell r="A618" t="str">
            <v>STI1221D</v>
          </cell>
        </row>
        <row r="619">
          <cell r="A619" t="str">
            <v>STI1221E</v>
          </cell>
        </row>
        <row r="620">
          <cell r="A620" t="str">
            <v>STI1230</v>
          </cell>
        </row>
        <row r="621">
          <cell r="A621" t="str">
            <v>STI1250</v>
          </cell>
        </row>
        <row r="622">
          <cell r="A622" t="str">
            <v>STI3002</v>
          </cell>
        </row>
        <row r="623">
          <cell r="A623" t="str">
            <v>STI3003</v>
          </cell>
        </row>
        <row r="624">
          <cell r="A624" t="str">
            <v>STI3100</v>
          </cell>
        </row>
        <row r="625">
          <cell r="A625" t="str">
            <v>STI3150</v>
          </cell>
        </row>
        <row r="626">
          <cell r="A626" t="str">
            <v>STI4100</v>
          </cell>
        </row>
        <row r="627">
          <cell r="A627" t="str">
            <v>STI6001</v>
          </cell>
        </row>
        <row r="628">
          <cell r="A628" t="str">
            <v>STI6100</v>
          </cell>
        </row>
        <row r="629">
          <cell r="A629" t="str">
            <v>Conventional Initiating Devices</v>
          </cell>
        </row>
        <row r="630">
          <cell r="A630" t="str">
            <v>Heat Detectors</v>
          </cell>
        </row>
        <row r="631">
          <cell r="A631" t="str">
            <v>5601P</v>
          </cell>
        </row>
        <row r="632">
          <cell r="A632">
            <v>5602</v>
          </cell>
        </row>
        <row r="633">
          <cell r="A633">
            <v>5603</v>
          </cell>
        </row>
        <row r="634">
          <cell r="A634">
            <v>5604</v>
          </cell>
        </row>
        <row r="635">
          <cell r="A635">
            <v>5621</v>
          </cell>
        </row>
        <row r="636">
          <cell r="A636">
            <v>5622</v>
          </cell>
        </row>
        <row r="637">
          <cell r="A637">
            <v>5623</v>
          </cell>
        </row>
        <row r="638">
          <cell r="A638">
            <v>5624</v>
          </cell>
        </row>
        <row r="639">
          <cell r="A639" t="str">
            <v>I3 Photoelectric Smoke Detectors w/ Built-In Sounders &amp; Form-C Relay</v>
          </cell>
        </row>
        <row r="640">
          <cell r="A640" t="str">
            <v>2WTA-B</v>
          </cell>
        </row>
        <row r="641">
          <cell r="A641" t="str">
            <v>2WTR-B</v>
          </cell>
        </row>
        <row r="642">
          <cell r="A642" t="str">
            <v>4WITAR-B</v>
          </cell>
        </row>
        <row r="643">
          <cell r="A643" t="str">
            <v>4WTA-B</v>
          </cell>
        </row>
        <row r="644">
          <cell r="A644" t="str">
            <v>4WTAR-B</v>
          </cell>
        </row>
        <row r="645">
          <cell r="A645" t="str">
            <v>4WTR-B</v>
          </cell>
        </row>
        <row r="646">
          <cell r="A646" t="str">
            <v>System Detector Accessories</v>
          </cell>
        </row>
        <row r="647">
          <cell r="A647" t="str">
            <v>EOLR-1</v>
          </cell>
        </row>
        <row r="649">
          <cell r="A649" t="str">
            <v>M02-04-00</v>
          </cell>
        </row>
        <row r="650">
          <cell r="A650" t="str">
            <v>M02-09-00</v>
          </cell>
        </row>
        <row r="651">
          <cell r="A651" t="str">
            <v>RTC100</v>
          </cell>
        </row>
        <row r="652">
          <cell r="A652" t="str">
            <v>T55-127-010</v>
          </cell>
        </row>
        <row r="653">
          <cell r="A653" t="str">
            <v>XP-4</v>
          </cell>
        </row>
        <row r="655">
          <cell r="A655" t="str">
            <v>XR2</v>
          </cell>
        </row>
        <row r="656">
          <cell r="A656" t="str">
            <v>XR2B</v>
          </cell>
        </row>
        <row r="657">
          <cell r="A657" t="str">
            <v>System Sensor Beam Detectors &amp; STI Beam Cage</v>
          </cell>
        </row>
        <row r="658">
          <cell r="A658" t="str">
            <v>BEAM1224</v>
          </cell>
        </row>
        <row r="659">
          <cell r="A659" t="str">
            <v>BEAM1224S</v>
          </cell>
        </row>
        <row r="660">
          <cell r="A660" t="str">
            <v>BEAMHK</v>
          </cell>
        </row>
        <row r="661">
          <cell r="A661" t="str">
            <v>BEAMHKR</v>
          </cell>
        </row>
        <row r="662">
          <cell r="A662" t="str">
            <v>BEAMLRK</v>
          </cell>
        </row>
        <row r="663">
          <cell r="A663" t="str">
            <v>BEAMMMK</v>
          </cell>
        </row>
        <row r="664">
          <cell r="A664" t="str">
            <v>BEAMSMK</v>
          </cell>
        </row>
        <row r="665">
          <cell r="A665" t="str">
            <v>STI9625</v>
          </cell>
        </row>
        <row r="666">
          <cell r="A666" t="str">
            <v>STI9706</v>
          </cell>
        </row>
        <row r="667">
          <cell r="A667" t="str">
            <v>STI9707</v>
          </cell>
        </row>
        <row r="668">
          <cell r="A668" t="str">
            <v>System Sensor i3 Series Accessories</v>
          </cell>
        </row>
        <row r="669">
          <cell r="A669" t="str">
            <v>2W-MOD2</v>
          </cell>
        </row>
        <row r="670">
          <cell r="A670" t="str">
            <v>A77-AB2</v>
          </cell>
        </row>
        <row r="671">
          <cell r="A671" t="str">
            <v>RRS-MOD</v>
          </cell>
        </row>
        <row r="672">
          <cell r="A672" t="str">
            <v>SENS-RDR</v>
          </cell>
        </row>
        <row r="673">
          <cell r="A673" t="str">
            <v>System Sensor i3 Series Photoelectric Detectors</v>
          </cell>
        </row>
        <row r="674">
          <cell r="A674" t="str">
            <v>2W-B</v>
          </cell>
        </row>
        <row r="675">
          <cell r="A675" t="str">
            <v>2WT-B</v>
          </cell>
        </row>
        <row r="676">
          <cell r="A676" t="str">
            <v>4W-B</v>
          </cell>
        </row>
        <row r="677">
          <cell r="A677" t="str">
            <v>4WT-B</v>
          </cell>
        </row>
        <row r="678">
          <cell r="A678" t="str">
            <v>System Sensor Plug-in Detector Bases</v>
          </cell>
        </row>
        <row r="679">
          <cell r="A679" t="str">
            <v>B110LP</v>
          </cell>
        </row>
        <row r="680">
          <cell r="A680" t="str">
            <v>B112LP</v>
          </cell>
        </row>
        <row r="681">
          <cell r="A681" t="str">
            <v>B114LP</v>
          </cell>
        </row>
        <row r="682">
          <cell r="A682" t="str">
            <v>B114LPBT</v>
          </cell>
        </row>
        <row r="683">
          <cell r="A683" t="str">
            <v>B116LP</v>
          </cell>
        </row>
        <row r="684">
          <cell r="A684" t="str">
            <v>B210LP</v>
          </cell>
        </row>
        <row r="685">
          <cell r="A685" t="str">
            <v>B210LPBP</v>
          </cell>
        </row>
        <row r="686">
          <cell r="A686" t="str">
            <v>B401</v>
          </cell>
        </row>
        <row r="687">
          <cell r="A687" t="str">
            <v>System Sensor Pressure Switches</v>
          </cell>
        </row>
        <row r="688">
          <cell r="A688" t="str">
            <v>EPS10-1</v>
          </cell>
        </row>
        <row r="689">
          <cell r="A689" t="str">
            <v>EPS10-2</v>
          </cell>
        </row>
        <row r="690">
          <cell r="A690" t="str">
            <v>EPS40-1</v>
          </cell>
        </row>
        <row r="691">
          <cell r="A691" t="str">
            <v>EPS40-2</v>
          </cell>
        </row>
        <row r="692">
          <cell r="A692" t="str">
            <v>Water ow Switches and Supervisory Devices</v>
          </cell>
        </row>
        <row r="693">
          <cell r="A693" t="str">
            <v>MDL3R</v>
          </cell>
        </row>
        <row r="694">
          <cell r="A694" t="str">
            <v>MDL3W</v>
          </cell>
        </row>
        <row r="695">
          <cell r="A695" t="str">
            <v>OSY2</v>
          </cell>
        </row>
        <row r="696">
          <cell r="A696" t="str">
            <v>PIBV2</v>
          </cell>
        </row>
        <row r="697">
          <cell r="A697" t="str">
            <v>WFD20</v>
          </cell>
        </row>
        <row r="698">
          <cell r="A698" t="str">
            <v>WFD25</v>
          </cell>
        </row>
        <row r="699">
          <cell r="A699" t="str">
            <v>WFD30-2</v>
          </cell>
        </row>
        <row r="700">
          <cell r="A700" t="str">
            <v>WFD35</v>
          </cell>
        </row>
        <row r="701">
          <cell r="A701" t="str">
            <v>WFD40</v>
          </cell>
        </row>
        <row r="702">
          <cell r="A702" t="str">
            <v>WFD50</v>
          </cell>
        </row>
        <row r="703">
          <cell r="A703" t="str">
            <v>WFD60</v>
          </cell>
        </row>
        <row r="704">
          <cell r="A704" t="str">
            <v>WFD80</v>
          </cell>
        </row>
        <row r="705">
          <cell r="A705" t="str">
            <v>WFDT</v>
          </cell>
        </row>
        <row r="706">
          <cell r="A706" t="str">
            <v>HVAC System Monitoring</v>
          </cell>
        </row>
        <row r="707">
          <cell r="A707" t="str">
            <v>2D51</v>
          </cell>
        </row>
        <row r="708">
          <cell r="A708" t="str">
            <v>APA151</v>
          </cell>
        </row>
        <row r="709">
          <cell r="A709" t="str">
            <v>CO1224T</v>
          </cell>
        </row>
        <row r="710">
          <cell r="A710" t="str">
            <v>D2</v>
          </cell>
        </row>
        <row r="711">
          <cell r="A711" t="str">
            <v>D4120</v>
          </cell>
        </row>
        <row r="712">
          <cell r="A712" t="str">
            <v>D4120W</v>
          </cell>
        </row>
        <row r="713">
          <cell r="A713" t="str">
            <v>D4P120</v>
          </cell>
        </row>
        <row r="714">
          <cell r="A714" t="str">
            <v>D4S</v>
          </cell>
        </row>
        <row r="715">
          <cell r="A715" t="str">
            <v>DCOIL</v>
          </cell>
        </row>
        <row r="716">
          <cell r="A716" t="str">
            <v>ETX</v>
          </cell>
        </row>
        <row r="717">
          <cell r="A717" t="str">
            <v>WCK-200B</v>
          </cell>
        </row>
        <row r="718">
          <cell r="A718" t="str">
            <v>Noti cation Appliance Devices</v>
          </cell>
        </row>
        <row r="719">
          <cell r="A719" t="str">
            <v>FM Series Door Releases</v>
          </cell>
        </row>
        <row r="720">
          <cell r="A720" t="str">
            <v>FM900</v>
          </cell>
        </row>
        <row r="721">
          <cell r="A721" t="str">
            <v>FM900-100</v>
          </cell>
        </row>
        <row r="722">
          <cell r="A722" t="str">
            <v>FM900-50</v>
          </cell>
        </row>
        <row r="723">
          <cell r="A723" t="str">
            <v>FM900-75</v>
          </cell>
        </row>
        <row r="724">
          <cell r="A724" t="str">
            <v>FM900-Z</v>
          </cell>
        </row>
        <row r="725">
          <cell r="A725" t="str">
            <v>FM980</v>
          </cell>
        </row>
        <row r="726">
          <cell r="A726" t="str">
            <v>FM996</v>
          </cell>
        </row>
        <row r="727">
          <cell r="A727" t="str">
            <v>FM998</v>
          </cell>
        </row>
        <row r="728">
          <cell r="A728" t="str">
            <v>Wheelock 43T AC Vibrating Bells</v>
          </cell>
        </row>
        <row r="729">
          <cell r="A729" t="str">
            <v>43T-G10-115-R</v>
          </cell>
        </row>
        <row r="730">
          <cell r="A730" t="str">
            <v>43T-G6-115-R</v>
          </cell>
        </row>
        <row r="731">
          <cell r="A731" t="str">
            <v>43T-G6-24-R</v>
          </cell>
        </row>
        <row r="732">
          <cell r="A732" t="str">
            <v>Wheelock 4-Wire HS Electronic Horn Strobes</v>
          </cell>
        </row>
        <row r="733">
          <cell r="A733" t="str">
            <v>HNR</v>
          </cell>
        </row>
        <row r="734">
          <cell r="A734" t="str">
            <v>HNRC</v>
          </cell>
        </row>
        <row r="735">
          <cell r="A735" t="str">
            <v>HNW</v>
          </cell>
        </row>
        <row r="736">
          <cell r="A736" t="str">
            <v>HS4-241575W-FR</v>
          </cell>
        </row>
        <row r="737">
          <cell r="A737" t="str">
            <v>HS4-24MCW-FR</v>
          </cell>
        </row>
        <row r="738">
          <cell r="A738" t="str">
            <v>HS4-24MCW-FW</v>
          </cell>
        </row>
        <row r="739">
          <cell r="A739" t="str">
            <v>HSR</v>
          </cell>
        </row>
        <row r="740">
          <cell r="A740" t="str">
            <v>HSRC</v>
          </cell>
        </row>
        <row r="741">
          <cell r="A741" t="str">
            <v>HSW</v>
          </cell>
        </row>
        <row r="742">
          <cell r="A742" t="str">
            <v>HSWC</v>
          </cell>
        </row>
        <row r="743">
          <cell r="A743" t="str">
            <v>Wheelock Accessories</v>
          </cell>
        </row>
        <row r="744">
          <cell r="A744" t="str">
            <v>BB-R</v>
          </cell>
        </row>
        <row r="745">
          <cell r="A745" t="str">
            <v>DBB-R</v>
          </cell>
        </row>
        <row r="746">
          <cell r="A746" t="str">
            <v>DSM-12/24-R</v>
          </cell>
        </row>
        <row r="747">
          <cell r="A747" t="str">
            <v>IOB-R</v>
          </cell>
        </row>
        <row r="748">
          <cell r="A748" t="str">
            <v>IOB-W</v>
          </cell>
        </row>
        <row r="749">
          <cell r="A749" t="str">
            <v>ISP2-W</v>
          </cell>
        </row>
        <row r="750">
          <cell r="A750" t="str">
            <v>NATP-R</v>
          </cell>
        </row>
        <row r="751">
          <cell r="A751" t="str">
            <v>RP-R</v>
          </cell>
        </row>
        <row r="752">
          <cell r="A752" t="str">
            <v>SBB-R</v>
          </cell>
        </row>
        <row r="753">
          <cell r="A753" t="str">
            <v>SBB-W</v>
          </cell>
        </row>
        <row r="754">
          <cell r="A754" t="str">
            <v>SBL2-R</v>
          </cell>
        </row>
        <row r="755">
          <cell r="A755" t="str">
            <v>SFP-R</v>
          </cell>
        </row>
        <row r="756">
          <cell r="A756" t="str">
            <v>SFP-W</v>
          </cell>
        </row>
        <row r="757">
          <cell r="A757" t="str">
            <v>SHBB-R</v>
          </cell>
        </row>
        <row r="758">
          <cell r="A758" t="str">
            <v>SHBB-W</v>
          </cell>
        </row>
        <row r="759">
          <cell r="A759" t="str">
            <v>SM-12/24-R</v>
          </cell>
        </row>
        <row r="760">
          <cell r="A760" t="str">
            <v>WBB-R</v>
          </cell>
        </row>
        <row r="761">
          <cell r="A761" t="str">
            <v>WFP-R</v>
          </cell>
        </row>
        <row r="762">
          <cell r="A762" t="str">
            <v>WFP-W</v>
          </cell>
        </row>
        <row r="763">
          <cell r="A763" t="str">
            <v>WFPA-R</v>
          </cell>
        </row>
        <row r="764">
          <cell r="A764" t="str">
            <v>WFPA-W</v>
          </cell>
        </row>
        <row r="765">
          <cell r="A765" t="str">
            <v>WP-KIT</v>
          </cell>
        </row>
        <row r="766">
          <cell r="A766" t="str">
            <v>WPBB-R</v>
          </cell>
        </row>
        <row r="767">
          <cell r="A767" t="str">
            <v>WPSBB-R</v>
          </cell>
        </row>
        <row r="768">
          <cell r="A768" t="str">
            <v>Wheelock AH Series Horns</v>
          </cell>
        </row>
        <row r="769">
          <cell r="A769" t="str">
            <v>AH-24WP-R</v>
          </cell>
        </row>
        <row r="770">
          <cell r="A770" t="str">
            <v>Wheelock AMT Series Multi-tone Horns &amp; Horn/Strobes</v>
          </cell>
        </row>
        <row r="771">
          <cell r="A771" t="str">
            <v>AMT-241575W-FR</v>
          </cell>
        </row>
        <row r="772">
          <cell r="A772" t="str">
            <v>AMT-241575W-FW</v>
          </cell>
        </row>
        <row r="773">
          <cell r="A773" t="str">
            <v>Wheelock AS Series Horn Strobes</v>
          </cell>
        </row>
        <row r="774">
          <cell r="A774" t="str">
            <v>ASWP-2475W-FR</v>
          </cell>
        </row>
        <row r="775">
          <cell r="A775" t="str">
            <v>Wheelock Chimes and Chime Strobes</v>
          </cell>
        </row>
        <row r="776">
          <cell r="A776" t="str">
            <v>CH70-24MCW-FR</v>
          </cell>
        </row>
        <row r="777">
          <cell r="A777" t="str">
            <v>CH70-24MCW-FW</v>
          </cell>
        </row>
        <row r="778">
          <cell r="A778" t="str">
            <v>CH90-24MCC-FW</v>
          </cell>
        </row>
        <row r="779">
          <cell r="A779" t="str">
            <v>Wheelock ET Series Speaker Strobes</v>
          </cell>
        </row>
        <row r="780">
          <cell r="A780" t="str">
            <v>ET70-241575W-FR</v>
          </cell>
        </row>
        <row r="781">
          <cell r="A781" t="str">
            <v>ET70-24MCW-FR</v>
          </cell>
        </row>
        <row r="782">
          <cell r="A782" t="str">
            <v>ET70-24MCW-FW</v>
          </cell>
        </row>
        <row r="783">
          <cell r="A783" t="str">
            <v>ET70WP-2475W-FR</v>
          </cell>
        </row>
        <row r="784">
          <cell r="A784" t="str">
            <v>ET90-24MCC-FW</v>
          </cell>
        </row>
        <row r="785">
          <cell r="A785" t="str">
            <v>Wheelock ET Series Vandal Resistant Speakers</v>
          </cell>
        </row>
        <row r="786">
          <cell r="A786" t="str">
            <v>ET-1010-R</v>
          </cell>
        </row>
        <row r="787">
          <cell r="A787" t="str">
            <v>ET-1080-R</v>
          </cell>
        </row>
        <row r="788">
          <cell r="A788" t="str">
            <v>Wheelock Explosion Proof Bells</v>
          </cell>
        </row>
        <row r="789">
          <cell r="A789" t="str">
            <v>CSX10-115-R</v>
          </cell>
        </row>
        <row r="790">
          <cell r="A790" t="str">
            <v>CSXG10-115-R</v>
          </cell>
        </row>
        <row r="791">
          <cell r="A791" t="str">
            <v>CVXG10-115-R</v>
          </cell>
        </row>
        <row r="792">
          <cell r="A792" t="str">
            <v>EP109206-001</v>
          </cell>
        </row>
        <row r="793">
          <cell r="A793" t="str">
            <v>EP109206-002</v>
          </cell>
        </row>
        <row r="794">
          <cell r="A794" t="str">
            <v>Wheelock Explosion Proof Push Station</v>
          </cell>
        </row>
        <row r="795">
          <cell r="A795" t="str">
            <v>EP109211-002</v>
          </cell>
        </row>
        <row r="796">
          <cell r="A796" t="str">
            <v>Wheelock Explosion Proof Speakers</v>
          </cell>
        </row>
        <row r="797">
          <cell r="A797" t="str">
            <v>HL109208-001</v>
          </cell>
        </row>
        <row r="798">
          <cell r="A798" t="str">
            <v>HL109208-002</v>
          </cell>
        </row>
        <row r="799">
          <cell r="A799" t="str">
            <v>Wheelock Explosion Proof Strobes</v>
          </cell>
        </row>
        <row r="800">
          <cell r="A800" t="str">
            <v>EP109200-001</v>
          </cell>
        </row>
        <row r="801">
          <cell r="A801" t="str">
            <v>EP109200-002</v>
          </cell>
        </row>
        <row r="802">
          <cell r="A802" t="str">
            <v>EP109200-003</v>
          </cell>
        </row>
        <row r="803">
          <cell r="A803" t="str">
            <v>EP109200-004</v>
          </cell>
        </row>
        <row r="804">
          <cell r="A804" t="str">
            <v>EP109202-002</v>
          </cell>
        </row>
        <row r="805">
          <cell r="A805" t="str">
            <v>EP109205-001</v>
          </cell>
        </row>
        <row r="806">
          <cell r="A806" t="str">
            <v>EP109205-002</v>
          </cell>
        </row>
        <row r="807">
          <cell r="A807" t="str">
            <v>Wheelock Hazardous Location Horns</v>
          </cell>
        </row>
        <row r="808">
          <cell r="A808" t="str">
            <v>HL109207-001</v>
          </cell>
        </row>
        <row r="809">
          <cell r="A809" t="str">
            <v>HL109207-006</v>
          </cell>
        </row>
        <row r="810">
          <cell r="A810" t="str">
            <v>Wheelock Hazardous Location Push Station</v>
          </cell>
        </row>
        <row r="811">
          <cell r="A811" t="str">
            <v>HL109210-001</v>
          </cell>
        </row>
        <row r="812">
          <cell r="A812" t="str">
            <v>Wheelock Hazardous Location Speaker/Strobes</v>
          </cell>
        </row>
        <row r="813">
          <cell r="A813" t="str">
            <v>HL109202-006</v>
          </cell>
        </row>
        <row r="814">
          <cell r="A814" t="str">
            <v>HL109202-008</v>
          </cell>
        </row>
        <row r="815">
          <cell r="A815" t="str">
            <v>HL109203-005</v>
          </cell>
        </row>
        <row r="816">
          <cell r="A816" t="str">
            <v>HL109209-001</v>
          </cell>
        </row>
        <row r="817">
          <cell r="A817" t="str">
            <v>HL109209-002</v>
          </cell>
        </row>
        <row r="818">
          <cell r="A818" t="str">
            <v>HL109209-004</v>
          </cell>
        </row>
        <row r="819">
          <cell r="A819" t="str">
            <v>HL109209-007</v>
          </cell>
        </row>
        <row r="820">
          <cell r="A820" t="str">
            <v>Wheelock Hazardous Location Strobes</v>
          </cell>
        </row>
        <row r="821">
          <cell r="A821" t="str">
            <v>HL109203-001</v>
          </cell>
        </row>
        <row r="822">
          <cell r="A822" t="str">
            <v>HL109203-002</v>
          </cell>
        </row>
        <row r="823">
          <cell r="A823" t="str">
            <v>HL109204-002</v>
          </cell>
        </row>
        <row r="824">
          <cell r="A824" t="str">
            <v>HL109204-006</v>
          </cell>
        </row>
        <row r="825">
          <cell r="A825" t="str">
            <v>Wheelock Loud Speaker, Dual Voltage and Multiple Taps</v>
          </cell>
        </row>
        <row r="826">
          <cell r="A826" t="str">
            <v>HL109201-008</v>
          </cell>
        </row>
        <row r="827">
          <cell r="A827" t="str">
            <v>SHMP-R</v>
          </cell>
        </row>
        <row r="828">
          <cell r="A828" t="str">
            <v>STH-15S</v>
          </cell>
        </row>
        <row r="829">
          <cell r="A829" t="str">
            <v>STH-15SR</v>
          </cell>
        </row>
        <row r="830">
          <cell r="A830" t="str">
            <v>Wheelock MB Series Motor Bells</v>
          </cell>
        </row>
        <row r="831">
          <cell r="A831" t="str">
            <v>MB-G10-24-R</v>
          </cell>
        </row>
        <row r="832">
          <cell r="A832" t="str">
            <v>MB-G6-24-R</v>
          </cell>
        </row>
        <row r="833">
          <cell r="A833" t="str">
            <v>Wheelock MIZ Horns</v>
          </cell>
        </row>
        <row r="834">
          <cell r="A834" t="str">
            <v>MIZ-24S-R</v>
          </cell>
        </row>
        <row r="835">
          <cell r="A835" t="str">
            <v>MIZ-24S-W</v>
          </cell>
        </row>
        <row r="836">
          <cell r="A836" t="str">
            <v>Wheelock MT Series Devices</v>
          </cell>
        </row>
        <row r="837">
          <cell r="A837" t="str">
            <v>MT-12/24-R</v>
          </cell>
        </row>
        <row r="838">
          <cell r="A838" t="str">
            <v>MT-241575W-FR</v>
          </cell>
        </row>
        <row r="839">
          <cell r="A839" t="str">
            <v>MT-24MCW-FR</v>
          </cell>
        </row>
        <row r="840">
          <cell r="A840" t="str">
            <v>MT4-115-WH-VFR</v>
          </cell>
        </row>
        <row r="841">
          <cell r="A841" t="str">
            <v>MTWP-2475W-FR</v>
          </cell>
        </row>
        <row r="842">
          <cell r="A842" t="str">
            <v>Wheelock RSS Series Strobes  &amp; RSSP Retro t Plates</v>
          </cell>
        </row>
        <row r="843">
          <cell r="A843" t="str">
            <v>RSS-241575W-FR</v>
          </cell>
        </row>
        <row r="844">
          <cell r="A844" t="str">
            <v>RSSP-121575W-FR</v>
          </cell>
        </row>
        <row r="845">
          <cell r="A845" t="str">
            <v>RSSP-24MCW-FR</v>
          </cell>
        </row>
        <row r="846">
          <cell r="A846" t="str">
            <v>RSSWP-2475W-FR</v>
          </cell>
        </row>
        <row r="847">
          <cell r="A847" t="str">
            <v>Wheelock Speaker Strobes</v>
          </cell>
        </row>
        <row r="848">
          <cell r="A848" t="str">
            <v>E50-241575W-FR</v>
          </cell>
        </row>
        <row r="849">
          <cell r="A849" t="str">
            <v>E50-241575W-FW</v>
          </cell>
        </row>
        <row r="850">
          <cell r="A850" t="str">
            <v>E50-24MCW-FR</v>
          </cell>
        </row>
        <row r="851">
          <cell r="A851" t="str">
            <v>E50-24MCW-FW</v>
          </cell>
        </row>
        <row r="852">
          <cell r="A852" t="str">
            <v>E50-24MCWH-FR</v>
          </cell>
        </row>
        <row r="853">
          <cell r="A853" t="str">
            <v>E50-24MCWH-FW</v>
          </cell>
        </row>
        <row r="854">
          <cell r="A854" t="str">
            <v>E60-24MCC-FR</v>
          </cell>
        </row>
        <row r="855">
          <cell r="A855" t="str">
            <v>E60-24MCC-FW</v>
          </cell>
        </row>
        <row r="856">
          <cell r="A856" t="str">
            <v>E60-24MCCH-FR</v>
          </cell>
        </row>
        <row r="857">
          <cell r="A857" t="str">
            <v>E60-24MCCH-FW</v>
          </cell>
        </row>
        <row r="858">
          <cell r="A858" t="str">
            <v>E70-241575W-FR</v>
          </cell>
        </row>
        <row r="859">
          <cell r="A859" t="str">
            <v>E70-24MCC-FW</v>
          </cell>
        </row>
        <row r="860">
          <cell r="A860" t="str">
            <v>E70-24MCW-FR</v>
          </cell>
        </row>
        <row r="861">
          <cell r="A861" t="str">
            <v>E70-24MCW-FW</v>
          </cell>
        </row>
        <row r="862">
          <cell r="A862" t="str">
            <v>E70-24MCWH-FR</v>
          </cell>
        </row>
        <row r="863">
          <cell r="A863" t="str">
            <v>E70-24MCWH-FW</v>
          </cell>
        </row>
        <row r="864">
          <cell r="A864" t="str">
            <v>E90-24MCC-FW</v>
          </cell>
        </row>
        <row r="865">
          <cell r="A865" t="str">
            <v>E90-24MCCH-FW</v>
          </cell>
        </row>
        <row r="866">
          <cell r="A866" t="str">
            <v>Wheelock Speakers</v>
          </cell>
        </row>
        <row r="867">
          <cell r="A867" t="str">
            <v>E50-R</v>
          </cell>
        </row>
        <row r="868">
          <cell r="A868" t="str">
            <v>E50-W</v>
          </cell>
        </row>
        <row r="869">
          <cell r="A869" t="str">
            <v>E60-R</v>
          </cell>
        </row>
        <row r="870">
          <cell r="A870" t="str">
            <v>E60-W</v>
          </cell>
        </row>
        <row r="871">
          <cell r="A871" t="str">
            <v>E60EXT-R</v>
          </cell>
        </row>
        <row r="872">
          <cell r="A872" t="str">
            <v>E60EXT-W</v>
          </cell>
        </row>
        <row r="873">
          <cell r="A873" t="str">
            <v>E70-R</v>
          </cell>
        </row>
        <row r="874">
          <cell r="A874" t="str">
            <v>E90-R</v>
          </cell>
        </row>
        <row r="875">
          <cell r="A875" t="str">
            <v>E90-W</v>
          </cell>
        </row>
        <row r="876">
          <cell r="A876" t="str">
            <v>ET70-R</v>
          </cell>
        </row>
        <row r="877">
          <cell r="A877" t="str">
            <v>ET70-W</v>
          </cell>
        </row>
        <row r="878">
          <cell r="A878" t="str">
            <v>ET90-W</v>
          </cell>
        </row>
        <row r="879">
          <cell r="A879" t="str">
            <v>Wheelock WH Series Remote Strobe</v>
          </cell>
        </row>
        <row r="880">
          <cell r="A880" t="str">
            <v>WH1T-115-NS</v>
          </cell>
        </row>
        <row r="881">
          <cell r="A881" t="str">
            <v>Wheelock Hazardous Location Strobes</v>
          </cell>
        </row>
        <row r="882">
          <cell r="A882" t="str">
            <v>HL109201-003</v>
          </cell>
        </row>
        <row r="883">
          <cell r="A883" t="str">
            <v>HL109201-007</v>
          </cell>
        </row>
        <row r="884">
          <cell r="A884" t="str">
            <v>HL109204-001</v>
          </cell>
        </row>
        <row r="885">
          <cell r="A885" t="str">
            <v>HL109209-003</v>
          </cell>
        </row>
        <row r="886">
          <cell r="A886" t="str">
            <v>HL109201-002</v>
          </cell>
        </row>
        <row r="887">
          <cell r="A887" t="str">
            <v>HL109204-003</v>
          </cell>
        </row>
        <row r="888">
          <cell r="A888" t="str">
            <v>HL109202-005</v>
          </cell>
        </row>
        <row r="889">
          <cell r="A889" t="str">
            <v>HL109202-003</v>
          </cell>
        </row>
        <row r="890">
          <cell r="A890" t="str">
            <v>HL109202-004</v>
          </cell>
        </row>
        <row r="891">
          <cell r="A891" t="str">
            <v>HL109204-005</v>
          </cell>
        </row>
        <row r="892">
          <cell r="A892" t="str">
            <v>HL109202-007</v>
          </cell>
        </row>
        <row r="893">
          <cell r="A893" t="str">
            <v>HL109201-001</v>
          </cell>
        </row>
        <row r="894">
          <cell r="A894" t="str">
            <v>HL109202-001</v>
          </cell>
        </row>
        <row r="895">
          <cell r="A895" t="str">
            <v>Noti cation Appliance Devices</v>
          </cell>
        </row>
        <row r="896">
          <cell r="A896" t="str">
            <v>SpectrAlert Advance Horns</v>
          </cell>
        </row>
        <row r="897">
          <cell r="A897" t="str">
            <v>HR</v>
          </cell>
        </row>
        <row r="898">
          <cell r="A898" t="str">
            <v>HRK</v>
          </cell>
        </row>
        <row r="899">
          <cell r="A899" t="str">
            <v>HRK-R</v>
          </cell>
        </row>
        <row r="900">
          <cell r="A900" t="str">
            <v>HW</v>
          </cell>
        </row>
        <row r="901">
          <cell r="A901" t="str">
            <v>SpectrAlert Advance Strobes, Ceiling Mount</v>
          </cell>
        </row>
        <row r="902">
          <cell r="A902" t="str">
            <v>SCR</v>
          </cell>
        </row>
        <row r="903">
          <cell r="A903" t="str">
            <v>SCRH</v>
          </cell>
        </row>
        <row r="904">
          <cell r="A904" t="str">
            <v>SCRHK</v>
          </cell>
        </row>
        <row r="905">
          <cell r="A905" t="str">
            <v>SCRK</v>
          </cell>
        </row>
        <row r="906">
          <cell r="A906" t="str">
            <v>SCW</v>
          </cell>
        </row>
        <row r="907">
          <cell r="A907" t="str">
            <v>SCW-P</v>
          </cell>
        </row>
        <row r="908">
          <cell r="A908" t="str">
            <v>SCWH</v>
          </cell>
        </row>
        <row r="909">
          <cell r="A909" t="str">
            <v>SpectrAlert Advance Strobes, Wall Mount</v>
          </cell>
        </row>
        <row r="910">
          <cell r="A910" t="str">
            <v>SR-P</v>
          </cell>
        </row>
        <row r="911">
          <cell r="A911" t="str">
            <v>SRH</v>
          </cell>
        </row>
        <row r="912">
          <cell r="A912" t="str">
            <v>SRH-P</v>
          </cell>
        </row>
        <row r="913">
          <cell r="A913" t="str">
            <v>SRHK</v>
          </cell>
        </row>
        <row r="914">
          <cell r="A914" t="str">
            <v>SRHK-R</v>
          </cell>
        </row>
        <row r="915">
          <cell r="A915" t="str">
            <v>SRK</v>
          </cell>
        </row>
        <row r="916">
          <cell r="A916" t="str">
            <v>SRK-R</v>
          </cell>
        </row>
        <row r="917">
          <cell r="A917" t="str">
            <v>SW</v>
          </cell>
        </row>
        <row r="918">
          <cell r="A918" t="str">
            <v>SW-P</v>
          </cell>
        </row>
        <row r="919">
          <cell r="A919" t="str">
            <v>SWH</v>
          </cell>
        </row>
        <row r="920">
          <cell r="A920" t="str">
            <v>SWH-P</v>
          </cell>
        </row>
        <row r="921">
          <cell r="A921" t="str">
            <v>SSD Accessories</v>
          </cell>
        </row>
        <row r="922">
          <cell r="A922" t="str">
            <v>BB-STD</v>
          </cell>
        </row>
        <row r="923">
          <cell r="A923" t="str">
            <v>WBB</v>
          </cell>
        </row>
        <row r="924">
          <cell r="A924" t="str">
            <v>SSD - Mini Piezo Horns, Wall Mount</v>
          </cell>
        </row>
        <row r="925">
          <cell r="A925" t="str">
            <v>MHR</v>
          </cell>
        </row>
        <row r="926">
          <cell r="A926" t="str">
            <v>MHW</v>
          </cell>
        </row>
        <row r="927">
          <cell r="A927" t="str">
            <v>System Sensor Electric Alarm Bells</v>
          </cell>
        </row>
        <row r="928">
          <cell r="A928" t="str">
            <v>SSM24-10</v>
          </cell>
        </row>
        <row r="929">
          <cell r="A929" t="str">
            <v>SSM24-6</v>
          </cell>
        </row>
        <row r="930">
          <cell r="A930" t="str">
            <v>SSM24-8</v>
          </cell>
        </row>
        <row r="931">
          <cell r="A931" t="str">
            <v>System Sensor Multi Voltage Control Relays</v>
          </cell>
        </row>
        <row r="932">
          <cell r="A932" t="str">
            <v>PR-1</v>
          </cell>
        </row>
        <row r="933">
          <cell r="A933" t="str">
            <v>PR-2</v>
          </cell>
        </row>
        <row r="934">
          <cell r="A934" t="str">
            <v>PR-3</v>
          </cell>
        </row>
        <row r="935">
          <cell r="A935" t="str">
            <v>R-10E</v>
          </cell>
        </row>
        <row r="936">
          <cell r="A936" t="str">
            <v>R-10T</v>
          </cell>
        </row>
        <row r="937">
          <cell r="A937" t="str">
            <v>R-14E</v>
          </cell>
        </row>
        <row r="938">
          <cell r="A938" t="str">
            <v>R-14T</v>
          </cell>
        </row>
        <row r="939">
          <cell r="A939" t="str">
            <v>R-20E</v>
          </cell>
        </row>
        <row r="940">
          <cell r="A940" t="str">
            <v>R-20T</v>
          </cell>
        </row>
        <row r="941">
          <cell r="A941" t="str">
            <v>R-24E</v>
          </cell>
        </row>
        <row r="942">
          <cell r="A942" t="str">
            <v>R-24T</v>
          </cell>
        </row>
        <row r="943">
          <cell r="A943" t="str">
            <v>SpectrAlert Advance 2 Wire Horn/Strobes</v>
          </cell>
        </row>
        <row r="944">
          <cell r="A944" t="str">
            <v>BBS-2</v>
          </cell>
        </row>
        <row r="945">
          <cell r="A945" t="str">
            <v>BBSC-2</v>
          </cell>
        </row>
        <row r="946">
          <cell r="A946" t="str">
            <v>BBSCW-2</v>
          </cell>
        </row>
        <row r="947">
          <cell r="A947" t="str">
            <v>BBSW-2</v>
          </cell>
        </row>
        <row r="948">
          <cell r="A948" t="str">
            <v>CHR</v>
          </cell>
        </row>
        <row r="949">
          <cell r="A949" t="str">
            <v>CHSR</v>
          </cell>
        </row>
        <row r="950">
          <cell r="A950" t="str">
            <v>CHSW</v>
          </cell>
        </row>
        <row r="951">
          <cell r="A951" t="str">
            <v>CHW</v>
          </cell>
        </row>
        <row r="952">
          <cell r="A952" t="str">
            <v>MP120K</v>
          </cell>
        </row>
        <row r="953">
          <cell r="A953" t="str">
            <v>P2R</v>
          </cell>
        </row>
        <row r="954">
          <cell r="A954" t="str">
            <v>P2R-P</v>
          </cell>
        </row>
        <row r="955">
          <cell r="A955" t="str">
            <v>P2RH</v>
          </cell>
        </row>
        <row r="956">
          <cell r="A956" t="str">
            <v>P2RHK</v>
          </cell>
        </row>
        <row r="957">
          <cell r="A957" t="str">
            <v>P2RHK-120</v>
          </cell>
        </row>
        <row r="958">
          <cell r="A958" t="str">
            <v>P2RHK-R</v>
          </cell>
        </row>
        <row r="959">
          <cell r="A959" t="str">
            <v>P2RK</v>
          </cell>
        </row>
        <row r="960">
          <cell r="A960" t="str">
            <v>P2RK-R</v>
          </cell>
        </row>
        <row r="961">
          <cell r="A961" t="str">
            <v>P2W</v>
          </cell>
        </row>
        <row r="962">
          <cell r="A962" t="str">
            <v>P2W-P</v>
          </cell>
        </row>
        <row r="963">
          <cell r="A963" t="str">
            <v>P2WH</v>
          </cell>
        </row>
        <row r="964">
          <cell r="A964" t="str">
            <v>P2WH-P</v>
          </cell>
        </row>
        <row r="965">
          <cell r="A965" t="str">
            <v>P4R</v>
          </cell>
        </row>
        <row r="966">
          <cell r="A966" t="str">
            <v>P4RH</v>
          </cell>
        </row>
        <row r="967">
          <cell r="A967" t="str">
            <v>P4RK</v>
          </cell>
        </row>
        <row r="968">
          <cell r="A968" t="str">
            <v>P4RK-R</v>
          </cell>
        </row>
        <row r="969">
          <cell r="A969" t="str">
            <v>P4W</v>
          </cell>
        </row>
        <row r="970">
          <cell r="A970" t="str">
            <v>PC2R</v>
          </cell>
        </row>
        <row r="971">
          <cell r="A971" t="str">
            <v>PC2R-P</v>
          </cell>
        </row>
        <row r="972">
          <cell r="A972" t="str">
            <v>PC2RH</v>
          </cell>
        </row>
        <row r="973">
          <cell r="A973" t="str">
            <v>PC2RHK</v>
          </cell>
        </row>
        <row r="974">
          <cell r="A974" t="str">
            <v>PC2RK</v>
          </cell>
        </row>
        <row r="975">
          <cell r="A975" t="str">
            <v>PC2W</v>
          </cell>
        </row>
        <row r="976">
          <cell r="A976" t="str">
            <v>PC2W-P</v>
          </cell>
        </row>
        <row r="977">
          <cell r="A977" t="str">
            <v>PC2WH</v>
          </cell>
        </row>
        <row r="978">
          <cell r="A978" t="str">
            <v>PC2WH-P</v>
          </cell>
        </row>
        <row r="979">
          <cell r="A979" t="str">
            <v>PC4R</v>
          </cell>
        </row>
        <row r="980">
          <cell r="A980" t="str">
            <v>PC4RH</v>
          </cell>
        </row>
        <row r="981">
          <cell r="A981" t="str">
            <v>PC4W</v>
          </cell>
        </row>
        <row r="982">
          <cell r="A982" t="str">
            <v>SA-WBB</v>
          </cell>
        </row>
        <row r="983">
          <cell r="A983" t="str">
            <v>SA-WBBC</v>
          </cell>
        </row>
        <row r="984">
          <cell r="A984" t="str">
            <v>SYNC-1</v>
          </cell>
        </row>
        <row r="985">
          <cell r="A985" t="str">
            <v>TR-HS</v>
          </cell>
        </row>
        <row r="986">
          <cell r="A986" t="str">
            <v>TRC-HS</v>
          </cell>
        </row>
        <row r="987">
          <cell r="A987" t="str">
            <v>TRCW-HS</v>
          </cell>
        </row>
        <row r="988">
          <cell r="A988" t="str">
            <v>PF24V</v>
          </cell>
        </row>
        <row r="989">
          <cell r="A989" t="str">
            <v>System Sensor Voice</v>
          </cell>
        </row>
        <row r="990">
          <cell r="A990" t="str">
            <v>Noti cation Appliance Devices</v>
          </cell>
        </row>
        <row r="991">
          <cell r="A991" t="str">
            <v>System Sensor SpectrAlert Advance Ceiling Speakers</v>
          </cell>
        </row>
        <row r="992">
          <cell r="A992" t="str">
            <v>MWBB</v>
          </cell>
        </row>
        <row r="993">
          <cell r="A993" t="str">
            <v>MWBBCW</v>
          </cell>
        </row>
        <row r="994">
          <cell r="A994" t="str">
            <v>MWBBW</v>
          </cell>
        </row>
        <row r="995">
          <cell r="A995" t="str">
            <v>RFP</v>
          </cell>
        </row>
        <row r="996">
          <cell r="A996" t="str">
            <v>RFPW</v>
          </cell>
        </row>
        <row r="997">
          <cell r="A997" t="str">
            <v>SPBBS</v>
          </cell>
        </row>
        <row r="998">
          <cell r="A998" t="str">
            <v>SPBBSC</v>
          </cell>
        </row>
        <row r="999">
          <cell r="A999" t="str">
            <v>SPBBSCW</v>
          </cell>
        </row>
        <row r="1000">
          <cell r="A1000" t="str">
            <v>SPBBSW</v>
          </cell>
        </row>
        <row r="1001">
          <cell r="A1001" t="str">
            <v>SPCR</v>
          </cell>
        </row>
        <row r="1002">
          <cell r="A1002" t="str">
            <v>SPCRV</v>
          </cell>
        </row>
        <row r="1003">
          <cell r="A1003" t="str">
            <v>SPCW</v>
          </cell>
        </row>
        <row r="1004">
          <cell r="A1004" t="str">
            <v>SPCWK</v>
          </cell>
        </row>
        <row r="1005">
          <cell r="A1005" t="str">
            <v>SPCWV</v>
          </cell>
        </row>
        <row r="1006">
          <cell r="A1006" t="str">
            <v>SPSCR</v>
          </cell>
        </row>
        <row r="1007">
          <cell r="A1007" t="str">
            <v>SPSCRH</v>
          </cell>
        </row>
        <row r="1008">
          <cell r="A1008" t="str">
            <v>SPSCRV</v>
          </cell>
        </row>
        <row r="1009">
          <cell r="A1009" t="str">
            <v>SPSCRVH</v>
          </cell>
        </row>
        <row r="1010">
          <cell r="A1010" t="str">
            <v>SPSCW</v>
          </cell>
        </row>
        <row r="1011">
          <cell r="A1011" t="str">
            <v>SPSCW-P</v>
          </cell>
        </row>
        <row r="1012">
          <cell r="A1012" t="str">
            <v>SPSCWH</v>
          </cell>
        </row>
        <row r="1013">
          <cell r="A1013" t="str">
            <v>SPSCWH-P</v>
          </cell>
        </row>
        <row r="1014">
          <cell r="A1014" t="str">
            <v>SPSCWHK</v>
          </cell>
        </row>
        <row r="1015">
          <cell r="A1015" t="str">
            <v>SPSCWK</v>
          </cell>
        </row>
        <row r="1016">
          <cell r="A1016" t="str">
            <v>SPSCWV</v>
          </cell>
        </row>
        <row r="1017">
          <cell r="A1017" t="str">
            <v>SPSCWV-P</v>
          </cell>
        </row>
        <row r="1018">
          <cell r="A1018" t="str">
            <v>SPSCWVH</v>
          </cell>
        </row>
        <row r="1019">
          <cell r="A1019" t="str">
            <v>SPSCWVH-P</v>
          </cell>
        </row>
        <row r="1020">
          <cell r="A1020" t="str">
            <v>TR</v>
          </cell>
        </row>
        <row r="1021">
          <cell r="A1021" t="str">
            <v>TRC</v>
          </cell>
        </row>
        <row r="1022">
          <cell r="A1022" t="str">
            <v>TRCW</v>
          </cell>
        </row>
        <row r="1023">
          <cell r="A1023" t="str">
            <v>TRW</v>
          </cell>
        </row>
        <row r="1024">
          <cell r="A1024" t="str">
            <v>System Sensor SpectrAlert Advance Wall Speakers</v>
          </cell>
        </row>
        <row r="1025">
          <cell r="A1025" t="str">
            <v>SPR</v>
          </cell>
        </row>
        <row r="1026">
          <cell r="A1026" t="str">
            <v>SPRK</v>
          </cell>
        </row>
        <row r="1027">
          <cell r="A1027" t="str">
            <v>SPRV</v>
          </cell>
        </row>
        <row r="1028">
          <cell r="A1028" t="str">
            <v>SPSR</v>
          </cell>
        </row>
        <row r="1029">
          <cell r="A1029" t="str">
            <v>SPSR-P</v>
          </cell>
        </row>
        <row r="1030">
          <cell r="A1030" t="str">
            <v>SPSRH</v>
          </cell>
        </row>
        <row r="1031">
          <cell r="A1031" t="str">
            <v>SPSRH-P</v>
          </cell>
        </row>
        <row r="1032">
          <cell r="A1032" t="str">
            <v>SPSRK</v>
          </cell>
        </row>
        <row r="1033">
          <cell r="A1033" t="str">
            <v>SPSRV</v>
          </cell>
        </row>
        <row r="1034">
          <cell r="A1034" t="str">
            <v>SPSRV-P</v>
          </cell>
        </row>
        <row r="1035">
          <cell r="A1035" t="str">
            <v>SPSW</v>
          </cell>
        </row>
        <row r="1036">
          <cell r="A1036" t="str">
            <v>SPSW-P</v>
          </cell>
        </row>
        <row r="1037">
          <cell r="A1037" t="str">
            <v>SPSWH</v>
          </cell>
        </row>
        <row r="1038">
          <cell r="A1038" t="str">
            <v>SPSWH-P</v>
          </cell>
        </row>
        <row r="1039">
          <cell r="A1039" t="str">
            <v>SPSWK</v>
          </cell>
        </row>
        <row r="1040">
          <cell r="A1040" t="str">
            <v>SPSWV</v>
          </cell>
        </row>
        <row r="1041">
          <cell r="A1041" t="str">
            <v>SPSWV-P</v>
          </cell>
        </row>
        <row r="1042">
          <cell r="A1042" t="str">
            <v>SPW</v>
          </cell>
        </row>
        <row r="1043">
          <cell r="A1043" t="str">
            <v>SPWK</v>
          </cell>
        </row>
        <row r="1044">
          <cell r="A1044" t="str">
            <v>SPWV</v>
          </cell>
        </row>
      </sheetData>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S BOQ"/>
      <sheetName val="DATABASE"/>
      <sheetName val="Sheet1"/>
    </sheetNames>
    <sheetDataSet>
      <sheetData sheetId="0" refreshError="1"/>
      <sheetData sheetId="1">
        <row r="3">
          <cell r="A3" t="str">
            <v>ONYX NFS2-3030 Fire Alarm Control Panel</v>
          </cell>
        </row>
        <row r="4">
          <cell r="A4" t="str">
            <v>AMPS-24</v>
          </cell>
        </row>
        <row r="5">
          <cell r="A5" t="str">
            <v>AMPS-24E</v>
          </cell>
        </row>
        <row r="6">
          <cell r="A6" t="str">
            <v>CHS-M3</v>
          </cell>
        </row>
        <row r="7">
          <cell r="A7" t="str">
            <v>CPU2-3030D</v>
          </cell>
        </row>
        <row r="8">
          <cell r="A8" t="str">
            <v>CPU2-3030ND</v>
          </cell>
        </row>
        <row r="9">
          <cell r="A9" t="str">
            <v>DP-DISP</v>
          </cell>
        </row>
        <row r="10">
          <cell r="A10" t="str">
            <v>LCM-320</v>
          </cell>
        </row>
        <row r="11">
          <cell r="A11" t="str">
            <v>LEM-320</v>
          </cell>
        </row>
        <row r="12">
          <cell r="A12" t="str">
            <v>ONYX NFS2-640 Fire Alarm Control Panel</v>
          </cell>
        </row>
        <row r="13">
          <cell r="A13" t="str">
            <v>CHS-M2</v>
          </cell>
        </row>
        <row r="14">
          <cell r="A14" t="str">
            <v>CPU2-640</v>
          </cell>
        </row>
        <row r="15">
          <cell r="A15" t="str">
            <v>CPU2-640E</v>
          </cell>
        </row>
        <row r="16">
          <cell r="A16" t="str">
            <v>DP-DISP2</v>
          </cell>
        </row>
        <row r="17">
          <cell r="A17" t="str">
            <v>KDM-R2</v>
          </cell>
        </row>
        <row r="18">
          <cell r="A18" t="str">
            <v>NFS-320 Analog Fire Panel and Accessories</v>
          </cell>
        </row>
        <row r="19">
          <cell r="A19" t="str">
            <v>NFS-320</v>
          </cell>
        </row>
        <row r="20">
          <cell r="A20" t="str">
            <v>NFS-320E</v>
          </cell>
        </row>
        <row r="21">
          <cell r="A21" t="str">
            <v>NFS-320R</v>
          </cell>
        </row>
        <row r="22">
          <cell r="A22" t="str">
            <v>Network Control Annunciators</v>
          </cell>
        </row>
        <row r="23">
          <cell r="A23" t="str">
            <v>NCA</v>
          </cell>
        </row>
        <row r="24">
          <cell r="A24" t="str">
            <v>NCA-2</v>
          </cell>
        </row>
        <row r="25">
          <cell r="A25" t="str">
            <v>NCA-2RETRO</v>
          </cell>
        </row>
        <row r="26">
          <cell r="A26" t="str">
            <v>NCA/640-2-KIT</v>
          </cell>
        </row>
        <row r="27">
          <cell r="A27" t="str">
            <v>Intelligent Panel Programming Utilities</v>
          </cell>
        </row>
        <row r="28">
          <cell r="A28" t="str">
            <v>VERIFIRE-CD</v>
          </cell>
        </row>
        <row r="29">
          <cell r="A29" t="str">
            <v>VERIFIRE-CDUG</v>
          </cell>
        </row>
        <row r="30">
          <cell r="A30" t="str">
            <v>VERIFIRE-HK</v>
          </cell>
        </row>
        <row r="31">
          <cell r="A31" t="str">
            <v>VERIFIRE-TCD</v>
          </cell>
        </row>
        <row r="32">
          <cell r="A32" t="str">
            <v>VERIFIREUG-1020</v>
          </cell>
        </row>
        <row r="33">
          <cell r="A33" t="str">
            <v>VERIFIREUG-TCD</v>
          </cell>
        </row>
        <row r="34">
          <cell r="A34" t="str">
            <v>FIRSTVISION - Fire Fighters Display</v>
          </cell>
        </row>
        <row r="35">
          <cell r="A35" t="str">
            <v>FIRSTVISION-ENC</v>
          </cell>
        </row>
        <row r="36">
          <cell r="A36" t="str">
            <v>FIRSTVISION-LCD</v>
          </cell>
        </row>
        <row r="37">
          <cell r="A37" t="str">
            <v>FlashScan Addressable Devices</v>
          </cell>
        </row>
        <row r="38">
          <cell r="A38" t="str">
            <v>B200S</v>
          </cell>
        </row>
        <row r="39">
          <cell r="A39" t="str">
            <v>B200SR</v>
          </cell>
        </row>
        <row r="40">
          <cell r="A40" t="str">
            <v>B224BI</v>
          </cell>
        </row>
        <row r="41">
          <cell r="A41" t="str">
            <v>B224RB</v>
          </cell>
        </row>
        <row r="42">
          <cell r="A42" t="str">
            <v>B501</v>
          </cell>
        </row>
        <row r="43">
          <cell r="A43" t="str">
            <v>B501BP</v>
          </cell>
        </row>
        <row r="44">
          <cell r="A44" t="str">
            <v>DNR</v>
          </cell>
        </row>
        <row r="45">
          <cell r="A45" t="str">
            <v>DST1</v>
          </cell>
        </row>
        <row r="46">
          <cell r="A46" t="str">
            <v>DST1.5</v>
          </cell>
        </row>
        <row r="47">
          <cell r="A47" t="str">
            <v>DST10</v>
          </cell>
        </row>
        <row r="48">
          <cell r="A48" t="str">
            <v>DST3</v>
          </cell>
        </row>
        <row r="49">
          <cell r="A49" t="str">
            <v>DST5</v>
          </cell>
        </row>
        <row r="50">
          <cell r="A50" t="str">
            <v>FAPT-851</v>
          </cell>
        </row>
        <row r="51">
          <cell r="A51" t="str">
            <v>FCM-1</v>
          </cell>
        </row>
        <row r="52">
          <cell r="A52" t="str">
            <v>FCM-1-REL</v>
          </cell>
        </row>
        <row r="53">
          <cell r="A53" t="str">
            <v>FDM-1</v>
          </cell>
        </row>
        <row r="54">
          <cell r="A54" t="str">
            <v>FMM-1</v>
          </cell>
        </row>
        <row r="55">
          <cell r="A55" t="str">
            <v>FMM-101</v>
          </cell>
        </row>
        <row r="56">
          <cell r="A56" t="str">
            <v>FMM-4-20</v>
          </cell>
        </row>
        <row r="57">
          <cell r="A57" t="str">
            <v>FRM-1</v>
          </cell>
        </row>
        <row r="58">
          <cell r="A58" t="str">
            <v>FSB-200</v>
          </cell>
        </row>
        <row r="59">
          <cell r="A59" t="str">
            <v>FSB-200S</v>
          </cell>
        </row>
        <row r="60">
          <cell r="A60" t="str">
            <v>FSC-851</v>
          </cell>
        </row>
        <row r="61">
          <cell r="A61" t="str">
            <v>FSI-851</v>
          </cell>
        </row>
        <row r="62">
          <cell r="A62" t="str">
            <v>FSL-751</v>
          </cell>
        </row>
        <row r="63">
          <cell r="A63" t="str">
            <v>FSP-851</v>
          </cell>
        </row>
        <row r="64">
          <cell r="A64" t="str">
            <v>FSP-851R</v>
          </cell>
        </row>
        <row r="65">
          <cell r="A65" t="str">
            <v>FSP-851T</v>
          </cell>
        </row>
        <row r="66">
          <cell r="A66" t="str">
            <v>FST-851</v>
          </cell>
        </row>
        <row r="67">
          <cell r="A67" t="str">
            <v>FST-851H</v>
          </cell>
        </row>
        <row r="68">
          <cell r="A68" t="str">
            <v>FST-851R</v>
          </cell>
        </row>
        <row r="69">
          <cell r="A69" t="str">
            <v>FTM-1</v>
          </cell>
        </row>
        <row r="70">
          <cell r="A70" t="str">
            <v>FZM-1</v>
          </cell>
        </row>
        <row r="71">
          <cell r="A71" t="str">
            <v>ISO-X</v>
          </cell>
        </row>
        <row r="72">
          <cell r="A72" t="str">
            <v>LPX-751L</v>
          </cell>
        </row>
        <row r="73">
          <cell r="A73" t="str">
            <v>NBG-12LX</v>
          </cell>
        </row>
        <row r="74">
          <cell r="A74" t="str">
            <v>NBG-12LXBL</v>
          </cell>
        </row>
        <row r="75">
          <cell r="A75" t="str">
            <v>NBG-12LXP</v>
          </cell>
        </row>
        <row r="76">
          <cell r="A76" t="str">
            <v>RTS151</v>
          </cell>
        </row>
        <row r="77">
          <cell r="A77" t="str">
            <v>RTS151KEY</v>
          </cell>
        </row>
        <row r="78">
          <cell r="A78" t="str">
            <v>SMB500</v>
          </cell>
        </row>
        <row r="79">
          <cell r="A79" t="str">
            <v>XP10-M</v>
          </cell>
        </row>
        <row r="80">
          <cell r="A80" t="str">
            <v>XP6-C</v>
          </cell>
        </row>
        <row r="81">
          <cell r="A81" t="str">
            <v>XP6-MA</v>
          </cell>
        </row>
        <row r="82">
          <cell r="A82" t="str">
            <v>XP6-R</v>
          </cell>
        </row>
        <row r="83">
          <cell r="A83" t="str">
            <v>FCO-851</v>
          </cell>
        </row>
        <row r="85">
          <cell r="A85" t="str">
            <v>B501-IN</v>
          </cell>
        </row>
        <row r="86">
          <cell r="A86" t="str">
            <v>FAPT-851-IN</v>
          </cell>
        </row>
        <row r="87">
          <cell r="A87" t="str">
            <v>FCM-1-IN</v>
          </cell>
        </row>
        <row r="88">
          <cell r="A88" t="str">
            <v>FMM-1-IN</v>
          </cell>
        </row>
        <row r="89">
          <cell r="A89" t="str">
            <v>FRM-1-IN</v>
          </cell>
        </row>
        <row r="90">
          <cell r="A90" t="str">
            <v>FSP-851-IN</v>
          </cell>
        </row>
        <row r="91">
          <cell r="A91" t="str">
            <v>FSP-851T-IN</v>
          </cell>
        </row>
        <row r="92">
          <cell r="A92" t="str">
            <v>FST-851-IN</v>
          </cell>
        </row>
        <row r="93">
          <cell r="A93" t="str">
            <v>FST-851H-IN</v>
          </cell>
        </row>
        <row r="95">
          <cell r="A95" t="str">
            <v>FZM-1-IN</v>
          </cell>
        </row>
        <row r="96">
          <cell r="A96" t="str">
            <v>ISO-X-IN</v>
          </cell>
        </row>
        <row r="97">
          <cell r="A97" t="str">
            <v>FireWarden Addressable Fire Panels</v>
          </cell>
        </row>
        <row r="98">
          <cell r="A98" t="str">
            <v>NFW-50</v>
          </cell>
        </row>
        <row r="99">
          <cell r="A99" t="str">
            <v>NFW-50R</v>
          </cell>
        </row>
        <row r="100">
          <cell r="A100" t="str">
            <v>NFW2-100</v>
          </cell>
        </row>
        <row r="101">
          <cell r="A101" t="str">
            <v>NFW2-100E</v>
          </cell>
        </row>
        <row r="102">
          <cell r="A102" t="str">
            <v>NFW2-100R</v>
          </cell>
        </row>
        <row r="103">
          <cell r="A103" t="str">
            <v>FireWarden Accessories</v>
          </cell>
        </row>
        <row r="104">
          <cell r="A104" t="str">
            <v>ANN-MBRLY</v>
          </cell>
        </row>
        <row r="105">
          <cell r="A105" t="str">
            <v>DP-51050B</v>
          </cell>
        </row>
        <row r="106">
          <cell r="A106" t="str">
            <v>DP-9692B</v>
          </cell>
        </row>
        <row r="107">
          <cell r="A107" t="str">
            <v>N-ANN-80</v>
          </cell>
        </row>
        <row r="108">
          <cell r="A108" t="str">
            <v>N-ANN-80-W</v>
          </cell>
        </row>
        <row r="109">
          <cell r="A109" t="str">
            <v>N-ANN-I/O</v>
          </cell>
        </row>
        <row r="110">
          <cell r="A110" t="str">
            <v>N-ANN-LED</v>
          </cell>
        </row>
        <row r="111">
          <cell r="A111" t="str">
            <v>N-ANN-LED-R</v>
          </cell>
        </row>
        <row r="112">
          <cell r="A112" t="str">
            <v>N-ANN-LED-W</v>
          </cell>
        </row>
        <row r="113">
          <cell r="A113" t="str">
            <v>N-ANN-RLED</v>
          </cell>
        </row>
        <row r="114">
          <cell r="A114" t="str">
            <v>N-ANN-RLED-R</v>
          </cell>
        </row>
        <row r="115">
          <cell r="A115" t="str">
            <v>N-ANN-RLED-W</v>
          </cell>
        </row>
        <row r="116">
          <cell r="A116" t="str">
            <v>N-ANN-RLY</v>
          </cell>
        </row>
        <row r="117">
          <cell r="A117" t="str">
            <v>N-ANN-S/PG</v>
          </cell>
        </row>
        <row r="118">
          <cell r="A118" t="str">
            <v>N-FPJ</v>
          </cell>
        </row>
        <row r="119">
          <cell r="A119" t="str">
            <v>NFW-50RB</v>
          </cell>
        </row>
        <row r="120">
          <cell r="A120" t="str">
            <v>NFW-TR</v>
          </cell>
        </row>
        <row r="121">
          <cell r="A121" t="str">
            <v>PRT/PK-CABLE</v>
          </cell>
        </row>
        <row r="122">
          <cell r="A122" t="str">
            <v>TR-CE</v>
          </cell>
        </row>
        <row r="123">
          <cell r="A123" t="str">
            <v>TR-CE-B</v>
          </cell>
        </row>
        <row r="124">
          <cell r="A124" t="str">
            <v>VFWARDEN-CD</v>
          </cell>
        </row>
        <row r="125">
          <cell r="A125" t="str">
            <v>FireWarden Devices</v>
          </cell>
        </row>
        <row r="126">
          <cell r="A126" t="str">
            <v>N100-ISO</v>
          </cell>
        </row>
        <row r="127">
          <cell r="A127" t="str">
            <v>NC-100</v>
          </cell>
        </row>
        <row r="128">
          <cell r="A128" t="str">
            <v>NC-100R</v>
          </cell>
        </row>
        <row r="129">
          <cell r="A129" t="str">
            <v>NDM-100</v>
          </cell>
        </row>
        <row r="130">
          <cell r="A130" t="str">
            <v>NH-100</v>
          </cell>
        </row>
        <row r="131">
          <cell r="A131" t="str">
            <v>NH-100R</v>
          </cell>
        </row>
        <row r="132">
          <cell r="A132" t="str">
            <v>NI-100</v>
          </cell>
        </row>
        <row r="133">
          <cell r="A133" t="str">
            <v>NMM-100</v>
          </cell>
        </row>
        <row r="134">
          <cell r="A134" t="str">
            <v>NMM-100P</v>
          </cell>
        </row>
        <row r="135">
          <cell r="A135" t="str">
            <v>NOT-BG12LX</v>
          </cell>
        </row>
        <row r="136">
          <cell r="A136" t="str">
            <v>NP-100</v>
          </cell>
        </row>
        <row r="137">
          <cell r="A137" t="str">
            <v>NP-100T</v>
          </cell>
        </row>
        <row r="138">
          <cell r="A138" t="str">
            <v>NZM-100</v>
          </cell>
        </row>
        <row r="139">
          <cell r="A139" t="str">
            <v>NZM-100-6</v>
          </cell>
        </row>
        <row r="141">
          <cell r="A141" t="str">
            <v>SFP-2402</v>
          </cell>
        </row>
        <row r="142">
          <cell r="A142" t="str">
            <v>SFP-2402E</v>
          </cell>
        </row>
        <row r="143">
          <cell r="A143" t="str">
            <v>SFP-2404</v>
          </cell>
        </row>
        <row r="144">
          <cell r="A144" t="str">
            <v>SFP-2404E</v>
          </cell>
        </row>
        <row r="146">
          <cell r="A146" t="str">
            <v>4XLM</v>
          </cell>
        </row>
        <row r="147">
          <cell r="A147" t="str">
            <v>4XTM</v>
          </cell>
        </row>
        <row r="148">
          <cell r="A148" t="str">
            <v>4XZM</v>
          </cell>
        </row>
        <row r="149">
          <cell r="A149" t="str">
            <v>CAC-4</v>
          </cell>
        </row>
        <row r="150">
          <cell r="A150" t="str">
            <v>DP-3-B</v>
          </cell>
        </row>
        <row r="151">
          <cell r="A151" t="str">
            <v>RZA-4X</v>
          </cell>
        </row>
        <row r="152">
          <cell r="A152" t="str">
            <v>TR-1-B</v>
          </cell>
        </row>
        <row r="153">
          <cell r="A153" t="str">
            <v>XRM-24</v>
          </cell>
        </row>
        <row r="154">
          <cell r="A154" t="str">
            <v>SFP-5UD 5 Zone Control Panels</v>
          </cell>
        </row>
        <row r="155">
          <cell r="A155" t="str">
            <v>SFP-5UD</v>
          </cell>
        </row>
        <row r="156">
          <cell r="A156" t="str">
            <v>SFP-5UDE</v>
          </cell>
        </row>
        <row r="157">
          <cell r="A157" t="str">
            <v>SFP-5UDR</v>
          </cell>
        </row>
        <row r="159">
          <cell r="A159" t="str">
            <v>SFP-10UD</v>
          </cell>
        </row>
        <row r="160">
          <cell r="A160" t="str">
            <v>SFP-10UDE</v>
          </cell>
        </row>
        <row r="161">
          <cell r="A161" t="str">
            <v>SFP-10UDR</v>
          </cell>
        </row>
        <row r="162">
          <cell r="A162" t="str">
            <v>5 &amp; 10 Zone Control Panel Accessories</v>
          </cell>
        </row>
        <row r="163">
          <cell r="A163" t="str">
            <v>BB-26</v>
          </cell>
        </row>
        <row r="164">
          <cell r="A164" t="str">
            <v>DP-51050</v>
          </cell>
        </row>
        <row r="165">
          <cell r="A165" t="str">
            <v>N-CAC-5X</v>
          </cell>
        </row>
        <row r="167">
          <cell r="A167" t="str">
            <v>RP-2001</v>
          </cell>
        </row>
        <row r="168">
          <cell r="A168" t="str">
            <v>RP-2001E</v>
          </cell>
        </row>
        <row r="169">
          <cell r="A169" t="str">
            <v>RP-2002</v>
          </cell>
        </row>
        <row r="170">
          <cell r="A170" t="str">
            <v>RP-2002E</v>
          </cell>
        </row>
        <row r="171">
          <cell r="A171" t="str">
            <v>411 Series Slave Digital Communicator</v>
          </cell>
        </row>
        <row r="172">
          <cell r="A172">
            <v>411</v>
          </cell>
        </row>
        <row r="173">
          <cell r="A173" t="str">
            <v>411RK</v>
          </cell>
        </row>
        <row r="174">
          <cell r="A174" t="str">
            <v>411UD</v>
          </cell>
        </row>
        <row r="175">
          <cell r="A175" t="str">
            <v>411UDAC</v>
          </cell>
        </row>
        <row r="176">
          <cell r="A176" t="str">
            <v>MCBL-7</v>
          </cell>
        </row>
        <row r="177">
          <cell r="A177" t="str">
            <v>PRO-411</v>
          </cell>
        </row>
        <row r="178">
          <cell r="A178" t="str">
            <v>NBG-12 Series Pull Stations</v>
          </cell>
        </row>
        <row r="179">
          <cell r="A179" t="str">
            <v>NBG-12</v>
          </cell>
        </row>
        <row r="180">
          <cell r="A180" t="str">
            <v>NBG-12L</v>
          </cell>
        </row>
        <row r="181">
          <cell r="A181" t="str">
            <v>NBG-12LA</v>
          </cell>
        </row>
        <row r="182">
          <cell r="A182" t="str">
            <v>NBG-12LO</v>
          </cell>
        </row>
        <row r="183">
          <cell r="A183" t="str">
            <v>NBG-12LOB</v>
          </cell>
        </row>
        <row r="184">
          <cell r="A184" t="str">
            <v>NBG-12LPS</v>
          </cell>
        </row>
        <row r="185">
          <cell r="A185" t="str">
            <v>NBG-12LR</v>
          </cell>
        </row>
        <row r="186">
          <cell r="A186" t="str">
            <v>NBG-12LRA</v>
          </cell>
        </row>
        <row r="187">
          <cell r="A187" t="str">
            <v>NBG-12S</v>
          </cell>
        </row>
        <row r="188">
          <cell r="A188" t="str">
            <v>System Power Supplies and Chargers</v>
          </cell>
        </row>
        <row r="189">
          <cell r="A189" t="str">
            <v>APS2-6R</v>
          </cell>
        </row>
        <row r="190">
          <cell r="A190" t="str">
            <v>APS2-6RE</v>
          </cell>
        </row>
        <row r="191">
          <cell r="A191" t="str">
            <v>CHG-120</v>
          </cell>
        </row>
        <row r="192">
          <cell r="A192" t="str">
            <v>CHG-75</v>
          </cell>
        </row>
        <row r="193">
          <cell r="A193" t="str">
            <v>MPM-2</v>
          </cell>
        </row>
        <row r="194">
          <cell r="A194" t="str">
            <v>MPS-24A</v>
          </cell>
        </row>
        <row r="195">
          <cell r="A195" t="str">
            <v>MPS-24AE</v>
          </cell>
        </row>
        <row r="196">
          <cell r="A196" t="str">
            <v>MPS-TR</v>
          </cell>
        </row>
        <row r="197">
          <cell r="A197" t="str">
            <v>Remote Power Supplies with built in charger</v>
          </cell>
        </row>
        <row r="198">
          <cell r="A198" t="str">
            <v>ACPS-610</v>
          </cell>
        </row>
        <row r="199">
          <cell r="A199" t="str">
            <v>ACPS-610E</v>
          </cell>
        </row>
        <row r="200">
          <cell r="A200" t="str">
            <v>CAB-PS1</v>
          </cell>
        </row>
        <row r="201">
          <cell r="A201" t="str">
            <v>DR-PS1</v>
          </cell>
        </row>
        <row r="202">
          <cell r="A202" t="str">
            <v>FCPS-24S6</v>
          </cell>
        </row>
        <row r="203">
          <cell r="A203" t="str">
            <v>FCPS-24S6E</v>
          </cell>
        </row>
        <row r="204">
          <cell r="A204" t="str">
            <v>FCPS-24S6R</v>
          </cell>
        </row>
        <row r="205">
          <cell r="A205" t="str">
            <v>FCPS-24S8</v>
          </cell>
        </row>
        <row r="206">
          <cell r="A206" t="str">
            <v>FCPS-24S8E</v>
          </cell>
        </row>
        <row r="207">
          <cell r="A207" t="str">
            <v>FCPS-24S8R</v>
          </cell>
        </row>
        <row r="208">
          <cell r="A208" t="str">
            <v>MPM-4</v>
          </cell>
        </row>
        <row r="209">
          <cell r="A209" t="str">
            <v>ZNAC-4</v>
          </cell>
        </row>
        <row r="210">
          <cell r="A210" t="str">
            <v>Fire Power Supplies</v>
          </cell>
        </row>
        <row r="211">
          <cell r="A211" t="str">
            <v>HPF24S6</v>
          </cell>
        </row>
        <row r="212">
          <cell r="A212" t="str">
            <v>HPF24S6E</v>
          </cell>
        </row>
        <row r="213">
          <cell r="A213" t="str">
            <v>HPF24S8</v>
          </cell>
        </row>
        <row r="214">
          <cell r="A214" t="str">
            <v>HPF24S8E</v>
          </cell>
        </row>
        <row r="215">
          <cell r="A215" t="str">
            <v>HPF602ULADA</v>
          </cell>
        </row>
        <row r="216">
          <cell r="A216" t="str">
            <v>HPF902ULADA</v>
          </cell>
        </row>
        <row r="217">
          <cell r="A217" t="str">
            <v>HPP31076</v>
          </cell>
        </row>
        <row r="218">
          <cell r="A218" t="str">
            <v>ONYX CAB-4 Series Cabinets</v>
          </cell>
        </row>
        <row r="219">
          <cell r="A219" t="str">
            <v>ADP-4B</v>
          </cell>
        </row>
        <row r="220">
          <cell r="A220" t="str">
            <v>BB-XP</v>
          </cell>
        </row>
        <row r="221">
          <cell r="A221" t="str">
            <v>BM-1B</v>
          </cell>
        </row>
        <row r="222">
          <cell r="A222" t="str">
            <v>BMP-1</v>
          </cell>
        </row>
        <row r="223">
          <cell r="A223" t="str">
            <v>BP2-4</v>
          </cell>
        </row>
        <row r="224">
          <cell r="A224" t="str">
            <v>CHS-4</v>
          </cell>
        </row>
        <row r="225">
          <cell r="A225" t="str">
            <v>CHS-4L</v>
          </cell>
        </row>
        <row r="226">
          <cell r="A226" t="str">
            <v>CHS-4MB</v>
          </cell>
        </row>
        <row r="227">
          <cell r="A227" t="str">
            <v>CHS-6</v>
          </cell>
        </row>
        <row r="228">
          <cell r="A228" t="str">
            <v>DP-1B</v>
          </cell>
        </row>
        <row r="229">
          <cell r="A229" t="str">
            <v>DR-A4</v>
          </cell>
        </row>
        <row r="230">
          <cell r="A230" t="str">
            <v>DR-A4B</v>
          </cell>
        </row>
        <row r="231">
          <cell r="A231" t="str">
            <v>DR-A4BR</v>
          </cell>
        </row>
        <row r="232">
          <cell r="A232" t="str">
            <v>DR-A4R</v>
          </cell>
        </row>
        <row r="233">
          <cell r="A233" t="str">
            <v>DR-AA4</v>
          </cell>
        </row>
        <row r="234">
          <cell r="A234" t="str">
            <v>DR-AA4B</v>
          </cell>
        </row>
        <row r="235">
          <cell r="A235" t="str">
            <v>DR-AA4R</v>
          </cell>
        </row>
        <row r="236">
          <cell r="A236" t="str">
            <v>DR-B4</v>
          </cell>
        </row>
        <row r="237">
          <cell r="A237" t="str">
            <v>DR-B4B</v>
          </cell>
        </row>
        <row r="238">
          <cell r="A238" t="str">
            <v>DR-B4BR</v>
          </cell>
        </row>
        <row r="239">
          <cell r="A239" t="str">
            <v>DR-B4R</v>
          </cell>
        </row>
        <row r="240">
          <cell r="A240" t="str">
            <v>DR-C4</v>
          </cell>
        </row>
        <row r="241">
          <cell r="A241" t="str">
            <v>DR-C4B</v>
          </cell>
        </row>
        <row r="242">
          <cell r="A242" t="str">
            <v>DR-C4BR</v>
          </cell>
        </row>
        <row r="243">
          <cell r="A243" t="str">
            <v>DR-C4R</v>
          </cell>
        </row>
        <row r="244">
          <cell r="A244" t="str">
            <v>DR-D4</v>
          </cell>
        </row>
        <row r="245">
          <cell r="A245" t="str">
            <v>DR-D4B</v>
          </cell>
        </row>
        <row r="246">
          <cell r="A246" t="str">
            <v>DR-D4BR</v>
          </cell>
        </row>
        <row r="247">
          <cell r="A247" t="str">
            <v>DR-D4R</v>
          </cell>
        </row>
        <row r="248">
          <cell r="A248" t="str">
            <v>MP-1B</v>
          </cell>
        </row>
        <row r="249">
          <cell r="A249" t="str">
            <v>SBB-A4</v>
          </cell>
        </row>
        <row r="250">
          <cell r="A250" t="str">
            <v>SBB-A4R</v>
          </cell>
        </row>
        <row r="251">
          <cell r="A251" t="str">
            <v>SBB-AA4</v>
          </cell>
        </row>
        <row r="252">
          <cell r="A252" t="str">
            <v>SBB-AA4R</v>
          </cell>
        </row>
        <row r="253">
          <cell r="A253" t="str">
            <v>SBB-B4</v>
          </cell>
        </row>
        <row r="254">
          <cell r="A254" t="str">
            <v>SBB-B4R</v>
          </cell>
        </row>
        <row r="255">
          <cell r="A255" t="str">
            <v>SBB-C4</v>
          </cell>
        </row>
        <row r="256">
          <cell r="A256" t="str">
            <v>SBB-C4R</v>
          </cell>
        </row>
        <row r="257">
          <cell r="A257" t="str">
            <v>SBB-D4</v>
          </cell>
        </row>
        <row r="258">
          <cell r="A258" t="str">
            <v>SBB-D4R</v>
          </cell>
        </row>
        <row r="259">
          <cell r="A259" t="str">
            <v>Trim Rings</v>
          </cell>
        </row>
        <row r="260">
          <cell r="A260" t="str">
            <v>TR-320</v>
          </cell>
        </row>
        <row r="261">
          <cell r="A261" t="str">
            <v>TR-A4</v>
          </cell>
        </row>
        <row r="262">
          <cell r="A262" t="str">
            <v>TR-AA4</v>
          </cell>
        </row>
        <row r="263">
          <cell r="A263" t="str">
            <v>TR-B4</v>
          </cell>
        </row>
        <row r="264">
          <cell r="A264" t="str">
            <v>TR-C4</v>
          </cell>
        </row>
        <row r="265">
          <cell r="A265" t="str">
            <v>TR-D4</v>
          </cell>
        </row>
        <row r="266">
          <cell r="A266" t="str">
            <v>Digital Voice Cabinet Doors</v>
          </cell>
        </row>
        <row r="267">
          <cell r="A267" t="str">
            <v>ADDR-B4</v>
          </cell>
        </row>
        <row r="268">
          <cell r="A268" t="str">
            <v>ADDR-B4R</v>
          </cell>
        </row>
        <row r="269">
          <cell r="A269" t="str">
            <v>ADDR-C4</v>
          </cell>
        </row>
        <row r="270">
          <cell r="A270" t="str">
            <v>ADDR-C4R</v>
          </cell>
        </row>
        <row r="271">
          <cell r="A271" t="str">
            <v>ADDR-D4</v>
          </cell>
        </row>
        <row r="272">
          <cell r="A272" t="str">
            <v>ADDR-D4R</v>
          </cell>
        </row>
        <row r="273">
          <cell r="A273" t="str">
            <v>ADP2-640</v>
          </cell>
        </row>
        <row r="274">
          <cell r="A274" t="str">
            <v>BP-CA2</v>
          </cell>
        </row>
        <row r="275">
          <cell r="A275" t="str">
            <v>CA-1</v>
          </cell>
        </row>
        <row r="276">
          <cell r="A276" t="str">
            <v>CA-2</v>
          </cell>
        </row>
        <row r="277">
          <cell r="A277" t="str">
            <v>CHS-BH1</v>
          </cell>
        </row>
        <row r="278">
          <cell r="A278" t="str">
            <v>DPA-1</v>
          </cell>
        </row>
        <row r="279">
          <cell r="A279" t="str">
            <v>DPA-1A4</v>
          </cell>
        </row>
        <row r="280">
          <cell r="A280" t="str">
            <v>DPA-2B</v>
          </cell>
        </row>
        <row r="281">
          <cell r="A281" t="str">
            <v>EQBB-B4</v>
          </cell>
        </row>
        <row r="282">
          <cell r="A282" t="str">
            <v>EQBB-C4</v>
          </cell>
        </row>
        <row r="283">
          <cell r="A283" t="str">
            <v>EQBB-D4</v>
          </cell>
        </row>
        <row r="284">
          <cell r="A284" t="str">
            <v>EQDR-B4</v>
          </cell>
        </row>
        <row r="285">
          <cell r="A285" t="str">
            <v>EQDR-C4</v>
          </cell>
        </row>
        <row r="286">
          <cell r="A286" t="str">
            <v>EQDR-D4</v>
          </cell>
        </row>
        <row r="288">
          <cell r="A288" t="str">
            <v>BB-100</v>
          </cell>
        </row>
        <row r="289">
          <cell r="A289" t="str">
            <v>BB-17</v>
          </cell>
        </row>
        <row r="290">
          <cell r="A290" t="str">
            <v>BB-200</v>
          </cell>
        </row>
        <row r="291">
          <cell r="A291" t="str">
            <v>BB-25</v>
          </cell>
        </row>
        <row r="292">
          <cell r="A292" t="str">
            <v>CB-1</v>
          </cell>
        </row>
        <row r="293">
          <cell r="A293" t="str">
            <v>CHS-BH</v>
          </cell>
        </row>
        <row r="294">
          <cell r="A294" t="str">
            <v>CHS-PS</v>
          </cell>
        </row>
        <row r="295">
          <cell r="A295" t="str">
            <v>NFS-LBB</v>
          </cell>
        </row>
        <row r="296">
          <cell r="A296" t="str">
            <v>NFS-LBBR</v>
          </cell>
        </row>
        <row r="297">
          <cell r="A297" t="str">
            <v>WC-2</v>
          </cell>
        </row>
        <row r="298">
          <cell r="A298" t="str">
            <v>Marine Approved Cabinets</v>
          </cell>
        </row>
        <row r="299">
          <cell r="A299" t="str">
            <v>CAB-AM</v>
          </cell>
        </row>
        <row r="300">
          <cell r="A300" t="str">
            <v>CAB-BM</v>
          </cell>
        </row>
        <row r="301">
          <cell r="A301" t="str">
            <v>PL-AM</v>
          </cell>
        </row>
        <row r="302">
          <cell r="A302" t="str">
            <v>PL-BM</v>
          </cell>
        </row>
        <row r="303">
          <cell r="A303" t="str">
            <v>Gel Cell Batteries - BAT Series</v>
          </cell>
        </row>
        <row r="304">
          <cell r="A304" t="str">
            <v>BAT-121000</v>
          </cell>
        </row>
        <row r="305">
          <cell r="A305" t="str">
            <v>BAT-12120-BP</v>
          </cell>
        </row>
        <row r="306">
          <cell r="A306" t="str">
            <v>BAT-12180-BP</v>
          </cell>
        </row>
        <row r="307">
          <cell r="A307" t="str">
            <v>BAT-12260-BP</v>
          </cell>
        </row>
        <row r="308">
          <cell r="A308" t="str">
            <v>BAT-1250-BP</v>
          </cell>
        </row>
        <row r="309">
          <cell r="A309" t="str">
            <v>BAT-12550</v>
          </cell>
        </row>
        <row r="310">
          <cell r="A310" t="str">
            <v>BAT-1270-BP</v>
          </cell>
        </row>
        <row r="311">
          <cell r="A311" t="str">
            <v>Digital Voice</v>
          </cell>
        </row>
        <row r="312">
          <cell r="A312" t="str">
            <v>BDA-25V</v>
          </cell>
        </row>
        <row r="313">
          <cell r="A313" t="str">
            <v>BDA-70V</v>
          </cell>
        </row>
        <row r="314">
          <cell r="A314" t="str">
            <v>CMIC-1</v>
          </cell>
        </row>
        <row r="315">
          <cell r="A315" t="str">
            <v>DAA2-5025</v>
          </cell>
        </row>
        <row r="316">
          <cell r="A316" t="str">
            <v>DAA2-5025E</v>
          </cell>
        </row>
        <row r="317">
          <cell r="A317" t="str">
            <v>DAA2-5070</v>
          </cell>
        </row>
        <row r="318">
          <cell r="A318" t="str">
            <v>DAA2-5070E</v>
          </cell>
        </row>
        <row r="319">
          <cell r="A319" t="str">
            <v>DAA2-7525</v>
          </cell>
        </row>
        <row r="320">
          <cell r="A320" t="str">
            <v>DAA2-7525E</v>
          </cell>
        </row>
        <row r="321">
          <cell r="A321" t="str">
            <v>DAX-3525</v>
          </cell>
        </row>
        <row r="322">
          <cell r="A322" t="str">
            <v>DAX-3525E</v>
          </cell>
        </row>
        <row r="323">
          <cell r="A323" t="str">
            <v>DAX-3570</v>
          </cell>
        </row>
        <row r="324">
          <cell r="A324" t="str">
            <v>DAX-3570E</v>
          </cell>
        </row>
        <row r="325">
          <cell r="A325" t="str">
            <v>DAX-5025</v>
          </cell>
        </row>
        <row r="326">
          <cell r="A326" t="str">
            <v>DAX-5025E</v>
          </cell>
        </row>
        <row r="327">
          <cell r="A327" t="str">
            <v>DAX-5070</v>
          </cell>
        </row>
        <row r="328">
          <cell r="A328" t="str">
            <v>DAX-5070E</v>
          </cell>
        </row>
        <row r="329">
          <cell r="A329" t="str">
            <v>DS-FM</v>
          </cell>
        </row>
        <row r="330">
          <cell r="A330" t="str">
            <v>DS-RFM</v>
          </cell>
        </row>
        <row r="332">
          <cell r="A332" t="str">
            <v>DS-SFM</v>
          </cell>
        </row>
        <row r="333">
          <cell r="A333" t="str">
            <v>DVC-AO</v>
          </cell>
        </row>
        <row r="334">
          <cell r="A334" t="str">
            <v>DVC-EM</v>
          </cell>
        </row>
        <row r="335">
          <cell r="A335" t="str">
            <v>DVC-EMF</v>
          </cell>
        </row>
        <row r="336">
          <cell r="A336" t="str">
            <v>DVC-EMSF</v>
          </cell>
        </row>
        <row r="337">
          <cell r="A337" t="str">
            <v>DVC-KD</v>
          </cell>
        </row>
        <row r="338">
          <cell r="A338" t="str">
            <v>MIC-1</v>
          </cell>
        </row>
        <row r="339">
          <cell r="A339" t="str">
            <v>TELH-1</v>
          </cell>
        </row>
        <row r="340">
          <cell r="A340" t="str">
            <v>RM-1 Remote Microphone</v>
          </cell>
        </row>
        <row r="341">
          <cell r="A341" t="str">
            <v>CAB-RM</v>
          </cell>
        </row>
        <row r="342">
          <cell r="A342" t="str">
            <v>CAB-RMR</v>
          </cell>
        </row>
        <row r="343">
          <cell r="A343" t="str">
            <v>RM-1</v>
          </cell>
        </row>
        <row r="344">
          <cell r="A344" t="str">
            <v>RM-1SA</v>
          </cell>
        </row>
        <row r="345">
          <cell r="A345" t="str">
            <v>Ampli ers</v>
          </cell>
        </row>
        <row r="346">
          <cell r="A346" t="str">
            <v>AA-100</v>
          </cell>
        </row>
        <row r="347">
          <cell r="A347" t="str">
            <v>AA-100E</v>
          </cell>
        </row>
        <row r="348">
          <cell r="A348" t="str">
            <v>AA-120</v>
          </cell>
        </row>
        <row r="349">
          <cell r="A349" t="str">
            <v>AA-120E</v>
          </cell>
        </row>
        <row r="350">
          <cell r="A350" t="str">
            <v>AA-30</v>
          </cell>
        </row>
        <row r="351">
          <cell r="A351" t="str">
            <v>AA-30E</v>
          </cell>
        </row>
        <row r="352">
          <cell r="A352" t="str">
            <v>ACT-1</v>
          </cell>
        </row>
        <row r="353">
          <cell r="A353" t="str">
            <v>ACT-2</v>
          </cell>
        </row>
        <row r="354">
          <cell r="A354" t="str">
            <v>ACT-25</v>
          </cell>
        </row>
        <row r="355">
          <cell r="A355" t="str">
            <v>ACT-4</v>
          </cell>
        </row>
        <row r="356">
          <cell r="A356" t="str">
            <v>ACT-70</v>
          </cell>
        </row>
        <row r="358">
          <cell r="A358" t="str">
            <v>AFL-RM</v>
          </cell>
        </row>
        <row r="359">
          <cell r="A359" t="str">
            <v>AFL-RS</v>
          </cell>
        </row>
        <row r="360">
          <cell r="A360" t="str">
            <v>AFL-TM</v>
          </cell>
        </row>
        <row r="361">
          <cell r="A361" t="str">
            <v>AFL-TS</v>
          </cell>
        </row>
        <row r="362">
          <cell r="A362" t="str">
            <v>FFT-7</v>
          </cell>
        </row>
        <row r="363">
          <cell r="A363" t="str">
            <v>VRAM-1</v>
          </cell>
        </row>
        <row r="365">
          <cell r="A365" t="str">
            <v>ACC-9KP</v>
          </cell>
        </row>
        <row r="366">
          <cell r="A366" t="str">
            <v>ACC-AAM25</v>
          </cell>
        </row>
        <row r="367">
          <cell r="A367" t="str">
            <v>ACC-MCB</v>
          </cell>
        </row>
        <row r="368">
          <cell r="A368" t="str">
            <v>ACC-ZPMK</v>
          </cell>
        </row>
        <row r="369">
          <cell r="A369" t="str">
            <v>ACC-ZSM</v>
          </cell>
        </row>
        <row r="370">
          <cell r="A370" t="str">
            <v>FC-RM</v>
          </cell>
        </row>
        <row r="371">
          <cell r="A371" t="str">
            <v>FCMIM</v>
          </cell>
        </row>
        <row r="372">
          <cell r="A372" t="str">
            <v>NFV-25/50</v>
          </cell>
        </row>
        <row r="373">
          <cell r="A373" t="str">
            <v>NFV-25/50DA</v>
          </cell>
        </row>
        <row r="374">
          <cell r="A374" t="str">
            <v>NFV-25/50DAZS</v>
          </cell>
        </row>
        <row r="375">
          <cell r="A375" t="str">
            <v>NFV-25/50ZS</v>
          </cell>
        </row>
        <row r="376">
          <cell r="A376" t="str">
            <v>NFV-25/50ZST</v>
          </cell>
        </row>
        <row r="377">
          <cell r="A377" t="str">
            <v>NFV-TR</v>
          </cell>
        </row>
        <row r="379">
          <cell r="A379" t="str">
            <v>PK-XPIQ</v>
          </cell>
        </row>
        <row r="380">
          <cell r="A380" t="str">
            <v>XPIQ-AA2270</v>
          </cell>
        </row>
        <row r="381">
          <cell r="A381" t="str">
            <v>XPIQ-AA25</v>
          </cell>
        </row>
        <row r="382">
          <cell r="A382" t="str">
            <v>XPIQ-AIB1</v>
          </cell>
        </row>
        <row r="383">
          <cell r="A383" t="str">
            <v>XPIQ-AIB4</v>
          </cell>
        </row>
        <row r="384">
          <cell r="A384" t="str">
            <v>XPIQ-CA</v>
          </cell>
        </row>
        <row r="385">
          <cell r="A385" t="str">
            <v>XPIQ-MB</v>
          </cell>
        </row>
        <row r="386">
          <cell r="A386" t="str">
            <v>XPIQ-PS</v>
          </cell>
        </row>
        <row r="387">
          <cell r="A387" t="str">
            <v>XPIQ-PSE</v>
          </cell>
        </row>
        <row r="388">
          <cell r="A388" t="str">
            <v>XPIQ-RMI</v>
          </cell>
        </row>
        <row r="389">
          <cell r="A389" t="str">
            <v>XPIQ-SLI</v>
          </cell>
        </row>
        <row r="390">
          <cell r="A390" t="str">
            <v>Fire Fighters Jacks, Handsets and Storage Cabinets</v>
          </cell>
        </row>
        <row r="391">
          <cell r="A391" t="str">
            <v>AFAWS-BX</v>
          </cell>
        </row>
        <row r="392">
          <cell r="A392" t="str">
            <v>AFAWS-KR</v>
          </cell>
        </row>
        <row r="393">
          <cell r="A393" t="str">
            <v>AFAWS-KS</v>
          </cell>
        </row>
        <row r="394">
          <cell r="A394" t="str">
            <v>AFAWS-LR</v>
          </cell>
        </row>
        <row r="395">
          <cell r="A395" t="str">
            <v>AFAWS-LS</v>
          </cell>
        </row>
        <row r="396">
          <cell r="A396" t="str">
            <v>AFAWS-TELA</v>
          </cell>
        </row>
        <row r="397">
          <cell r="A397" t="str">
            <v>AFAWS-TELC</v>
          </cell>
        </row>
        <row r="398">
          <cell r="A398" t="str">
            <v>FHS</v>
          </cell>
        </row>
        <row r="399">
          <cell r="A399" t="str">
            <v>FHSC-R</v>
          </cell>
        </row>
        <row r="400">
          <cell r="A400" t="str">
            <v>FHSC-S</v>
          </cell>
        </row>
        <row r="401">
          <cell r="A401" t="str">
            <v>FPJ</v>
          </cell>
        </row>
        <row r="402">
          <cell r="A402" t="str">
            <v>EIA-232 Peripheral Devices</v>
          </cell>
        </row>
        <row r="403">
          <cell r="A403" t="str">
            <v>DPI-232</v>
          </cell>
        </row>
        <row r="404">
          <cell r="A404" t="str">
            <v>Zone Coder and Slave Network Interface</v>
          </cell>
        </row>
        <row r="405">
          <cell r="A405" t="str">
            <v>NIB-96</v>
          </cell>
        </row>
        <row r="406">
          <cell r="A406" t="str">
            <v>UZC-256</v>
          </cell>
        </row>
        <row r="407">
          <cell r="A407" t="str">
            <v>UZC-HI</v>
          </cell>
        </row>
        <row r="408">
          <cell r="A408" t="str">
            <v>Universal Digital Alarm Communicator (UDACT)</v>
          </cell>
        </row>
        <row r="409">
          <cell r="A409" t="str">
            <v>UBS-1</v>
          </cell>
        </row>
        <row r="410">
          <cell r="A410" t="str">
            <v>UDACT</v>
          </cell>
        </row>
        <row r="411">
          <cell r="A411" t="str">
            <v>LCD Display Annunciators</v>
          </cell>
        </row>
        <row r="412">
          <cell r="A412" t="str">
            <v>FDU-80</v>
          </cell>
        </row>
        <row r="413">
          <cell r="A413" t="str">
            <v>LCD-160</v>
          </cell>
        </row>
        <row r="414">
          <cell r="A414" t="str">
            <v>LCD-160-TC</v>
          </cell>
        </row>
        <row r="415">
          <cell r="A415" t="str">
            <v>LCD-80</v>
          </cell>
        </row>
        <row r="416">
          <cell r="A416" t="str">
            <v>LCD2-80</v>
          </cell>
        </row>
        <row r="418">
          <cell r="A418" t="str">
            <v>Smoke Control Station</v>
          </cell>
        </row>
        <row r="419">
          <cell r="A419" t="str">
            <v>SCE-8</v>
          </cell>
        </row>
        <row r="420">
          <cell r="A420" t="str">
            <v>SCE-8L</v>
          </cell>
        </row>
        <row r="421">
          <cell r="A421" t="str">
            <v>SCS-8</v>
          </cell>
        </row>
        <row r="422">
          <cell r="A422" t="str">
            <v>SCS-8L</v>
          </cell>
        </row>
        <row r="423">
          <cell r="A423" t="str">
            <v>SCS8L-CBL48</v>
          </cell>
        </row>
        <row r="424">
          <cell r="A424" t="str">
            <v>ONYX ACM and AEM Series LED Annunciators</v>
          </cell>
        </row>
        <row r="425">
          <cell r="A425" t="str">
            <v>ACM-24AT</v>
          </cell>
        </row>
        <row r="426">
          <cell r="A426" t="str">
            <v>ACM-48A</v>
          </cell>
        </row>
        <row r="427">
          <cell r="A427" t="str">
            <v>AEM-24AT</v>
          </cell>
        </row>
        <row r="428">
          <cell r="A428" t="str">
            <v>AEM-48A</v>
          </cell>
        </row>
        <row r="429">
          <cell r="A429" t="str">
            <v>ACM-16AT Alarm and Trouble Annunciators</v>
          </cell>
        </row>
        <row r="430">
          <cell r="A430" t="str">
            <v>ACM-16AT</v>
          </cell>
        </row>
        <row r="431">
          <cell r="A431" t="str">
            <v>ACM-32A</v>
          </cell>
        </row>
        <row r="432">
          <cell r="A432" t="str">
            <v>AEM-16AT</v>
          </cell>
        </row>
        <row r="433">
          <cell r="A433" t="str">
            <v>AEM-32A</v>
          </cell>
        </row>
        <row r="434">
          <cell r="A434" t="str">
            <v>Graphic Annunciator - Lamp Driver Modules</v>
          </cell>
        </row>
        <row r="435">
          <cell r="A435" t="str">
            <v>LDM-32</v>
          </cell>
        </row>
        <row r="436">
          <cell r="A436" t="str">
            <v>LDM-CBL24</v>
          </cell>
        </row>
        <row r="437">
          <cell r="A437" t="str">
            <v>LDM-CBL48</v>
          </cell>
        </row>
        <row r="438">
          <cell r="A438" t="str">
            <v>LDM-E32</v>
          </cell>
        </row>
        <row r="439">
          <cell r="A439" t="str">
            <v>LDM-R32</v>
          </cell>
        </row>
        <row r="440">
          <cell r="A440" t="str">
            <v>ACM-8R Remote Relays</v>
          </cell>
        </row>
        <row r="441">
          <cell r="A441" t="str">
            <v>ACM-8R</v>
          </cell>
        </row>
        <row r="442">
          <cell r="A442" t="str">
            <v>ACS Enclosures and Mounting Hardware</v>
          </cell>
        </row>
        <row r="443">
          <cell r="A443" t="str">
            <v>ABF-1B</v>
          </cell>
        </row>
        <row r="444">
          <cell r="A444" t="str">
            <v>ABF-1DB</v>
          </cell>
        </row>
        <row r="445">
          <cell r="A445" t="str">
            <v>ABF-2B</v>
          </cell>
        </row>
        <row r="446">
          <cell r="A446" t="str">
            <v>ABF-2DB</v>
          </cell>
        </row>
        <row r="447">
          <cell r="A447" t="str">
            <v>ABF-4B</v>
          </cell>
        </row>
        <row r="448">
          <cell r="A448" t="str">
            <v>ABM-1</v>
          </cell>
        </row>
        <row r="449">
          <cell r="A449" t="str">
            <v>ABS-1B</v>
          </cell>
        </row>
        <row r="450">
          <cell r="A450" t="str">
            <v>ABS-1TB</v>
          </cell>
        </row>
        <row r="451">
          <cell r="A451" t="str">
            <v>ABS-2B</v>
          </cell>
        </row>
        <row r="452">
          <cell r="A452" t="str">
            <v>ABS-2D</v>
          </cell>
        </row>
        <row r="453">
          <cell r="A453" t="str">
            <v>ABS-2DR</v>
          </cell>
        </row>
        <row r="454">
          <cell r="A454" t="str">
            <v>ABS-4D</v>
          </cell>
        </row>
        <row r="455">
          <cell r="A455" t="str">
            <v>ABS-4DR</v>
          </cell>
        </row>
        <row r="456">
          <cell r="A456" t="str">
            <v>ABS-8RB</v>
          </cell>
        </row>
        <row r="457">
          <cell r="A457" t="str">
            <v>AKS-1B</v>
          </cell>
        </row>
        <row r="458">
          <cell r="A458" t="str">
            <v>CHS-2D</v>
          </cell>
        </row>
        <row r="459">
          <cell r="A459" t="str">
            <v>TR-ABS2D</v>
          </cell>
        </row>
        <row r="460">
          <cell r="A460" t="str">
            <v>TRABS-4D</v>
          </cell>
        </row>
        <row r="461">
          <cell r="A461" t="str">
            <v>SpectrAlert Advance Amber Strobes</v>
          </cell>
        </row>
        <row r="462">
          <cell r="A462" t="str">
            <v>SW-ALERT</v>
          </cell>
        </row>
        <row r="463">
          <cell r="A463" t="str">
            <v>SWH-ALERT</v>
          </cell>
        </row>
        <row r="464">
          <cell r="A464" t="str">
            <v>SpectrAlert Advance Strobe Lenses</v>
          </cell>
        </row>
        <row r="465">
          <cell r="A465" t="str">
            <v>LENS-A</v>
          </cell>
        </row>
        <row r="466">
          <cell r="A466" t="str">
            <v>LENS-AC</v>
          </cell>
        </row>
        <row r="467">
          <cell r="A467" t="str">
            <v>LENS-B</v>
          </cell>
        </row>
        <row r="468">
          <cell r="A468" t="str">
            <v>LENS-BC</v>
          </cell>
        </row>
        <row r="469">
          <cell r="A469" t="str">
            <v>LENS-G</v>
          </cell>
        </row>
        <row r="470">
          <cell r="A470" t="str">
            <v>LENS-GC</v>
          </cell>
        </row>
        <row r="471">
          <cell r="A471" t="str">
            <v>LENS-R</v>
          </cell>
        </row>
        <row r="472">
          <cell r="A472" t="str">
            <v>LENS-RC</v>
          </cell>
        </row>
        <row r="473">
          <cell r="A473" t="str">
            <v>NotiFireNet ONYX Network Upgrades</v>
          </cell>
        </row>
        <row r="474">
          <cell r="A474" t="str">
            <v>NCSCDUG-US-5</v>
          </cell>
        </row>
        <row r="475">
          <cell r="A475" t="str">
            <v>NROM-NAM5.0M</v>
          </cell>
        </row>
        <row r="477">
          <cell r="A477" t="str">
            <v>grade Requirements</v>
          </cell>
        </row>
        <row r="478">
          <cell r="A478" t="str">
            <v>NAM-232F</v>
          </cell>
        </row>
        <row r="479">
          <cell r="A479" t="str">
            <v>NAM-232W</v>
          </cell>
        </row>
        <row r="480">
          <cell r="A480" t="str">
            <v>NCM-F</v>
          </cell>
        </row>
        <row r="481">
          <cell r="A481" t="str">
            <v>NCM-W</v>
          </cell>
        </row>
        <row r="483">
          <cell r="A483" t="str">
            <v>NCS Version 5.0</v>
          </cell>
        </row>
        <row r="484">
          <cell r="A484" t="str">
            <v>NCSCD-US-5</v>
          </cell>
        </row>
        <row r="485">
          <cell r="A485" t="str">
            <v>ONYXWorks Workstation Components</v>
          </cell>
        </row>
        <row r="486">
          <cell r="A486" t="str">
            <v>CA-GW-WINPACK</v>
          </cell>
        </row>
        <row r="487">
          <cell r="A487" t="str">
            <v>DACR-GW</v>
          </cell>
        </row>
        <row r="488">
          <cell r="A488" t="str">
            <v>ECH-GW-PC-W</v>
          </cell>
        </row>
        <row r="489">
          <cell r="A489" t="str">
            <v>* ONYXWORKS-WS</v>
          </cell>
        </row>
        <row r="490">
          <cell r="A490" t="str">
            <v>* MON-19LCDW</v>
          </cell>
        </row>
        <row r="491">
          <cell r="A491" t="str">
            <v>* MON-19LCDW-TS</v>
          </cell>
        </row>
        <row r="492">
          <cell r="A492" t="str">
            <v>NFN-GW-PC-F</v>
          </cell>
        </row>
        <row r="493">
          <cell r="A493" t="str">
            <v>NFN-GW-PC-HNMF</v>
          </cell>
        </row>
        <row r="494">
          <cell r="A494" t="str">
            <v>NFN-GW-PC-HNSF</v>
          </cell>
        </row>
        <row r="496">
          <cell r="A496" t="str">
            <v>NFN-GW-PC-HNW</v>
          </cell>
        </row>
        <row r="497">
          <cell r="A497" t="str">
            <v>NFN-GW-PC-W</v>
          </cell>
        </row>
        <row r="498">
          <cell r="A498" t="str">
            <v>NOTIFY-IP</v>
          </cell>
        </row>
        <row r="499">
          <cell r="A499" t="str">
            <v>ONYX-NOTIFY</v>
          </cell>
        </row>
        <row r="500">
          <cell r="A500" t="str">
            <v>ONYX-PAGER</v>
          </cell>
        </row>
        <row r="502">
          <cell r="A502" t="str">
            <v>Network Gateways</v>
          </cell>
        </row>
        <row r="503">
          <cell r="A503" t="str">
            <v>BAC-WCE-UG</v>
          </cell>
        </row>
        <row r="504">
          <cell r="A504" t="str">
            <v>BACNET-GW-3</v>
          </cell>
        </row>
        <row r="505">
          <cell r="A505" t="str">
            <v>HS-NCM-MF</v>
          </cell>
        </row>
        <row r="506">
          <cell r="A506" t="str">
            <v>HS-NCM-MFSF</v>
          </cell>
        </row>
        <row r="507">
          <cell r="A507" t="str">
            <v>HS-NCM-SF</v>
          </cell>
        </row>
        <row r="508">
          <cell r="A508" t="str">
            <v>HS-NCM-W</v>
          </cell>
        </row>
        <row r="509">
          <cell r="A509" t="str">
            <v>HS-NCM-WMF</v>
          </cell>
        </row>
        <row r="510">
          <cell r="A510" t="str">
            <v>HS-NCM-WSF</v>
          </cell>
        </row>
        <row r="511">
          <cell r="A511" t="str">
            <v>MODBUS-GW</v>
          </cell>
        </row>
        <row r="512">
          <cell r="A512" t="str">
            <v>NFN-GW-EM-3</v>
          </cell>
        </row>
        <row r="513">
          <cell r="A513" t="str">
            <v>NWS-WCE-UG</v>
          </cell>
        </row>
        <row r="515">
          <cell r="A515" t="str">
            <v>RPT-F</v>
          </cell>
        </row>
        <row r="516">
          <cell r="A516" t="str">
            <v>RPT-W</v>
          </cell>
        </row>
        <row r="517">
          <cell r="A517" t="str">
            <v>RPT-WF</v>
          </cell>
        </row>
        <row r="518">
          <cell r="A518" t="str">
            <v>ONYXWORKS-Lite</v>
          </cell>
        </row>
        <row r="519">
          <cell r="A519" t="str">
            <v>OW-LITE-NF</v>
          </cell>
        </row>
        <row r="520">
          <cell r="A520" t="str">
            <v>OW-LITE-NW</v>
          </cell>
        </row>
        <row r="522">
          <cell r="A522">
            <v>31004</v>
          </cell>
        </row>
        <row r="523">
          <cell r="A523" t="str">
            <v>WSSUP</v>
          </cell>
        </row>
        <row r="525">
          <cell r="A525" t="str">
            <v>AFP-200RB</v>
          </cell>
        </row>
        <row r="526">
          <cell r="A526" t="str">
            <v>AFP-200RBE</v>
          </cell>
        </row>
        <row r="527">
          <cell r="A527" t="str">
            <v>AFP-200TA</v>
          </cell>
        </row>
        <row r="528">
          <cell r="A528" t="str">
            <v>AFP-200TAE</v>
          </cell>
        </row>
        <row r="529">
          <cell r="A529" t="str">
            <v>CPU-3030D</v>
          </cell>
        </row>
        <row r="530">
          <cell r="A530" t="str">
            <v>CPU-3030ND</v>
          </cell>
        </row>
        <row r="531">
          <cell r="A531" t="str">
            <v>CPU-640</v>
          </cell>
        </row>
        <row r="532">
          <cell r="A532" t="str">
            <v>CPU-640E</v>
          </cell>
        </row>
        <row r="533">
          <cell r="A533" t="str">
            <v>KDM-2</v>
          </cell>
        </row>
        <row r="534">
          <cell r="A534" t="str">
            <v>NFS-320-RB</v>
          </cell>
        </row>
        <row r="535">
          <cell r="A535" t="str">
            <v>NFS-320-RB-SPE</v>
          </cell>
        </row>
        <row r="536">
          <cell r="A536" t="str">
            <v>NFS-320-RBE</v>
          </cell>
        </row>
        <row r="537">
          <cell r="A537" t="str">
            <v>PD-2</v>
          </cell>
        </row>
        <row r="538">
          <cell r="A538" t="str">
            <v>NF - Others</v>
          </cell>
        </row>
        <row r="539">
          <cell r="A539">
            <v>90106</v>
          </cell>
        </row>
        <row r="540">
          <cell r="A540" t="str">
            <v>APS-6R</v>
          </cell>
        </row>
        <row r="541">
          <cell r="A541" t="str">
            <v>APS-6RE</v>
          </cell>
        </row>
        <row r="542">
          <cell r="A542" t="str">
            <v>CPU-320SYS</v>
          </cell>
        </row>
        <row r="544">
          <cell r="A544" t="str">
            <v>CPU-320SYSE</v>
          </cell>
        </row>
        <row r="546">
          <cell r="A546" t="str">
            <v>IPDACT-2</v>
          </cell>
        </row>
        <row r="547">
          <cell r="A547" t="str">
            <v>IPDACT-2UD</v>
          </cell>
        </row>
        <row r="548">
          <cell r="A548" t="str">
            <v>NSP-25E</v>
          </cell>
        </row>
        <row r="549">
          <cell r="A549" t="str">
            <v>NWS-3</v>
          </cell>
        </row>
        <row r="550">
          <cell r="A550" t="str">
            <v>ROM-AFP400</v>
          </cell>
        </row>
        <row r="551">
          <cell r="A551" t="str">
            <v>Printers And Cables</v>
          </cell>
        </row>
        <row r="552">
          <cell r="A552" t="str">
            <v>P40-KITB</v>
          </cell>
        </row>
        <row r="553">
          <cell r="A553" t="str">
            <v>PRN-6</v>
          </cell>
        </row>
        <row r="554">
          <cell r="A554" t="str">
            <v>VP-2B</v>
          </cell>
        </row>
        <row r="555">
          <cell r="A555" t="str">
            <v>VS4095/5</v>
          </cell>
        </row>
        <row r="556">
          <cell r="A556" t="str">
            <v>System Sensor - UL Approved</v>
          </cell>
        </row>
        <row r="557">
          <cell r="A557" t="str">
            <v>Conventional Initiating Devices</v>
          </cell>
        </row>
        <row r="558">
          <cell r="A558" t="str">
            <v>BNG, BRG and BG-1 Series Pull Stations</v>
          </cell>
        </row>
        <row r="559">
          <cell r="A559" t="str">
            <v>BG-2</v>
          </cell>
        </row>
        <row r="560">
          <cell r="A560" t="str">
            <v>BG-2R</v>
          </cell>
        </row>
        <row r="561">
          <cell r="A561" t="str">
            <v>BNG-1F</v>
          </cell>
        </row>
        <row r="562">
          <cell r="A562" t="str">
            <v>BNG-1FTS</v>
          </cell>
        </row>
        <row r="563">
          <cell r="A563" t="str">
            <v>BNG-1R</v>
          </cell>
        </row>
        <row r="564">
          <cell r="A564" t="str">
            <v>BNG-1TS</v>
          </cell>
        </row>
        <row r="565">
          <cell r="A565" t="str">
            <v>BNG-1TSR</v>
          </cell>
        </row>
        <row r="566">
          <cell r="A566" t="str">
            <v>BRG-1</v>
          </cell>
        </row>
        <row r="567">
          <cell r="A567" t="str">
            <v>BRG-1R</v>
          </cell>
        </row>
        <row r="568">
          <cell r="A568" t="str">
            <v>DABC</v>
          </cell>
        </row>
        <row r="569">
          <cell r="A569" t="str">
            <v>Explosion-Proof Stations</v>
          </cell>
        </row>
        <row r="570">
          <cell r="A570" t="str">
            <v>XAL-53</v>
          </cell>
        </row>
        <row r="571">
          <cell r="A571" t="str">
            <v>Plug-in Smoke Detectors</v>
          </cell>
        </row>
        <row r="572">
          <cell r="A572">
            <v>2151</v>
          </cell>
        </row>
        <row r="573">
          <cell r="A573" t="str">
            <v>2151T</v>
          </cell>
        </row>
        <row r="574">
          <cell r="A574">
            <v>5451</v>
          </cell>
        </row>
        <row r="575">
          <cell r="A575" t="str">
            <v>Rate Compensation Heat Detectors</v>
          </cell>
        </row>
        <row r="576">
          <cell r="A576" t="str">
            <v>302-135</v>
          </cell>
        </row>
        <row r="577">
          <cell r="A577" t="str">
            <v>302-194</v>
          </cell>
        </row>
        <row r="578">
          <cell r="A578" t="str">
            <v>302-AW-135</v>
          </cell>
        </row>
        <row r="579">
          <cell r="A579" t="str">
            <v>302-AW-194</v>
          </cell>
        </row>
        <row r="580">
          <cell r="A580" t="str">
            <v>302-EPM-135</v>
          </cell>
        </row>
        <row r="581">
          <cell r="A581" t="str">
            <v>302-EPM-194</v>
          </cell>
        </row>
        <row r="582">
          <cell r="A582" t="str">
            <v>302-ET-135</v>
          </cell>
        </row>
        <row r="583">
          <cell r="A583" t="str">
            <v>302-ET-194</v>
          </cell>
        </row>
        <row r="584">
          <cell r="A584" t="str">
            <v>AP-P</v>
          </cell>
        </row>
        <row r="585">
          <cell r="A585" t="str">
            <v>STI Detector Covers</v>
          </cell>
        </row>
        <row r="586">
          <cell r="A586" t="str">
            <v>STI9601</v>
          </cell>
        </row>
        <row r="587">
          <cell r="A587" t="str">
            <v>STI9602</v>
          </cell>
        </row>
        <row r="588">
          <cell r="A588" t="str">
            <v>STI9604</v>
          </cell>
        </row>
        <row r="589">
          <cell r="A589" t="str">
            <v>STI9605</v>
          </cell>
        </row>
        <row r="590">
          <cell r="A590" t="str">
            <v>STI9609</v>
          </cell>
        </row>
        <row r="591">
          <cell r="A591" t="str">
            <v>STI9610</v>
          </cell>
        </row>
        <row r="592">
          <cell r="A592" t="str">
            <v>STI9713</v>
          </cell>
        </row>
        <row r="593">
          <cell r="A593" t="str">
            <v>STI Polycarbonate Covers</v>
          </cell>
        </row>
        <row r="594">
          <cell r="A594" t="str">
            <v>BG12TR</v>
          </cell>
        </row>
        <row r="595">
          <cell r="A595" t="str">
            <v>SB-10</v>
          </cell>
        </row>
        <row r="596">
          <cell r="A596" t="str">
            <v>SB-I/O</v>
          </cell>
        </row>
        <row r="597">
          <cell r="A597" t="str">
            <v>SBA-10</v>
          </cell>
        </row>
        <row r="598">
          <cell r="A598" t="str">
            <v>STI-7550</v>
          </cell>
        </row>
        <row r="599">
          <cell r="A599" t="str">
            <v>STI-7551</v>
          </cell>
        </row>
        <row r="600">
          <cell r="A600" t="str">
            <v>STI1229</v>
          </cell>
        </row>
        <row r="601">
          <cell r="A601" t="str">
            <v>STI1280</v>
          </cell>
        </row>
        <row r="602">
          <cell r="A602" t="str">
            <v>STI6500</v>
          </cell>
        </row>
        <row r="603">
          <cell r="A603" t="str">
            <v>STI7500A</v>
          </cell>
        </row>
        <row r="604">
          <cell r="A604" t="str">
            <v>STI7501A</v>
          </cell>
        </row>
        <row r="605">
          <cell r="A605" t="str">
            <v>STI7510A</v>
          </cell>
        </row>
        <row r="606">
          <cell r="A606" t="str">
            <v>STI7520</v>
          </cell>
        </row>
        <row r="607">
          <cell r="A607" t="str">
            <v>STI7530</v>
          </cell>
        </row>
        <row r="608">
          <cell r="A608" t="str">
            <v>STI9621</v>
          </cell>
        </row>
        <row r="609">
          <cell r="A609" t="str">
            <v>STI Push Stations</v>
          </cell>
        </row>
        <row r="610">
          <cell r="A610" t="str">
            <v>NSS-2400E</v>
          </cell>
        </row>
        <row r="611">
          <cell r="A611" t="str">
            <v>NSS-2440E</v>
          </cell>
        </row>
        <row r="612">
          <cell r="A612" t="str">
            <v>Stopper Pull Station Covers</v>
          </cell>
        </row>
        <row r="613">
          <cell r="A613" t="str">
            <v>STI1100</v>
          </cell>
        </row>
        <row r="614">
          <cell r="A614" t="str">
            <v>STI1130</v>
          </cell>
        </row>
        <row r="615">
          <cell r="A615" t="str">
            <v>STI1200</v>
          </cell>
        </row>
        <row r="616">
          <cell r="A616" t="str">
            <v>STI1210D</v>
          </cell>
        </row>
        <row r="617">
          <cell r="A617" t="str">
            <v>STI1210E</v>
          </cell>
        </row>
        <row r="618">
          <cell r="A618" t="str">
            <v>STI1221D</v>
          </cell>
        </row>
        <row r="619">
          <cell r="A619" t="str">
            <v>STI1221E</v>
          </cell>
        </row>
        <row r="620">
          <cell r="A620" t="str">
            <v>STI1230</v>
          </cell>
        </row>
        <row r="621">
          <cell r="A621" t="str">
            <v>STI1250</v>
          </cell>
        </row>
        <row r="622">
          <cell r="A622" t="str">
            <v>STI3002</v>
          </cell>
        </row>
        <row r="623">
          <cell r="A623" t="str">
            <v>STI3003</v>
          </cell>
        </row>
        <row r="624">
          <cell r="A624" t="str">
            <v>STI3100</v>
          </cell>
        </row>
        <row r="625">
          <cell r="A625" t="str">
            <v>STI3150</v>
          </cell>
        </row>
        <row r="626">
          <cell r="A626" t="str">
            <v>STI4100</v>
          </cell>
        </row>
        <row r="627">
          <cell r="A627" t="str">
            <v>STI6001</v>
          </cell>
        </row>
        <row r="628">
          <cell r="A628" t="str">
            <v>STI6100</v>
          </cell>
        </row>
        <row r="629">
          <cell r="A629" t="str">
            <v>Conventional Initiating Devices</v>
          </cell>
        </row>
        <row r="630">
          <cell r="A630" t="str">
            <v>Heat Detectors</v>
          </cell>
        </row>
        <row r="631">
          <cell r="A631" t="str">
            <v>5601P</v>
          </cell>
        </row>
        <row r="632">
          <cell r="A632">
            <v>5602</v>
          </cell>
        </row>
        <row r="633">
          <cell r="A633">
            <v>5603</v>
          </cell>
        </row>
        <row r="634">
          <cell r="A634">
            <v>5604</v>
          </cell>
        </row>
        <row r="635">
          <cell r="A635">
            <v>5621</v>
          </cell>
        </row>
        <row r="636">
          <cell r="A636">
            <v>5622</v>
          </cell>
        </row>
        <row r="637">
          <cell r="A637">
            <v>5623</v>
          </cell>
        </row>
        <row r="638">
          <cell r="A638">
            <v>5624</v>
          </cell>
        </row>
        <row r="639">
          <cell r="A639" t="str">
            <v>I3 Photoelectric Smoke Detectors w/ Built-In Sounders &amp; Form-C Relay</v>
          </cell>
        </row>
        <row r="640">
          <cell r="A640" t="str">
            <v>2WTA-B</v>
          </cell>
        </row>
        <row r="641">
          <cell r="A641" t="str">
            <v>2WTR-B</v>
          </cell>
        </row>
        <row r="642">
          <cell r="A642" t="str">
            <v>4WITAR-B</v>
          </cell>
        </row>
        <row r="643">
          <cell r="A643" t="str">
            <v>4WTA-B</v>
          </cell>
        </row>
        <row r="644">
          <cell r="A644" t="str">
            <v>4WTAR-B</v>
          </cell>
        </row>
        <row r="645">
          <cell r="A645" t="str">
            <v>4WTR-B</v>
          </cell>
        </row>
        <row r="646">
          <cell r="A646" t="str">
            <v>System Detector Accessories</v>
          </cell>
        </row>
        <row r="647">
          <cell r="A647" t="str">
            <v>EOLR-1</v>
          </cell>
        </row>
        <row r="649">
          <cell r="A649" t="str">
            <v>M02-04-00</v>
          </cell>
        </row>
        <row r="650">
          <cell r="A650" t="str">
            <v>M02-09-00</v>
          </cell>
        </row>
        <row r="651">
          <cell r="A651" t="str">
            <v>RTC100</v>
          </cell>
        </row>
        <row r="652">
          <cell r="A652" t="str">
            <v>T55-127-010</v>
          </cell>
        </row>
        <row r="653">
          <cell r="A653" t="str">
            <v>XP-4</v>
          </cell>
        </row>
        <row r="655">
          <cell r="A655" t="str">
            <v>XR2</v>
          </cell>
        </row>
        <row r="656">
          <cell r="A656" t="str">
            <v>XR2B</v>
          </cell>
        </row>
        <row r="657">
          <cell r="A657" t="str">
            <v>System Sensor Beam Detectors &amp; STI Beam Cage</v>
          </cell>
        </row>
        <row r="658">
          <cell r="A658" t="str">
            <v>BEAM1224</v>
          </cell>
        </row>
        <row r="659">
          <cell r="A659" t="str">
            <v>BEAM1224S</v>
          </cell>
        </row>
        <row r="660">
          <cell r="A660" t="str">
            <v>BEAMHK</v>
          </cell>
        </row>
        <row r="661">
          <cell r="A661" t="str">
            <v>BEAMHKR</v>
          </cell>
        </row>
        <row r="662">
          <cell r="A662" t="str">
            <v>BEAMLRK</v>
          </cell>
        </row>
        <row r="663">
          <cell r="A663" t="str">
            <v>BEAMMMK</v>
          </cell>
        </row>
        <row r="664">
          <cell r="A664" t="str">
            <v>BEAMSMK</v>
          </cell>
        </row>
        <row r="665">
          <cell r="A665" t="str">
            <v>STI9625</v>
          </cell>
        </row>
        <row r="666">
          <cell r="A666" t="str">
            <v>STI9706</v>
          </cell>
        </row>
        <row r="667">
          <cell r="A667" t="str">
            <v>STI9707</v>
          </cell>
        </row>
        <row r="668">
          <cell r="A668" t="str">
            <v>System Sensor i3 Series Accessories</v>
          </cell>
        </row>
        <row r="669">
          <cell r="A669" t="str">
            <v>2W-MOD2</v>
          </cell>
        </row>
        <row r="670">
          <cell r="A670" t="str">
            <v>A77-AB2</v>
          </cell>
        </row>
        <row r="671">
          <cell r="A671" t="str">
            <v>RRS-MOD</v>
          </cell>
        </row>
        <row r="672">
          <cell r="A672" t="str">
            <v>SENS-RDR</v>
          </cell>
        </row>
        <row r="673">
          <cell r="A673" t="str">
            <v>System Sensor i3 Series Photoelectric Detectors</v>
          </cell>
        </row>
        <row r="674">
          <cell r="A674" t="str">
            <v>2W-B</v>
          </cell>
        </row>
        <row r="675">
          <cell r="A675" t="str">
            <v>2WT-B</v>
          </cell>
        </row>
        <row r="676">
          <cell r="A676" t="str">
            <v>4W-B</v>
          </cell>
        </row>
        <row r="677">
          <cell r="A677" t="str">
            <v>4WT-B</v>
          </cell>
        </row>
        <row r="678">
          <cell r="A678" t="str">
            <v>System Sensor Plug-in Detector Bases</v>
          </cell>
        </row>
        <row r="679">
          <cell r="A679" t="str">
            <v>B110LP</v>
          </cell>
        </row>
        <row r="680">
          <cell r="A680" t="str">
            <v>B112LP</v>
          </cell>
        </row>
        <row r="681">
          <cell r="A681" t="str">
            <v>B114LP</v>
          </cell>
        </row>
        <row r="682">
          <cell r="A682" t="str">
            <v>B114LPBT</v>
          </cell>
        </row>
        <row r="683">
          <cell r="A683" t="str">
            <v>B116LP</v>
          </cell>
        </row>
        <row r="684">
          <cell r="A684" t="str">
            <v>B210LP</v>
          </cell>
        </row>
        <row r="685">
          <cell r="A685" t="str">
            <v>B210LPBP</v>
          </cell>
        </row>
        <row r="686">
          <cell r="A686" t="str">
            <v>B401</v>
          </cell>
        </row>
        <row r="687">
          <cell r="A687" t="str">
            <v>System Sensor Pressure Switches</v>
          </cell>
        </row>
        <row r="688">
          <cell r="A688" t="str">
            <v>EPS10-1</v>
          </cell>
        </row>
        <row r="689">
          <cell r="A689" t="str">
            <v>EPS10-2</v>
          </cell>
        </row>
        <row r="690">
          <cell r="A690" t="str">
            <v>EPS40-1</v>
          </cell>
        </row>
        <row r="691">
          <cell r="A691" t="str">
            <v>EPS40-2</v>
          </cell>
        </row>
        <row r="692">
          <cell r="A692" t="str">
            <v>Water ow Switches and Supervisory Devices</v>
          </cell>
        </row>
        <row r="693">
          <cell r="A693" t="str">
            <v>MDL3R</v>
          </cell>
        </row>
        <row r="694">
          <cell r="A694" t="str">
            <v>MDL3W</v>
          </cell>
        </row>
        <row r="695">
          <cell r="A695" t="str">
            <v>OSY2</v>
          </cell>
        </row>
        <row r="696">
          <cell r="A696" t="str">
            <v>PIBV2</v>
          </cell>
        </row>
        <row r="697">
          <cell r="A697" t="str">
            <v>WFD20</v>
          </cell>
        </row>
        <row r="698">
          <cell r="A698" t="str">
            <v>WFD25</v>
          </cell>
        </row>
        <row r="699">
          <cell r="A699" t="str">
            <v>WFD30-2</v>
          </cell>
        </row>
        <row r="700">
          <cell r="A700" t="str">
            <v>WFD35</v>
          </cell>
        </row>
        <row r="701">
          <cell r="A701" t="str">
            <v>WFD40</v>
          </cell>
        </row>
        <row r="702">
          <cell r="A702" t="str">
            <v>WFD50</v>
          </cell>
        </row>
        <row r="703">
          <cell r="A703" t="str">
            <v>WFD60</v>
          </cell>
        </row>
        <row r="704">
          <cell r="A704" t="str">
            <v>WFD80</v>
          </cell>
        </row>
        <row r="705">
          <cell r="A705" t="str">
            <v>WFDT</v>
          </cell>
        </row>
        <row r="706">
          <cell r="A706" t="str">
            <v>HVAC System Monitoring</v>
          </cell>
        </row>
        <row r="707">
          <cell r="A707" t="str">
            <v>2D51</v>
          </cell>
        </row>
        <row r="708">
          <cell r="A708" t="str">
            <v>APA151</v>
          </cell>
        </row>
        <row r="709">
          <cell r="A709" t="str">
            <v>CO1224T</v>
          </cell>
        </row>
        <row r="710">
          <cell r="A710" t="str">
            <v>D2</v>
          </cell>
        </row>
        <row r="711">
          <cell r="A711" t="str">
            <v>D4120</v>
          </cell>
        </row>
        <row r="712">
          <cell r="A712" t="str">
            <v>D4120W</v>
          </cell>
        </row>
        <row r="713">
          <cell r="A713" t="str">
            <v>D4P120</v>
          </cell>
        </row>
        <row r="714">
          <cell r="A714" t="str">
            <v>D4S</v>
          </cell>
        </row>
        <row r="715">
          <cell r="A715" t="str">
            <v>DCOIL</v>
          </cell>
        </row>
        <row r="716">
          <cell r="A716" t="str">
            <v>ETX</v>
          </cell>
        </row>
        <row r="717">
          <cell r="A717" t="str">
            <v>WCK-200B</v>
          </cell>
        </row>
        <row r="718">
          <cell r="A718" t="str">
            <v>Noti cation Appliance Devices</v>
          </cell>
        </row>
        <row r="719">
          <cell r="A719" t="str">
            <v>FM Series Door Releases</v>
          </cell>
        </row>
        <row r="720">
          <cell r="A720" t="str">
            <v>FM900</v>
          </cell>
        </row>
        <row r="721">
          <cell r="A721" t="str">
            <v>FM900-100</v>
          </cell>
        </row>
        <row r="722">
          <cell r="A722" t="str">
            <v>FM900-50</v>
          </cell>
        </row>
        <row r="723">
          <cell r="A723" t="str">
            <v>FM900-75</v>
          </cell>
        </row>
        <row r="724">
          <cell r="A724" t="str">
            <v>FM900-Z</v>
          </cell>
        </row>
        <row r="725">
          <cell r="A725" t="str">
            <v>FM980</v>
          </cell>
        </row>
        <row r="726">
          <cell r="A726" t="str">
            <v>FM996</v>
          </cell>
        </row>
        <row r="727">
          <cell r="A727" t="str">
            <v>FM998</v>
          </cell>
        </row>
        <row r="728">
          <cell r="A728" t="str">
            <v>Wheelock 43T AC Vibrating Bells</v>
          </cell>
        </row>
        <row r="729">
          <cell r="A729" t="str">
            <v>43T-G10-115-R</v>
          </cell>
        </row>
        <row r="730">
          <cell r="A730" t="str">
            <v>43T-G6-115-R</v>
          </cell>
        </row>
        <row r="731">
          <cell r="A731" t="str">
            <v>43T-G6-24-R</v>
          </cell>
        </row>
        <row r="732">
          <cell r="A732" t="str">
            <v>Wheelock 4-Wire HS Electronic Horn Strobes</v>
          </cell>
        </row>
        <row r="733">
          <cell r="A733" t="str">
            <v>HNR</v>
          </cell>
        </row>
        <row r="734">
          <cell r="A734" t="str">
            <v>HNRC</v>
          </cell>
        </row>
        <row r="735">
          <cell r="A735" t="str">
            <v>HNW</v>
          </cell>
        </row>
        <row r="736">
          <cell r="A736" t="str">
            <v>HS4-241575W-FR</v>
          </cell>
        </row>
        <row r="737">
          <cell r="A737" t="str">
            <v>HS4-24MCW-FR</v>
          </cell>
        </row>
        <row r="738">
          <cell r="A738" t="str">
            <v>HS4-24MCW-FW</v>
          </cell>
        </row>
        <row r="739">
          <cell r="A739" t="str">
            <v>HSR</v>
          </cell>
        </row>
        <row r="740">
          <cell r="A740" t="str">
            <v>HSRC</v>
          </cell>
        </row>
        <row r="741">
          <cell r="A741" t="str">
            <v>HSW</v>
          </cell>
        </row>
        <row r="742">
          <cell r="A742" t="str">
            <v>HSWC</v>
          </cell>
        </row>
        <row r="743">
          <cell r="A743" t="str">
            <v>Wheelock Accessories</v>
          </cell>
        </row>
        <row r="744">
          <cell r="A744" t="str">
            <v>BB-R</v>
          </cell>
        </row>
        <row r="745">
          <cell r="A745" t="str">
            <v>DBB-R</v>
          </cell>
        </row>
        <row r="746">
          <cell r="A746" t="str">
            <v>DSM-12/24-R</v>
          </cell>
        </row>
        <row r="747">
          <cell r="A747" t="str">
            <v>IOB-R</v>
          </cell>
        </row>
        <row r="748">
          <cell r="A748" t="str">
            <v>IOB-W</v>
          </cell>
        </row>
        <row r="749">
          <cell r="A749" t="str">
            <v>ISP2-W</v>
          </cell>
        </row>
        <row r="750">
          <cell r="A750" t="str">
            <v>NATP-R</v>
          </cell>
        </row>
        <row r="751">
          <cell r="A751" t="str">
            <v>RP-R</v>
          </cell>
        </row>
        <row r="752">
          <cell r="A752" t="str">
            <v>SBB-R</v>
          </cell>
        </row>
        <row r="753">
          <cell r="A753" t="str">
            <v>SBB-W</v>
          </cell>
        </row>
        <row r="754">
          <cell r="A754" t="str">
            <v>SBL2-R</v>
          </cell>
        </row>
        <row r="755">
          <cell r="A755" t="str">
            <v>SFP-R</v>
          </cell>
        </row>
        <row r="756">
          <cell r="A756" t="str">
            <v>SFP-W</v>
          </cell>
        </row>
        <row r="757">
          <cell r="A757" t="str">
            <v>SHBB-R</v>
          </cell>
        </row>
        <row r="758">
          <cell r="A758" t="str">
            <v>SHBB-W</v>
          </cell>
        </row>
        <row r="759">
          <cell r="A759" t="str">
            <v>SM-12/24-R</v>
          </cell>
        </row>
        <row r="760">
          <cell r="A760" t="str">
            <v>WBB-R</v>
          </cell>
        </row>
        <row r="761">
          <cell r="A761" t="str">
            <v>WFP-R</v>
          </cell>
        </row>
        <row r="762">
          <cell r="A762" t="str">
            <v>WFP-W</v>
          </cell>
        </row>
        <row r="763">
          <cell r="A763" t="str">
            <v>WFPA-R</v>
          </cell>
        </row>
        <row r="764">
          <cell r="A764" t="str">
            <v>WFPA-W</v>
          </cell>
        </row>
        <row r="765">
          <cell r="A765" t="str">
            <v>WP-KIT</v>
          </cell>
        </row>
        <row r="766">
          <cell r="A766" t="str">
            <v>WPBB-R</v>
          </cell>
        </row>
        <row r="767">
          <cell r="A767" t="str">
            <v>WPSBB-R</v>
          </cell>
        </row>
        <row r="768">
          <cell r="A768" t="str">
            <v>Wheelock AH Series Horns</v>
          </cell>
        </row>
        <row r="769">
          <cell r="A769" t="str">
            <v>AH-24WP-R</v>
          </cell>
        </row>
        <row r="770">
          <cell r="A770" t="str">
            <v>Wheelock AMT Series Multi-tone Horns &amp; Horn/Strobes</v>
          </cell>
        </row>
        <row r="771">
          <cell r="A771" t="str">
            <v>AMT-241575W-FR</v>
          </cell>
        </row>
        <row r="772">
          <cell r="A772" t="str">
            <v>AMT-241575W-FW</v>
          </cell>
        </row>
        <row r="773">
          <cell r="A773" t="str">
            <v>Wheelock AS Series Horn Strobes</v>
          </cell>
        </row>
        <row r="774">
          <cell r="A774" t="str">
            <v>ASWP-2475W-FR</v>
          </cell>
        </row>
        <row r="775">
          <cell r="A775" t="str">
            <v>Wheelock Chimes and Chime Strobes</v>
          </cell>
        </row>
        <row r="776">
          <cell r="A776" t="str">
            <v>CH70-24MCW-FR</v>
          </cell>
        </row>
        <row r="777">
          <cell r="A777" t="str">
            <v>CH70-24MCW-FW</v>
          </cell>
        </row>
        <row r="778">
          <cell r="A778" t="str">
            <v>CH90-24MCC-FW</v>
          </cell>
        </row>
        <row r="779">
          <cell r="A779" t="str">
            <v>Wheelock ET Series Speaker Strobes</v>
          </cell>
        </row>
        <row r="780">
          <cell r="A780" t="str">
            <v>ET70-241575W-FR</v>
          </cell>
        </row>
        <row r="781">
          <cell r="A781" t="str">
            <v>ET70-24MCW-FR</v>
          </cell>
        </row>
        <row r="782">
          <cell r="A782" t="str">
            <v>ET70-24MCW-FW</v>
          </cell>
        </row>
        <row r="783">
          <cell r="A783" t="str">
            <v>ET70WP-2475W-FR</v>
          </cell>
        </row>
        <row r="784">
          <cell r="A784" t="str">
            <v>ET90-24MCC-FW</v>
          </cell>
        </row>
        <row r="785">
          <cell r="A785" t="str">
            <v>Wheelock ET Series Vandal Resistant Speakers</v>
          </cell>
        </row>
        <row r="786">
          <cell r="A786" t="str">
            <v>ET-1010-R</v>
          </cell>
        </row>
        <row r="787">
          <cell r="A787" t="str">
            <v>ET-1080-R</v>
          </cell>
        </row>
        <row r="788">
          <cell r="A788" t="str">
            <v>Wheelock Explosion Proof Bells</v>
          </cell>
        </row>
        <row r="789">
          <cell r="A789" t="str">
            <v>CSX10-115-R</v>
          </cell>
        </row>
        <row r="790">
          <cell r="A790" t="str">
            <v>CSXG10-115-R</v>
          </cell>
        </row>
        <row r="791">
          <cell r="A791" t="str">
            <v>CVXG10-115-R</v>
          </cell>
        </row>
        <row r="792">
          <cell r="A792" t="str">
            <v>EP109206-001</v>
          </cell>
        </row>
        <row r="793">
          <cell r="A793" t="str">
            <v>EP109206-002</v>
          </cell>
        </row>
        <row r="794">
          <cell r="A794" t="str">
            <v>Wheelock Explosion Proof Push Station</v>
          </cell>
        </row>
        <row r="795">
          <cell r="A795" t="str">
            <v>EP109211-002</v>
          </cell>
        </row>
        <row r="796">
          <cell r="A796" t="str">
            <v>Wheelock Explosion Proof Speakers</v>
          </cell>
        </row>
        <row r="797">
          <cell r="A797" t="str">
            <v>HL109208-001</v>
          </cell>
        </row>
        <row r="798">
          <cell r="A798" t="str">
            <v>HL109208-002</v>
          </cell>
        </row>
        <row r="799">
          <cell r="A799" t="str">
            <v>Wheelock Explosion Proof Strobes</v>
          </cell>
        </row>
        <row r="800">
          <cell r="A800" t="str">
            <v>EP109200-001</v>
          </cell>
        </row>
        <row r="801">
          <cell r="A801" t="str">
            <v>EP109200-002</v>
          </cell>
        </row>
        <row r="802">
          <cell r="A802" t="str">
            <v>EP109200-003</v>
          </cell>
        </row>
        <row r="803">
          <cell r="A803" t="str">
            <v>EP109200-004</v>
          </cell>
        </row>
        <row r="804">
          <cell r="A804" t="str">
            <v>EP109202-002</v>
          </cell>
        </row>
        <row r="805">
          <cell r="A805" t="str">
            <v>EP109205-001</v>
          </cell>
        </row>
        <row r="806">
          <cell r="A806" t="str">
            <v>EP109205-002</v>
          </cell>
        </row>
        <row r="807">
          <cell r="A807" t="str">
            <v>Wheelock Hazardous Location Horns</v>
          </cell>
        </row>
        <row r="808">
          <cell r="A808" t="str">
            <v>HL109207-001</v>
          </cell>
        </row>
        <row r="809">
          <cell r="A809" t="str">
            <v>HL109207-006</v>
          </cell>
        </row>
        <row r="810">
          <cell r="A810" t="str">
            <v>Wheelock Hazardous Location Push Station</v>
          </cell>
        </row>
        <row r="811">
          <cell r="A811" t="str">
            <v>HL109210-001</v>
          </cell>
        </row>
        <row r="812">
          <cell r="A812" t="str">
            <v>Wheelock Hazardous Location Speaker/Strobes</v>
          </cell>
        </row>
        <row r="813">
          <cell r="A813" t="str">
            <v>HL109202-006</v>
          </cell>
        </row>
        <row r="814">
          <cell r="A814" t="str">
            <v>HL109202-008</v>
          </cell>
        </row>
        <row r="815">
          <cell r="A815" t="str">
            <v>HL109203-005</v>
          </cell>
        </row>
        <row r="816">
          <cell r="A816" t="str">
            <v>HL109209-001</v>
          </cell>
        </row>
        <row r="817">
          <cell r="A817" t="str">
            <v>HL109209-002</v>
          </cell>
        </row>
        <row r="818">
          <cell r="A818" t="str">
            <v>HL109209-004</v>
          </cell>
        </row>
        <row r="819">
          <cell r="A819" t="str">
            <v>HL109209-007</v>
          </cell>
        </row>
        <row r="820">
          <cell r="A820" t="str">
            <v>Wheelock Hazardous Location Strobes</v>
          </cell>
        </row>
        <row r="821">
          <cell r="A821" t="str">
            <v>HL109203-001</v>
          </cell>
        </row>
        <row r="822">
          <cell r="A822" t="str">
            <v>HL109203-002</v>
          </cell>
        </row>
        <row r="823">
          <cell r="A823" t="str">
            <v>HL109204-002</v>
          </cell>
        </row>
        <row r="824">
          <cell r="A824" t="str">
            <v>HL109204-006</v>
          </cell>
        </row>
        <row r="825">
          <cell r="A825" t="str">
            <v>Wheelock Loud Speaker, Dual Voltage and Multiple Taps</v>
          </cell>
        </row>
        <row r="826">
          <cell r="A826" t="str">
            <v>HL109201-008</v>
          </cell>
        </row>
        <row r="827">
          <cell r="A827" t="str">
            <v>SHMP-R</v>
          </cell>
        </row>
        <row r="828">
          <cell r="A828" t="str">
            <v>STH-15S</v>
          </cell>
        </row>
        <row r="829">
          <cell r="A829" t="str">
            <v>STH-15SR</v>
          </cell>
        </row>
        <row r="830">
          <cell r="A830" t="str">
            <v>Wheelock MB Series Motor Bells</v>
          </cell>
        </row>
        <row r="831">
          <cell r="A831" t="str">
            <v>MB-G10-24-R</v>
          </cell>
        </row>
        <row r="832">
          <cell r="A832" t="str">
            <v>MB-G6-24-R</v>
          </cell>
        </row>
        <row r="833">
          <cell r="A833" t="str">
            <v>Wheelock MIZ Horns</v>
          </cell>
        </row>
        <row r="834">
          <cell r="A834" t="str">
            <v>MIZ-24S-R</v>
          </cell>
        </row>
        <row r="835">
          <cell r="A835" t="str">
            <v>MIZ-24S-W</v>
          </cell>
        </row>
        <row r="836">
          <cell r="A836" t="str">
            <v>Wheelock MT Series Devices</v>
          </cell>
        </row>
        <row r="837">
          <cell r="A837" t="str">
            <v>MT-12/24-R</v>
          </cell>
        </row>
        <row r="838">
          <cell r="A838" t="str">
            <v>MT-241575W-FR</v>
          </cell>
        </row>
        <row r="839">
          <cell r="A839" t="str">
            <v>MT-24MCW-FR</v>
          </cell>
        </row>
        <row r="840">
          <cell r="A840" t="str">
            <v>MT4-115-WH-VFR</v>
          </cell>
        </row>
        <row r="841">
          <cell r="A841" t="str">
            <v>MTWP-2475W-FR</v>
          </cell>
        </row>
        <row r="842">
          <cell r="A842" t="str">
            <v>Wheelock RSS Series Strobes  &amp; RSSP Retro t Plates</v>
          </cell>
        </row>
        <row r="843">
          <cell r="A843" t="str">
            <v>RSS-241575W-FR</v>
          </cell>
        </row>
        <row r="844">
          <cell r="A844" t="str">
            <v>RSSP-121575W-FR</v>
          </cell>
        </row>
        <row r="845">
          <cell r="A845" t="str">
            <v>RSSP-24MCW-FR</v>
          </cell>
        </row>
        <row r="846">
          <cell r="A846" t="str">
            <v>RSSWP-2475W-FR</v>
          </cell>
        </row>
        <row r="847">
          <cell r="A847" t="str">
            <v>Wheelock Speaker Strobes</v>
          </cell>
        </row>
        <row r="848">
          <cell r="A848" t="str">
            <v>E50-241575W-FR</v>
          </cell>
        </row>
        <row r="849">
          <cell r="A849" t="str">
            <v>E50-241575W-FW</v>
          </cell>
        </row>
        <row r="850">
          <cell r="A850" t="str">
            <v>E50-24MCW-FR</v>
          </cell>
        </row>
        <row r="851">
          <cell r="A851" t="str">
            <v>E50-24MCW-FW</v>
          </cell>
        </row>
        <row r="852">
          <cell r="A852" t="str">
            <v>E50-24MCWH-FR</v>
          </cell>
        </row>
        <row r="853">
          <cell r="A853" t="str">
            <v>E50-24MCWH-FW</v>
          </cell>
        </row>
        <row r="854">
          <cell r="A854" t="str">
            <v>E60-24MCC-FR</v>
          </cell>
        </row>
        <row r="855">
          <cell r="A855" t="str">
            <v>E60-24MCC-FW</v>
          </cell>
        </row>
        <row r="856">
          <cell r="A856" t="str">
            <v>E60-24MCCH-FR</v>
          </cell>
        </row>
        <row r="857">
          <cell r="A857" t="str">
            <v>E60-24MCCH-FW</v>
          </cell>
        </row>
        <row r="858">
          <cell r="A858" t="str">
            <v>E70-241575W-FR</v>
          </cell>
        </row>
        <row r="859">
          <cell r="A859" t="str">
            <v>E70-24MCC-FW</v>
          </cell>
        </row>
        <row r="860">
          <cell r="A860" t="str">
            <v>E70-24MCW-FR</v>
          </cell>
        </row>
        <row r="861">
          <cell r="A861" t="str">
            <v>E70-24MCW-FW</v>
          </cell>
        </row>
        <row r="862">
          <cell r="A862" t="str">
            <v>E70-24MCWH-FR</v>
          </cell>
        </row>
        <row r="863">
          <cell r="A863" t="str">
            <v>E70-24MCWH-FW</v>
          </cell>
        </row>
        <row r="864">
          <cell r="A864" t="str">
            <v>E90-24MCC-FW</v>
          </cell>
        </row>
        <row r="865">
          <cell r="A865" t="str">
            <v>E90-24MCCH-FW</v>
          </cell>
        </row>
        <row r="866">
          <cell r="A866" t="str">
            <v>Wheelock Speakers</v>
          </cell>
        </row>
        <row r="867">
          <cell r="A867" t="str">
            <v>E50-R</v>
          </cell>
        </row>
        <row r="868">
          <cell r="A868" t="str">
            <v>E50-W</v>
          </cell>
        </row>
        <row r="869">
          <cell r="A869" t="str">
            <v>E60-R</v>
          </cell>
        </row>
        <row r="870">
          <cell r="A870" t="str">
            <v>E60-W</v>
          </cell>
        </row>
        <row r="871">
          <cell r="A871" t="str">
            <v>E60EXT-R</v>
          </cell>
        </row>
        <row r="872">
          <cell r="A872" t="str">
            <v>E60EXT-W</v>
          </cell>
        </row>
        <row r="873">
          <cell r="A873" t="str">
            <v>E70-R</v>
          </cell>
        </row>
        <row r="874">
          <cell r="A874" t="str">
            <v>E90-R</v>
          </cell>
        </row>
        <row r="875">
          <cell r="A875" t="str">
            <v>E90-W</v>
          </cell>
        </row>
        <row r="876">
          <cell r="A876" t="str">
            <v>ET70-R</v>
          </cell>
        </row>
        <row r="877">
          <cell r="A877" t="str">
            <v>ET70-W</v>
          </cell>
        </row>
        <row r="878">
          <cell r="A878" t="str">
            <v>ET90-W</v>
          </cell>
        </row>
        <row r="879">
          <cell r="A879" t="str">
            <v>Wheelock WH Series Remote Strobe</v>
          </cell>
        </row>
        <row r="880">
          <cell r="A880" t="str">
            <v>WH1T-115-NS</v>
          </cell>
        </row>
        <row r="881">
          <cell r="A881" t="str">
            <v>Wheelock Hazardous Location Strobes</v>
          </cell>
        </row>
        <row r="882">
          <cell r="A882" t="str">
            <v>HL109201-003</v>
          </cell>
        </row>
        <row r="883">
          <cell r="A883" t="str">
            <v>HL109201-007</v>
          </cell>
        </row>
        <row r="884">
          <cell r="A884" t="str">
            <v>HL109204-001</v>
          </cell>
        </row>
        <row r="885">
          <cell r="A885" t="str">
            <v>HL109209-003</v>
          </cell>
        </row>
        <row r="886">
          <cell r="A886" t="str">
            <v>HL109201-002</v>
          </cell>
        </row>
        <row r="887">
          <cell r="A887" t="str">
            <v>HL109204-003</v>
          </cell>
        </row>
        <row r="888">
          <cell r="A888" t="str">
            <v>HL109202-005</v>
          </cell>
        </row>
        <row r="889">
          <cell r="A889" t="str">
            <v>HL109202-003</v>
          </cell>
        </row>
        <row r="890">
          <cell r="A890" t="str">
            <v>HL109202-004</v>
          </cell>
        </row>
        <row r="891">
          <cell r="A891" t="str">
            <v>HL109204-005</v>
          </cell>
        </row>
        <row r="892">
          <cell r="A892" t="str">
            <v>HL109202-007</v>
          </cell>
        </row>
        <row r="893">
          <cell r="A893" t="str">
            <v>HL109201-001</v>
          </cell>
        </row>
        <row r="894">
          <cell r="A894" t="str">
            <v>HL109202-001</v>
          </cell>
        </row>
        <row r="895">
          <cell r="A895" t="str">
            <v>Noti cation Appliance Devices</v>
          </cell>
        </row>
        <row r="896">
          <cell r="A896" t="str">
            <v>SpectrAlert Advance Horns</v>
          </cell>
        </row>
        <row r="897">
          <cell r="A897" t="str">
            <v>HR</v>
          </cell>
        </row>
        <row r="898">
          <cell r="A898" t="str">
            <v>HRK</v>
          </cell>
        </row>
        <row r="899">
          <cell r="A899" t="str">
            <v>HRK-R</v>
          </cell>
        </row>
        <row r="900">
          <cell r="A900" t="str">
            <v>HW</v>
          </cell>
        </row>
        <row r="901">
          <cell r="A901" t="str">
            <v>SpectrAlert Advance Strobes, Ceiling Mount</v>
          </cell>
        </row>
        <row r="902">
          <cell r="A902" t="str">
            <v>SCR</v>
          </cell>
        </row>
        <row r="903">
          <cell r="A903" t="str">
            <v>SCRH</v>
          </cell>
        </row>
        <row r="904">
          <cell r="A904" t="str">
            <v>SCRHK</v>
          </cell>
        </row>
        <row r="905">
          <cell r="A905" t="str">
            <v>SCRK</v>
          </cell>
        </row>
        <row r="906">
          <cell r="A906" t="str">
            <v>SCW</v>
          </cell>
        </row>
        <row r="907">
          <cell r="A907" t="str">
            <v>SCW-P</v>
          </cell>
        </row>
        <row r="908">
          <cell r="A908" t="str">
            <v>SCWH</v>
          </cell>
        </row>
        <row r="909">
          <cell r="A909" t="str">
            <v>SpectrAlert Advance Strobes, Wall Mount</v>
          </cell>
        </row>
        <row r="910">
          <cell r="A910" t="str">
            <v>SR-P</v>
          </cell>
        </row>
        <row r="911">
          <cell r="A911" t="str">
            <v>SRH</v>
          </cell>
        </row>
        <row r="912">
          <cell r="A912" t="str">
            <v>SRH-P</v>
          </cell>
        </row>
        <row r="913">
          <cell r="A913" t="str">
            <v>SRHK</v>
          </cell>
        </row>
        <row r="914">
          <cell r="A914" t="str">
            <v>SRHK-R</v>
          </cell>
        </row>
        <row r="915">
          <cell r="A915" t="str">
            <v>SRK</v>
          </cell>
        </row>
        <row r="916">
          <cell r="A916" t="str">
            <v>SRK-R</v>
          </cell>
        </row>
        <row r="917">
          <cell r="A917" t="str">
            <v>SW</v>
          </cell>
        </row>
        <row r="918">
          <cell r="A918" t="str">
            <v>SW-P</v>
          </cell>
        </row>
        <row r="919">
          <cell r="A919" t="str">
            <v>SWH</v>
          </cell>
        </row>
        <row r="920">
          <cell r="A920" t="str">
            <v>SWH-P</v>
          </cell>
        </row>
        <row r="921">
          <cell r="A921" t="str">
            <v>SSD Accessories</v>
          </cell>
        </row>
        <row r="922">
          <cell r="A922" t="str">
            <v>BB-STD</v>
          </cell>
        </row>
        <row r="923">
          <cell r="A923" t="str">
            <v>WBB</v>
          </cell>
        </row>
        <row r="924">
          <cell r="A924" t="str">
            <v>SSD - Mini Piezo Horns, Wall Mount</v>
          </cell>
        </row>
        <row r="925">
          <cell r="A925" t="str">
            <v>MHR</v>
          </cell>
        </row>
        <row r="926">
          <cell r="A926" t="str">
            <v>MHW</v>
          </cell>
        </row>
        <row r="927">
          <cell r="A927" t="str">
            <v>System Sensor Electric Alarm Bells</v>
          </cell>
        </row>
        <row r="928">
          <cell r="A928" t="str">
            <v>SSM24-10</v>
          </cell>
        </row>
        <row r="929">
          <cell r="A929" t="str">
            <v>SSM24-6</v>
          </cell>
        </row>
        <row r="930">
          <cell r="A930" t="str">
            <v>SSM24-8</v>
          </cell>
        </row>
        <row r="931">
          <cell r="A931" t="str">
            <v>System Sensor Multi Voltage Control Relays</v>
          </cell>
        </row>
        <row r="932">
          <cell r="A932" t="str">
            <v>PR-1</v>
          </cell>
        </row>
        <row r="933">
          <cell r="A933" t="str">
            <v>PR-2</v>
          </cell>
        </row>
        <row r="934">
          <cell r="A934" t="str">
            <v>PR-3</v>
          </cell>
        </row>
        <row r="935">
          <cell r="A935" t="str">
            <v>R-10E</v>
          </cell>
        </row>
        <row r="936">
          <cell r="A936" t="str">
            <v>R-10T</v>
          </cell>
        </row>
        <row r="937">
          <cell r="A937" t="str">
            <v>R-14E</v>
          </cell>
        </row>
        <row r="938">
          <cell r="A938" t="str">
            <v>R-14T</v>
          </cell>
        </row>
        <row r="939">
          <cell r="A939" t="str">
            <v>R-20E</v>
          </cell>
        </row>
        <row r="940">
          <cell r="A940" t="str">
            <v>R-20T</v>
          </cell>
        </row>
        <row r="941">
          <cell r="A941" t="str">
            <v>R-24E</v>
          </cell>
        </row>
        <row r="942">
          <cell r="A942" t="str">
            <v>R-24T</v>
          </cell>
        </row>
        <row r="943">
          <cell r="A943" t="str">
            <v>SpectrAlert Advance 2 Wire Horn/Strobes</v>
          </cell>
        </row>
        <row r="944">
          <cell r="A944" t="str">
            <v>BBS-2</v>
          </cell>
        </row>
        <row r="945">
          <cell r="A945" t="str">
            <v>BBSC-2</v>
          </cell>
        </row>
        <row r="946">
          <cell r="A946" t="str">
            <v>BBSCW-2</v>
          </cell>
        </row>
        <row r="947">
          <cell r="A947" t="str">
            <v>BBSW-2</v>
          </cell>
        </row>
        <row r="948">
          <cell r="A948" t="str">
            <v>CHR</v>
          </cell>
        </row>
        <row r="949">
          <cell r="A949" t="str">
            <v>CHSR</v>
          </cell>
        </row>
        <row r="950">
          <cell r="A950" t="str">
            <v>CHSW</v>
          </cell>
        </row>
        <row r="951">
          <cell r="A951" t="str">
            <v>CHW</v>
          </cell>
        </row>
        <row r="952">
          <cell r="A952" t="str">
            <v>MP120K</v>
          </cell>
        </row>
        <row r="953">
          <cell r="A953" t="str">
            <v>P2R</v>
          </cell>
        </row>
        <row r="954">
          <cell r="A954" t="str">
            <v>P2R-P</v>
          </cell>
        </row>
        <row r="955">
          <cell r="A955" t="str">
            <v>P2RH</v>
          </cell>
        </row>
        <row r="956">
          <cell r="A956" t="str">
            <v>P2RHK</v>
          </cell>
        </row>
        <row r="957">
          <cell r="A957" t="str">
            <v>P2RHK-120</v>
          </cell>
        </row>
        <row r="958">
          <cell r="A958" t="str">
            <v>P2RHK-R</v>
          </cell>
        </row>
        <row r="959">
          <cell r="A959" t="str">
            <v>P2RK</v>
          </cell>
        </row>
        <row r="960">
          <cell r="A960" t="str">
            <v>P2RK-R</v>
          </cell>
        </row>
        <row r="961">
          <cell r="A961" t="str">
            <v>P2W</v>
          </cell>
        </row>
        <row r="962">
          <cell r="A962" t="str">
            <v>P2W-P</v>
          </cell>
        </row>
        <row r="963">
          <cell r="A963" t="str">
            <v>P2WH</v>
          </cell>
        </row>
        <row r="964">
          <cell r="A964" t="str">
            <v>P2WH-P</v>
          </cell>
        </row>
        <row r="965">
          <cell r="A965" t="str">
            <v>P4R</v>
          </cell>
        </row>
        <row r="966">
          <cell r="A966" t="str">
            <v>P4RH</v>
          </cell>
        </row>
        <row r="967">
          <cell r="A967" t="str">
            <v>P4RK</v>
          </cell>
        </row>
        <row r="968">
          <cell r="A968" t="str">
            <v>P4RK-R</v>
          </cell>
        </row>
        <row r="969">
          <cell r="A969" t="str">
            <v>P4W</v>
          </cell>
        </row>
        <row r="970">
          <cell r="A970" t="str">
            <v>PC2R</v>
          </cell>
        </row>
        <row r="971">
          <cell r="A971" t="str">
            <v>PC2R-P</v>
          </cell>
        </row>
        <row r="972">
          <cell r="A972" t="str">
            <v>PC2RH</v>
          </cell>
        </row>
        <row r="973">
          <cell r="A973" t="str">
            <v>PC2RHK</v>
          </cell>
        </row>
        <row r="974">
          <cell r="A974" t="str">
            <v>PC2RK</v>
          </cell>
        </row>
        <row r="975">
          <cell r="A975" t="str">
            <v>PC2W</v>
          </cell>
        </row>
        <row r="976">
          <cell r="A976" t="str">
            <v>PC2W-P</v>
          </cell>
        </row>
        <row r="977">
          <cell r="A977" t="str">
            <v>PC2WH</v>
          </cell>
        </row>
        <row r="978">
          <cell r="A978" t="str">
            <v>PC2WH-P</v>
          </cell>
        </row>
        <row r="979">
          <cell r="A979" t="str">
            <v>PC4R</v>
          </cell>
        </row>
        <row r="980">
          <cell r="A980" t="str">
            <v>PC4RH</v>
          </cell>
        </row>
        <row r="981">
          <cell r="A981" t="str">
            <v>PC4W</v>
          </cell>
        </row>
        <row r="982">
          <cell r="A982" t="str">
            <v>SA-WBB</v>
          </cell>
        </row>
        <row r="983">
          <cell r="A983" t="str">
            <v>SA-WBBC</v>
          </cell>
        </row>
        <row r="984">
          <cell r="A984" t="str">
            <v>SYNC-1</v>
          </cell>
        </row>
        <row r="985">
          <cell r="A985" t="str">
            <v>TR-HS</v>
          </cell>
        </row>
        <row r="986">
          <cell r="A986" t="str">
            <v>TRC-HS</v>
          </cell>
        </row>
        <row r="987">
          <cell r="A987" t="str">
            <v>TRCW-HS</v>
          </cell>
        </row>
        <row r="988">
          <cell r="A988" t="str">
            <v>PF24V</v>
          </cell>
        </row>
        <row r="989">
          <cell r="A989" t="str">
            <v>System Sensor Voice</v>
          </cell>
        </row>
        <row r="990">
          <cell r="A990" t="str">
            <v>Noti cation Appliance Devices</v>
          </cell>
        </row>
        <row r="991">
          <cell r="A991" t="str">
            <v>System Sensor SpectrAlert Advance Ceiling Speakers</v>
          </cell>
        </row>
        <row r="992">
          <cell r="A992" t="str">
            <v>MWBB</v>
          </cell>
        </row>
        <row r="993">
          <cell r="A993" t="str">
            <v>MWBBCW</v>
          </cell>
        </row>
        <row r="994">
          <cell r="A994" t="str">
            <v>MWBBW</v>
          </cell>
        </row>
        <row r="995">
          <cell r="A995" t="str">
            <v>RFP</v>
          </cell>
        </row>
        <row r="996">
          <cell r="A996" t="str">
            <v>RFPW</v>
          </cell>
        </row>
        <row r="997">
          <cell r="A997" t="str">
            <v>SPBBS</v>
          </cell>
        </row>
        <row r="998">
          <cell r="A998" t="str">
            <v>SPBBSC</v>
          </cell>
        </row>
        <row r="999">
          <cell r="A999" t="str">
            <v>SPBBSCW</v>
          </cell>
        </row>
        <row r="1000">
          <cell r="A1000" t="str">
            <v>SPBBSW</v>
          </cell>
        </row>
        <row r="1001">
          <cell r="A1001" t="str">
            <v>SPCR</v>
          </cell>
        </row>
        <row r="1002">
          <cell r="A1002" t="str">
            <v>SPCRV</v>
          </cell>
        </row>
        <row r="1003">
          <cell r="A1003" t="str">
            <v>SPCW</v>
          </cell>
        </row>
        <row r="1004">
          <cell r="A1004" t="str">
            <v>SPCWK</v>
          </cell>
        </row>
        <row r="1005">
          <cell r="A1005" t="str">
            <v>SPCWV</v>
          </cell>
        </row>
        <row r="1006">
          <cell r="A1006" t="str">
            <v>SPSCR</v>
          </cell>
        </row>
        <row r="1007">
          <cell r="A1007" t="str">
            <v>SPSCRH</v>
          </cell>
        </row>
        <row r="1008">
          <cell r="A1008" t="str">
            <v>SPSCRV</v>
          </cell>
        </row>
        <row r="1009">
          <cell r="A1009" t="str">
            <v>SPSCRVH</v>
          </cell>
        </row>
        <row r="1010">
          <cell r="A1010" t="str">
            <v>SPSCW</v>
          </cell>
        </row>
        <row r="1011">
          <cell r="A1011" t="str">
            <v>SPSCW-P</v>
          </cell>
        </row>
        <row r="1012">
          <cell r="A1012" t="str">
            <v>SPSCWH</v>
          </cell>
        </row>
        <row r="1013">
          <cell r="A1013" t="str">
            <v>SPSCWH-P</v>
          </cell>
        </row>
        <row r="1014">
          <cell r="A1014" t="str">
            <v>SPSCWHK</v>
          </cell>
        </row>
        <row r="1015">
          <cell r="A1015" t="str">
            <v>SPSCWK</v>
          </cell>
        </row>
        <row r="1016">
          <cell r="A1016" t="str">
            <v>SPSCWV</v>
          </cell>
        </row>
        <row r="1017">
          <cell r="A1017" t="str">
            <v>SPSCWV-P</v>
          </cell>
        </row>
        <row r="1018">
          <cell r="A1018" t="str">
            <v>SPSCWVH</v>
          </cell>
        </row>
        <row r="1019">
          <cell r="A1019" t="str">
            <v>SPSCWVH-P</v>
          </cell>
        </row>
        <row r="1020">
          <cell r="A1020" t="str">
            <v>TR</v>
          </cell>
        </row>
        <row r="1021">
          <cell r="A1021" t="str">
            <v>TRC</v>
          </cell>
        </row>
        <row r="1022">
          <cell r="A1022" t="str">
            <v>TRCW</v>
          </cell>
        </row>
        <row r="1023">
          <cell r="A1023" t="str">
            <v>TRW</v>
          </cell>
        </row>
        <row r="1024">
          <cell r="A1024" t="str">
            <v>System Sensor SpectrAlert Advance Wall Speakers</v>
          </cell>
        </row>
        <row r="1025">
          <cell r="A1025" t="str">
            <v>SPR</v>
          </cell>
        </row>
        <row r="1026">
          <cell r="A1026" t="str">
            <v>SPRK</v>
          </cell>
        </row>
        <row r="1027">
          <cell r="A1027" t="str">
            <v>SPRV</v>
          </cell>
        </row>
        <row r="1028">
          <cell r="A1028" t="str">
            <v>SPSR</v>
          </cell>
        </row>
        <row r="1029">
          <cell r="A1029" t="str">
            <v>SPSR-P</v>
          </cell>
        </row>
        <row r="1030">
          <cell r="A1030" t="str">
            <v>SPSRH</v>
          </cell>
        </row>
        <row r="1031">
          <cell r="A1031" t="str">
            <v>SPSRH-P</v>
          </cell>
        </row>
        <row r="1032">
          <cell r="A1032" t="str">
            <v>SPSRK</v>
          </cell>
        </row>
        <row r="1033">
          <cell r="A1033" t="str">
            <v>SPSRV</v>
          </cell>
        </row>
        <row r="1034">
          <cell r="A1034" t="str">
            <v>SPSRV-P</v>
          </cell>
        </row>
        <row r="1035">
          <cell r="A1035" t="str">
            <v>SPSW</v>
          </cell>
        </row>
        <row r="1036">
          <cell r="A1036" t="str">
            <v>SPSW-P</v>
          </cell>
        </row>
        <row r="1037">
          <cell r="A1037" t="str">
            <v>SPSWH</v>
          </cell>
        </row>
        <row r="1038">
          <cell r="A1038" t="str">
            <v>SPSWH-P</v>
          </cell>
        </row>
        <row r="1039">
          <cell r="A1039" t="str">
            <v>SPSWK</v>
          </cell>
        </row>
        <row r="1040">
          <cell r="A1040" t="str">
            <v>SPSWV</v>
          </cell>
        </row>
        <row r="1041">
          <cell r="A1041" t="str">
            <v>SPSWV-P</v>
          </cell>
        </row>
        <row r="1042">
          <cell r="A1042" t="str">
            <v>SPW</v>
          </cell>
        </row>
        <row r="1043">
          <cell r="A1043" t="str">
            <v>SPWK</v>
          </cell>
        </row>
        <row r="1044">
          <cell r="A1044" t="str">
            <v>SPWV</v>
          </cell>
        </row>
      </sheetData>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ING1"/>
      <sheetName val="PIPE"/>
      <sheetName val="SBNM"/>
      <sheetName val="Manual Issue without Stock"/>
      <sheetName val="Sheet1"/>
      <sheetName val="Temp."/>
    </sheetNames>
    <sheetDataSet>
      <sheetData sheetId="0"/>
      <sheetData sheetId="1"/>
      <sheetData sheetId="2">
        <row r="1">
          <cell r="A1" t="str">
            <v>PO No.</v>
          </cell>
          <cell r="B1" t="str">
            <v>SBNM</v>
          </cell>
        </row>
        <row r="2">
          <cell r="A2">
            <v>5000028140</v>
          </cell>
          <cell r="B2" t="str">
            <v>UG</v>
          </cell>
        </row>
        <row r="3">
          <cell r="A3">
            <v>5000039497</v>
          </cell>
          <cell r="B3" t="str">
            <v>UG</v>
          </cell>
        </row>
        <row r="4">
          <cell r="A4">
            <v>5000044606</v>
          </cell>
          <cell r="B4" t="str">
            <v>UG</v>
          </cell>
        </row>
        <row r="5">
          <cell r="A5">
            <v>5000034921</v>
          </cell>
          <cell r="B5" t="str">
            <v>UG</v>
          </cell>
        </row>
        <row r="6">
          <cell r="A6">
            <v>5000028103</v>
          </cell>
          <cell r="B6" t="str">
            <v>UG</v>
          </cell>
        </row>
        <row r="7">
          <cell r="A7">
            <v>5000032598</v>
          </cell>
          <cell r="B7" t="str">
            <v>UG</v>
          </cell>
        </row>
        <row r="8">
          <cell r="A8">
            <v>5000036818</v>
          </cell>
          <cell r="B8" t="str">
            <v>UG</v>
          </cell>
        </row>
        <row r="9">
          <cell r="A9">
            <v>5000043533</v>
          </cell>
          <cell r="B9" t="str">
            <v>UG</v>
          </cell>
        </row>
        <row r="10">
          <cell r="A10">
            <v>5000035768</v>
          </cell>
          <cell r="B10" t="str">
            <v>UG</v>
          </cell>
        </row>
        <row r="11">
          <cell r="A11">
            <v>5000038896</v>
          </cell>
          <cell r="B11" t="str">
            <v>UG</v>
          </cell>
        </row>
        <row r="12">
          <cell r="A12">
            <v>5000043333</v>
          </cell>
          <cell r="B12" t="str">
            <v>UG</v>
          </cell>
        </row>
        <row r="13">
          <cell r="A13">
            <v>5000044613</v>
          </cell>
          <cell r="B13" t="str">
            <v>UG</v>
          </cell>
        </row>
        <row r="14">
          <cell r="A14">
            <v>5000046202</v>
          </cell>
          <cell r="B14" t="str">
            <v>UG</v>
          </cell>
        </row>
        <row r="15">
          <cell r="A15">
            <v>5000035876</v>
          </cell>
          <cell r="B15" t="str">
            <v>UG</v>
          </cell>
        </row>
        <row r="16">
          <cell r="A16">
            <v>5000039051</v>
          </cell>
          <cell r="B16" t="str">
            <v>UG</v>
          </cell>
        </row>
        <row r="17">
          <cell r="A17">
            <v>5000044768</v>
          </cell>
          <cell r="B17" t="str">
            <v>UG</v>
          </cell>
        </row>
        <row r="18">
          <cell r="A18">
            <v>5000028045</v>
          </cell>
          <cell r="B18" t="str">
            <v>UG</v>
          </cell>
        </row>
        <row r="19">
          <cell r="A19">
            <v>5000033441</v>
          </cell>
          <cell r="B19" t="str">
            <v>UG</v>
          </cell>
        </row>
        <row r="20">
          <cell r="A20">
            <v>5000035795</v>
          </cell>
          <cell r="B20" t="str">
            <v>UG</v>
          </cell>
        </row>
        <row r="21">
          <cell r="A21">
            <v>5000038872</v>
          </cell>
          <cell r="B21" t="str">
            <v>UG</v>
          </cell>
        </row>
        <row r="22">
          <cell r="A22">
            <v>5000044677</v>
          </cell>
          <cell r="B22" t="str">
            <v>UG</v>
          </cell>
        </row>
        <row r="23">
          <cell r="A23">
            <v>5000028141</v>
          </cell>
          <cell r="B23" t="str">
            <v>UG</v>
          </cell>
        </row>
        <row r="24">
          <cell r="A24">
            <v>5000033737</v>
          </cell>
          <cell r="B24" t="str">
            <v>UG</v>
          </cell>
        </row>
        <row r="25">
          <cell r="A25">
            <v>5000035846</v>
          </cell>
          <cell r="B25" t="str">
            <v>UG</v>
          </cell>
        </row>
        <row r="26">
          <cell r="A26">
            <v>5000039048</v>
          </cell>
          <cell r="B26" t="str">
            <v>UG</v>
          </cell>
        </row>
        <row r="27">
          <cell r="A27">
            <v>5000040695</v>
          </cell>
          <cell r="B27" t="str">
            <v>UG</v>
          </cell>
        </row>
        <row r="28">
          <cell r="A28">
            <v>5000044713</v>
          </cell>
          <cell r="B28" t="str">
            <v>UG</v>
          </cell>
        </row>
        <row r="29">
          <cell r="A29">
            <v>5000046886</v>
          </cell>
          <cell r="B29" t="str">
            <v>UG</v>
          </cell>
        </row>
        <row r="30">
          <cell r="A30">
            <v>5000028043</v>
          </cell>
          <cell r="B30" t="str">
            <v>UG</v>
          </cell>
        </row>
        <row r="31">
          <cell r="A31">
            <v>5000033729</v>
          </cell>
          <cell r="B31" t="str">
            <v>UG</v>
          </cell>
        </row>
        <row r="32">
          <cell r="A32">
            <v>5000035843</v>
          </cell>
          <cell r="B32" t="str">
            <v>UG</v>
          </cell>
        </row>
        <row r="33">
          <cell r="A33">
            <v>5000038875</v>
          </cell>
          <cell r="B33" t="str">
            <v>UG</v>
          </cell>
        </row>
        <row r="34">
          <cell r="A34">
            <v>5000044818</v>
          </cell>
          <cell r="B34" t="str">
            <v>UG</v>
          </cell>
        </row>
        <row r="35">
          <cell r="A35">
            <v>5000046933</v>
          </cell>
          <cell r="B35" t="str">
            <v>UG</v>
          </cell>
        </row>
        <row r="36">
          <cell r="A36">
            <v>5000036846</v>
          </cell>
          <cell r="B36" t="str">
            <v>UG</v>
          </cell>
        </row>
        <row r="37">
          <cell r="A37">
            <v>5000037352</v>
          </cell>
          <cell r="B37" t="str">
            <v>UG</v>
          </cell>
        </row>
        <row r="38">
          <cell r="A38">
            <v>5000044720</v>
          </cell>
          <cell r="B38" t="str">
            <v>UG</v>
          </cell>
        </row>
        <row r="39">
          <cell r="A39">
            <v>5000038887</v>
          </cell>
          <cell r="B39" t="str">
            <v>UG</v>
          </cell>
        </row>
        <row r="40">
          <cell r="A40">
            <v>5000044682</v>
          </cell>
          <cell r="B40" t="str">
            <v>UG</v>
          </cell>
        </row>
        <row r="41">
          <cell r="A41">
            <v>5000039392</v>
          </cell>
          <cell r="B41" t="str">
            <v>UG</v>
          </cell>
        </row>
        <row r="42">
          <cell r="A42">
            <v>5000035444</v>
          </cell>
          <cell r="B42" t="str">
            <v>AG</v>
          </cell>
        </row>
        <row r="43">
          <cell r="A43">
            <v>5000037629</v>
          </cell>
          <cell r="B43" t="str">
            <v>AG</v>
          </cell>
        </row>
        <row r="44">
          <cell r="A44">
            <v>5000039012</v>
          </cell>
          <cell r="B44" t="str">
            <v>AG</v>
          </cell>
        </row>
        <row r="45">
          <cell r="A45">
            <v>5000040304</v>
          </cell>
          <cell r="B45" t="str">
            <v>AG</v>
          </cell>
        </row>
        <row r="46">
          <cell r="A46">
            <v>5000044547</v>
          </cell>
          <cell r="B46" t="str">
            <v>AG</v>
          </cell>
        </row>
        <row r="47">
          <cell r="A47">
            <v>5000047918</v>
          </cell>
          <cell r="B47" t="str">
            <v>AG</v>
          </cell>
        </row>
        <row r="48">
          <cell r="A48">
            <v>5000037346</v>
          </cell>
          <cell r="B48" t="str">
            <v>AG</v>
          </cell>
        </row>
        <row r="49">
          <cell r="A49">
            <v>5000040031</v>
          </cell>
          <cell r="B49" t="str">
            <v>AG</v>
          </cell>
        </row>
        <row r="50">
          <cell r="A50">
            <v>5000040096</v>
          </cell>
          <cell r="B50" t="str">
            <v>AG</v>
          </cell>
        </row>
        <row r="51">
          <cell r="A51">
            <v>5000046877</v>
          </cell>
          <cell r="B51" t="str">
            <v>AG</v>
          </cell>
        </row>
        <row r="52">
          <cell r="A52">
            <v>5000046528</v>
          </cell>
          <cell r="B52" t="str">
            <v>AG</v>
          </cell>
        </row>
        <row r="53">
          <cell r="A53">
            <v>5000041546</v>
          </cell>
          <cell r="B53" t="str">
            <v>AG</v>
          </cell>
        </row>
        <row r="54">
          <cell r="A54">
            <v>5000047909</v>
          </cell>
          <cell r="B54" t="str">
            <v>AG</v>
          </cell>
        </row>
        <row r="55">
          <cell r="A55">
            <v>5000048765</v>
          </cell>
          <cell r="B55" t="str">
            <v>AG</v>
          </cell>
        </row>
        <row r="56">
          <cell r="A56">
            <v>5000039342</v>
          </cell>
          <cell r="B56" t="str">
            <v>AG</v>
          </cell>
        </row>
        <row r="57">
          <cell r="A57">
            <v>5000040188</v>
          </cell>
          <cell r="B57" t="str">
            <v>AG</v>
          </cell>
        </row>
        <row r="58">
          <cell r="A58">
            <v>5000041559</v>
          </cell>
          <cell r="B58" t="str">
            <v>AG</v>
          </cell>
        </row>
        <row r="59">
          <cell r="A59">
            <v>5000045334</v>
          </cell>
          <cell r="B59" t="str">
            <v>AG</v>
          </cell>
        </row>
        <row r="60">
          <cell r="A60">
            <v>5000046585</v>
          </cell>
          <cell r="B60" t="str">
            <v>AG</v>
          </cell>
        </row>
        <row r="61">
          <cell r="A61">
            <v>5000048368</v>
          </cell>
          <cell r="B61" t="str">
            <v>AG</v>
          </cell>
        </row>
        <row r="62">
          <cell r="A62">
            <v>5000049129</v>
          </cell>
          <cell r="B62" t="str">
            <v>AG</v>
          </cell>
        </row>
        <row r="63">
          <cell r="A63">
            <v>5000039256</v>
          </cell>
          <cell r="B63" t="str">
            <v>AG</v>
          </cell>
        </row>
        <row r="64">
          <cell r="A64">
            <v>5000046687</v>
          </cell>
          <cell r="B64" t="str">
            <v>AG</v>
          </cell>
        </row>
        <row r="65">
          <cell r="A65">
            <v>5000034836</v>
          </cell>
          <cell r="B65" t="str">
            <v>AG</v>
          </cell>
        </row>
        <row r="66">
          <cell r="A66">
            <v>5000037334</v>
          </cell>
          <cell r="B66" t="str">
            <v>AG</v>
          </cell>
        </row>
        <row r="67">
          <cell r="A67">
            <v>5000043642</v>
          </cell>
          <cell r="B67" t="str">
            <v>AG</v>
          </cell>
        </row>
        <row r="68">
          <cell r="A68">
            <v>5000040323</v>
          </cell>
          <cell r="B68" t="str">
            <v>AG</v>
          </cell>
        </row>
        <row r="69">
          <cell r="A69">
            <v>5000044550</v>
          </cell>
          <cell r="B69" t="str">
            <v>AG</v>
          </cell>
        </row>
        <row r="70">
          <cell r="A70">
            <v>5000036095</v>
          </cell>
          <cell r="B70" t="str">
            <v>AG</v>
          </cell>
        </row>
        <row r="71">
          <cell r="A71">
            <v>5000036871</v>
          </cell>
          <cell r="B71" t="str">
            <v>AG</v>
          </cell>
        </row>
        <row r="72">
          <cell r="A72">
            <v>5000039069</v>
          </cell>
          <cell r="B72" t="str">
            <v>AG</v>
          </cell>
        </row>
        <row r="73">
          <cell r="A73">
            <v>5000040307</v>
          </cell>
          <cell r="B73" t="str">
            <v>AG</v>
          </cell>
        </row>
        <row r="74">
          <cell r="A74">
            <v>5000044561</v>
          </cell>
          <cell r="B74" t="str">
            <v>AG</v>
          </cell>
        </row>
        <row r="75">
          <cell r="A75">
            <v>5000046118</v>
          </cell>
          <cell r="B75" t="str">
            <v>AG</v>
          </cell>
        </row>
        <row r="76">
          <cell r="A76">
            <v>5000047832</v>
          </cell>
          <cell r="B76" t="str">
            <v>AG</v>
          </cell>
        </row>
        <row r="77">
          <cell r="A77">
            <v>5000047833</v>
          </cell>
          <cell r="B77" t="str">
            <v>AG</v>
          </cell>
        </row>
        <row r="78">
          <cell r="A78">
            <v>5000048887</v>
          </cell>
          <cell r="B78" t="str">
            <v>AG</v>
          </cell>
        </row>
        <row r="79">
          <cell r="A79">
            <v>5000048882</v>
          </cell>
          <cell r="B79" t="str">
            <v>AG</v>
          </cell>
        </row>
        <row r="80">
          <cell r="A80">
            <v>5000035409</v>
          </cell>
          <cell r="B80" t="str">
            <v>AG</v>
          </cell>
        </row>
        <row r="81">
          <cell r="A81">
            <v>5000036864</v>
          </cell>
          <cell r="B81" t="str">
            <v>AG</v>
          </cell>
        </row>
        <row r="82">
          <cell r="A82">
            <v>5000043640</v>
          </cell>
          <cell r="B82" t="str">
            <v>AG</v>
          </cell>
        </row>
        <row r="83">
          <cell r="A83">
            <v>5000039052</v>
          </cell>
          <cell r="B83" t="str">
            <v>AG</v>
          </cell>
        </row>
        <row r="84">
          <cell r="A84">
            <v>5000043684</v>
          </cell>
          <cell r="B84" t="str">
            <v>AG</v>
          </cell>
        </row>
        <row r="85">
          <cell r="A85">
            <v>5000040322</v>
          </cell>
          <cell r="B85" t="str">
            <v>AG</v>
          </cell>
        </row>
        <row r="86">
          <cell r="A86">
            <v>5000044554</v>
          </cell>
          <cell r="B86" t="str">
            <v>AG</v>
          </cell>
        </row>
        <row r="87">
          <cell r="A87">
            <v>5000046120</v>
          </cell>
          <cell r="B87" t="str">
            <v>AG</v>
          </cell>
        </row>
        <row r="88">
          <cell r="A88">
            <v>5000047879</v>
          </cell>
          <cell r="B88" t="str">
            <v>AG</v>
          </cell>
        </row>
        <row r="89">
          <cell r="A89">
            <v>5000037511</v>
          </cell>
          <cell r="B89" t="str">
            <v>AG</v>
          </cell>
        </row>
        <row r="90">
          <cell r="A90">
            <v>5000044543</v>
          </cell>
          <cell r="B90" t="str">
            <v>AG</v>
          </cell>
        </row>
        <row r="91">
          <cell r="A91">
            <v>5000035874</v>
          </cell>
          <cell r="B91" t="str">
            <v>AG</v>
          </cell>
        </row>
        <row r="92">
          <cell r="A92">
            <v>5000036853</v>
          </cell>
          <cell r="B92" t="str">
            <v>AG</v>
          </cell>
        </row>
        <row r="93">
          <cell r="A93">
            <v>5000039931</v>
          </cell>
          <cell r="B93" t="str">
            <v>AG</v>
          </cell>
        </row>
        <row r="94">
          <cell r="A94">
            <v>5000044507</v>
          </cell>
          <cell r="B94" t="str">
            <v>AG</v>
          </cell>
        </row>
        <row r="95">
          <cell r="A95">
            <v>5000048917</v>
          </cell>
          <cell r="B95" t="str">
            <v>AG</v>
          </cell>
        </row>
        <row r="96">
          <cell r="A96">
            <v>5000047831</v>
          </cell>
          <cell r="B96" t="str">
            <v>AG</v>
          </cell>
        </row>
        <row r="97">
          <cell r="A97">
            <v>5000049210</v>
          </cell>
          <cell r="B97" t="str">
            <v>AG</v>
          </cell>
        </row>
        <row r="98">
          <cell r="A98">
            <v>5000035055</v>
          </cell>
          <cell r="B98" t="str">
            <v>AG</v>
          </cell>
        </row>
        <row r="99">
          <cell r="A99">
            <v>5000036890</v>
          </cell>
          <cell r="B99" t="str">
            <v>AG</v>
          </cell>
        </row>
        <row r="100">
          <cell r="A100">
            <v>5000038950</v>
          </cell>
          <cell r="B100" t="str">
            <v>AG</v>
          </cell>
        </row>
        <row r="101">
          <cell r="A101">
            <v>5000040017</v>
          </cell>
          <cell r="B101" t="str">
            <v>AG</v>
          </cell>
        </row>
        <row r="102">
          <cell r="A102">
            <v>5000044259</v>
          </cell>
          <cell r="B102" t="str">
            <v>AG</v>
          </cell>
        </row>
        <row r="103">
          <cell r="A103">
            <v>5000046062</v>
          </cell>
          <cell r="B103" t="str">
            <v>AG</v>
          </cell>
        </row>
        <row r="104">
          <cell r="A104">
            <v>5000047712</v>
          </cell>
          <cell r="B104" t="str">
            <v>AG</v>
          </cell>
        </row>
        <row r="105">
          <cell r="A105">
            <v>5000048867</v>
          </cell>
          <cell r="B105" t="str">
            <v>AG</v>
          </cell>
        </row>
        <row r="106">
          <cell r="A106">
            <v>5000034762</v>
          </cell>
          <cell r="B106" t="str">
            <v>AG</v>
          </cell>
        </row>
        <row r="107">
          <cell r="A107">
            <v>5000036951</v>
          </cell>
          <cell r="B107" t="str">
            <v>AG</v>
          </cell>
        </row>
        <row r="108">
          <cell r="A108">
            <v>5000039050</v>
          </cell>
          <cell r="B108" t="str">
            <v>AG</v>
          </cell>
        </row>
        <row r="109">
          <cell r="A109">
            <v>5000040369</v>
          </cell>
          <cell r="B109" t="str">
            <v>AG</v>
          </cell>
        </row>
        <row r="110">
          <cell r="A110">
            <v>5000044835</v>
          </cell>
          <cell r="B110" t="str">
            <v>AG</v>
          </cell>
        </row>
        <row r="111">
          <cell r="A111">
            <v>5000046882</v>
          </cell>
          <cell r="B111" t="str">
            <v>AG</v>
          </cell>
        </row>
        <row r="112">
          <cell r="A112">
            <v>5000047858</v>
          </cell>
          <cell r="B112" t="str">
            <v>AG</v>
          </cell>
        </row>
        <row r="113">
          <cell r="A113">
            <v>5000048871</v>
          </cell>
          <cell r="B113" t="str">
            <v>AG</v>
          </cell>
        </row>
        <row r="114">
          <cell r="A114">
            <v>5000042347</v>
          </cell>
          <cell r="B114" t="str">
            <v>AG</v>
          </cell>
        </row>
        <row r="115">
          <cell r="A115">
            <v>5000044832</v>
          </cell>
          <cell r="B115" t="str">
            <v>AG</v>
          </cell>
        </row>
        <row r="116">
          <cell r="A116">
            <v>5000047695</v>
          </cell>
          <cell r="B116" t="str">
            <v>AG</v>
          </cell>
        </row>
        <row r="117">
          <cell r="A117">
            <v>5000048491</v>
          </cell>
          <cell r="B117" t="str">
            <v>AG</v>
          </cell>
        </row>
        <row r="118">
          <cell r="A118">
            <v>5000049419</v>
          </cell>
          <cell r="B118" t="str">
            <v>AG</v>
          </cell>
        </row>
        <row r="119">
          <cell r="A119">
            <v>5000045442</v>
          </cell>
          <cell r="B119" t="str">
            <v>AG</v>
          </cell>
        </row>
        <row r="120">
          <cell r="A120">
            <v>5000049051</v>
          </cell>
          <cell r="B120" t="str">
            <v>AG</v>
          </cell>
        </row>
        <row r="121">
          <cell r="A121">
            <v>5000045451</v>
          </cell>
          <cell r="B121" t="str">
            <v>AG</v>
          </cell>
        </row>
        <row r="122">
          <cell r="A122">
            <v>5000047857</v>
          </cell>
          <cell r="B122" t="str">
            <v>AG</v>
          </cell>
        </row>
        <row r="123">
          <cell r="A123">
            <v>5000048525</v>
          </cell>
          <cell r="B123" t="str">
            <v>AG</v>
          </cell>
        </row>
        <row r="124">
          <cell r="A124">
            <v>5000049053</v>
          </cell>
          <cell r="B124" t="str">
            <v>AG</v>
          </cell>
        </row>
        <row r="125">
          <cell r="A125">
            <v>5000035004</v>
          </cell>
          <cell r="B125" t="str">
            <v>AG</v>
          </cell>
        </row>
        <row r="126">
          <cell r="A126">
            <v>5000036972</v>
          </cell>
          <cell r="B126" t="str">
            <v>AG</v>
          </cell>
        </row>
        <row r="127">
          <cell r="A127">
            <v>5000038884</v>
          </cell>
          <cell r="B127" t="str">
            <v>AG</v>
          </cell>
        </row>
        <row r="128">
          <cell r="A128">
            <v>5000040305</v>
          </cell>
          <cell r="B128" t="str">
            <v>AG</v>
          </cell>
        </row>
        <row r="129">
          <cell r="A129">
            <v>5000044722</v>
          </cell>
          <cell r="B129" t="str">
            <v>AG</v>
          </cell>
        </row>
        <row r="130">
          <cell r="A130">
            <v>5000046932</v>
          </cell>
          <cell r="B130" t="str">
            <v>AG</v>
          </cell>
        </row>
        <row r="131">
          <cell r="A131">
            <v>5000048074</v>
          </cell>
          <cell r="B131" t="str">
            <v>AG</v>
          </cell>
        </row>
        <row r="132">
          <cell r="A132">
            <v>5000048884</v>
          </cell>
          <cell r="B132" t="str">
            <v>AG</v>
          </cell>
        </row>
        <row r="133">
          <cell r="A133">
            <v>5000035075</v>
          </cell>
          <cell r="B133" t="str">
            <v>AG</v>
          </cell>
        </row>
        <row r="134">
          <cell r="A134">
            <v>5000036980</v>
          </cell>
          <cell r="B134" t="str">
            <v>AG</v>
          </cell>
        </row>
        <row r="135">
          <cell r="A135">
            <v>5000038886</v>
          </cell>
          <cell r="B135" t="str">
            <v>AG</v>
          </cell>
        </row>
        <row r="136">
          <cell r="A136">
            <v>5000040310</v>
          </cell>
          <cell r="B136" t="str">
            <v>AG</v>
          </cell>
        </row>
        <row r="137">
          <cell r="A137">
            <v>5000035968</v>
          </cell>
          <cell r="B137" t="str">
            <v>AG</v>
          </cell>
        </row>
        <row r="138">
          <cell r="A138">
            <v>5000037693</v>
          </cell>
          <cell r="B138" t="str">
            <v>AG</v>
          </cell>
        </row>
        <row r="139">
          <cell r="A139">
            <v>5000041486</v>
          </cell>
          <cell r="B139" t="str">
            <v>AG</v>
          </cell>
        </row>
        <row r="140">
          <cell r="A140">
            <v>5000045466</v>
          </cell>
          <cell r="B140" t="str">
            <v>AG</v>
          </cell>
        </row>
        <row r="141">
          <cell r="A141">
            <v>5000035967</v>
          </cell>
          <cell r="B141" t="str">
            <v>AG</v>
          </cell>
        </row>
        <row r="142">
          <cell r="A142">
            <v>5000037970</v>
          </cell>
          <cell r="B142" t="str">
            <v>AG</v>
          </cell>
        </row>
        <row r="143">
          <cell r="A143">
            <v>5000041129</v>
          </cell>
          <cell r="B143" t="str">
            <v>AG</v>
          </cell>
        </row>
        <row r="144">
          <cell r="A144">
            <v>5000045860</v>
          </cell>
          <cell r="B144" t="str">
            <v>AG</v>
          </cell>
        </row>
        <row r="145">
          <cell r="A145">
            <v>5000048127</v>
          </cell>
          <cell r="B145" t="str">
            <v>AG</v>
          </cell>
        </row>
        <row r="146">
          <cell r="A146">
            <v>5000048995</v>
          </cell>
          <cell r="B146" t="str">
            <v>AG</v>
          </cell>
        </row>
        <row r="147">
          <cell r="A147">
            <v>5000044455</v>
          </cell>
          <cell r="B147" t="str">
            <v>AG</v>
          </cell>
        </row>
        <row r="148">
          <cell r="A148">
            <v>5000037634</v>
          </cell>
          <cell r="B148" t="str">
            <v>AG</v>
          </cell>
        </row>
        <row r="149">
          <cell r="A149">
            <v>5000037776</v>
          </cell>
          <cell r="B149" t="str">
            <v>AG</v>
          </cell>
        </row>
        <row r="150">
          <cell r="A150">
            <v>5000039923</v>
          </cell>
          <cell r="B150" t="str">
            <v>AG</v>
          </cell>
        </row>
        <row r="151">
          <cell r="A151">
            <v>5000045618</v>
          </cell>
          <cell r="B151" t="str">
            <v>AG</v>
          </cell>
        </row>
        <row r="152">
          <cell r="A152">
            <v>5000048152</v>
          </cell>
          <cell r="B152" t="str">
            <v>AG</v>
          </cell>
        </row>
        <row r="153">
          <cell r="A153">
            <v>5000048886</v>
          </cell>
          <cell r="B153" t="str">
            <v>AG</v>
          </cell>
        </row>
        <row r="154">
          <cell r="A154">
            <v>5000036908</v>
          </cell>
          <cell r="B154" t="str">
            <v>AG</v>
          </cell>
        </row>
        <row r="155">
          <cell r="A155">
            <v>5000037569</v>
          </cell>
          <cell r="B155" t="str">
            <v>AG</v>
          </cell>
        </row>
        <row r="156">
          <cell r="A156">
            <v>5000039884</v>
          </cell>
          <cell r="B156" t="str">
            <v>AG</v>
          </cell>
        </row>
        <row r="157">
          <cell r="A157">
            <v>5000045072</v>
          </cell>
          <cell r="B157" t="str">
            <v>AG</v>
          </cell>
        </row>
        <row r="158">
          <cell r="A158">
            <v>5000037419</v>
          </cell>
          <cell r="B158" t="str">
            <v>AG</v>
          </cell>
        </row>
        <row r="159">
          <cell r="A159">
            <v>5000037765</v>
          </cell>
          <cell r="B159" t="str">
            <v>AG</v>
          </cell>
        </row>
        <row r="160">
          <cell r="A160">
            <v>5000040133</v>
          </cell>
          <cell r="B160" t="str">
            <v>AG</v>
          </cell>
        </row>
        <row r="161">
          <cell r="A161">
            <v>5000045763</v>
          </cell>
          <cell r="B161" t="str">
            <v>AG</v>
          </cell>
        </row>
        <row r="162">
          <cell r="A162">
            <v>5000048153</v>
          </cell>
          <cell r="B162" t="str">
            <v>AG</v>
          </cell>
        </row>
        <row r="163">
          <cell r="A163">
            <v>5000048992</v>
          </cell>
          <cell r="B163" t="str">
            <v>AG</v>
          </cell>
        </row>
        <row r="164">
          <cell r="A164">
            <v>5000037130</v>
          </cell>
          <cell r="B164" t="str">
            <v>AG</v>
          </cell>
        </row>
        <row r="165">
          <cell r="A165">
            <v>5000040019</v>
          </cell>
          <cell r="B165" t="str">
            <v>AG</v>
          </cell>
        </row>
        <row r="166">
          <cell r="A166">
            <v>5000043828</v>
          </cell>
          <cell r="B166" t="str">
            <v>AG</v>
          </cell>
        </row>
        <row r="167">
          <cell r="A167">
            <v>5000045784</v>
          </cell>
          <cell r="B167" t="str">
            <v>AG</v>
          </cell>
        </row>
        <row r="168">
          <cell r="A168">
            <v>5000044846</v>
          </cell>
          <cell r="B168" t="str">
            <v>AG</v>
          </cell>
        </row>
        <row r="169">
          <cell r="A169">
            <v>5000037348</v>
          </cell>
          <cell r="B169" t="str">
            <v>AG</v>
          </cell>
        </row>
        <row r="170">
          <cell r="A170">
            <v>5000039915</v>
          </cell>
          <cell r="B170" t="str">
            <v>AG</v>
          </cell>
        </row>
        <row r="171">
          <cell r="A171">
            <v>5000045295</v>
          </cell>
          <cell r="B171" t="str">
            <v>AG</v>
          </cell>
        </row>
        <row r="172">
          <cell r="A172">
            <v>5000048366</v>
          </cell>
          <cell r="B172" t="str">
            <v>AG</v>
          </cell>
        </row>
        <row r="173">
          <cell r="A173">
            <v>5000049002</v>
          </cell>
          <cell r="B173" t="str">
            <v>AG</v>
          </cell>
        </row>
        <row r="174">
          <cell r="A174">
            <v>5000049463</v>
          </cell>
          <cell r="B174" t="str">
            <v>AG</v>
          </cell>
        </row>
        <row r="175">
          <cell r="A175">
            <v>5000036919</v>
          </cell>
          <cell r="B175" t="str">
            <v>AG</v>
          </cell>
        </row>
        <row r="176">
          <cell r="A176">
            <v>5000039875</v>
          </cell>
          <cell r="B176" t="str">
            <v>AG</v>
          </cell>
        </row>
        <row r="177">
          <cell r="A177">
            <v>5000045340</v>
          </cell>
          <cell r="B177" t="str">
            <v>AG</v>
          </cell>
        </row>
        <row r="178">
          <cell r="A178">
            <v>5000048085</v>
          </cell>
          <cell r="B178" t="str">
            <v>AG</v>
          </cell>
        </row>
        <row r="179">
          <cell r="A179">
            <v>5000048998</v>
          </cell>
          <cell r="B179" t="str">
            <v>AG</v>
          </cell>
        </row>
        <row r="180">
          <cell r="A180">
            <v>5000037436</v>
          </cell>
          <cell r="B180" t="str">
            <v>AG</v>
          </cell>
        </row>
        <row r="181">
          <cell r="A181">
            <v>5000037406</v>
          </cell>
          <cell r="B181" t="str">
            <v>AG</v>
          </cell>
        </row>
        <row r="182">
          <cell r="A182">
            <v>5000047829</v>
          </cell>
          <cell r="B182" t="str">
            <v>AG</v>
          </cell>
        </row>
        <row r="183">
          <cell r="A183">
            <v>5000037468</v>
          </cell>
          <cell r="B183" t="str">
            <v>AG</v>
          </cell>
        </row>
        <row r="184">
          <cell r="A184">
            <v>5000037589</v>
          </cell>
          <cell r="B184" t="str">
            <v>AG</v>
          </cell>
        </row>
        <row r="185">
          <cell r="A185">
            <v>5000037609</v>
          </cell>
          <cell r="B185" t="str">
            <v>AG</v>
          </cell>
        </row>
        <row r="186">
          <cell r="A186">
            <v>5000041615</v>
          </cell>
          <cell r="B186" t="str">
            <v>AG</v>
          </cell>
        </row>
        <row r="187">
          <cell r="A187">
            <v>5000042583</v>
          </cell>
          <cell r="B187" t="str">
            <v>AG</v>
          </cell>
        </row>
        <row r="188">
          <cell r="A188">
            <v>5000042798</v>
          </cell>
          <cell r="B188" t="str">
            <v>AG</v>
          </cell>
        </row>
        <row r="189">
          <cell r="A189">
            <v>5000043157</v>
          </cell>
          <cell r="B189" t="str">
            <v>AG</v>
          </cell>
        </row>
        <row r="190">
          <cell r="A190">
            <v>5000043820</v>
          </cell>
          <cell r="B190" t="str">
            <v>AG</v>
          </cell>
        </row>
        <row r="191">
          <cell r="A191">
            <v>5000045867</v>
          </cell>
          <cell r="B191" t="str">
            <v>AG</v>
          </cell>
        </row>
        <row r="192">
          <cell r="A192">
            <v>5000048367</v>
          </cell>
          <cell r="B192" t="str">
            <v>AG</v>
          </cell>
        </row>
        <row r="193">
          <cell r="A193">
            <v>5000045351</v>
          </cell>
          <cell r="B193" t="str">
            <v>AG</v>
          </cell>
        </row>
        <row r="194">
          <cell r="A194">
            <v>5000045081</v>
          </cell>
          <cell r="B194" t="str">
            <v>AG</v>
          </cell>
        </row>
        <row r="195">
          <cell r="A195">
            <v>5000045612</v>
          </cell>
          <cell r="B195" t="str">
            <v>AG</v>
          </cell>
        </row>
        <row r="196">
          <cell r="A196">
            <v>5000046575</v>
          </cell>
          <cell r="B196" t="str">
            <v>AG</v>
          </cell>
        </row>
        <row r="197">
          <cell r="A197">
            <v>5000046686</v>
          </cell>
          <cell r="B197" t="str">
            <v>AG</v>
          </cell>
        </row>
        <row r="198">
          <cell r="A198">
            <v>5000045929</v>
          </cell>
          <cell r="B198" t="str">
            <v>AG</v>
          </cell>
        </row>
        <row r="199">
          <cell r="A199">
            <v>5000046707</v>
          </cell>
          <cell r="B199" t="str">
            <v>AG</v>
          </cell>
        </row>
        <row r="200">
          <cell r="A200">
            <v>5000047855</v>
          </cell>
          <cell r="B200" t="str">
            <v>AG</v>
          </cell>
        </row>
        <row r="201">
          <cell r="A201">
            <v>5000047631</v>
          </cell>
          <cell r="B201" t="str">
            <v>AG</v>
          </cell>
        </row>
        <row r="202">
          <cell r="A202">
            <v>5000047632</v>
          </cell>
          <cell r="B202" t="str">
            <v>AG</v>
          </cell>
        </row>
        <row r="203">
          <cell r="A203">
            <v>5000040760</v>
          </cell>
          <cell r="B203" t="str">
            <v>AG</v>
          </cell>
        </row>
        <row r="204">
          <cell r="A204">
            <v>5000045858</v>
          </cell>
          <cell r="B204" t="str">
            <v>AG</v>
          </cell>
        </row>
      </sheetData>
      <sheetData sheetId="3"/>
      <sheetData sheetId="4"/>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Objects"/>
      <sheetName val="Headers"/>
      <sheetName val="ComboList"/>
    </sheetNames>
    <sheetDataSet>
      <sheetData sheetId="0" refreshError="1"/>
      <sheetData sheetId="1" refreshError="1"/>
      <sheetData sheetId="2">
        <row r="1">
          <cell r="A1" t="str">
            <v>Status</v>
          </cell>
        </row>
        <row r="2">
          <cell r="A2" t="str">
            <v>Added</v>
          </cell>
        </row>
        <row r="3">
          <cell r="A3" t="str">
            <v>Modified</v>
          </cell>
        </row>
        <row r="4">
          <cell r="A4" t="str">
            <v>Deleted</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T-ESTN"/>
      <sheetName val="BQ-GSUM"/>
      <sheetName val="CNST-SCH"/>
      <sheetName val="EQT-SCH1"/>
      <sheetName val="DIR-MNG"/>
      <sheetName val="STF-MNG1"/>
      <sheetName val="CRW-MKUP"/>
      <sheetName val="CST-BDN0"/>
      <sheetName val="CST-SUM0"/>
      <sheetName val="CST-SUM2"/>
      <sheetName val="HVAC"/>
      <sheetName val="BM(#4)"/>
      <sheetName val="잡철물"/>
      <sheetName val="bm내역서(B공구)"/>
      <sheetName val="변경내역"/>
      <sheetName val="견적조건보고서"/>
      <sheetName val="견적갑지"/>
      <sheetName val="을지"/>
      <sheetName val="차액보증"/>
      <sheetName val="2000전체분"/>
      <sheetName val="2000년1차"/>
      <sheetName val="EQUIPMENT -2"/>
      <sheetName val="BID"/>
      <sheetName val="S0"/>
      <sheetName val="eq_data"/>
      <sheetName val="공사비 내역 (가)"/>
      <sheetName val="CTEMCOST"/>
      <sheetName val="EQT_ESTN"/>
      <sheetName val="내역서"/>
      <sheetName val="견적조건"/>
      <sheetName val="계정"/>
      <sheetName val="시가지우회도로공내역서"/>
      <sheetName val="프랜트면허"/>
      <sheetName val="갑지(추정)"/>
      <sheetName val="Cover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82"/>
  <sheetViews>
    <sheetView showGridLines="0" zoomScale="130" zoomScaleNormal="130" workbookViewId="0" xr3:uid="{AEA406A1-0E4B-5B11-9CD5-51D6E497D94C}">
      <pane xSplit="3" ySplit="3" topLeftCell="Y9" activePane="bottomRight" state="frozen"/>
      <selection pane="bottomRight" activeCell="AJ19" sqref="AJ19"/>
      <selection pane="bottomLeft" activeCell="A4" sqref="A4"/>
      <selection pane="topRight" activeCell="D1" sqref="D1"/>
    </sheetView>
  </sheetViews>
  <sheetFormatPr defaultColWidth="9" defaultRowHeight="14.45"/>
  <cols>
    <col min="1" max="1" width="4" style="166" bestFit="1" customWidth="1"/>
    <col min="2" max="2" width="13.42578125" style="166" bestFit="1" customWidth="1"/>
    <col min="3" max="3" width="29.140625" style="201" customWidth="1"/>
    <col min="4" max="4" width="24.85546875" style="166" customWidth="1"/>
    <col min="5" max="7" width="11.42578125" style="193" customWidth="1"/>
    <col min="8" max="8" width="25.42578125" style="166" customWidth="1"/>
    <col min="9" max="9" width="8.140625" style="202" bestFit="1" customWidth="1"/>
    <col min="10" max="15" width="11.42578125" style="193" customWidth="1"/>
    <col min="16" max="16" width="24.85546875" style="166" customWidth="1"/>
    <col min="17" max="17" width="29.140625" style="193" customWidth="1"/>
    <col min="18" max="18" width="13.140625" style="193" customWidth="1"/>
    <col min="19" max="19" width="13.85546875" style="193" customWidth="1"/>
    <col min="20" max="20" width="18.85546875" style="193" customWidth="1"/>
    <col min="21" max="21" width="13.42578125" style="193" customWidth="1"/>
    <col min="22" max="22" width="8.42578125" style="193" customWidth="1"/>
    <col min="23" max="23" width="12.42578125" style="166" customWidth="1"/>
    <col min="24" max="24" width="22.42578125" style="166" customWidth="1"/>
    <col min="25" max="27" width="11.42578125" style="193" customWidth="1"/>
    <col min="28" max="28" width="14.42578125" style="193" bestFit="1" customWidth="1"/>
    <col min="29" max="29" width="16.140625" style="193" customWidth="1"/>
    <col min="30" max="32" width="11.42578125" style="193" customWidth="1"/>
    <col min="33" max="33" width="7.42578125" style="202" customWidth="1"/>
    <col min="34" max="34" width="21" style="166" customWidth="1"/>
    <col min="35" max="36" width="11.42578125" style="193" customWidth="1"/>
    <col min="37" max="37" width="21.140625" style="166" customWidth="1"/>
    <col min="38" max="40" width="11.42578125" style="193" customWidth="1"/>
    <col min="41" max="41" width="33" style="167" customWidth="1"/>
    <col min="42" max="42" width="20.7109375" style="166" customWidth="1"/>
    <col min="43" max="16384" width="9" style="166"/>
  </cols>
  <sheetData>
    <row r="1" spans="1:45" ht="15">
      <c r="A1" s="1464" t="s">
        <v>0</v>
      </c>
      <c r="B1" s="1475" t="s">
        <v>1</v>
      </c>
      <c r="C1" s="1476"/>
      <c r="D1" s="1465" t="s">
        <v>2</v>
      </c>
      <c r="E1" s="1465"/>
      <c r="F1" s="1465"/>
      <c r="G1" s="1465"/>
      <c r="H1" s="1465" t="s">
        <v>3</v>
      </c>
      <c r="I1" s="1465"/>
      <c r="J1" s="1465"/>
      <c r="K1" s="1465"/>
      <c r="L1" s="1465"/>
      <c r="M1" s="1465"/>
      <c r="N1" s="1465"/>
      <c r="O1" s="1465"/>
      <c r="P1" s="1465"/>
      <c r="Q1" s="1465" t="s">
        <v>4</v>
      </c>
      <c r="R1" s="1465"/>
      <c r="S1" s="1465"/>
      <c r="T1" s="1465"/>
      <c r="U1" s="1465"/>
      <c r="V1" s="1465"/>
      <c r="W1" s="1465" t="s">
        <v>5</v>
      </c>
      <c r="X1" s="1465"/>
      <c r="Y1" s="1465"/>
      <c r="Z1" s="1465"/>
      <c r="AA1" s="1465"/>
      <c r="AB1" s="1465"/>
      <c r="AC1" s="1465"/>
      <c r="AD1" s="1465"/>
      <c r="AE1" s="1465"/>
      <c r="AF1" s="1465"/>
      <c r="AG1" s="1465"/>
      <c r="AH1" s="1465"/>
      <c r="AI1" s="1464" t="s">
        <v>6</v>
      </c>
      <c r="AJ1" s="1464"/>
      <c r="AK1" s="1465"/>
      <c r="AL1" s="1465"/>
      <c r="AM1" s="1465"/>
      <c r="AN1" s="1465"/>
    </row>
    <row r="2" spans="1:45" ht="15">
      <c r="A2" s="1474"/>
      <c r="B2" s="1477"/>
      <c r="C2" s="1478"/>
      <c r="D2" s="1465" t="s">
        <v>7</v>
      </c>
      <c r="E2" s="1465" t="s">
        <v>8</v>
      </c>
      <c r="F2" s="1465" t="s">
        <v>9</v>
      </c>
      <c r="G2" s="1465" t="s">
        <v>10</v>
      </c>
      <c r="H2" s="1465" t="s">
        <v>11</v>
      </c>
      <c r="I2" s="1472" t="s">
        <v>12</v>
      </c>
      <c r="J2" s="1465" t="s">
        <v>13</v>
      </c>
      <c r="K2" s="1465"/>
      <c r="L2" s="1465"/>
      <c r="M2" s="1465" t="s">
        <v>14</v>
      </c>
      <c r="N2" s="1465"/>
      <c r="O2" s="1465"/>
      <c r="P2" s="1465" t="s">
        <v>15</v>
      </c>
      <c r="Q2" s="1465" t="s">
        <v>16</v>
      </c>
      <c r="R2" s="1465"/>
      <c r="S2" s="1465"/>
      <c r="T2" s="1465" t="s">
        <v>17</v>
      </c>
      <c r="U2" s="1465"/>
      <c r="V2" s="1465"/>
      <c r="W2" s="1465" t="s">
        <v>18</v>
      </c>
      <c r="X2" s="1465" t="s">
        <v>19</v>
      </c>
      <c r="Y2" s="1465" t="s">
        <v>20</v>
      </c>
      <c r="Z2" s="1465"/>
      <c r="AA2" s="1465"/>
      <c r="AB2" s="131" t="s">
        <v>21</v>
      </c>
      <c r="AC2" s="131" t="s">
        <v>22</v>
      </c>
      <c r="AD2" s="1465" t="s">
        <v>23</v>
      </c>
      <c r="AE2" s="1465"/>
      <c r="AF2" s="1465"/>
      <c r="AG2" s="1495" t="s">
        <v>24</v>
      </c>
      <c r="AH2" s="1496" t="s">
        <v>25</v>
      </c>
      <c r="AI2" s="1465" t="s">
        <v>26</v>
      </c>
      <c r="AJ2" s="1465"/>
      <c r="AK2" s="1465" t="s">
        <v>27</v>
      </c>
      <c r="AL2" s="1465" t="s">
        <v>28</v>
      </c>
      <c r="AM2" s="1465"/>
      <c r="AN2" s="1465" t="s">
        <v>29</v>
      </c>
    </row>
    <row r="3" spans="1:45" ht="15">
      <c r="A3" s="1474"/>
      <c r="B3" s="1477"/>
      <c r="C3" s="1478"/>
      <c r="D3" s="1464"/>
      <c r="E3" s="1464"/>
      <c r="F3" s="1464"/>
      <c r="G3" s="1464"/>
      <c r="H3" s="1464"/>
      <c r="I3" s="1473"/>
      <c r="J3" s="134" t="s">
        <v>8</v>
      </c>
      <c r="K3" s="134" t="s">
        <v>9</v>
      </c>
      <c r="L3" s="134" t="s">
        <v>10</v>
      </c>
      <c r="M3" s="134" t="s">
        <v>8</v>
      </c>
      <c r="N3" s="134" t="s">
        <v>9</v>
      </c>
      <c r="O3" s="134" t="s">
        <v>10</v>
      </c>
      <c r="P3" s="1464"/>
      <c r="Q3" s="134" t="s">
        <v>30</v>
      </c>
      <c r="R3" s="134" t="s">
        <v>9</v>
      </c>
      <c r="S3" s="134" t="s">
        <v>10</v>
      </c>
      <c r="T3" s="134" t="s">
        <v>31</v>
      </c>
      <c r="U3" s="134" t="s">
        <v>32</v>
      </c>
      <c r="V3" s="134" t="s">
        <v>33</v>
      </c>
      <c r="W3" s="1464"/>
      <c r="X3" s="1464"/>
      <c r="Y3" s="134" t="s">
        <v>8</v>
      </c>
      <c r="Z3" s="134" t="s">
        <v>9</v>
      </c>
      <c r="AA3" s="134" t="s">
        <v>10</v>
      </c>
      <c r="AB3" s="134" t="s">
        <v>34</v>
      </c>
      <c r="AC3" s="134" t="s">
        <v>35</v>
      </c>
      <c r="AD3" s="134" t="s">
        <v>8</v>
      </c>
      <c r="AE3" s="134" t="s">
        <v>9</v>
      </c>
      <c r="AF3" s="134" t="s">
        <v>10</v>
      </c>
      <c r="AG3" s="1473"/>
      <c r="AH3" s="1464"/>
      <c r="AI3" s="195" t="s">
        <v>36</v>
      </c>
      <c r="AJ3" s="195" t="s">
        <v>37</v>
      </c>
      <c r="AK3" s="1464"/>
      <c r="AL3" s="134" t="s">
        <v>38</v>
      </c>
      <c r="AM3" s="134" t="s">
        <v>39</v>
      </c>
      <c r="AN3" s="1464"/>
    </row>
    <row r="4" spans="1:45" ht="24">
      <c r="A4" s="1479">
        <v>1</v>
      </c>
      <c r="B4" s="189" t="s">
        <v>40</v>
      </c>
      <c r="C4" s="162" t="s">
        <v>41</v>
      </c>
      <c r="D4" s="189" t="s">
        <v>42</v>
      </c>
      <c r="E4" s="247">
        <v>45728</v>
      </c>
      <c r="F4" s="247">
        <v>45728</v>
      </c>
      <c r="G4" s="247">
        <v>45728</v>
      </c>
      <c r="H4" s="163" t="s">
        <v>43</v>
      </c>
      <c r="I4" s="207">
        <v>1</v>
      </c>
      <c r="J4" s="247">
        <v>45833</v>
      </c>
      <c r="K4" s="247">
        <v>45891</v>
      </c>
      <c r="L4" s="247">
        <v>45889</v>
      </c>
      <c r="M4" s="247">
        <v>46088</v>
      </c>
      <c r="N4" s="248">
        <v>45701</v>
      </c>
      <c r="O4" s="247">
        <v>45701</v>
      </c>
      <c r="P4" s="163" t="s">
        <v>44</v>
      </c>
      <c r="Q4" s="278" t="s">
        <v>45</v>
      </c>
      <c r="R4" s="247">
        <v>45870</v>
      </c>
      <c r="S4" s="247">
        <v>45870</v>
      </c>
      <c r="T4" s="140" t="s">
        <v>46</v>
      </c>
      <c r="U4" s="247">
        <v>45870</v>
      </c>
      <c r="V4" s="140" t="s">
        <v>47</v>
      </c>
      <c r="W4" s="164" t="s">
        <v>48</v>
      </c>
      <c r="X4" s="165" t="s">
        <v>49</v>
      </c>
      <c r="Y4" s="247"/>
      <c r="Z4" s="247"/>
      <c r="AA4" s="247"/>
      <c r="AB4" s="247"/>
      <c r="AC4" s="247" t="s">
        <v>50</v>
      </c>
      <c r="AD4" s="247">
        <v>45874</v>
      </c>
      <c r="AE4" s="247">
        <v>45874</v>
      </c>
      <c r="AF4" s="247">
        <v>45875</v>
      </c>
      <c r="AG4" s="258"/>
      <c r="AH4" s="259"/>
      <c r="AI4" s="248">
        <v>45885</v>
      </c>
      <c r="AJ4" s="248">
        <v>45885</v>
      </c>
      <c r="AK4" s="247" t="s">
        <v>51</v>
      </c>
      <c r="AL4" s="248">
        <v>45922</v>
      </c>
      <c r="AM4" s="248">
        <v>45922</v>
      </c>
      <c r="AN4" s="260">
        <v>45910</v>
      </c>
    </row>
    <row r="5" spans="1:45" ht="15.75" customHeight="1">
      <c r="A5" s="1480"/>
      <c r="B5" s="190" t="s">
        <v>52</v>
      </c>
      <c r="C5" s="169" t="s">
        <v>53</v>
      </c>
      <c r="D5" s="190" t="s">
        <v>54</v>
      </c>
      <c r="E5" s="248">
        <v>45772</v>
      </c>
      <c r="F5" s="248">
        <v>45772</v>
      </c>
      <c r="G5" s="248">
        <v>45772</v>
      </c>
      <c r="H5" s="171" t="s">
        <v>55</v>
      </c>
      <c r="I5" s="208" t="s">
        <v>56</v>
      </c>
      <c r="J5" s="248">
        <v>45695</v>
      </c>
      <c r="K5" s="248">
        <v>45763</v>
      </c>
      <c r="L5" s="255">
        <v>45763</v>
      </c>
      <c r="M5" s="248">
        <v>46088</v>
      </c>
      <c r="N5" s="248">
        <v>46088</v>
      </c>
      <c r="O5" s="248" t="s">
        <v>57</v>
      </c>
      <c r="P5" s="171" t="s">
        <v>58</v>
      </c>
      <c r="Q5" s="165" t="s">
        <v>59</v>
      </c>
      <c r="R5" s="255">
        <v>45952</v>
      </c>
      <c r="S5" s="255">
        <v>45952</v>
      </c>
      <c r="T5" s="145" t="s">
        <v>60</v>
      </c>
      <c r="U5" s="255">
        <v>45952</v>
      </c>
      <c r="V5" s="145" t="s">
        <v>47</v>
      </c>
      <c r="W5" s="165" t="s">
        <v>61</v>
      </c>
      <c r="X5" s="165" t="s">
        <v>62</v>
      </c>
      <c r="Y5" s="248"/>
      <c r="Z5" s="248"/>
      <c r="AA5" s="248"/>
      <c r="AB5" s="248"/>
      <c r="AC5" s="248"/>
      <c r="AD5" s="248">
        <v>46088</v>
      </c>
      <c r="AE5" s="248">
        <v>46088</v>
      </c>
      <c r="AF5" s="248"/>
      <c r="AG5" s="256"/>
      <c r="AH5" s="261"/>
      <c r="AI5" s="1502" t="s">
        <v>63</v>
      </c>
      <c r="AJ5" s="1503"/>
      <c r="AK5" s="248"/>
      <c r="AL5" s="1502" t="s">
        <v>63</v>
      </c>
      <c r="AM5" s="1503"/>
      <c r="AN5" s="262">
        <v>46118</v>
      </c>
    </row>
    <row r="6" spans="1:45" ht="36">
      <c r="A6" s="1480"/>
      <c r="B6" s="190" t="s">
        <v>64</v>
      </c>
      <c r="C6" s="169">
        <v>5000106972</v>
      </c>
      <c r="D6" s="190" t="s">
        <v>65</v>
      </c>
      <c r="E6" s="248">
        <v>45807</v>
      </c>
      <c r="F6" s="248">
        <v>45891</v>
      </c>
      <c r="G6" s="248">
        <v>45889</v>
      </c>
      <c r="H6" s="171" t="s">
        <v>66</v>
      </c>
      <c r="I6" s="180" t="s">
        <v>67</v>
      </c>
      <c r="J6" s="248">
        <v>45828</v>
      </c>
      <c r="K6" s="248">
        <v>45954</v>
      </c>
      <c r="L6" s="248">
        <v>45954</v>
      </c>
      <c r="M6" s="248">
        <v>46088</v>
      </c>
      <c r="N6" s="248">
        <v>45703</v>
      </c>
      <c r="O6" s="248">
        <v>45703</v>
      </c>
      <c r="P6" s="171" t="s">
        <v>68</v>
      </c>
      <c r="Q6" s="145" t="s">
        <v>69</v>
      </c>
      <c r="R6" s="248">
        <v>45958</v>
      </c>
      <c r="S6" s="370" t="s">
        <v>70</v>
      </c>
      <c r="T6" s="268" t="s">
        <v>71</v>
      </c>
      <c r="U6" s="268" t="s">
        <v>70</v>
      </c>
      <c r="V6" s="145" t="s">
        <v>47</v>
      </c>
      <c r="W6" s="165" t="s">
        <v>72</v>
      </c>
      <c r="X6" s="171" t="s">
        <v>73</v>
      </c>
      <c r="Y6" s="248"/>
      <c r="Z6" s="248"/>
      <c r="AA6" s="248"/>
      <c r="AB6" s="248"/>
      <c r="AC6" s="248"/>
      <c r="AD6" s="248">
        <v>46088</v>
      </c>
      <c r="AE6" s="248">
        <v>46088</v>
      </c>
      <c r="AF6" s="248"/>
      <c r="AG6" s="256"/>
      <c r="AH6" s="261"/>
      <c r="AI6" s="1502" t="s">
        <v>63</v>
      </c>
      <c r="AJ6" s="1503"/>
      <c r="AK6" s="248"/>
      <c r="AL6" s="1502" t="s">
        <v>63</v>
      </c>
      <c r="AM6" s="1503"/>
      <c r="AN6" s="262">
        <v>46118</v>
      </c>
    </row>
    <row r="7" spans="1:45" ht="36.75" customHeight="1">
      <c r="A7" s="1480"/>
      <c r="B7" s="190" t="s">
        <v>74</v>
      </c>
      <c r="C7" s="169">
        <v>2</v>
      </c>
      <c r="D7" s="190" t="s">
        <v>75</v>
      </c>
      <c r="E7" s="248">
        <v>45859</v>
      </c>
      <c r="F7" s="248">
        <v>45953</v>
      </c>
      <c r="G7" s="248">
        <v>45953</v>
      </c>
      <c r="H7" s="171" t="s">
        <v>76</v>
      </c>
      <c r="I7" s="180">
        <v>2</v>
      </c>
      <c r="J7" s="248">
        <v>45827</v>
      </c>
      <c r="K7" s="248">
        <v>46007</v>
      </c>
      <c r="L7" s="248">
        <v>46007</v>
      </c>
      <c r="M7" s="248">
        <v>46088</v>
      </c>
      <c r="N7" s="248">
        <v>46088</v>
      </c>
      <c r="O7" s="248">
        <v>46086</v>
      </c>
      <c r="P7" s="572" t="s">
        <v>77</v>
      </c>
      <c r="Q7" s="145" t="s">
        <v>78</v>
      </c>
      <c r="R7" s="248">
        <v>45981</v>
      </c>
      <c r="S7" s="248">
        <v>45981</v>
      </c>
      <c r="T7" s="145" t="s">
        <v>79</v>
      </c>
      <c r="U7" s="248">
        <v>45981</v>
      </c>
      <c r="V7" s="145" t="s">
        <v>47</v>
      </c>
      <c r="W7" s="171"/>
      <c r="X7" s="573" t="s">
        <v>80</v>
      </c>
      <c r="Y7" s="248"/>
      <c r="Z7" s="248"/>
      <c r="AA7" s="248"/>
      <c r="AB7" s="248"/>
      <c r="AC7" s="248" t="s">
        <v>81</v>
      </c>
      <c r="AD7" s="248"/>
      <c r="AE7" s="248"/>
      <c r="AF7" s="248"/>
      <c r="AG7" s="256"/>
      <c r="AH7" s="918"/>
      <c r="AI7" s="919" t="s">
        <v>82</v>
      </c>
      <c r="AJ7" s="920"/>
      <c r="AK7" s="920"/>
      <c r="AL7" s="920"/>
      <c r="AM7" s="920"/>
      <c r="AN7" s="921"/>
      <c r="AO7" s="924"/>
    </row>
    <row r="8" spans="1:45" ht="48">
      <c r="A8" s="1480"/>
      <c r="B8" s="190" t="s">
        <v>83</v>
      </c>
      <c r="C8" s="169" t="s">
        <v>84</v>
      </c>
      <c r="D8" s="190" t="s">
        <v>85</v>
      </c>
      <c r="E8" s="248">
        <v>45846</v>
      </c>
      <c r="F8" s="248">
        <v>45952</v>
      </c>
      <c r="G8" s="248">
        <v>45952</v>
      </c>
      <c r="H8" s="171" t="s">
        <v>86</v>
      </c>
      <c r="I8" s="180">
        <v>4</v>
      </c>
      <c r="J8" s="248">
        <v>45827</v>
      </c>
      <c r="K8" s="248">
        <v>45895</v>
      </c>
      <c r="L8" s="248">
        <v>45895</v>
      </c>
      <c r="M8" s="248">
        <v>46088</v>
      </c>
      <c r="N8" s="248">
        <v>46203</v>
      </c>
      <c r="O8" s="248"/>
      <c r="P8" s="573" t="s">
        <v>87</v>
      </c>
      <c r="Q8" s="145" t="s">
        <v>88</v>
      </c>
      <c r="R8" s="248">
        <v>45982</v>
      </c>
      <c r="S8" s="248">
        <v>45982</v>
      </c>
      <c r="T8" s="145" t="s">
        <v>89</v>
      </c>
      <c r="U8" s="248">
        <v>45982</v>
      </c>
      <c r="V8" s="145" t="s">
        <v>47</v>
      </c>
      <c r="W8" s="169"/>
      <c r="X8" s="1025" t="s">
        <v>90</v>
      </c>
      <c r="Y8" s="248"/>
      <c r="Z8" s="248"/>
      <c r="AA8" s="249"/>
      <c r="AB8" s="249"/>
      <c r="AC8" s="249" t="s">
        <v>91</v>
      </c>
      <c r="AD8" s="248"/>
      <c r="AE8" s="248"/>
      <c r="AF8" s="249"/>
      <c r="AG8" s="257"/>
      <c r="AH8" s="918"/>
      <c r="AI8" s="920">
        <v>46066</v>
      </c>
      <c r="AJ8" s="920">
        <v>46066</v>
      </c>
      <c r="AK8" s="920" t="s">
        <v>92</v>
      </c>
      <c r="AL8" s="922" t="s">
        <v>93</v>
      </c>
      <c r="AM8" s="922" t="s">
        <v>93</v>
      </c>
      <c r="AN8" s="923"/>
      <c r="AO8" s="924" t="s">
        <v>94</v>
      </c>
    </row>
    <row r="9" spans="1:45" ht="14.45" customHeight="1">
      <c r="A9" s="1480"/>
      <c r="B9" s="190" t="s">
        <v>95</v>
      </c>
      <c r="C9" s="175">
        <v>46088</v>
      </c>
      <c r="D9" s="190" t="s">
        <v>96</v>
      </c>
      <c r="E9" s="248">
        <v>45866</v>
      </c>
      <c r="F9" s="248">
        <v>45959</v>
      </c>
      <c r="G9" s="248">
        <v>45959</v>
      </c>
      <c r="H9" s="171" t="s">
        <v>97</v>
      </c>
      <c r="I9" s="180">
        <v>4</v>
      </c>
      <c r="J9" s="248">
        <v>45848</v>
      </c>
      <c r="K9" s="248">
        <v>46007</v>
      </c>
      <c r="L9" s="248">
        <v>46001</v>
      </c>
      <c r="M9" s="248">
        <v>46088</v>
      </c>
      <c r="N9" s="248">
        <v>46132</v>
      </c>
      <c r="O9" s="248"/>
      <c r="P9" s="171" t="s">
        <v>98</v>
      </c>
      <c r="Q9" s="145" t="s">
        <v>99</v>
      </c>
      <c r="R9" s="370">
        <v>46008</v>
      </c>
      <c r="S9" s="370">
        <v>46008</v>
      </c>
      <c r="T9" s="268" t="s">
        <v>100</v>
      </c>
      <c r="U9" s="370">
        <v>46008</v>
      </c>
      <c r="V9" s="145" t="s">
        <v>47</v>
      </c>
      <c r="W9" s="169"/>
      <c r="X9" s="1025" t="s">
        <v>101</v>
      </c>
      <c r="Y9" s="248"/>
      <c r="Z9" s="248"/>
      <c r="AA9" s="249"/>
      <c r="AB9" s="249"/>
      <c r="AC9" s="249" t="s">
        <v>102</v>
      </c>
      <c r="AD9" s="248"/>
      <c r="AE9" s="248"/>
      <c r="AF9" s="249"/>
      <c r="AG9" s="257"/>
      <c r="AH9" s="918"/>
      <c r="AI9" s="1506" t="s">
        <v>103</v>
      </c>
      <c r="AJ9" s="1507"/>
      <c r="AK9" s="920"/>
      <c r="AL9" s="920"/>
      <c r="AM9" s="920"/>
      <c r="AN9" s="921"/>
      <c r="AO9" s="925"/>
    </row>
    <row r="10" spans="1:45" ht="15" customHeight="1">
      <c r="A10" s="1480"/>
      <c r="B10" s="190" t="s">
        <v>104</v>
      </c>
      <c r="C10" s="169" t="s">
        <v>105</v>
      </c>
      <c r="D10" s="190" t="s">
        <v>106</v>
      </c>
      <c r="E10" s="248">
        <v>46083</v>
      </c>
      <c r="F10" s="248" t="s">
        <v>107</v>
      </c>
      <c r="G10" s="248">
        <v>45721</v>
      </c>
      <c r="H10" s="171" t="s">
        <v>108</v>
      </c>
      <c r="I10" s="180">
        <v>2</v>
      </c>
      <c r="J10" s="248">
        <v>45925</v>
      </c>
      <c r="K10" s="248">
        <v>45925</v>
      </c>
      <c r="L10" s="248">
        <v>45912</v>
      </c>
      <c r="M10" s="248">
        <v>46088</v>
      </c>
      <c r="N10" s="248">
        <v>46088</v>
      </c>
      <c r="O10" s="248" t="s">
        <v>109</v>
      </c>
      <c r="P10" s="171" t="s">
        <v>110</v>
      </c>
      <c r="Q10" s="145" t="s">
        <v>111</v>
      </c>
      <c r="R10" s="248">
        <v>46042</v>
      </c>
      <c r="S10" s="248">
        <v>46042</v>
      </c>
      <c r="T10" s="145" t="s">
        <v>112</v>
      </c>
      <c r="U10" s="248">
        <v>46042</v>
      </c>
      <c r="V10" s="145" t="s">
        <v>47</v>
      </c>
      <c r="W10" s="169"/>
      <c r="X10" s="1025" t="s">
        <v>113</v>
      </c>
      <c r="Y10" s="249"/>
      <c r="Z10" s="249"/>
      <c r="AA10" s="249"/>
      <c r="AB10" s="249"/>
      <c r="AC10" s="249" t="s">
        <v>114</v>
      </c>
      <c r="AD10" s="249"/>
      <c r="AE10" s="249"/>
      <c r="AF10" s="249"/>
      <c r="AG10" s="257"/>
      <c r="AH10" s="1254" t="s">
        <v>115</v>
      </c>
      <c r="AI10" s="920">
        <v>46084</v>
      </c>
      <c r="AJ10" s="920">
        <v>46085</v>
      </c>
      <c r="AK10" s="920" t="s">
        <v>116</v>
      </c>
      <c r="AL10" s="1366">
        <v>46171</v>
      </c>
      <c r="AM10" s="920"/>
      <c r="AN10" s="921">
        <v>46174</v>
      </c>
      <c r="AO10" s="925" t="s">
        <v>117</v>
      </c>
    </row>
    <row r="11" spans="1:45" ht="15">
      <c r="A11" s="1480"/>
      <c r="B11" s="190" t="s">
        <v>118</v>
      </c>
      <c r="C11" s="169"/>
      <c r="D11" s="190" t="s">
        <v>119</v>
      </c>
      <c r="E11" s="248">
        <v>46086</v>
      </c>
      <c r="F11" s="248" t="s">
        <v>120</v>
      </c>
      <c r="G11" s="248">
        <v>45721</v>
      </c>
      <c r="H11" s="171" t="s">
        <v>121</v>
      </c>
      <c r="I11" s="180">
        <v>3</v>
      </c>
      <c r="J11" s="248">
        <v>45874</v>
      </c>
      <c r="K11" s="248">
        <v>45912</v>
      </c>
      <c r="L11" s="248">
        <v>45912</v>
      </c>
      <c r="M11" s="248">
        <v>46088</v>
      </c>
      <c r="N11" s="248">
        <v>46088</v>
      </c>
      <c r="O11" s="248" t="s">
        <v>122</v>
      </c>
      <c r="P11" s="171" t="s">
        <v>84</v>
      </c>
      <c r="Q11" s="145" t="s">
        <v>123</v>
      </c>
      <c r="R11" s="145">
        <v>46077</v>
      </c>
      <c r="S11" s="145">
        <v>46077</v>
      </c>
      <c r="T11" s="145" t="s">
        <v>124</v>
      </c>
      <c r="U11" s="248">
        <v>46077</v>
      </c>
      <c r="V11" s="208" t="s">
        <v>47</v>
      </c>
      <c r="W11" s="169"/>
      <c r="X11" s="169"/>
      <c r="Y11" s="249"/>
      <c r="Z11" s="249"/>
      <c r="AA11" s="249"/>
      <c r="AB11" s="249"/>
      <c r="AC11" s="249"/>
      <c r="AD11" s="249"/>
      <c r="AE11" s="249"/>
      <c r="AF11" s="249"/>
      <c r="AG11" s="257"/>
      <c r="AH11" s="1254" t="s">
        <v>125</v>
      </c>
      <c r="AI11" s="920">
        <v>46141</v>
      </c>
      <c r="AJ11" s="920">
        <v>46141</v>
      </c>
      <c r="AK11" s="927" t="s">
        <v>126</v>
      </c>
      <c r="AL11" s="920">
        <v>46213</v>
      </c>
      <c r="AM11" s="920"/>
      <c r="AN11" s="921">
        <v>46174</v>
      </c>
      <c r="AO11" s="1365" t="s">
        <v>127</v>
      </c>
      <c r="AP11" s="1127" t="s">
        <v>128</v>
      </c>
    </row>
    <row r="12" spans="1:45" ht="24">
      <c r="A12" s="1480"/>
      <c r="B12" s="196" t="s">
        <v>129</v>
      </c>
      <c r="C12" s="179">
        <v>3</v>
      </c>
      <c r="D12" s="190" t="s">
        <v>130</v>
      </c>
      <c r="E12" s="248">
        <v>45723</v>
      </c>
      <c r="F12" s="248" t="s">
        <v>131</v>
      </c>
      <c r="G12" s="248">
        <v>45719</v>
      </c>
      <c r="H12" s="171" t="s">
        <v>132</v>
      </c>
      <c r="I12" s="180" t="s">
        <v>67</v>
      </c>
      <c r="J12" s="248">
        <v>45828</v>
      </c>
      <c r="K12" s="248">
        <v>45912</v>
      </c>
      <c r="L12" s="248">
        <v>45908</v>
      </c>
      <c r="M12" s="248">
        <v>46088</v>
      </c>
      <c r="N12" s="248">
        <v>46068</v>
      </c>
      <c r="O12" s="248">
        <v>46068</v>
      </c>
      <c r="P12" s="171" t="s">
        <v>133</v>
      </c>
      <c r="Q12" s="591" t="s">
        <v>134</v>
      </c>
      <c r="R12" s="145" t="s">
        <v>135</v>
      </c>
      <c r="S12" s="208" t="s">
        <v>135</v>
      </c>
      <c r="T12" s="145" t="s">
        <v>136</v>
      </c>
      <c r="U12" s="208" t="s">
        <v>135</v>
      </c>
      <c r="V12" s="208" t="s">
        <v>47</v>
      </c>
      <c r="W12" s="169"/>
      <c r="X12" s="169"/>
      <c r="Y12" s="249"/>
      <c r="Z12" s="249"/>
      <c r="AA12" s="249"/>
      <c r="AB12" s="249"/>
      <c r="AC12" s="249"/>
      <c r="AD12" s="153"/>
      <c r="AE12" s="153"/>
      <c r="AF12" s="153"/>
      <c r="AG12" s="176"/>
      <c r="AH12" s="1255" t="s">
        <v>137</v>
      </c>
      <c r="AI12" s="920">
        <v>46144</v>
      </c>
      <c r="AJ12" s="920">
        <v>46145</v>
      </c>
      <c r="AK12" s="920" t="s">
        <v>138</v>
      </c>
      <c r="AL12" s="920">
        <v>46223</v>
      </c>
      <c r="AM12" s="920"/>
      <c r="AN12" s="921">
        <v>46174</v>
      </c>
      <c r="AO12" s="925" t="s">
        <v>139</v>
      </c>
      <c r="AP12" s="1127" t="s">
        <v>128</v>
      </c>
      <c r="AR12" s="1151"/>
      <c r="AS12" s="1151"/>
    </row>
    <row r="13" spans="1:45" ht="15">
      <c r="A13" s="1480"/>
      <c r="B13" s="190" t="s">
        <v>140</v>
      </c>
      <c r="C13" s="169" t="s">
        <v>141</v>
      </c>
      <c r="D13" s="190"/>
      <c r="E13" s="248"/>
      <c r="F13" s="248"/>
      <c r="G13" s="248"/>
      <c r="H13" s="171" t="s">
        <v>142</v>
      </c>
      <c r="I13" s="180" t="s">
        <v>67</v>
      </c>
      <c r="J13" s="248">
        <v>45828</v>
      </c>
      <c r="K13" s="248">
        <v>45912</v>
      </c>
      <c r="L13" s="248">
        <v>45912</v>
      </c>
      <c r="M13" s="248">
        <v>46088</v>
      </c>
      <c r="N13" s="208" t="s">
        <v>143</v>
      </c>
      <c r="O13" s="208" t="s">
        <v>143</v>
      </c>
      <c r="P13" s="171" t="s">
        <v>144</v>
      </c>
      <c r="Q13" s="208" t="s">
        <v>145</v>
      </c>
      <c r="R13" s="248" t="s">
        <v>146</v>
      </c>
      <c r="S13" s="208" t="s">
        <v>147</v>
      </c>
      <c r="T13" s="153" t="s">
        <v>148</v>
      </c>
      <c r="U13" s="153" t="s">
        <v>147</v>
      </c>
      <c r="V13" s="153" t="s">
        <v>47</v>
      </c>
      <c r="W13" s="169"/>
      <c r="X13" s="169"/>
      <c r="Y13" s="249"/>
      <c r="Z13" s="249"/>
      <c r="AA13" s="249"/>
      <c r="AB13" s="249"/>
      <c r="AC13" s="249"/>
      <c r="AD13" s="153"/>
      <c r="AE13" s="153"/>
      <c r="AF13" s="153"/>
      <c r="AG13" s="176"/>
      <c r="AH13" s="926" t="s">
        <v>149</v>
      </c>
      <c r="AI13" s="920">
        <v>46155</v>
      </c>
      <c r="AJ13" s="920">
        <v>46155</v>
      </c>
      <c r="AK13" s="920" t="s">
        <v>150</v>
      </c>
      <c r="AL13" s="920">
        <v>46213</v>
      </c>
      <c r="AM13" s="920"/>
      <c r="AN13" s="921">
        <v>46174</v>
      </c>
      <c r="AO13" s="925" t="s">
        <v>151</v>
      </c>
      <c r="AP13" s="1127" t="s">
        <v>128</v>
      </c>
    </row>
    <row r="14" spans="1:45" ht="15">
      <c r="A14" s="1480"/>
      <c r="B14" s="196" t="s">
        <v>152</v>
      </c>
      <c r="C14" s="179" t="s">
        <v>153</v>
      </c>
      <c r="D14" s="190"/>
      <c r="E14" s="256"/>
      <c r="F14" s="248"/>
      <c r="G14" s="248"/>
      <c r="H14" s="171" t="s">
        <v>154</v>
      </c>
      <c r="I14" s="250" t="s">
        <v>155</v>
      </c>
      <c r="J14" s="248">
        <v>45845</v>
      </c>
      <c r="K14" s="248">
        <v>45845</v>
      </c>
      <c r="L14" s="248">
        <v>45841</v>
      </c>
      <c r="M14" s="248">
        <v>45900</v>
      </c>
      <c r="N14" s="248">
        <v>45873</v>
      </c>
      <c r="O14" s="248">
        <v>45873</v>
      </c>
      <c r="P14" s="171" t="s">
        <v>44</v>
      </c>
      <c r="Q14" s="208" t="s">
        <v>156</v>
      </c>
      <c r="R14" s="248">
        <v>46043</v>
      </c>
      <c r="S14" s="248">
        <v>46043</v>
      </c>
      <c r="T14" s="145" t="s">
        <v>157</v>
      </c>
      <c r="U14" s="248">
        <v>46043</v>
      </c>
      <c r="V14" s="145" t="s">
        <v>47</v>
      </c>
      <c r="W14" s="169"/>
      <c r="X14" s="169"/>
      <c r="Y14" s="153"/>
      <c r="Z14" s="153"/>
      <c r="AA14" s="153"/>
      <c r="AB14" s="153"/>
      <c r="AC14" s="153"/>
      <c r="AD14" s="153"/>
      <c r="AE14" s="153"/>
      <c r="AF14" s="153"/>
      <c r="AG14" s="176"/>
      <c r="AH14" s="1152"/>
      <c r="AI14" s="1153"/>
      <c r="AJ14" s="1153"/>
      <c r="AK14" s="1152"/>
      <c r="AL14" s="1153"/>
      <c r="AM14" s="1153"/>
      <c r="AN14" s="1179"/>
      <c r="AO14" s="924"/>
    </row>
    <row r="15" spans="1:45" ht="15">
      <c r="A15" s="1480"/>
      <c r="B15" s="196" t="s">
        <v>158</v>
      </c>
      <c r="C15" s="179" t="s">
        <v>159</v>
      </c>
      <c r="D15" s="190"/>
      <c r="E15" s="173"/>
      <c r="F15" s="145"/>
      <c r="G15" s="145"/>
      <c r="H15" s="171" t="s">
        <v>160</v>
      </c>
      <c r="I15" s="180" t="s">
        <v>67</v>
      </c>
      <c r="J15" s="248">
        <v>45891</v>
      </c>
      <c r="K15" s="248">
        <v>45891</v>
      </c>
      <c r="L15" s="248">
        <v>45889</v>
      </c>
      <c r="M15" s="208" t="s">
        <v>161</v>
      </c>
      <c r="N15" s="208" t="s">
        <v>161</v>
      </c>
      <c r="O15" s="208" t="s">
        <v>162</v>
      </c>
      <c r="P15" s="171" t="s">
        <v>44</v>
      </c>
      <c r="Q15" s="145" t="s">
        <v>163</v>
      </c>
      <c r="R15" s="248">
        <v>46045</v>
      </c>
      <c r="S15" s="248" t="s">
        <v>164</v>
      </c>
      <c r="T15" s="153" t="s">
        <v>165</v>
      </c>
      <c r="U15" s="248" t="s">
        <v>164</v>
      </c>
      <c r="V15" s="153" t="s">
        <v>47</v>
      </c>
      <c r="W15" s="169"/>
      <c r="X15" s="169"/>
      <c r="Y15" s="153"/>
      <c r="Z15" s="153"/>
      <c r="AA15" s="153"/>
      <c r="AB15" s="153"/>
      <c r="AC15" s="153"/>
      <c r="AD15" s="153"/>
      <c r="AE15" s="153"/>
      <c r="AF15" s="153"/>
      <c r="AG15" s="176"/>
      <c r="AH15" s="926"/>
      <c r="AI15" s="1504" t="s">
        <v>166</v>
      </c>
      <c r="AJ15" s="1505"/>
      <c r="AK15" s="927"/>
      <c r="AL15" s="922"/>
      <c r="AM15" s="922"/>
      <c r="AN15" s="928"/>
      <c r="AO15" s="924"/>
    </row>
    <row r="16" spans="1:45" ht="15" customHeight="1">
      <c r="A16" s="1480"/>
      <c r="B16" s="196" t="s">
        <v>167</v>
      </c>
      <c r="C16" s="179" t="s">
        <v>168</v>
      </c>
      <c r="D16" s="190"/>
      <c r="E16" s="173"/>
      <c r="F16" s="145"/>
      <c r="G16" s="145"/>
      <c r="H16" s="171" t="s">
        <v>169</v>
      </c>
      <c r="I16" s="180">
        <v>1</v>
      </c>
      <c r="J16" s="248">
        <v>45958</v>
      </c>
      <c r="K16" s="248">
        <v>45957</v>
      </c>
      <c r="L16" s="248">
        <v>45957</v>
      </c>
      <c r="M16" s="248">
        <v>46088</v>
      </c>
      <c r="N16" s="248">
        <v>46088</v>
      </c>
      <c r="O16" s="248">
        <v>46081</v>
      </c>
      <c r="P16" s="171" t="s">
        <v>170</v>
      </c>
      <c r="Q16" s="268" t="s">
        <v>171</v>
      </c>
      <c r="R16" s="370">
        <v>46048</v>
      </c>
      <c r="S16" s="248">
        <v>46048</v>
      </c>
      <c r="T16" s="145" t="s">
        <v>172</v>
      </c>
      <c r="U16" s="248">
        <v>46048</v>
      </c>
      <c r="V16" s="145" t="s">
        <v>173</v>
      </c>
      <c r="W16" s="169"/>
      <c r="X16" s="169"/>
      <c r="Y16" s="153"/>
      <c r="Z16" s="153"/>
      <c r="AA16" s="153"/>
      <c r="AB16" s="153"/>
      <c r="AC16" s="153"/>
      <c r="AD16" s="153"/>
      <c r="AE16" s="153"/>
      <c r="AF16" s="153"/>
      <c r="AG16" s="176"/>
      <c r="AH16" s="926" t="s">
        <v>174</v>
      </c>
      <c r="AI16" s="920">
        <v>46132</v>
      </c>
      <c r="AJ16" s="920">
        <v>46132</v>
      </c>
      <c r="AK16" s="927" t="s">
        <v>175</v>
      </c>
      <c r="AL16" s="1366">
        <v>46198</v>
      </c>
      <c r="AM16" s="922"/>
      <c r="AN16" s="928"/>
      <c r="AO16" s="925" t="s">
        <v>176</v>
      </c>
    </row>
    <row r="17" spans="1:41" ht="30" customHeight="1">
      <c r="A17" s="1480"/>
      <c r="B17" s="196"/>
      <c r="C17" s="179"/>
      <c r="D17" s="190"/>
      <c r="E17" s="173"/>
      <c r="F17" s="145"/>
      <c r="G17" s="145"/>
      <c r="H17" s="171" t="s">
        <v>177</v>
      </c>
      <c r="I17" s="173" t="s">
        <v>178</v>
      </c>
      <c r="J17" s="248">
        <v>45994</v>
      </c>
      <c r="K17" s="248">
        <v>46024</v>
      </c>
      <c r="L17" s="248">
        <v>46024</v>
      </c>
      <c r="M17" s="208" t="s">
        <v>161</v>
      </c>
      <c r="N17" s="248">
        <v>46066</v>
      </c>
      <c r="O17" s="248">
        <v>46066</v>
      </c>
      <c r="P17" s="171"/>
      <c r="Q17" s="268" t="s">
        <v>179</v>
      </c>
      <c r="R17" s="370" t="s">
        <v>180</v>
      </c>
      <c r="S17" s="208" t="s">
        <v>181</v>
      </c>
      <c r="T17" s="153" t="s">
        <v>172</v>
      </c>
      <c r="U17" s="208" t="s">
        <v>182</v>
      </c>
      <c r="V17" s="208" t="s">
        <v>47</v>
      </c>
      <c r="W17" s="169"/>
      <c r="X17" s="169"/>
      <c r="Y17" s="153"/>
      <c r="Z17" s="153"/>
      <c r="AA17" s="153"/>
      <c r="AB17" s="153"/>
      <c r="AC17" s="153"/>
      <c r="AD17" s="153"/>
      <c r="AE17" s="153"/>
      <c r="AF17" s="153"/>
      <c r="AG17" s="176"/>
      <c r="AH17" s="926" t="s">
        <v>183</v>
      </c>
      <c r="AI17" s="920">
        <v>46144</v>
      </c>
      <c r="AJ17" s="920">
        <v>46145</v>
      </c>
      <c r="AK17" s="927" t="s">
        <v>184</v>
      </c>
      <c r="AL17" s="1366">
        <v>46228</v>
      </c>
      <c r="AM17" s="922"/>
      <c r="AN17" s="928"/>
      <c r="AO17" s="925" t="s">
        <v>185</v>
      </c>
    </row>
    <row r="18" spans="1:41" ht="24">
      <c r="A18" s="1480"/>
      <c r="B18" s="196"/>
      <c r="C18" s="179"/>
      <c r="D18" s="190"/>
      <c r="E18" s="173"/>
      <c r="F18" s="145"/>
      <c r="G18" s="145"/>
      <c r="H18" s="171"/>
      <c r="I18" s="173"/>
      <c r="J18" s="248"/>
      <c r="K18" s="248"/>
      <c r="L18" s="248"/>
      <c r="M18" s="208"/>
      <c r="N18" s="248"/>
      <c r="O18" s="208"/>
      <c r="P18" s="171"/>
      <c r="Q18" s="145" t="s">
        <v>186</v>
      </c>
      <c r="R18" s="370">
        <v>46052</v>
      </c>
      <c r="S18" s="208" t="s">
        <v>187</v>
      </c>
      <c r="T18" s="153" t="s">
        <v>188</v>
      </c>
      <c r="U18" s="208" t="s">
        <v>187</v>
      </c>
      <c r="V18" s="208" t="s">
        <v>189</v>
      </c>
      <c r="W18" s="169"/>
      <c r="X18" s="169"/>
      <c r="Y18" s="153"/>
      <c r="Z18" s="153"/>
      <c r="AA18" s="153"/>
      <c r="AB18" s="153"/>
      <c r="AC18" s="153"/>
      <c r="AD18" s="153"/>
      <c r="AE18" s="153"/>
      <c r="AF18" s="153"/>
      <c r="AG18" s="176"/>
      <c r="AH18" s="1255" t="s">
        <v>190</v>
      </c>
      <c r="AI18" s="920">
        <v>46144</v>
      </c>
      <c r="AJ18" s="920">
        <v>46145</v>
      </c>
      <c r="AK18" s="927" t="s">
        <v>191</v>
      </c>
      <c r="AL18" s="1366">
        <v>46228</v>
      </c>
      <c r="AM18" s="922"/>
      <c r="AN18" s="929"/>
      <c r="AO18" s="925" t="s">
        <v>185</v>
      </c>
    </row>
    <row r="19" spans="1:41" ht="15">
      <c r="A19" s="1480"/>
      <c r="B19" s="196"/>
      <c r="C19" s="179"/>
      <c r="D19" s="190"/>
      <c r="E19" s="173"/>
      <c r="F19" s="145"/>
      <c r="G19" s="145"/>
      <c r="H19" s="171"/>
      <c r="I19" s="173"/>
      <c r="J19" s="248"/>
      <c r="K19" s="248"/>
      <c r="L19" s="248"/>
      <c r="M19" s="208"/>
      <c r="N19" s="248"/>
      <c r="O19" s="208"/>
      <c r="P19" s="171"/>
      <c r="Q19" s="145" t="s">
        <v>192</v>
      </c>
      <c r="R19" s="370">
        <v>46055</v>
      </c>
      <c r="S19" s="208" t="s">
        <v>193</v>
      </c>
      <c r="T19" s="153" t="s">
        <v>188</v>
      </c>
      <c r="U19" s="208" t="s">
        <v>194</v>
      </c>
      <c r="V19" s="208" t="s">
        <v>189</v>
      </c>
      <c r="W19" s="169"/>
      <c r="X19" s="169"/>
      <c r="Y19" s="153"/>
      <c r="Z19" s="153"/>
      <c r="AA19" s="153"/>
      <c r="AB19" s="153"/>
      <c r="AC19" s="153"/>
      <c r="AD19" s="153"/>
      <c r="AE19" s="153"/>
      <c r="AF19" s="153"/>
      <c r="AG19" s="176"/>
      <c r="AH19" s="926" t="s">
        <v>195</v>
      </c>
      <c r="AI19" s="920">
        <v>46159</v>
      </c>
      <c r="AJ19" s="1366">
        <v>46159</v>
      </c>
      <c r="AK19" s="1267" t="s">
        <v>196</v>
      </c>
      <c r="AL19" s="1366">
        <v>46234</v>
      </c>
      <c r="AM19" s="922"/>
      <c r="AN19" s="929"/>
      <c r="AO19" s="925" t="s">
        <v>197</v>
      </c>
    </row>
    <row r="20" spans="1:41" ht="15">
      <c r="A20" s="1480"/>
      <c r="B20" s="196"/>
      <c r="C20" s="179"/>
      <c r="D20" s="190"/>
      <c r="E20" s="173"/>
      <c r="F20" s="145"/>
      <c r="G20" s="145"/>
      <c r="H20" s="171"/>
      <c r="I20" s="173"/>
      <c r="J20" s="248"/>
      <c r="K20" s="248"/>
      <c r="L20" s="248"/>
      <c r="M20" s="208"/>
      <c r="N20" s="248"/>
      <c r="O20" s="208"/>
      <c r="P20" s="171"/>
      <c r="Q20" s="145" t="s">
        <v>198</v>
      </c>
      <c r="R20" s="370">
        <v>46058</v>
      </c>
      <c r="S20" s="208" t="s">
        <v>199</v>
      </c>
      <c r="T20" s="153" t="s">
        <v>188</v>
      </c>
      <c r="U20" s="208" t="s">
        <v>199</v>
      </c>
      <c r="V20" s="208" t="s">
        <v>189</v>
      </c>
      <c r="W20" s="169"/>
      <c r="X20" s="169"/>
      <c r="Y20" s="153"/>
      <c r="Z20" s="153"/>
      <c r="AA20" s="153"/>
      <c r="AB20" s="153"/>
      <c r="AC20" s="153"/>
      <c r="AD20" s="153"/>
      <c r="AE20" s="153"/>
      <c r="AF20" s="153"/>
      <c r="AG20" s="176"/>
      <c r="AH20" s="926" t="s">
        <v>200</v>
      </c>
      <c r="AI20" s="920">
        <v>46165</v>
      </c>
      <c r="AJ20" s="1293"/>
      <c r="AK20" s="927" t="s">
        <v>201</v>
      </c>
      <c r="AL20" s="920">
        <v>46242</v>
      </c>
      <c r="AM20" s="922"/>
      <c r="AN20" s="929"/>
      <c r="AO20" s="925" t="s">
        <v>202</v>
      </c>
    </row>
    <row r="21" spans="1:41" ht="15">
      <c r="A21" s="1480"/>
      <c r="B21" s="196"/>
      <c r="C21" s="179"/>
      <c r="D21" s="190"/>
      <c r="E21" s="173"/>
      <c r="F21" s="145"/>
      <c r="G21" s="145"/>
      <c r="H21" s="171"/>
      <c r="I21" s="173"/>
      <c r="J21" s="248"/>
      <c r="K21" s="248"/>
      <c r="L21" s="248"/>
      <c r="M21" s="208"/>
      <c r="N21" s="248"/>
      <c r="O21" s="208"/>
      <c r="P21" s="171"/>
      <c r="Q21" s="145" t="s">
        <v>203</v>
      </c>
      <c r="R21" s="370">
        <v>46057</v>
      </c>
      <c r="S21" s="208" t="s">
        <v>204</v>
      </c>
      <c r="T21" s="153" t="s">
        <v>205</v>
      </c>
      <c r="U21" s="208" t="s">
        <v>206</v>
      </c>
      <c r="V21" s="208" t="s">
        <v>189</v>
      </c>
      <c r="W21" s="169"/>
      <c r="X21" s="169"/>
      <c r="Y21" s="153"/>
      <c r="Z21" s="153"/>
      <c r="AA21" s="153"/>
      <c r="AB21" s="153"/>
      <c r="AC21" s="153"/>
      <c r="AD21" s="153"/>
      <c r="AE21" s="153"/>
      <c r="AF21" s="153"/>
      <c r="AG21" s="176"/>
      <c r="AH21" s="926" t="s">
        <v>207</v>
      </c>
      <c r="AI21" s="920">
        <v>46165</v>
      </c>
      <c r="AJ21" s="1293"/>
      <c r="AK21" s="1267" t="s">
        <v>208</v>
      </c>
      <c r="AL21" s="920">
        <v>46242</v>
      </c>
      <c r="AM21" s="922"/>
      <c r="AN21" s="923"/>
      <c r="AO21" s="925" t="s">
        <v>202</v>
      </c>
    </row>
    <row r="22" spans="1:41" ht="36">
      <c r="A22" s="1480"/>
      <c r="B22" s="196"/>
      <c r="C22" s="179"/>
      <c r="D22" s="190"/>
      <c r="E22" s="173"/>
      <c r="F22" s="145"/>
      <c r="G22" s="145"/>
      <c r="H22" s="171"/>
      <c r="I22" s="173"/>
      <c r="J22" s="248"/>
      <c r="K22" s="248"/>
      <c r="L22" s="248"/>
      <c r="M22" s="208"/>
      <c r="N22" s="248"/>
      <c r="O22" s="208"/>
      <c r="P22" s="171"/>
      <c r="Q22" s="268" t="s">
        <v>209</v>
      </c>
      <c r="R22" s="370">
        <v>46065</v>
      </c>
      <c r="S22" s="370">
        <v>46065</v>
      </c>
      <c r="T22" s="153" t="s">
        <v>210</v>
      </c>
      <c r="U22" s="370">
        <v>46065</v>
      </c>
      <c r="V22" s="208" t="s">
        <v>189</v>
      </c>
      <c r="W22" s="169"/>
      <c r="X22" s="169"/>
      <c r="Y22" s="153"/>
      <c r="Z22" s="153"/>
      <c r="AA22" s="153"/>
      <c r="AB22" s="153"/>
      <c r="AC22" s="153"/>
      <c r="AD22" s="153"/>
      <c r="AE22" s="153"/>
      <c r="AF22" s="153"/>
      <c r="AG22" s="176"/>
      <c r="AH22" s="1255" t="s">
        <v>211</v>
      </c>
      <c r="AI22" s="920">
        <v>46153</v>
      </c>
      <c r="AJ22" s="920">
        <v>46154</v>
      </c>
      <c r="AK22" s="927" t="s">
        <v>212</v>
      </c>
      <c r="AL22" s="1366">
        <v>46208</v>
      </c>
      <c r="AM22" s="922"/>
      <c r="AN22" s="929"/>
      <c r="AO22" s="925" t="s">
        <v>213</v>
      </c>
    </row>
    <row r="23" spans="1:41" ht="15">
      <c r="A23" s="1480"/>
      <c r="B23" s="196"/>
      <c r="C23" s="179"/>
      <c r="D23" s="190"/>
      <c r="E23" s="173"/>
      <c r="F23" s="145"/>
      <c r="G23" s="145"/>
      <c r="H23" s="171"/>
      <c r="I23" s="173"/>
      <c r="J23" s="248"/>
      <c r="K23" s="248"/>
      <c r="L23" s="248"/>
      <c r="M23" s="208"/>
      <c r="N23" s="248"/>
      <c r="O23" s="208"/>
      <c r="P23" s="171"/>
      <c r="Q23" s="145" t="s">
        <v>214</v>
      </c>
      <c r="R23" s="370" t="s">
        <v>215</v>
      </c>
      <c r="S23" s="370" t="s">
        <v>215</v>
      </c>
      <c r="T23" s="153" t="s">
        <v>216</v>
      </c>
      <c r="U23" s="370" t="s">
        <v>215</v>
      </c>
      <c r="V23" s="208" t="s">
        <v>189</v>
      </c>
      <c r="W23" s="169"/>
      <c r="X23" s="169"/>
      <c r="Y23" s="153"/>
      <c r="Z23" s="153"/>
      <c r="AA23" s="153"/>
      <c r="AB23" s="153"/>
      <c r="AC23" s="153"/>
      <c r="AD23" s="153"/>
      <c r="AE23" s="153"/>
      <c r="AF23" s="153"/>
      <c r="AG23" s="176"/>
      <c r="AH23" s="926"/>
      <c r="AI23" s="1042"/>
      <c r="AJ23" s="1043"/>
      <c r="AK23" s="927"/>
      <c r="AL23" s="922"/>
      <c r="AM23" s="922"/>
      <c r="AN23" s="923"/>
      <c r="AO23" s="924"/>
    </row>
    <row r="24" spans="1:41" ht="15">
      <c r="A24" s="1480"/>
      <c r="B24" s="196"/>
      <c r="C24" s="179"/>
      <c r="D24" s="190"/>
      <c r="E24" s="173"/>
      <c r="F24" s="145"/>
      <c r="G24" s="145"/>
      <c r="H24" s="171"/>
      <c r="I24" s="173"/>
      <c r="J24" s="248"/>
      <c r="K24" s="248"/>
      <c r="L24" s="248"/>
      <c r="M24" s="208"/>
      <c r="N24" s="248"/>
      <c r="O24" s="208"/>
      <c r="P24" s="171"/>
      <c r="Q24" s="145" t="s">
        <v>217</v>
      </c>
      <c r="R24" s="370">
        <v>46064</v>
      </c>
      <c r="S24" s="370">
        <v>46064</v>
      </c>
      <c r="T24" s="153" t="s">
        <v>218</v>
      </c>
      <c r="U24" s="370">
        <v>46064</v>
      </c>
      <c r="V24" s="208" t="s">
        <v>189</v>
      </c>
      <c r="W24" s="169"/>
      <c r="X24" s="169"/>
      <c r="Y24" s="153"/>
      <c r="Z24" s="153"/>
      <c r="AA24" s="153"/>
      <c r="AB24" s="153"/>
      <c r="AC24" s="153"/>
      <c r="AD24" s="153"/>
      <c r="AE24" s="153"/>
      <c r="AF24" s="153"/>
      <c r="AG24" s="176"/>
      <c r="AH24" s="926"/>
      <c r="AI24" s="1506" t="s">
        <v>219</v>
      </c>
      <c r="AJ24" s="1507"/>
      <c r="AK24" s="927"/>
      <c r="AL24" s="922"/>
      <c r="AM24" s="922"/>
      <c r="AN24" s="923"/>
      <c r="AO24" s="924"/>
    </row>
    <row r="25" spans="1:41" ht="36">
      <c r="A25" s="1480"/>
      <c r="B25" s="196"/>
      <c r="C25" s="179"/>
      <c r="D25" s="190"/>
      <c r="E25" s="173"/>
      <c r="F25" s="145"/>
      <c r="G25" s="145"/>
      <c r="H25" s="171"/>
      <c r="I25" s="173"/>
      <c r="J25" s="248"/>
      <c r="K25" s="248"/>
      <c r="L25" s="248"/>
      <c r="M25" s="208"/>
      <c r="N25" s="248"/>
      <c r="O25" s="208"/>
      <c r="P25" s="171"/>
      <c r="Q25" s="145" t="s">
        <v>220</v>
      </c>
      <c r="R25" s="370">
        <v>46076</v>
      </c>
      <c r="S25" s="370">
        <v>46076</v>
      </c>
      <c r="T25" s="153" t="s">
        <v>221</v>
      </c>
      <c r="U25" s="370">
        <v>46076</v>
      </c>
      <c r="V25" s="208" t="s">
        <v>189</v>
      </c>
      <c r="W25" s="169"/>
      <c r="X25" s="169"/>
      <c r="Y25" s="153"/>
      <c r="Z25" s="153"/>
      <c r="AA25" s="153"/>
      <c r="AB25" s="153"/>
      <c r="AC25" s="153"/>
      <c r="AD25" s="153"/>
      <c r="AE25" s="153"/>
      <c r="AF25" s="153"/>
      <c r="AG25" s="176"/>
      <c r="AH25" s="926" t="s">
        <v>222</v>
      </c>
      <c r="AI25" s="922" t="s">
        <v>223</v>
      </c>
      <c r="AJ25" s="922"/>
      <c r="AK25" s="927" t="s">
        <v>224</v>
      </c>
      <c r="AL25" s="922" t="s">
        <v>223</v>
      </c>
      <c r="AM25" s="922"/>
      <c r="AN25" s="929"/>
      <c r="AO25" s="925" t="s">
        <v>225</v>
      </c>
    </row>
    <row r="26" spans="1:41" ht="15">
      <c r="A26" s="1480"/>
      <c r="B26" s="196"/>
      <c r="C26" s="179"/>
      <c r="D26" s="190"/>
      <c r="E26" s="173"/>
      <c r="F26" s="145"/>
      <c r="G26" s="145"/>
      <c r="H26" s="171"/>
      <c r="I26" s="173"/>
      <c r="J26" s="248"/>
      <c r="K26" s="248"/>
      <c r="L26" s="248"/>
      <c r="M26" s="208"/>
      <c r="N26" s="248"/>
      <c r="O26" s="208"/>
      <c r="P26" s="171"/>
      <c r="Q26" s="145" t="s">
        <v>226</v>
      </c>
      <c r="R26" s="370">
        <v>46078</v>
      </c>
      <c r="S26" s="370">
        <v>46078</v>
      </c>
      <c r="T26" s="153" t="s">
        <v>227</v>
      </c>
      <c r="U26" s="370">
        <v>46078</v>
      </c>
      <c r="V26" s="208" t="s">
        <v>189</v>
      </c>
      <c r="W26" s="169"/>
      <c r="X26" s="169"/>
      <c r="Y26" s="153"/>
      <c r="Z26" s="153"/>
      <c r="AA26" s="153"/>
      <c r="AB26" s="153"/>
      <c r="AC26" s="153"/>
      <c r="AD26" s="153"/>
      <c r="AE26" s="153"/>
      <c r="AF26" s="153"/>
      <c r="AG26" s="176"/>
      <c r="AH26" s="926"/>
      <c r="AI26" s="922"/>
      <c r="AJ26" s="922"/>
      <c r="AK26" s="927"/>
      <c r="AL26" s="922"/>
      <c r="AM26" s="922"/>
      <c r="AN26" s="929"/>
      <c r="AO26" s="924"/>
    </row>
    <row r="27" spans="1:41" ht="15">
      <c r="A27" s="1480"/>
      <c r="B27" s="196"/>
      <c r="C27" s="179"/>
      <c r="D27" s="190"/>
      <c r="E27" s="173"/>
      <c r="F27" s="145"/>
      <c r="G27" s="145"/>
      <c r="H27" s="171"/>
      <c r="I27" s="173"/>
      <c r="J27" s="248"/>
      <c r="K27" s="248"/>
      <c r="L27" s="248"/>
      <c r="M27" s="208"/>
      <c r="N27" s="248"/>
      <c r="O27" s="208"/>
      <c r="P27" s="171"/>
      <c r="Q27" s="145" t="s">
        <v>228</v>
      </c>
      <c r="R27" s="370" t="s">
        <v>229</v>
      </c>
      <c r="S27" s="370" t="s">
        <v>229</v>
      </c>
      <c r="T27" s="153" t="s">
        <v>230</v>
      </c>
      <c r="U27" s="370" t="s">
        <v>229</v>
      </c>
      <c r="V27" s="208" t="s">
        <v>189</v>
      </c>
      <c r="W27" s="169"/>
      <c r="X27" s="169"/>
      <c r="Y27" s="153"/>
      <c r="Z27" s="153"/>
      <c r="AA27" s="153"/>
      <c r="AB27" s="153"/>
      <c r="AC27" s="153"/>
      <c r="AD27" s="153"/>
      <c r="AE27" s="153"/>
      <c r="AF27" s="153"/>
      <c r="AG27" s="176"/>
      <c r="AH27" s="1337"/>
      <c r="AI27" s="1351" t="s">
        <v>231</v>
      </c>
      <c r="AJ27" s="922"/>
      <c r="AK27" s="927"/>
      <c r="AL27" s="922"/>
      <c r="AM27" s="922"/>
      <c r="AN27" s="923"/>
      <c r="AO27" s="924"/>
    </row>
    <row r="28" spans="1:41" ht="15">
      <c r="A28" s="1480"/>
      <c r="B28" s="196"/>
      <c r="C28" s="179"/>
      <c r="D28" s="190"/>
      <c r="E28" s="173"/>
      <c r="F28" s="145"/>
      <c r="G28" s="145"/>
      <c r="H28" s="171"/>
      <c r="I28" s="173"/>
      <c r="J28" s="248"/>
      <c r="K28" s="248"/>
      <c r="L28" s="248"/>
      <c r="M28" s="208"/>
      <c r="N28" s="248"/>
      <c r="O28" s="208"/>
      <c r="P28" s="171"/>
      <c r="Q28" s="145" t="s">
        <v>232</v>
      </c>
      <c r="R28" s="370" t="s">
        <v>233</v>
      </c>
      <c r="S28" s="208" t="s">
        <v>234</v>
      </c>
      <c r="T28" s="153" t="s">
        <v>235</v>
      </c>
      <c r="U28" s="208" t="s">
        <v>234</v>
      </c>
      <c r="V28" s="153" t="s">
        <v>236</v>
      </c>
      <c r="W28" s="169"/>
      <c r="X28" s="169"/>
      <c r="Y28" s="153"/>
      <c r="Z28" s="153"/>
      <c r="AA28" s="153"/>
      <c r="AB28" s="153"/>
      <c r="AC28" s="153"/>
      <c r="AD28" s="153"/>
      <c r="AE28" s="153"/>
      <c r="AF28" s="153"/>
      <c r="AG28" s="176"/>
      <c r="AH28" s="926" t="s">
        <v>237</v>
      </c>
      <c r="AI28" s="922" t="s">
        <v>238</v>
      </c>
      <c r="AJ28" s="922" t="s">
        <v>238</v>
      </c>
      <c r="AK28" s="927" t="s">
        <v>239</v>
      </c>
      <c r="AL28" s="922" t="s">
        <v>238</v>
      </c>
      <c r="AM28" s="922" t="s">
        <v>238</v>
      </c>
      <c r="AN28" s="923"/>
      <c r="AO28" s="924"/>
    </row>
    <row r="29" spans="1:41" ht="15">
      <c r="A29" s="1480"/>
      <c r="B29" s="196"/>
      <c r="C29" s="179"/>
      <c r="D29" s="190"/>
      <c r="E29" s="173"/>
      <c r="F29" s="145"/>
      <c r="G29" s="145"/>
      <c r="H29" s="171"/>
      <c r="I29" s="173"/>
      <c r="J29" s="248"/>
      <c r="K29" s="248"/>
      <c r="L29" s="248"/>
      <c r="M29" s="208"/>
      <c r="N29" s="248"/>
      <c r="O29" s="208"/>
      <c r="P29" s="171"/>
      <c r="Q29" s="145" t="s">
        <v>240</v>
      </c>
      <c r="R29" s="370" t="s">
        <v>241</v>
      </c>
      <c r="S29" s="208" t="s">
        <v>242</v>
      </c>
      <c r="T29" s="153" t="s">
        <v>243</v>
      </c>
      <c r="U29" s="208" t="s">
        <v>242</v>
      </c>
      <c r="V29" s="153" t="s">
        <v>189</v>
      </c>
      <c r="W29" s="169"/>
      <c r="X29" s="169"/>
      <c r="Y29" s="153"/>
      <c r="Z29" s="153"/>
      <c r="AA29" s="153"/>
      <c r="AB29" s="153"/>
      <c r="AC29" s="153"/>
      <c r="AD29" s="153"/>
      <c r="AE29" s="153"/>
      <c r="AF29" s="153"/>
      <c r="AG29" s="176"/>
      <c r="AH29" s="926" t="s">
        <v>244</v>
      </c>
      <c r="AI29" s="922" t="s">
        <v>245</v>
      </c>
      <c r="AJ29" s="922"/>
      <c r="AK29" s="927"/>
      <c r="AL29" s="922"/>
      <c r="AM29" s="922"/>
      <c r="AN29" s="923"/>
      <c r="AO29" s="924"/>
    </row>
    <row r="30" spans="1:41" ht="30" customHeight="1">
      <c r="A30" s="1480"/>
      <c r="B30" s="196"/>
      <c r="C30" s="179"/>
      <c r="D30" s="190"/>
      <c r="E30" s="173"/>
      <c r="F30" s="145"/>
      <c r="G30" s="145"/>
      <c r="H30" s="171"/>
      <c r="I30" s="173"/>
      <c r="J30" s="248"/>
      <c r="K30" s="248"/>
      <c r="L30" s="248"/>
      <c r="M30" s="208"/>
      <c r="N30" s="248"/>
      <c r="O30" s="208"/>
      <c r="P30" s="171"/>
      <c r="Q30" s="145" t="s">
        <v>246</v>
      </c>
      <c r="R30" s="370">
        <v>46142</v>
      </c>
      <c r="S30" s="370">
        <v>46142</v>
      </c>
      <c r="T30" s="153" t="s">
        <v>247</v>
      </c>
      <c r="U30" s="370">
        <v>46142</v>
      </c>
      <c r="V30" s="153" t="s">
        <v>189</v>
      </c>
      <c r="W30" s="169"/>
      <c r="X30" s="169"/>
      <c r="Y30" s="153"/>
      <c r="Z30" s="153"/>
      <c r="AA30" s="153"/>
      <c r="AB30" s="153"/>
      <c r="AC30" s="153"/>
      <c r="AD30" s="153"/>
      <c r="AE30" s="153"/>
      <c r="AF30" s="153"/>
      <c r="AG30" s="176"/>
      <c r="AH30" s="1352"/>
      <c r="AI30" s="153"/>
      <c r="AJ30" s="153"/>
      <c r="AK30" s="174"/>
      <c r="AL30" s="153"/>
      <c r="AM30" s="153"/>
      <c r="AN30" s="183"/>
    </row>
    <row r="31" spans="1:41" ht="15">
      <c r="A31" s="1480"/>
      <c r="B31" s="196"/>
      <c r="C31" s="179"/>
      <c r="D31" s="190"/>
      <c r="E31" s="173"/>
      <c r="F31" s="145"/>
      <c r="G31" s="145"/>
      <c r="H31" s="171"/>
      <c r="I31" s="173"/>
      <c r="J31" s="248"/>
      <c r="K31" s="248"/>
      <c r="L31" s="248"/>
      <c r="M31" s="208"/>
      <c r="N31" s="248"/>
      <c r="O31" s="208"/>
      <c r="P31" s="171"/>
      <c r="Q31" s="1362" t="s">
        <v>248</v>
      </c>
      <c r="R31" s="1363" t="s">
        <v>249</v>
      </c>
      <c r="S31" s="2302">
        <v>46156</v>
      </c>
      <c r="T31" s="1364" t="s">
        <v>250</v>
      </c>
      <c r="U31" s="2302">
        <v>46156</v>
      </c>
      <c r="V31" s="2303" t="s">
        <v>189</v>
      </c>
      <c r="W31" s="169"/>
      <c r="X31" s="169"/>
      <c r="Y31" s="153"/>
      <c r="Z31" s="153"/>
      <c r="AA31" s="153"/>
      <c r="AB31" s="153"/>
      <c r="AC31" s="153"/>
      <c r="AD31" s="153"/>
      <c r="AE31" s="153"/>
      <c r="AF31" s="153"/>
      <c r="AG31" s="176"/>
      <c r="AH31" s="169"/>
      <c r="AI31" s="153"/>
      <c r="AJ31" s="153"/>
      <c r="AK31" s="174"/>
      <c r="AL31" s="153"/>
      <c r="AM31" s="153"/>
      <c r="AN31" s="183"/>
    </row>
    <row r="32" spans="1:41" ht="30" customHeight="1">
      <c r="A32" s="1480"/>
      <c r="B32" s="196"/>
      <c r="C32" s="179"/>
      <c r="D32" s="190"/>
      <c r="E32" s="173"/>
      <c r="F32" s="145"/>
      <c r="G32" s="145"/>
      <c r="H32" s="171"/>
      <c r="I32" s="173"/>
      <c r="J32" s="248"/>
      <c r="K32" s="248"/>
      <c r="L32" s="248"/>
      <c r="M32" s="208"/>
      <c r="N32" s="248"/>
      <c r="O32" s="208"/>
      <c r="P32" s="171"/>
      <c r="Q32" s="145" t="s">
        <v>251</v>
      </c>
      <c r="R32" s="370" t="s">
        <v>252</v>
      </c>
      <c r="S32" s="370" t="s">
        <v>253</v>
      </c>
      <c r="T32" s="153"/>
      <c r="U32" s="370"/>
      <c r="V32" s="208"/>
      <c r="W32" s="169"/>
      <c r="X32" s="169"/>
      <c r="Y32" s="153"/>
      <c r="Z32" s="153"/>
      <c r="AA32" s="153"/>
      <c r="AB32" s="153"/>
      <c r="AC32" s="153"/>
      <c r="AD32" s="153"/>
      <c r="AE32" s="153"/>
      <c r="AF32" s="153"/>
      <c r="AG32" s="176"/>
      <c r="AH32" s="169"/>
      <c r="AI32" s="153"/>
      <c r="AJ32" s="153"/>
      <c r="AK32" s="174"/>
      <c r="AL32" s="153"/>
      <c r="AM32" s="153"/>
      <c r="AN32" s="183"/>
    </row>
    <row r="33" spans="1:41" ht="15">
      <c r="A33" s="1480"/>
      <c r="B33" s="196"/>
      <c r="C33" s="179"/>
      <c r="D33" s="190"/>
      <c r="E33" s="173"/>
      <c r="F33" s="145"/>
      <c r="G33" s="145"/>
      <c r="H33" s="171"/>
      <c r="I33" s="173"/>
      <c r="J33" s="248"/>
      <c r="K33" s="248"/>
      <c r="L33" s="248"/>
      <c r="M33" s="208"/>
      <c r="N33" s="248"/>
      <c r="O33" s="208"/>
      <c r="P33" s="171"/>
      <c r="Q33" s="145" t="s">
        <v>254</v>
      </c>
      <c r="R33" s="268" t="s">
        <v>255</v>
      </c>
      <c r="S33" s="268" t="s">
        <v>255</v>
      </c>
      <c r="T33" s="153" t="s">
        <v>256</v>
      </c>
      <c r="U33" s="268" t="s">
        <v>255</v>
      </c>
      <c r="V33" s="208" t="s">
        <v>189</v>
      </c>
      <c r="W33" s="169"/>
      <c r="X33" s="169"/>
      <c r="Y33" s="153"/>
      <c r="Z33" s="153"/>
      <c r="AA33" s="153"/>
      <c r="AB33" s="153"/>
      <c r="AC33" s="153"/>
      <c r="AD33" s="153"/>
      <c r="AE33" s="153"/>
      <c r="AF33" s="153"/>
      <c r="AG33" s="176"/>
      <c r="AH33" s="169"/>
      <c r="AI33" s="153"/>
      <c r="AJ33" s="153"/>
      <c r="AK33" s="174"/>
      <c r="AL33" s="153"/>
      <c r="AM33" s="153"/>
      <c r="AN33" s="183"/>
    </row>
    <row r="34" spans="1:41" ht="24">
      <c r="A34" s="1480"/>
      <c r="B34" s="196"/>
      <c r="C34" s="179"/>
      <c r="D34" s="190"/>
      <c r="E34" s="173"/>
      <c r="F34" s="145"/>
      <c r="G34" s="145"/>
      <c r="H34" s="171"/>
      <c r="I34" s="173"/>
      <c r="J34" s="248"/>
      <c r="K34" s="248"/>
      <c r="L34" s="248"/>
      <c r="M34" s="208"/>
      <c r="N34" s="248"/>
      <c r="O34" s="208"/>
      <c r="P34" s="171"/>
      <c r="Q34" s="145" t="s">
        <v>257</v>
      </c>
      <c r="R34" s="268" t="s">
        <v>258</v>
      </c>
      <c r="S34" s="268" t="s">
        <v>258</v>
      </c>
      <c r="T34" s="153" t="s">
        <v>259</v>
      </c>
      <c r="U34" s="268" t="s">
        <v>258</v>
      </c>
      <c r="V34" s="208" t="s">
        <v>189</v>
      </c>
      <c r="W34" s="169"/>
      <c r="X34" s="169"/>
      <c r="Y34" s="153"/>
      <c r="Z34" s="153"/>
      <c r="AA34" s="153"/>
      <c r="AB34" s="153"/>
      <c r="AC34" s="153"/>
      <c r="AD34" s="153"/>
      <c r="AE34" s="153"/>
      <c r="AF34" s="153"/>
      <c r="AG34" s="176"/>
      <c r="AH34" s="169"/>
      <c r="AI34" s="153"/>
      <c r="AJ34" s="153"/>
      <c r="AK34" s="174"/>
      <c r="AL34" s="153"/>
      <c r="AM34" s="153"/>
      <c r="AN34" s="183"/>
    </row>
    <row r="35" spans="1:41" ht="15">
      <c r="A35" s="1480"/>
      <c r="B35" s="196"/>
      <c r="C35" s="179"/>
      <c r="D35" s="190"/>
      <c r="E35" s="173"/>
      <c r="F35" s="145"/>
      <c r="G35" s="145"/>
      <c r="H35" s="171"/>
      <c r="I35" s="173"/>
      <c r="J35" s="248"/>
      <c r="K35" s="248"/>
      <c r="L35" s="248"/>
      <c r="M35" s="208"/>
      <c r="N35" s="248"/>
      <c r="O35" s="208"/>
      <c r="P35" s="171"/>
      <c r="Q35" s="145" t="s">
        <v>260</v>
      </c>
      <c r="R35" s="370">
        <v>46084</v>
      </c>
      <c r="S35" s="370">
        <v>46084</v>
      </c>
      <c r="T35" s="153" t="s">
        <v>261</v>
      </c>
      <c r="U35" s="370">
        <v>46084</v>
      </c>
      <c r="V35" s="208" t="s">
        <v>189</v>
      </c>
      <c r="W35" s="169"/>
      <c r="X35" s="169"/>
      <c r="Y35" s="153"/>
      <c r="Z35" s="153"/>
      <c r="AA35" s="153"/>
      <c r="AB35" s="153"/>
      <c r="AC35" s="153"/>
      <c r="AD35" s="153"/>
      <c r="AE35" s="153"/>
      <c r="AF35" s="153"/>
      <c r="AG35" s="176"/>
      <c r="AH35" s="169"/>
      <c r="AI35" s="153"/>
      <c r="AJ35" s="153"/>
      <c r="AK35" s="174"/>
      <c r="AL35" s="153"/>
      <c r="AM35" s="153"/>
      <c r="AN35" s="183"/>
    </row>
    <row r="36" spans="1:41" ht="15">
      <c r="A36" s="1480"/>
      <c r="B36" s="196"/>
      <c r="C36" s="179"/>
      <c r="D36" s="190"/>
      <c r="E36" s="173"/>
      <c r="F36" s="145"/>
      <c r="G36" s="145"/>
      <c r="H36" s="171"/>
      <c r="I36" s="173"/>
      <c r="J36" s="248"/>
      <c r="K36" s="248"/>
      <c r="L36" s="248"/>
      <c r="M36" s="208"/>
      <c r="N36" s="248"/>
      <c r="O36" s="208"/>
      <c r="P36" s="171"/>
      <c r="Q36" s="145" t="s">
        <v>262</v>
      </c>
      <c r="R36" s="370">
        <v>46129</v>
      </c>
      <c r="S36" s="370">
        <v>46129</v>
      </c>
      <c r="T36" s="153" t="s">
        <v>263</v>
      </c>
      <c r="U36" s="370">
        <v>46129</v>
      </c>
      <c r="V36" s="208" t="s">
        <v>189</v>
      </c>
      <c r="W36" s="169"/>
      <c r="X36" s="169"/>
      <c r="Y36" s="153"/>
      <c r="Z36" s="153"/>
      <c r="AA36" s="153"/>
      <c r="AB36" s="153"/>
      <c r="AC36" s="153"/>
      <c r="AD36" s="153"/>
      <c r="AE36" s="153"/>
      <c r="AF36" s="153"/>
      <c r="AG36" s="176"/>
      <c r="AH36" s="169"/>
      <c r="AI36" s="153"/>
      <c r="AJ36" s="153"/>
      <c r="AK36" s="174"/>
      <c r="AL36" s="153"/>
      <c r="AM36" s="153"/>
      <c r="AN36" s="183"/>
    </row>
    <row r="37" spans="1:41" ht="15">
      <c r="A37" s="1480"/>
      <c r="B37" s="196"/>
      <c r="C37" s="179"/>
      <c r="D37" s="190"/>
      <c r="E37" s="173"/>
      <c r="F37" s="145"/>
      <c r="G37" s="145"/>
      <c r="H37" s="171"/>
      <c r="I37" s="173"/>
      <c r="J37" s="248"/>
      <c r="K37" s="248"/>
      <c r="L37" s="248"/>
      <c r="M37" s="208"/>
      <c r="N37" s="248"/>
      <c r="O37" s="208"/>
      <c r="P37" s="171"/>
      <c r="Q37" s="145"/>
      <c r="R37" s="268"/>
      <c r="S37" s="268"/>
      <c r="T37" s="153"/>
      <c r="U37" s="268"/>
      <c r="V37" s="208"/>
      <c r="W37" s="169"/>
      <c r="X37" s="169"/>
      <c r="Y37" s="153"/>
      <c r="Z37" s="153"/>
      <c r="AA37" s="153"/>
      <c r="AB37" s="153"/>
      <c r="AC37" s="153"/>
      <c r="AD37" s="153"/>
      <c r="AE37" s="153"/>
      <c r="AF37" s="153"/>
      <c r="AG37" s="176"/>
      <c r="AH37" s="169"/>
      <c r="AI37" s="153"/>
      <c r="AJ37" s="153"/>
      <c r="AK37" s="174"/>
      <c r="AL37" s="153"/>
      <c r="AM37" s="153"/>
      <c r="AN37" s="183"/>
    </row>
    <row r="38" spans="1:41" ht="15">
      <c r="A38" s="1480"/>
      <c r="B38" s="196"/>
      <c r="C38" s="179"/>
      <c r="D38" s="190"/>
      <c r="E38" s="173"/>
      <c r="F38" s="145"/>
      <c r="G38" s="145"/>
      <c r="H38" s="171"/>
      <c r="I38" s="173"/>
      <c r="J38" s="248"/>
      <c r="K38" s="248"/>
      <c r="L38" s="248"/>
      <c r="M38" s="208"/>
      <c r="N38" s="248"/>
      <c r="O38" s="208"/>
      <c r="P38" s="171"/>
      <c r="Q38" s="145"/>
      <c r="R38" s="268"/>
      <c r="S38" s="268"/>
      <c r="T38" s="153"/>
      <c r="U38" s="268"/>
      <c r="V38" s="208"/>
      <c r="W38" s="169"/>
      <c r="X38" s="169"/>
      <c r="Y38" s="153"/>
      <c r="Z38" s="153"/>
      <c r="AA38" s="153"/>
      <c r="AB38" s="153"/>
      <c r="AC38" s="153"/>
      <c r="AD38" s="153"/>
      <c r="AE38" s="153"/>
      <c r="AF38" s="153"/>
      <c r="AG38" s="176"/>
      <c r="AH38" s="169"/>
      <c r="AI38" s="153"/>
      <c r="AJ38" s="153"/>
      <c r="AK38" s="174"/>
      <c r="AL38" s="153"/>
      <c r="AM38" s="153"/>
      <c r="AN38" s="183"/>
    </row>
    <row r="39" spans="1:41" ht="15">
      <c r="A39" s="1480"/>
      <c r="B39" s="196"/>
      <c r="C39" s="179"/>
      <c r="D39" s="190"/>
      <c r="E39" s="173"/>
      <c r="F39" s="208"/>
      <c r="G39" s="208"/>
      <c r="H39" s="171"/>
      <c r="I39" s="173"/>
      <c r="J39" s="208"/>
      <c r="K39" s="208"/>
      <c r="L39" s="208"/>
      <c r="M39" s="208"/>
      <c r="N39" s="208"/>
      <c r="O39" s="208"/>
      <c r="P39" s="171"/>
      <c r="Q39" s="145"/>
      <c r="R39" s="268"/>
      <c r="S39" s="208"/>
      <c r="T39" s="153"/>
      <c r="U39" s="153"/>
      <c r="V39" s="153"/>
      <c r="W39" s="169"/>
      <c r="X39" s="169"/>
      <c r="Y39" s="153"/>
      <c r="Z39" s="153"/>
      <c r="AA39" s="153"/>
      <c r="AB39" s="153"/>
      <c r="AC39" s="153"/>
      <c r="AD39" s="153"/>
      <c r="AE39" s="153"/>
      <c r="AF39" s="153"/>
      <c r="AG39" s="176"/>
      <c r="AH39" s="169"/>
      <c r="AI39" s="153"/>
      <c r="AJ39" s="153"/>
      <c r="AK39" s="174"/>
      <c r="AL39" s="153"/>
      <c r="AM39" s="153"/>
      <c r="AN39" s="183"/>
    </row>
    <row r="40" spans="1:41" ht="16.5" customHeight="1">
      <c r="A40" s="1480"/>
      <c r="B40" s="1482" t="s">
        <v>264</v>
      </c>
      <c r="C40" s="1484" t="s">
        <v>265</v>
      </c>
      <c r="D40" s="1486" t="s">
        <v>266</v>
      </c>
      <c r="E40" s="1487"/>
      <c r="F40" s="1487"/>
      <c r="G40" s="1488"/>
      <c r="H40" s="1466" t="s">
        <v>267</v>
      </c>
      <c r="I40" s="1467"/>
      <c r="J40" s="1467"/>
      <c r="K40" s="1467"/>
      <c r="L40" s="1467"/>
      <c r="M40" s="1467"/>
      <c r="N40" s="1467"/>
      <c r="O40" s="1467"/>
      <c r="P40" s="1468"/>
      <c r="Q40" s="1467"/>
      <c r="R40" s="1467"/>
      <c r="S40" s="1467"/>
      <c r="T40" s="1467"/>
      <c r="U40" s="1467"/>
      <c r="V40" s="1467"/>
      <c r="W40" s="1497"/>
      <c r="X40" s="1487"/>
      <c r="Y40" s="1487"/>
      <c r="Z40" s="1487"/>
      <c r="AA40" s="1487"/>
      <c r="AB40" s="1487"/>
      <c r="AC40" s="1487"/>
      <c r="AD40" s="1487"/>
      <c r="AE40" s="1487"/>
      <c r="AF40" s="1487"/>
      <c r="AG40" s="1487"/>
      <c r="AH40" s="1488"/>
      <c r="AI40" s="1492" t="s">
        <v>268</v>
      </c>
      <c r="AJ40" s="1487"/>
      <c r="AK40" s="1487"/>
      <c r="AL40" s="1487"/>
      <c r="AM40" s="1487"/>
      <c r="AN40" s="1493"/>
    </row>
    <row r="41" spans="1:41" ht="63" customHeight="1">
      <c r="A41" s="1481"/>
      <c r="B41" s="1483"/>
      <c r="C41" s="1485"/>
      <c r="D41" s="1489"/>
      <c r="E41" s="1490"/>
      <c r="F41" s="1490"/>
      <c r="G41" s="1491"/>
      <c r="H41" s="1469"/>
      <c r="I41" s="1470"/>
      <c r="J41" s="1470"/>
      <c r="K41" s="1470"/>
      <c r="L41" s="1470"/>
      <c r="M41" s="1470"/>
      <c r="N41" s="1470"/>
      <c r="O41" s="1470"/>
      <c r="P41" s="1471"/>
      <c r="Q41" s="1501"/>
      <c r="R41" s="1501"/>
      <c r="S41" s="1501"/>
      <c r="T41" s="1501"/>
      <c r="U41" s="1501"/>
      <c r="V41" s="1501"/>
      <c r="W41" s="1498"/>
      <c r="X41" s="1499"/>
      <c r="Y41" s="1499"/>
      <c r="Z41" s="1499"/>
      <c r="AA41" s="1499"/>
      <c r="AB41" s="1499"/>
      <c r="AC41" s="1499"/>
      <c r="AD41" s="1499"/>
      <c r="AE41" s="1490"/>
      <c r="AF41" s="1499"/>
      <c r="AG41" s="1499"/>
      <c r="AH41" s="1500"/>
      <c r="AI41" s="1489"/>
      <c r="AJ41" s="1490"/>
      <c r="AK41" s="1490"/>
      <c r="AL41" s="1490"/>
      <c r="AM41" s="1490"/>
      <c r="AN41" s="1494"/>
    </row>
    <row r="42" spans="1:41" ht="15">
      <c r="A42" s="1508">
        <v>2</v>
      </c>
      <c r="B42" s="371" t="s">
        <v>40</v>
      </c>
      <c r="C42" s="372" t="s">
        <v>269</v>
      </c>
      <c r="D42" s="371" t="s">
        <v>42</v>
      </c>
      <c r="E42" s="373">
        <v>45736</v>
      </c>
      <c r="F42" s="373">
        <v>45736</v>
      </c>
      <c r="G42" s="373">
        <v>45736</v>
      </c>
      <c r="H42" s="377" t="s">
        <v>270</v>
      </c>
      <c r="I42" s="374"/>
      <c r="J42" s="373"/>
      <c r="K42" s="373"/>
      <c r="L42" s="373"/>
      <c r="M42" s="373"/>
      <c r="N42" s="373"/>
      <c r="O42" s="373"/>
      <c r="P42" s="375"/>
      <c r="Q42" s="145" t="s">
        <v>271</v>
      </c>
      <c r="R42" s="248">
        <v>45945</v>
      </c>
      <c r="S42" s="248">
        <v>45945</v>
      </c>
      <c r="T42" s="153" t="s">
        <v>272</v>
      </c>
      <c r="U42" s="140"/>
      <c r="V42" s="140"/>
      <c r="W42" s="164" t="s">
        <v>273</v>
      </c>
      <c r="X42" s="164" t="s">
        <v>274</v>
      </c>
      <c r="Y42" s="248">
        <v>45894</v>
      </c>
      <c r="Z42" s="248">
        <v>45945</v>
      </c>
      <c r="AA42" s="247">
        <v>45957</v>
      </c>
      <c r="AB42" s="247" t="s">
        <v>275</v>
      </c>
      <c r="AC42" s="247"/>
      <c r="AD42" s="248">
        <v>45985</v>
      </c>
      <c r="AE42" s="248">
        <v>46172</v>
      </c>
      <c r="AF42" s="247"/>
      <c r="AG42" s="247"/>
      <c r="AH42" s="258"/>
      <c r="AI42" s="1455">
        <v>46193</v>
      </c>
      <c r="AJ42" s="379"/>
      <c r="AK42" s="379" t="s">
        <v>276</v>
      </c>
      <c r="AL42" s="1457">
        <f>AI42+50</f>
        <v>46243</v>
      </c>
      <c r="AM42" s="379"/>
      <c r="AN42" s="1263">
        <v>46158</v>
      </c>
      <c r="AO42" s="167" t="s">
        <v>277</v>
      </c>
    </row>
    <row r="43" spans="1:41" ht="15">
      <c r="A43" s="1480"/>
      <c r="B43" s="168" t="s">
        <v>52</v>
      </c>
      <c r="C43" s="169" t="s">
        <v>278</v>
      </c>
      <c r="D43" s="168" t="s">
        <v>54</v>
      </c>
      <c r="E43" s="248">
        <v>45744</v>
      </c>
      <c r="F43" s="248">
        <v>45749</v>
      </c>
      <c r="G43" s="248">
        <v>45763</v>
      </c>
      <c r="H43" s="187" t="s">
        <v>279</v>
      </c>
      <c r="I43" s="182" t="s">
        <v>280</v>
      </c>
      <c r="J43" s="248">
        <v>45756</v>
      </c>
      <c r="K43" s="248">
        <v>45756</v>
      </c>
      <c r="L43" s="255">
        <v>45756</v>
      </c>
      <c r="M43" s="248">
        <v>45877</v>
      </c>
      <c r="N43" s="248">
        <v>45821</v>
      </c>
      <c r="O43" s="248">
        <v>45818</v>
      </c>
      <c r="P43" s="171" t="s">
        <v>281</v>
      </c>
      <c r="Q43" s="145" t="s">
        <v>282</v>
      </c>
      <c r="R43" s="248">
        <v>46086</v>
      </c>
      <c r="S43" s="248">
        <v>46086</v>
      </c>
      <c r="T43" s="153" t="s">
        <v>283</v>
      </c>
      <c r="U43" s="249">
        <v>46086</v>
      </c>
      <c r="V43" s="145" t="s">
        <v>47</v>
      </c>
      <c r="W43" s="165" t="s">
        <v>284</v>
      </c>
      <c r="X43" s="165" t="s">
        <v>285</v>
      </c>
      <c r="Y43" s="248">
        <v>45915</v>
      </c>
      <c r="Z43" s="248">
        <v>45974</v>
      </c>
      <c r="AA43" s="248">
        <v>45974</v>
      </c>
      <c r="AB43" s="248" t="str">
        <f>AB42</f>
        <v>FAT report uploaded</v>
      </c>
      <c r="AC43" s="248"/>
      <c r="AD43" s="248">
        <v>46014</v>
      </c>
      <c r="AE43" s="248">
        <v>46172</v>
      </c>
      <c r="AF43" s="248"/>
      <c r="AG43" s="248"/>
      <c r="AH43" s="378"/>
      <c r="AI43" s="1456">
        <v>46193</v>
      </c>
      <c r="AJ43" s="248"/>
      <c r="AK43" s="248" t="s">
        <v>276</v>
      </c>
      <c r="AL43" s="1456">
        <f>AI43+50</f>
        <v>46243</v>
      </c>
      <c r="AM43" s="248"/>
      <c r="AN43" s="262">
        <v>46158</v>
      </c>
      <c r="AO43" s="167" t="s">
        <v>286</v>
      </c>
    </row>
    <row r="44" spans="1:41" ht="15">
      <c r="A44" s="1480"/>
      <c r="B44" s="168" t="s">
        <v>64</v>
      </c>
      <c r="C44" s="169">
        <v>5000106450</v>
      </c>
      <c r="D44" s="168" t="s">
        <v>65</v>
      </c>
      <c r="E44" s="248">
        <v>45782</v>
      </c>
      <c r="F44" s="248">
        <v>45800</v>
      </c>
      <c r="G44" s="248">
        <v>45783</v>
      </c>
      <c r="H44" s="187" t="s">
        <v>287</v>
      </c>
      <c r="I44" s="180" t="s">
        <v>280</v>
      </c>
      <c r="J44" s="248">
        <v>45783</v>
      </c>
      <c r="K44" s="248">
        <v>45800</v>
      </c>
      <c r="L44" s="255">
        <v>45775</v>
      </c>
      <c r="M44" s="248">
        <v>45877</v>
      </c>
      <c r="N44" s="248">
        <v>45950</v>
      </c>
      <c r="O44" s="248">
        <v>45946</v>
      </c>
      <c r="P44" s="171" t="s">
        <v>288</v>
      </c>
      <c r="Q44" s="145" t="s">
        <v>289</v>
      </c>
      <c r="R44" s="249">
        <v>46093</v>
      </c>
      <c r="S44" s="248">
        <v>46086</v>
      </c>
      <c r="T44" s="153" t="s">
        <v>283</v>
      </c>
      <c r="U44" s="249">
        <v>46086</v>
      </c>
      <c r="V44" s="145" t="s">
        <v>47</v>
      </c>
      <c r="W44" s="165"/>
      <c r="X44" s="165" t="s">
        <v>290</v>
      </c>
      <c r="Y44" s="248">
        <v>45894</v>
      </c>
      <c r="Z44" s="248">
        <v>45945</v>
      </c>
      <c r="AA44" s="248">
        <v>45974</v>
      </c>
      <c r="AB44" s="248"/>
      <c r="AC44" s="248"/>
      <c r="AD44" s="248">
        <v>46014</v>
      </c>
      <c r="AE44" s="249">
        <v>46193</v>
      </c>
      <c r="AF44" s="248"/>
      <c r="AG44" s="248"/>
      <c r="AH44" s="256"/>
      <c r="AI44" s="1456">
        <v>46193</v>
      </c>
      <c r="AJ44" s="248"/>
      <c r="AK44" s="248" t="s">
        <v>276</v>
      </c>
      <c r="AL44" s="1456">
        <f>AI44+50</f>
        <v>46243</v>
      </c>
      <c r="AM44" s="248"/>
      <c r="AN44" s="264">
        <v>46270</v>
      </c>
    </row>
    <row r="45" spans="1:41" ht="15">
      <c r="A45" s="1480"/>
      <c r="B45" s="168" t="s">
        <v>74</v>
      </c>
      <c r="C45" s="169">
        <v>1</v>
      </c>
      <c r="D45" s="168" t="s">
        <v>75</v>
      </c>
      <c r="E45" s="248">
        <v>45891</v>
      </c>
      <c r="F45" s="248">
        <v>45960</v>
      </c>
      <c r="G45" s="248">
        <v>45946</v>
      </c>
      <c r="H45" s="168" t="s">
        <v>291</v>
      </c>
      <c r="I45" s="180">
        <v>1</v>
      </c>
      <c r="J45" s="248">
        <v>45783</v>
      </c>
      <c r="K45" s="248">
        <v>45783</v>
      </c>
      <c r="L45" s="248">
        <v>45783</v>
      </c>
      <c r="M45" s="248">
        <v>45877</v>
      </c>
      <c r="N45" s="408">
        <v>45901</v>
      </c>
      <c r="O45" s="408">
        <v>45796</v>
      </c>
      <c r="P45" s="171" t="s">
        <v>292</v>
      </c>
      <c r="Q45" s="145" t="s">
        <v>293</v>
      </c>
      <c r="R45" s="249">
        <v>46146</v>
      </c>
      <c r="S45" s="248">
        <v>46146</v>
      </c>
      <c r="T45" s="153" t="s">
        <v>294</v>
      </c>
      <c r="U45" s="248">
        <v>46146</v>
      </c>
      <c r="V45" s="145" t="s">
        <v>295</v>
      </c>
      <c r="W45" s="165"/>
      <c r="X45" s="165"/>
      <c r="Y45" s="248"/>
      <c r="Z45" s="248"/>
      <c r="AA45" s="248"/>
      <c r="AB45" s="248"/>
      <c r="AC45" s="248"/>
      <c r="AD45" s="248"/>
      <c r="AE45" s="248"/>
      <c r="AF45" s="248"/>
      <c r="AG45" s="248"/>
      <c r="AH45" s="256"/>
      <c r="AI45" s="261"/>
      <c r="AJ45" s="248"/>
      <c r="AK45" s="248"/>
      <c r="AL45" s="248"/>
      <c r="AM45" s="248"/>
      <c r="AN45" s="262"/>
    </row>
    <row r="46" spans="1:41" ht="15">
      <c r="A46" s="1480"/>
      <c r="B46" s="168" t="s">
        <v>83</v>
      </c>
      <c r="C46" s="169" t="s">
        <v>296</v>
      </c>
      <c r="D46" s="168" t="s">
        <v>85</v>
      </c>
      <c r="E46" s="248">
        <v>45887</v>
      </c>
      <c r="F46" s="248">
        <v>45945</v>
      </c>
      <c r="G46" s="248">
        <v>45945</v>
      </c>
      <c r="H46" s="168" t="s">
        <v>297</v>
      </c>
      <c r="I46" s="180">
        <v>5</v>
      </c>
      <c r="J46" s="248">
        <v>45824</v>
      </c>
      <c r="K46" s="248">
        <v>45869</v>
      </c>
      <c r="L46" s="248">
        <v>45859</v>
      </c>
      <c r="M46" s="248">
        <v>45877</v>
      </c>
      <c r="N46" s="408">
        <v>45901</v>
      </c>
      <c r="O46" s="408">
        <v>45876</v>
      </c>
      <c r="P46" s="171" t="s">
        <v>298</v>
      </c>
      <c r="Q46" s="145" t="s">
        <v>299</v>
      </c>
      <c r="R46" s="248" t="s">
        <v>223</v>
      </c>
      <c r="S46" s="249"/>
      <c r="T46" s="145"/>
      <c r="U46" s="145"/>
      <c r="V46" s="145"/>
      <c r="W46" s="169"/>
      <c r="X46" s="165"/>
      <c r="Y46" s="263"/>
      <c r="Z46" s="248"/>
      <c r="AA46" s="248"/>
      <c r="AB46" s="249"/>
      <c r="AC46" s="249"/>
      <c r="AD46" s="249"/>
      <c r="AE46" s="248"/>
      <c r="AF46" s="248"/>
      <c r="AG46" s="249"/>
      <c r="AH46" s="257"/>
      <c r="AI46" s="263"/>
      <c r="AJ46" s="248"/>
      <c r="AK46" s="248"/>
      <c r="AL46" s="249"/>
      <c r="AM46" s="248"/>
      <c r="AN46" s="262"/>
    </row>
    <row r="47" spans="1:41" ht="15">
      <c r="A47" s="1480"/>
      <c r="B47" s="168" t="s">
        <v>95</v>
      </c>
      <c r="C47" s="175">
        <v>46053</v>
      </c>
      <c r="D47" s="168" t="s">
        <v>96</v>
      </c>
      <c r="E47" s="248">
        <v>45894</v>
      </c>
      <c r="F47" s="248">
        <v>45945</v>
      </c>
      <c r="G47" s="248">
        <v>45945</v>
      </c>
      <c r="H47" s="168" t="s">
        <v>300</v>
      </c>
      <c r="I47" s="180">
        <v>5</v>
      </c>
      <c r="J47" s="248">
        <v>45838</v>
      </c>
      <c r="K47" s="248">
        <v>45869</v>
      </c>
      <c r="L47" s="248">
        <v>45832</v>
      </c>
      <c r="M47" s="248">
        <v>45877</v>
      </c>
      <c r="N47" s="248">
        <v>45877</v>
      </c>
      <c r="O47" s="248">
        <v>45859</v>
      </c>
      <c r="P47" s="171" t="s">
        <v>301</v>
      </c>
      <c r="Q47" s="145" t="s">
        <v>302</v>
      </c>
      <c r="R47" s="248">
        <v>46086</v>
      </c>
      <c r="S47" s="248">
        <v>46086</v>
      </c>
      <c r="T47" s="153" t="s">
        <v>303</v>
      </c>
      <c r="U47" s="249">
        <v>46086</v>
      </c>
      <c r="V47" s="145" t="s">
        <v>47</v>
      </c>
      <c r="W47" s="169"/>
      <c r="X47" s="165"/>
      <c r="Y47" s="263"/>
      <c r="Z47" s="248"/>
      <c r="AA47" s="248"/>
      <c r="AB47" s="249"/>
      <c r="AC47" s="249"/>
      <c r="AD47" s="249"/>
      <c r="AE47" s="248"/>
      <c r="AF47" s="248"/>
      <c r="AG47" s="249"/>
      <c r="AH47" s="257"/>
      <c r="AI47" s="263"/>
      <c r="AJ47" s="248"/>
      <c r="AK47" s="248"/>
      <c r="AL47" s="249"/>
      <c r="AM47" s="248"/>
      <c r="AN47" s="262"/>
    </row>
    <row r="48" spans="1:41" ht="15">
      <c r="A48" s="1480"/>
      <c r="B48" s="168" t="s">
        <v>104</v>
      </c>
      <c r="C48" s="169" t="s">
        <v>105</v>
      </c>
      <c r="D48" s="168" t="s">
        <v>304</v>
      </c>
      <c r="E48" s="248">
        <v>45965</v>
      </c>
      <c r="F48" s="249">
        <v>46081</v>
      </c>
      <c r="G48" s="249">
        <v>46082</v>
      </c>
      <c r="H48" s="168" t="s">
        <v>305</v>
      </c>
      <c r="I48" s="180">
        <v>2</v>
      </c>
      <c r="J48" s="248">
        <v>45792</v>
      </c>
      <c r="K48" s="248">
        <v>45792</v>
      </c>
      <c r="L48" s="248">
        <v>45817</v>
      </c>
      <c r="M48" s="248">
        <v>45903</v>
      </c>
      <c r="N48" s="408">
        <v>45903</v>
      </c>
      <c r="O48" s="408">
        <v>45899</v>
      </c>
      <c r="P48" s="169" t="s">
        <v>306</v>
      </c>
      <c r="Q48" s="145" t="s">
        <v>307</v>
      </c>
      <c r="R48" s="249">
        <v>46118</v>
      </c>
      <c r="S48" s="249">
        <v>46118</v>
      </c>
      <c r="T48" s="145" t="s">
        <v>308</v>
      </c>
      <c r="U48" s="249">
        <v>46118</v>
      </c>
      <c r="V48" s="145" t="s">
        <v>295</v>
      </c>
      <c r="W48" s="169"/>
      <c r="X48" s="165"/>
      <c r="Y48" s="263"/>
      <c r="Z48" s="249"/>
      <c r="AA48" s="249"/>
      <c r="AB48" s="249"/>
      <c r="AC48" s="249"/>
      <c r="AD48" s="249"/>
      <c r="AE48" s="249"/>
      <c r="AF48" s="249"/>
      <c r="AG48" s="249"/>
      <c r="AH48" s="257"/>
      <c r="AI48" s="263"/>
      <c r="AJ48" s="249"/>
      <c r="AK48" s="249"/>
      <c r="AL48" s="249"/>
      <c r="AM48" s="249"/>
      <c r="AN48" s="264"/>
    </row>
    <row r="49" spans="1:40" ht="15">
      <c r="A49" s="1480"/>
      <c r="B49" s="168" t="s">
        <v>118</v>
      </c>
      <c r="C49" s="169" t="s">
        <v>309</v>
      </c>
      <c r="D49" s="168" t="s">
        <v>106</v>
      </c>
      <c r="E49" s="248">
        <v>45968</v>
      </c>
      <c r="F49" s="249">
        <v>46086</v>
      </c>
      <c r="G49" s="248">
        <v>46086</v>
      </c>
      <c r="H49" s="168" t="s">
        <v>310</v>
      </c>
      <c r="I49" s="182">
        <v>4</v>
      </c>
      <c r="J49" s="248">
        <v>45792</v>
      </c>
      <c r="K49" s="248">
        <v>45869</v>
      </c>
      <c r="L49" s="248">
        <v>45818</v>
      </c>
      <c r="M49" s="248">
        <v>45882</v>
      </c>
      <c r="N49" s="249">
        <v>45974</v>
      </c>
      <c r="O49" s="249">
        <v>45974</v>
      </c>
      <c r="P49" s="169" t="s">
        <v>311</v>
      </c>
      <c r="Q49" s="145" t="s">
        <v>312</v>
      </c>
      <c r="R49" s="249">
        <v>46146</v>
      </c>
      <c r="S49" s="248">
        <v>46146</v>
      </c>
      <c r="T49" s="153" t="s">
        <v>294</v>
      </c>
      <c r="U49" s="248">
        <v>46146</v>
      </c>
      <c r="V49" s="145" t="s">
        <v>295</v>
      </c>
      <c r="W49" s="169"/>
      <c r="X49" s="165"/>
      <c r="Y49" s="263"/>
      <c r="Z49" s="249"/>
      <c r="AA49" s="249"/>
      <c r="AB49" s="249"/>
      <c r="AC49" s="249"/>
      <c r="AD49" s="249"/>
      <c r="AE49" s="249"/>
      <c r="AF49" s="249"/>
      <c r="AG49" s="249"/>
      <c r="AH49" s="257"/>
      <c r="AI49" s="263"/>
      <c r="AJ49" s="249"/>
      <c r="AK49" s="249"/>
      <c r="AL49" s="249"/>
      <c r="AM49" s="249"/>
      <c r="AN49" s="264"/>
    </row>
    <row r="50" spans="1:40" ht="15">
      <c r="A50" s="1480"/>
      <c r="B50" s="178" t="s">
        <v>129</v>
      </c>
      <c r="C50" s="179">
        <v>3</v>
      </c>
      <c r="D50" s="168" t="s">
        <v>313</v>
      </c>
      <c r="E50" s="248">
        <v>45680</v>
      </c>
      <c r="F50" s="249">
        <v>46167</v>
      </c>
      <c r="G50" s="249"/>
      <c r="H50" s="168" t="s">
        <v>314</v>
      </c>
      <c r="I50" s="182">
        <v>3</v>
      </c>
      <c r="J50" s="249">
        <v>45962</v>
      </c>
      <c r="K50" s="249">
        <v>45962</v>
      </c>
      <c r="L50" s="248">
        <v>45946</v>
      </c>
      <c r="M50" s="249">
        <v>46008</v>
      </c>
      <c r="N50" s="249">
        <v>46002</v>
      </c>
      <c r="O50" s="249">
        <v>45981</v>
      </c>
      <c r="P50" s="169" t="s">
        <v>315</v>
      </c>
      <c r="Q50" s="145" t="s">
        <v>316</v>
      </c>
      <c r="R50" s="248" t="s">
        <v>223</v>
      </c>
      <c r="S50" s="249"/>
      <c r="T50" s="153"/>
      <c r="U50" s="153"/>
      <c r="V50" s="153"/>
      <c r="W50" s="169"/>
      <c r="X50" s="165"/>
      <c r="Y50" s="263"/>
      <c r="Z50" s="249"/>
      <c r="AA50" s="249"/>
      <c r="AB50" s="249"/>
      <c r="AC50" s="249"/>
      <c r="AD50" s="249"/>
      <c r="AE50" s="249"/>
      <c r="AF50" s="249"/>
      <c r="AG50" s="249"/>
      <c r="AH50" s="257"/>
      <c r="AI50" s="263"/>
      <c r="AJ50" s="249"/>
      <c r="AK50" s="249"/>
      <c r="AL50" s="249"/>
      <c r="AM50" s="249"/>
      <c r="AN50" s="264"/>
    </row>
    <row r="51" spans="1:40" ht="15">
      <c r="A51" s="1480"/>
      <c r="B51" s="168" t="s">
        <v>140</v>
      </c>
      <c r="C51" s="169" t="s">
        <v>317</v>
      </c>
      <c r="D51" s="168" t="s">
        <v>318</v>
      </c>
      <c r="E51" s="248">
        <v>46052</v>
      </c>
      <c r="F51" s="249">
        <v>46167</v>
      </c>
      <c r="G51" s="249"/>
      <c r="H51" s="168" t="s">
        <v>319</v>
      </c>
      <c r="I51" s="182">
        <v>2</v>
      </c>
      <c r="J51" s="249">
        <v>45962</v>
      </c>
      <c r="K51" s="249">
        <v>45962</v>
      </c>
      <c r="L51" s="248">
        <v>45945</v>
      </c>
      <c r="M51" s="249">
        <v>46008</v>
      </c>
      <c r="N51" s="249">
        <v>46002</v>
      </c>
      <c r="O51" s="249">
        <v>45972</v>
      </c>
      <c r="P51" s="169" t="s">
        <v>320</v>
      </c>
      <c r="Q51" s="145"/>
      <c r="R51" s="249"/>
      <c r="S51" s="249"/>
      <c r="T51" s="153"/>
      <c r="U51" s="153"/>
      <c r="V51" s="153"/>
      <c r="W51" s="169"/>
      <c r="X51" s="169"/>
      <c r="Y51" s="263"/>
      <c r="Z51" s="249"/>
      <c r="AA51" s="249"/>
      <c r="AB51" s="249"/>
      <c r="AC51" s="249"/>
      <c r="AD51" s="249"/>
      <c r="AE51" s="249"/>
      <c r="AF51" s="249"/>
      <c r="AG51" s="249"/>
      <c r="AH51" s="257"/>
      <c r="AI51" s="263"/>
      <c r="AJ51" s="249"/>
      <c r="AK51" s="249"/>
      <c r="AL51" s="249"/>
      <c r="AM51" s="249"/>
      <c r="AN51" s="264"/>
    </row>
    <row r="52" spans="1:40" ht="15">
      <c r="A52" s="1480"/>
      <c r="B52" s="178" t="s">
        <v>152</v>
      </c>
      <c r="C52" s="179" t="s">
        <v>153</v>
      </c>
      <c r="D52" s="168" t="s">
        <v>321</v>
      </c>
      <c r="E52" s="248">
        <v>45680</v>
      </c>
      <c r="F52" s="249">
        <v>46167</v>
      </c>
      <c r="G52" s="248"/>
      <c r="H52" s="376" t="s">
        <v>322</v>
      </c>
      <c r="I52" s="180"/>
      <c r="J52" s="249"/>
      <c r="K52" s="248"/>
      <c r="L52" s="248"/>
      <c r="M52" s="248"/>
      <c r="N52" s="248"/>
      <c r="O52" s="248"/>
      <c r="P52" s="169"/>
      <c r="Q52" s="145"/>
      <c r="R52" s="249"/>
      <c r="S52" s="249"/>
      <c r="T52" s="145"/>
      <c r="U52" s="145"/>
      <c r="V52" s="145"/>
      <c r="W52" s="169"/>
      <c r="X52" s="165"/>
      <c r="Y52" s="263"/>
      <c r="Z52" s="249"/>
      <c r="AA52" s="249"/>
      <c r="AB52" s="249"/>
      <c r="AC52" s="249"/>
      <c r="AD52" s="249"/>
      <c r="AE52" s="249"/>
      <c r="AF52" s="249"/>
      <c r="AG52" s="249"/>
      <c r="AH52" s="257"/>
      <c r="AI52" s="263"/>
      <c r="AJ52" s="249"/>
      <c r="AK52" s="249"/>
      <c r="AL52" s="249"/>
      <c r="AM52" s="249"/>
      <c r="AN52" s="264"/>
    </row>
    <row r="53" spans="1:40" ht="15">
      <c r="A53" s="1480"/>
      <c r="B53" s="178" t="s">
        <v>158</v>
      </c>
      <c r="C53" s="179" t="s">
        <v>323</v>
      </c>
      <c r="D53" s="168" t="s">
        <v>324</v>
      </c>
      <c r="E53" s="248">
        <v>46052</v>
      </c>
      <c r="F53" s="249">
        <v>46167</v>
      </c>
      <c r="G53" s="248"/>
      <c r="H53" s="187" t="s">
        <v>279</v>
      </c>
      <c r="I53" s="182" t="s">
        <v>280</v>
      </c>
      <c r="J53" s="249">
        <v>45919</v>
      </c>
      <c r="K53" s="248">
        <v>45950</v>
      </c>
      <c r="L53" s="248">
        <v>45905</v>
      </c>
      <c r="M53" s="248">
        <v>45961</v>
      </c>
      <c r="N53" s="248">
        <v>45961</v>
      </c>
      <c r="O53" s="248">
        <v>45946</v>
      </c>
      <c r="P53" s="169" t="s">
        <v>281</v>
      </c>
      <c r="Q53" s="145"/>
      <c r="R53" s="248"/>
      <c r="S53" s="249"/>
      <c r="T53" s="153"/>
      <c r="U53" s="153"/>
      <c r="V53" s="153"/>
      <c r="W53" s="169"/>
      <c r="X53" s="165"/>
      <c r="Y53" s="263"/>
      <c r="Z53" s="249"/>
      <c r="AA53" s="249"/>
      <c r="AB53" s="249"/>
      <c r="AC53" s="249"/>
      <c r="AD53" s="249"/>
      <c r="AE53" s="249"/>
      <c r="AF53" s="249"/>
      <c r="AG53" s="249"/>
      <c r="AH53" s="257"/>
      <c r="AI53" s="263"/>
      <c r="AJ53" s="249"/>
      <c r="AK53" s="249"/>
      <c r="AL53" s="249"/>
      <c r="AM53" s="249"/>
      <c r="AN53" s="264"/>
    </row>
    <row r="54" spans="1:40" ht="15">
      <c r="A54" s="1480"/>
      <c r="B54" s="178" t="s">
        <v>167</v>
      </c>
      <c r="C54" s="179" t="s">
        <v>325</v>
      </c>
      <c r="D54" s="168" t="s">
        <v>326</v>
      </c>
      <c r="E54" s="248">
        <v>46052</v>
      </c>
      <c r="F54" s="249">
        <v>46167</v>
      </c>
      <c r="G54" s="248"/>
      <c r="H54" s="187" t="s">
        <v>287</v>
      </c>
      <c r="I54" s="180" t="s">
        <v>280</v>
      </c>
      <c r="J54" s="249">
        <v>45905</v>
      </c>
      <c r="K54" s="248">
        <v>45926</v>
      </c>
      <c r="L54" s="248">
        <v>45905</v>
      </c>
      <c r="M54" s="248">
        <v>45979</v>
      </c>
      <c r="N54" s="248">
        <v>45972</v>
      </c>
      <c r="O54" s="248">
        <v>45946</v>
      </c>
      <c r="P54" s="169" t="s">
        <v>288</v>
      </c>
      <c r="Q54" s="145"/>
      <c r="R54" s="248"/>
      <c r="S54" s="249"/>
      <c r="T54" s="145"/>
      <c r="U54" s="145"/>
      <c r="V54" s="145"/>
      <c r="W54" s="169"/>
      <c r="X54" s="165"/>
      <c r="Y54" s="263"/>
      <c r="Z54" s="249"/>
      <c r="AA54" s="249"/>
      <c r="AB54" s="249"/>
      <c r="AC54" s="249"/>
      <c r="AD54" s="249"/>
      <c r="AE54" s="249"/>
      <c r="AF54" s="249"/>
      <c r="AG54" s="249"/>
      <c r="AH54" s="257"/>
      <c r="AI54" s="263"/>
      <c r="AJ54" s="249"/>
      <c r="AK54" s="249"/>
      <c r="AL54" s="249"/>
      <c r="AM54" s="249"/>
      <c r="AN54" s="264"/>
    </row>
    <row r="55" spans="1:40" ht="15">
      <c r="A55" s="1480"/>
      <c r="B55" s="178"/>
      <c r="C55" s="179"/>
      <c r="D55" s="168"/>
      <c r="E55" s="257"/>
      <c r="F55" s="248"/>
      <c r="G55" s="248"/>
      <c r="H55" s="168" t="s">
        <v>291</v>
      </c>
      <c r="I55" s="182">
        <v>1</v>
      </c>
      <c r="J55" s="249">
        <v>45919</v>
      </c>
      <c r="K55" s="248">
        <v>45945</v>
      </c>
      <c r="L55" s="248">
        <v>45905</v>
      </c>
      <c r="M55" s="248">
        <v>45961</v>
      </c>
      <c r="N55" s="248">
        <v>45960</v>
      </c>
      <c r="O55" s="248">
        <v>45946</v>
      </c>
      <c r="P55" s="171" t="s">
        <v>292</v>
      </c>
      <c r="Q55" s="145"/>
      <c r="R55" s="248"/>
      <c r="S55" s="249"/>
      <c r="T55" s="153"/>
      <c r="U55" s="153"/>
      <c r="V55" s="153"/>
      <c r="W55" s="169"/>
      <c r="X55" s="165"/>
      <c r="Y55" s="263"/>
      <c r="Z55" s="249"/>
      <c r="AA55" s="249"/>
      <c r="AB55" s="249"/>
      <c r="AC55" s="249"/>
      <c r="AD55" s="249"/>
      <c r="AE55" s="249"/>
      <c r="AF55" s="249"/>
      <c r="AG55" s="249"/>
      <c r="AH55" s="257"/>
      <c r="AI55" s="263"/>
      <c r="AJ55" s="249"/>
      <c r="AK55" s="249"/>
      <c r="AL55" s="249"/>
      <c r="AM55" s="249"/>
      <c r="AN55" s="264"/>
    </row>
    <row r="56" spans="1:40" ht="15">
      <c r="A56" s="1480"/>
      <c r="B56" s="178"/>
      <c r="C56" s="179"/>
      <c r="D56" s="168"/>
      <c r="E56" s="257"/>
      <c r="F56" s="248"/>
      <c r="G56" s="248"/>
      <c r="H56" s="168" t="s">
        <v>297</v>
      </c>
      <c r="I56" s="182">
        <v>3</v>
      </c>
      <c r="J56" s="249">
        <v>45919</v>
      </c>
      <c r="K56" s="248">
        <v>45945</v>
      </c>
      <c r="L56" s="248">
        <v>45908</v>
      </c>
      <c r="M56" s="249">
        <v>45999</v>
      </c>
      <c r="N56" s="249">
        <v>45953</v>
      </c>
      <c r="O56" s="249">
        <v>45930</v>
      </c>
      <c r="P56" s="169" t="s">
        <v>298</v>
      </c>
      <c r="Q56" s="145"/>
      <c r="R56" s="248"/>
      <c r="S56" s="249"/>
      <c r="T56" s="153"/>
      <c r="U56" s="153"/>
      <c r="V56" s="153"/>
      <c r="W56" s="169"/>
      <c r="X56" s="165"/>
      <c r="Y56" s="263"/>
      <c r="Z56" s="249"/>
      <c r="AA56" s="249"/>
      <c r="AB56" s="249"/>
      <c r="AC56" s="249"/>
      <c r="AD56" s="249"/>
      <c r="AE56" s="249"/>
      <c r="AF56" s="249"/>
      <c r="AG56" s="249"/>
      <c r="AH56" s="257"/>
      <c r="AI56" s="263"/>
      <c r="AJ56" s="249"/>
      <c r="AK56" s="249"/>
      <c r="AL56" s="249"/>
      <c r="AM56" s="249"/>
      <c r="AN56" s="264"/>
    </row>
    <row r="57" spans="1:40" ht="15">
      <c r="A57" s="1480"/>
      <c r="B57" s="178"/>
      <c r="C57" s="179"/>
      <c r="D57" s="168"/>
      <c r="E57" s="257"/>
      <c r="F57" s="248"/>
      <c r="G57" s="248"/>
      <c r="H57" s="168" t="s">
        <v>300</v>
      </c>
      <c r="I57" s="182">
        <v>3</v>
      </c>
      <c r="J57" s="249">
        <v>45919</v>
      </c>
      <c r="K57" s="248">
        <v>45945</v>
      </c>
      <c r="L57" s="248">
        <v>45922</v>
      </c>
      <c r="M57" s="249">
        <v>45999</v>
      </c>
      <c r="N57" s="249">
        <v>45984</v>
      </c>
      <c r="O57" s="153" t="s">
        <v>327</v>
      </c>
      <c r="P57" s="169" t="s">
        <v>301</v>
      </c>
      <c r="Q57" s="145"/>
      <c r="R57" s="248"/>
      <c r="S57" s="249"/>
      <c r="T57" s="153"/>
      <c r="U57" s="153"/>
      <c r="V57" s="153"/>
      <c r="W57" s="169"/>
      <c r="X57" s="165"/>
      <c r="Y57" s="263"/>
      <c r="Z57" s="249"/>
      <c r="AA57" s="249"/>
      <c r="AB57" s="249"/>
      <c r="AC57" s="249"/>
      <c r="AD57" s="249"/>
      <c r="AE57" s="249"/>
      <c r="AF57" s="249"/>
      <c r="AG57" s="249"/>
      <c r="AH57" s="257"/>
      <c r="AI57" s="263"/>
      <c r="AJ57" s="249"/>
      <c r="AK57" s="249"/>
      <c r="AL57" s="249"/>
      <c r="AM57" s="249"/>
      <c r="AN57" s="264"/>
    </row>
    <row r="58" spans="1:40" ht="15">
      <c r="A58" s="1480"/>
      <c r="B58" s="178"/>
      <c r="C58" s="179"/>
      <c r="D58" s="168"/>
      <c r="E58" s="257"/>
      <c r="F58" s="248"/>
      <c r="G58" s="248"/>
      <c r="H58" s="168" t="s">
        <v>310</v>
      </c>
      <c r="I58" s="182">
        <v>1</v>
      </c>
      <c r="J58" s="249">
        <v>45912</v>
      </c>
      <c r="K58" s="248">
        <v>45966</v>
      </c>
      <c r="L58" s="248">
        <v>45953</v>
      </c>
      <c r="M58" s="249">
        <v>45954</v>
      </c>
      <c r="N58" s="248">
        <v>46031</v>
      </c>
      <c r="O58" s="248">
        <v>46031</v>
      </c>
      <c r="P58" s="169" t="s">
        <v>311</v>
      </c>
      <c r="Q58" s="145"/>
      <c r="R58" s="248"/>
      <c r="S58" s="249"/>
      <c r="T58" s="153"/>
      <c r="U58" s="153"/>
      <c r="V58" s="153"/>
      <c r="W58" s="169"/>
      <c r="X58" s="165"/>
      <c r="Y58" s="263"/>
      <c r="Z58" s="249"/>
      <c r="AA58" s="249"/>
      <c r="AB58" s="249"/>
      <c r="AC58" s="249"/>
      <c r="AD58" s="249"/>
      <c r="AE58" s="249"/>
      <c r="AF58" s="249"/>
      <c r="AG58" s="249"/>
      <c r="AH58" s="257"/>
      <c r="AI58" s="263"/>
      <c r="AJ58" s="249"/>
      <c r="AK58" s="249"/>
      <c r="AL58" s="249"/>
      <c r="AM58" s="249"/>
      <c r="AN58" s="264"/>
    </row>
    <row r="59" spans="1:40" ht="15">
      <c r="A59" s="1480"/>
      <c r="B59" s="178"/>
      <c r="C59" s="179"/>
      <c r="D59" s="168"/>
      <c r="E59" s="257"/>
      <c r="F59" s="248"/>
      <c r="G59" s="248"/>
      <c r="H59" s="168" t="s">
        <v>314</v>
      </c>
      <c r="I59" s="182">
        <v>3</v>
      </c>
      <c r="J59" s="249">
        <v>45931</v>
      </c>
      <c r="K59" s="248">
        <v>45966</v>
      </c>
      <c r="L59" s="248">
        <v>45946</v>
      </c>
      <c r="M59" s="249">
        <v>46008</v>
      </c>
      <c r="N59" s="249">
        <v>46002</v>
      </c>
      <c r="O59" s="249">
        <v>45981</v>
      </c>
      <c r="P59" s="169" t="s">
        <v>315</v>
      </c>
      <c r="Q59" s="145"/>
      <c r="R59" s="248"/>
      <c r="S59" s="249"/>
      <c r="T59" s="153"/>
      <c r="U59" s="153"/>
      <c r="V59" s="153"/>
      <c r="W59" s="169"/>
      <c r="X59" s="165"/>
      <c r="Y59" s="263"/>
      <c r="Z59" s="249"/>
      <c r="AA59" s="249"/>
      <c r="AB59" s="249"/>
      <c r="AC59" s="249"/>
      <c r="AD59" s="249"/>
      <c r="AE59" s="249"/>
      <c r="AF59" s="249"/>
      <c r="AG59" s="249"/>
      <c r="AH59" s="257"/>
      <c r="AI59" s="263"/>
      <c r="AJ59" s="249"/>
      <c r="AK59" s="249"/>
      <c r="AL59" s="249"/>
      <c r="AM59" s="249"/>
      <c r="AN59" s="264"/>
    </row>
    <row r="60" spans="1:40" ht="15">
      <c r="A60" s="1480"/>
      <c r="B60" s="178"/>
      <c r="C60" s="179"/>
      <c r="D60" s="168"/>
      <c r="E60" s="257"/>
      <c r="F60" s="248"/>
      <c r="G60" s="248"/>
      <c r="H60" s="168" t="s">
        <v>319</v>
      </c>
      <c r="I60" s="182">
        <v>1</v>
      </c>
      <c r="J60" s="249">
        <v>45931</v>
      </c>
      <c r="K60" s="248">
        <v>45966</v>
      </c>
      <c r="L60" s="248">
        <v>45945</v>
      </c>
      <c r="M60" s="249">
        <v>46008</v>
      </c>
      <c r="N60" s="249">
        <v>46002</v>
      </c>
      <c r="O60" s="249">
        <v>45972</v>
      </c>
      <c r="P60" s="169" t="s">
        <v>320</v>
      </c>
      <c r="Q60" s="145"/>
      <c r="R60" s="248"/>
      <c r="S60" s="249"/>
      <c r="T60" s="153"/>
      <c r="U60" s="153"/>
      <c r="V60" s="153"/>
      <c r="W60" s="169"/>
      <c r="X60" s="165"/>
      <c r="Y60" s="263"/>
      <c r="Z60" s="249"/>
      <c r="AA60" s="249"/>
      <c r="AB60" s="249"/>
      <c r="AC60" s="249"/>
      <c r="AD60" s="249"/>
      <c r="AE60" s="249"/>
      <c r="AF60" s="249"/>
      <c r="AG60" s="249"/>
      <c r="AH60" s="257"/>
      <c r="AI60" s="263"/>
      <c r="AJ60" s="249"/>
      <c r="AK60" s="249"/>
      <c r="AL60" s="249"/>
      <c r="AM60" s="249"/>
      <c r="AN60" s="264"/>
    </row>
    <row r="61" spans="1:40">
      <c r="A61" s="1480"/>
      <c r="B61" s="178"/>
      <c r="C61" s="179"/>
      <c r="D61" s="168"/>
      <c r="E61" s="257"/>
      <c r="F61" s="248"/>
      <c r="G61" s="248"/>
      <c r="H61" s="168"/>
      <c r="I61" s="176"/>
      <c r="J61" s="145"/>
      <c r="K61" s="145"/>
      <c r="L61" s="153"/>
      <c r="M61" s="153"/>
      <c r="N61" s="153"/>
      <c r="O61" s="153"/>
      <c r="P61" s="169"/>
      <c r="Q61" s="145"/>
      <c r="R61" s="248"/>
      <c r="S61" s="249"/>
      <c r="T61" s="153"/>
      <c r="U61" s="153"/>
      <c r="V61" s="153"/>
      <c r="W61" s="169"/>
      <c r="X61" s="165"/>
      <c r="Y61" s="263"/>
      <c r="Z61" s="249"/>
      <c r="AA61" s="249"/>
      <c r="AB61" s="249"/>
      <c r="AC61" s="249"/>
      <c r="AD61" s="249"/>
      <c r="AE61" s="249"/>
      <c r="AF61" s="249"/>
      <c r="AG61" s="249"/>
      <c r="AH61" s="257"/>
      <c r="AI61" s="263"/>
      <c r="AJ61" s="249"/>
      <c r="AK61" s="249"/>
      <c r="AL61" s="249"/>
      <c r="AM61" s="249"/>
      <c r="AN61" s="264"/>
    </row>
    <row r="62" spans="1:40">
      <c r="A62" s="1480"/>
      <c r="B62" s="178"/>
      <c r="C62" s="179"/>
      <c r="D62" s="168"/>
      <c r="E62" s="257"/>
      <c r="F62" s="248"/>
      <c r="G62" s="248"/>
      <c r="H62" s="168"/>
      <c r="I62" s="176"/>
      <c r="J62" s="145"/>
      <c r="K62" s="145"/>
      <c r="L62" s="153"/>
      <c r="M62" s="153"/>
      <c r="N62" s="153"/>
      <c r="O62" s="153"/>
      <c r="P62" s="169"/>
      <c r="Q62" s="145"/>
      <c r="R62" s="248"/>
      <c r="S62" s="249"/>
      <c r="T62" s="153"/>
      <c r="U62" s="153"/>
      <c r="V62" s="153"/>
      <c r="W62" s="169"/>
      <c r="X62" s="165"/>
      <c r="Y62" s="263"/>
      <c r="Z62" s="249"/>
      <c r="AA62" s="249"/>
      <c r="AB62" s="249"/>
      <c r="AC62" s="249"/>
      <c r="AD62" s="249"/>
      <c r="AE62" s="249"/>
      <c r="AF62" s="249"/>
      <c r="AG62" s="249"/>
      <c r="AH62" s="257"/>
      <c r="AI62" s="263"/>
      <c r="AJ62" s="249"/>
      <c r="AK62" s="249"/>
      <c r="AL62" s="249"/>
      <c r="AM62" s="249"/>
      <c r="AN62" s="264"/>
    </row>
    <row r="63" spans="1:40">
      <c r="A63" s="1480"/>
      <c r="B63" s="178"/>
      <c r="C63" s="179"/>
      <c r="D63" s="168"/>
      <c r="E63" s="257"/>
      <c r="F63" s="249"/>
      <c r="G63" s="249"/>
      <c r="H63" s="168"/>
      <c r="I63" s="176"/>
      <c r="J63" s="153"/>
      <c r="K63" s="153"/>
      <c r="L63" s="153"/>
      <c r="M63" s="153"/>
      <c r="N63" s="153"/>
      <c r="O63" s="153"/>
      <c r="P63" s="169"/>
      <c r="Q63" s="153"/>
      <c r="R63" s="153"/>
      <c r="S63" s="153"/>
      <c r="T63" s="153"/>
      <c r="U63" s="153"/>
      <c r="V63" s="153"/>
      <c r="W63" s="169"/>
      <c r="X63" s="169"/>
      <c r="Y63" s="169"/>
      <c r="Z63" s="153"/>
      <c r="AA63" s="153"/>
      <c r="AB63" s="153"/>
      <c r="AC63" s="153"/>
      <c r="AD63" s="153"/>
      <c r="AE63" s="153"/>
      <c r="AF63" s="153"/>
      <c r="AG63" s="153"/>
      <c r="AH63" s="176"/>
      <c r="AI63" s="169"/>
      <c r="AJ63" s="153"/>
      <c r="AK63" s="153"/>
      <c r="AL63" s="174"/>
      <c r="AM63" s="153"/>
      <c r="AN63" s="183"/>
    </row>
    <row r="64" spans="1:40" ht="16.5" customHeight="1">
      <c r="A64" s="1480"/>
      <c r="B64" s="1510" t="s">
        <v>264</v>
      </c>
      <c r="C64" s="1512"/>
      <c r="D64" s="1486"/>
      <c r="E64" s="1487"/>
      <c r="F64" s="1487"/>
      <c r="G64" s="1488"/>
      <c r="H64" s="1466"/>
      <c r="I64" s="1467"/>
      <c r="J64" s="1467"/>
      <c r="K64" s="1467"/>
      <c r="L64" s="1467"/>
      <c r="M64" s="1467"/>
      <c r="N64" s="1467"/>
      <c r="O64" s="1467"/>
      <c r="P64" s="1468"/>
      <c r="Q64" s="1467"/>
      <c r="R64" s="1467"/>
      <c r="S64" s="1467"/>
      <c r="T64" s="1467"/>
      <c r="U64" s="1467"/>
      <c r="V64" s="1467"/>
      <c r="W64" s="197"/>
      <c r="X64" s="198"/>
      <c r="Y64" s="1460"/>
      <c r="Z64" s="1460"/>
      <c r="AA64" s="1460"/>
      <c r="AB64" s="1460"/>
      <c r="AC64" s="1460"/>
      <c r="AD64" s="1460"/>
      <c r="AE64" s="1460"/>
      <c r="AF64" s="1460"/>
      <c r="AG64" s="1460"/>
      <c r="AH64" s="1460"/>
      <c r="AI64" s="1460" t="s">
        <v>268</v>
      </c>
      <c r="AJ64" s="1460"/>
      <c r="AK64" s="1460"/>
      <c r="AL64" s="1460"/>
      <c r="AM64" s="1460"/>
      <c r="AN64" s="1461"/>
    </row>
    <row r="65" spans="1:41">
      <c r="A65" s="1509"/>
      <c r="B65" s="1511"/>
      <c r="C65" s="1513"/>
      <c r="D65" s="1498"/>
      <c r="E65" s="1499"/>
      <c r="F65" s="1499"/>
      <c r="G65" s="1500"/>
      <c r="H65" s="1514"/>
      <c r="I65" s="1501"/>
      <c r="J65" s="1501"/>
      <c r="K65" s="1501"/>
      <c r="L65" s="1501"/>
      <c r="M65" s="1501"/>
      <c r="N65" s="1501"/>
      <c r="O65" s="1501"/>
      <c r="P65" s="1515"/>
      <c r="Q65" s="1501"/>
      <c r="R65" s="1501"/>
      <c r="S65" s="1501"/>
      <c r="T65" s="1501"/>
      <c r="U65" s="1501"/>
      <c r="V65" s="1501"/>
      <c r="W65" s="199"/>
      <c r="X65" s="200"/>
      <c r="Y65" s="1462"/>
      <c r="Z65" s="1462"/>
      <c r="AA65" s="1462"/>
      <c r="AB65" s="1462"/>
      <c r="AC65" s="1462"/>
      <c r="AD65" s="1462"/>
      <c r="AE65" s="1462"/>
      <c r="AF65" s="1462"/>
      <c r="AG65" s="1462"/>
      <c r="AH65" s="1462"/>
      <c r="AI65" s="1462"/>
      <c r="AJ65" s="1462"/>
      <c r="AK65" s="1462"/>
      <c r="AL65" s="1462"/>
      <c r="AM65" s="1462"/>
      <c r="AN65" s="1463"/>
    </row>
    <row r="66" spans="1:41" ht="24">
      <c r="A66" s="1479">
        <v>3</v>
      </c>
      <c r="B66" s="189" t="s">
        <v>40</v>
      </c>
      <c r="C66" s="162" t="s">
        <v>328</v>
      </c>
      <c r="D66" s="818" t="s">
        <v>42</v>
      </c>
      <c r="E66" s="819">
        <v>45769</v>
      </c>
      <c r="F66" s="819">
        <v>45769</v>
      </c>
      <c r="G66" s="819">
        <v>45769</v>
      </c>
      <c r="H66" s="818" t="s">
        <v>329</v>
      </c>
      <c r="I66" s="820"/>
      <c r="J66" s="819"/>
      <c r="K66" s="819"/>
      <c r="L66" s="819"/>
      <c r="M66" s="819"/>
      <c r="N66" s="819"/>
      <c r="O66" s="819"/>
      <c r="P66" s="818"/>
      <c r="Q66" s="821" t="s">
        <v>330</v>
      </c>
      <c r="R66" s="593">
        <v>45827</v>
      </c>
      <c r="S66" s="593">
        <v>45827</v>
      </c>
      <c r="T66" s="597" t="s">
        <v>331</v>
      </c>
      <c r="U66" s="595">
        <v>45827</v>
      </c>
      <c r="V66" s="597" t="s">
        <v>47</v>
      </c>
      <c r="W66" s="822" t="s">
        <v>332</v>
      </c>
      <c r="X66" s="598" t="s">
        <v>333</v>
      </c>
      <c r="Y66" s="819">
        <v>45809</v>
      </c>
      <c r="Z66" s="819">
        <v>45809</v>
      </c>
      <c r="AA66" s="819">
        <v>45809</v>
      </c>
      <c r="AB66" s="819"/>
      <c r="AC66" s="819" t="s">
        <v>334</v>
      </c>
      <c r="AD66" s="595">
        <v>45838</v>
      </c>
      <c r="AE66" s="595">
        <v>45833</v>
      </c>
      <c r="AF66" s="819">
        <v>45833</v>
      </c>
      <c r="AG66" s="831"/>
      <c r="AH66" s="832"/>
      <c r="AI66" s="595">
        <v>45850</v>
      </c>
      <c r="AJ66" s="819">
        <v>45850</v>
      </c>
      <c r="AK66" s="819" t="s">
        <v>335</v>
      </c>
      <c r="AL66" s="248">
        <v>45899</v>
      </c>
      <c r="AM66" s="247">
        <v>45886</v>
      </c>
      <c r="AN66" s="260">
        <v>45962</v>
      </c>
    </row>
    <row r="67" spans="1:41" ht="24">
      <c r="A67" s="1480"/>
      <c r="B67" s="190" t="s">
        <v>52</v>
      </c>
      <c r="C67" s="169" t="s">
        <v>336</v>
      </c>
      <c r="D67" s="594" t="s">
        <v>54</v>
      </c>
      <c r="E67" s="595">
        <v>45762</v>
      </c>
      <c r="F67" s="595">
        <v>45762</v>
      </c>
      <c r="G67" s="595">
        <v>45762</v>
      </c>
      <c r="H67" s="823" t="s">
        <v>337</v>
      </c>
      <c r="I67" s="824" t="s">
        <v>338</v>
      </c>
      <c r="J67" s="595">
        <v>45772</v>
      </c>
      <c r="K67" s="593">
        <v>45772</v>
      </c>
      <c r="L67" s="593">
        <v>45772</v>
      </c>
      <c r="M67" s="595">
        <v>45826</v>
      </c>
      <c r="N67" s="595">
        <v>45828</v>
      </c>
      <c r="O67" s="595">
        <v>45828</v>
      </c>
      <c r="P67" s="594" t="s">
        <v>339</v>
      </c>
      <c r="Q67" s="821" t="s">
        <v>59</v>
      </c>
      <c r="R67" s="593">
        <v>45833</v>
      </c>
      <c r="S67" s="593">
        <v>45833</v>
      </c>
      <c r="T67" s="597" t="s">
        <v>340</v>
      </c>
      <c r="U67" s="593">
        <v>45833</v>
      </c>
      <c r="V67" s="597" t="s">
        <v>47</v>
      </c>
      <c r="W67" s="598" t="s">
        <v>341</v>
      </c>
      <c r="X67" s="825" t="s">
        <v>342</v>
      </c>
      <c r="Y67" s="595">
        <v>45827</v>
      </c>
      <c r="Z67" s="595">
        <v>45832</v>
      </c>
      <c r="AA67" s="595">
        <v>45832</v>
      </c>
      <c r="AB67" s="595"/>
      <c r="AC67" s="595" t="s">
        <v>343</v>
      </c>
      <c r="AD67" s="595">
        <v>46048</v>
      </c>
      <c r="AE67" s="595">
        <v>46048</v>
      </c>
      <c r="AF67" s="595">
        <v>46048</v>
      </c>
      <c r="AG67" s="829"/>
      <c r="AH67" s="833"/>
      <c r="AI67" s="595">
        <v>46060</v>
      </c>
      <c r="AJ67" s="595">
        <v>46061</v>
      </c>
      <c r="AK67" s="595" t="s">
        <v>344</v>
      </c>
      <c r="AL67" s="248">
        <v>46172</v>
      </c>
      <c r="AM67" s="248"/>
      <c r="AN67" s="262">
        <v>46088</v>
      </c>
      <c r="AO67" s="1516" t="s">
        <v>345</v>
      </c>
    </row>
    <row r="68" spans="1:41" ht="24">
      <c r="A68" s="1480"/>
      <c r="B68" s="190" t="s">
        <v>64</v>
      </c>
      <c r="C68" s="169">
        <v>5000106900</v>
      </c>
      <c r="D68" s="594" t="s">
        <v>65</v>
      </c>
      <c r="E68" s="595">
        <v>45772</v>
      </c>
      <c r="F68" s="595">
        <v>45772</v>
      </c>
      <c r="G68" s="595">
        <v>45772</v>
      </c>
      <c r="H68" s="823" t="s">
        <v>346</v>
      </c>
      <c r="I68" s="826" t="s">
        <v>347</v>
      </c>
      <c r="J68" s="595">
        <v>45772</v>
      </c>
      <c r="K68" s="593">
        <v>45772</v>
      </c>
      <c r="L68" s="595">
        <v>45772</v>
      </c>
      <c r="M68" s="595">
        <v>45826</v>
      </c>
      <c r="N68" s="595">
        <v>45849</v>
      </c>
      <c r="O68" s="595">
        <v>45849</v>
      </c>
      <c r="P68" s="594" t="s">
        <v>348</v>
      </c>
      <c r="Q68" s="597" t="s">
        <v>69</v>
      </c>
      <c r="R68" s="827" t="s">
        <v>349</v>
      </c>
      <c r="S68" s="827" t="s">
        <v>349</v>
      </c>
      <c r="T68" s="821" t="s">
        <v>350</v>
      </c>
      <c r="U68" s="827" t="s">
        <v>349</v>
      </c>
      <c r="V68" s="597" t="s">
        <v>47</v>
      </c>
      <c r="W68" s="598" t="s">
        <v>351</v>
      </c>
      <c r="X68" s="594" t="s">
        <v>352</v>
      </c>
      <c r="Y68" s="595">
        <v>45827</v>
      </c>
      <c r="Z68" s="595">
        <v>45832</v>
      </c>
      <c r="AA68" s="595">
        <v>45832</v>
      </c>
      <c r="AB68" s="595"/>
      <c r="AC68" s="595" t="s">
        <v>343</v>
      </c>
      <c r="AD68" s="595">
        <v>46048</v>
      </c>
      <c r="AE68" s="595">
        <v>46048</v>
      </c>
      <c r="AF68" s="595">
        <v>46048</v>
      </c>
      <c r="AG68" s="829"/>
      <c r="AH68" s="833"/>
      <c r="AI68" s="595">
        <v>46060</v>
      </c>
      <c r="AJ68" s="595">
        <v>46061</v>
      </c>
      <c r="AK68" s="595" t="s">
        <v>344</v>
      </c>
      <c r="AL68" s="248">
        <v>46172</v>
      </c>
      <c r="AM68" s="248"/>
      <c r="AN68" s="262">
        <v>46151</v>
      </c>
      <c r="AO68" s="1516"/>
    </row>
    <row r="69" spans="1:41" ht="15">
      <c r="A69" s="1480"/>
      <c r="B69" s="190" t="s">
        <v>74</v>
      </c>
      <c r="C69" s="169">
        <v>3</v>
      </c>
      <c r="D69" s="594" t="s">
        <v>75</v>
      </c>
      <c r="E69" s="595">
        <v>45826</v>
      </c>
      <c r="F69" s="595">
        <v>45826</v>
      </c>
      <c r="G69" s="595">
        <v>45826</v>
      </c>
      <c r="H69" s="594" t="s">
        <v>353</v>
      </c>
      <c r="I69" s="826"/>
      <c r="J69" s="595"/>
      <c r="K69" s="593"/>
      <c r="L69" s="595"/>
      <c r="M69" s="595"/>
      <c r="N69" s="595"/>
      <c r="O69" s="595"/>
      <c r="P69" s="594"/>
      <c r="Q69" s="597" t="s">
        <v>354</v>
      </c>
      <c r="R69" s="595">
        <v>45860</v>
      </c>
      <c r="S69" s="595">
        <v>45860</v>
      </c>
      <c r="T69" s="597" t="s">
        <v>355</v>
      </c>
      <c r="U69" s="595">
        <v>45860</v>
      </c>
      <c r="V69" s="597" t="s">
        <v>47</v>
      </c>
      <c r="W69" s="598" t="s">
        <v>356</v>
      </c>
      <c r="X69" s="598" t="s">
        <v>357</v>
      </c>
      <c r="Y69" s="595">
        <v>45827</v>
      </c>
      <c r="Z69" s="595">
        <v>45832</v>
      </c>
      <c r="AA69" s="595">
        <v>45832</v>
      </c>
      <c r="AB69" s="595"/>
      <c r="AC69" s="595" t="s">
        <v>343</v>
      </c>
      <c r="AD69" s="595">
        <v>46048</v>
      </c>
      <c r="AE69" s="595">
        <v>46048</v>
      </c>
      <c r="AF69" s="595">
        <v>46048</v>
      </c>
      <c r="AG69" s="829"/>
      <c r="AH69" s="833"/>
      <c r="AI69" s="595">
        <v>46060</v>
      </c>
      <c r="AJ69" s="595">
        <v>46061</v>
      </c>
      <c r="AK69" s="595" t="s">
        <v>344</v>
      </c>
      <c r="AL69" s="248">
        <v>46172</v>
      </c>
      <c r="AM69" s="248"/>
      <c r="AN69" s="262">
        <v>46088</v>
      </c>
      <c r="AO69" s="1516"/>
    </row>
    <row r="70" spans="1:41" ht="48">
      <c r="A70" s="1480"/>
      <c r="B70" s="190" t="s">
        <v>83</v>
      </c>
      <c r="C70" s="169" t="s">
        <v>358</v>
      </c>
      <c r="D70" s="594" t="s">
        <v>85</v>
      </c>
      <c r="E70" s="595">
        <v>45810</v>
      </c>
      <c r="F70" s="595">
        <v>45831</v>
      </c>
      <c r="G70" s="595">
        <v>45831</v>
      </c>
      <c r="H70" s="823" t="s">
        <v>359</v>
      </c>
      <c r="I70" s="826">
        <v>46</v>
      </c>
      <c r="J70" s="595">
        <v>45807</v>
      </c>
      <c r="K70" s="593">
        <v>45807</v>
      </c>
      <c r="L70" s="595">
        <v>45813</v>
      </c>
      <c r="M70" s="595">
        <v>45839</v>
      </c>
      <c r="N70" s="595">
        <v>45839</v>
      </c>
      <c r="O70" s="595">
        <v>45839</v>
      </c>
      <c r="P70" s="594" t="s">
        <v>360</v>
      </c>
      <c r="Q70" s="597" t="s">
        <v>361</v>
      </c>
      <c r="R70" s="827" t="s">
        <v>362</v>
      </c>
      <c r="S70" s="827" t="s">
        <v>362</v>
      </c>
      <c r="T70" s="821" t="s">
        <v>363</v>
      </c>
      <c r="U70" s="827" t="s">
        <v>362</v>
      </c>
      <c r="V70" s="821" t="s">
        <v>364</v>
      </c>
      <c r="W70" s="594"/>
      <c r="X70" s="594"/>
      <c r="Y70" s="595"/>
      <c r="Z70" s="595"/>
      <c r="AA70" s="595"/>
      <c r="AB70" s="595"/>
      <c r="AC70" s="595"/>
      <c r="AD70" s="595"/>
      <c r="AE70" s="595"/>
      <c r="AF70" s="595"/>
      <c r="AG70" s="829"/>
      <c r="AH70" s="833"/>
      <c r="AI70" s="595"/>
      <c r="AJ70" s="595"/>
      <c r="AK70" s="595"/>
      <c r="AL70" s="248"/>
      <c r="AM70" s="248"/>
      <c r="AN70" s="262"/>
      <c r="AO70" s="1336"/>
    </row>
    <row r="71" spans="1:41" ht="15">
      <c r="A71" s="1480"/>
      <c r="B71" s="190" t="s">
        <v>95</v>
      </c>
      <c r="C71" s="175">
        <v>46048</v>
      </c>
      <c r="D71" s="594" t="s">
        <v>96</v>
      </c>
      <c r="E71" s="595">
        <v>45827</v>
      </c>
      <c r="F71" s="595">
        <v>45831</v>
      </c>
      <c r="G71" s="595">
        <v>45832</v>
      </c>
      <c r="H71" s="823" t="s">
        <v>365</v>
      </c>
      <c r="I71" s="826">
        <v>3</v>
      </c>
      <c r="J71" s="595">
        <v>45807</v>
      </c>
      <c r="K71" s="593">
        <v>45807</v>
      </c>
      <c r="L71" s="595">
        <v>45813</v>
      </c>
      <c r="M71" s="595">
        <v>45839</v>
      </c>
      <c r="N71" s="595">
        <v>45839</v>
      </c>
      <c r="O71" s="595">
        <v>45839</v>
      </c>
      <c r="P71" s="594" t="s">
        <v>366</v>
      </c>
      <c r="Q71" s="600" t="s">
        <v>367</v>
      </c>
      <c r="R71" s="595" t="s">
        <v>368</v>
      </c>
      <c r="S71" s="595" t="s">
        <v>368</v>
      </c>
      <c r="T71" s="600" t="s">
        <v>369</v>
      </c>
      <c r="U71" s="600" t="s">
        <v>368</v>
      </c>
      <c r="V71" s="600" t="s">
        <v>47</v>
      </c>
      <c r="W71" s="594"/>
      <c r="X71" s="594"/>
      <c r="Y71" s="595"/>
      <c r="Z71" s="595"/>
      <c r="AA71" s="595"/>
      <c r="AB71" s="595"/>
      <c r="AC71" s="595"/>
      <c r="AD71" s="595"/>
      <c r="AE71" s="595"/>
      <c r="AF71" s="595"/>
      <c r="AG71" s="829"/>
      <c r="AH71" s="833"/>
      <c r="AI71" s="595"/>
      <c r="AJ71" s="595"/>
      <c r="AK71" s="595"/>
      <c r="AL71" s="248"/>
      <c r="AM71" s="248"/>
      <c r="AN71" s="262"/>
    </row>
    <row r="72" spans="1:41" ht="24">
      <c r="A72" s="1480"/>
      <c r="B72" s="190" t="s">
        <v>370</v>
      </c>
      <c r="C72" s="169" t="s">
        <v>105</v>
      </c>
      <c r="D72" s="594" t="s">
        <v>130</v>
      </c>
      <c r="E72" s="595">
        <v>46048</v>
      </c>
      <c r="F72" s="595">
        <v>46048</v>
      </c>
      <c r="G72" s="595">
        <v>46048</v>
      </c>
      <c r="H72" s="823" t="s">
        <v>371</v>
      </c>
      <c r="I72" s="826">
        <v>8</v>
      </c>
      <c r="J72" s="595">
        <v>45807</v>
      </c>
      <c r="K72" s="595">
        <v>45807</v>
      </c>
      <c r="L72" s="595">
        <v>45813</v>
      </c>
      <c r="M72" s="595">
        <v>45839</v>
      </c>
      <c r="N72" s="595">
        <v>45839</v>
      </c>
      <c r="O72" s="595">
        <v>45839</v>
      </c>
      <c r="P72" s="594" t="s">
        <v>366</v>
      </c>
      <c r="Q72" s="600" t="s">
        <v>372</v>
      </c>
      <c r="R72" s="595" t="s">
        <v>373</v>
      </c>
      <c r="S72" s="595" t="s">
        <v>373</v>
      </c>
      <c r="T72" s="600" t="s">
        <v>374</v>
      </c>
      <c r="U72" s="600" t="s">
        <v>373</v>
      </c>
      <c r="V72" s="828" t="s">
        <v>375</v>
      </c>
      <c r="W72" s="594"/>
      <c r="X72" s="594"/>
      <c r="Y72" s="595"/>
      <c r="Z72" s="595"/>
      <c r="AA72" s="595"/>
      <c r="AB72" s="595"/>
      <c r="AC72" s="595"/>
      <c r="AD72" s="595"/>
      <c r="AE72" s="595"/>
      <c r="AF72" s="595"/>
      <c r="AG72" s="829"/>
      <c r="AH72" s="833"/>
      <c r="AI72" s="595"/>
      <c r="AJ72" s="595"/>
      <c r="AK72" s="595"/>
      <c r="AL72" s="249"/>
      <c r="AM72" s="249"/>
      <c r="AN72" s="262"/>
    </row>
    <row r="73" spans="1:41" ht="132">
      <c r="A73" s="1480"/>
      <c r="B73" s="190" t="s">
        <v>376</v>
      </c>
      <c r="C73" s="171" t="s">
        <v>377</v>
      </c>
      <c r="D73" s="594"/>
      <c r="E73" s="595"/>
      <c r="F73" s="595"/>
      <c r="G73" s="595"/>
      <c r="H73" s="823" t="s">
        <v>378</v>
      </c>
      <c r="I73" s="826">
        <v>7</v>
      </c>
      <c r="J73" s="595">
        <v>45762</v>
      </c>
      <c r="K73" s="595">
        <v>45762</v>
      </c>
      <c r="L73" s="595">
        <v>45762</v>
      </c>
      <c r="M73" s="595">
        <v>45899</v>
      </c>
      <c r="N73" s="595">
        <v>45870</v>
      </c>
      <c r="O73" s="595">
        <v>45870</v>
      </c>
      <c r="P73" s="594" t="s">
        <v>379</v>
      </c>
      <c r="Q73" s="600" t="s">
        <v>380</v>
      </c>
      <c r="R73" s="827" t="s">
        <v>381</v>
      </c>
      <c r="S73" s="827" t="s">
        <v>381</v>
      </c>
      <c r="T73" s="828" t="s">
        <v>382</v>
      </c>
      <c r="U73" s="827" t="s">
        <v>381</v>
      </c>
      <c r="V73" s="828" t="s">
        <v>383</v>
      </c>
      <c r="W73" s="594"/>
      <c r="X73" s="594"/>
      <c r="Y73" s="595"/>
      <c r="Z73" s="595"/>
      <c r="AA73" s="595"/>
      <c r="AB73" s="595"/>
      <c r="AC73" s="595"/>
      <c r="AD73" s="595"/>
      <c r="AE73" s="595"/>
      <c r="AF73" s="595"/>
      <c r="AG73" s="829"/>
      <c r="AH73" s="833"/>
      <c r="AI73" s="595"/>
      <c r="AJ73" s="595"/>
      <c r="AK73" s="595"/>
      <c r="AL73" s="249"/>
      <c r="AM73" s="249"/>
      <c r="AN73" s="264"/>
    </row>
    <row r="74" spans="1:41" ht="48">
      <c r="A74" s="1480"/>
      <c r="B74" s="196" t="s">
        <v>129</v>
      </c>
      <c r="C74" s="179">
        <v>3</v>
      </c>
      <c r="D74" s="594"/>
      <c r="E74" s="595"/>
      <c r="F74" s="595"/>
      <c r="G74" s="595"/>
      <c r="H74" s="594" t="s">
        <v>384</v>
      </c>
      <c r="I74" s="826"/>
      <c r="J74" s="595"/>
      <c r="K74" s="595"/>
      <c r="L74" s="595"/>
      <c r="M74" s="595"/>
      <c r="N74" s="595"/>
      <c r="O74" s="595"/>
      <c r="P74" s="594"/>
      <c r="Q74" s="600" t="s">
        <v>385</v>
      </c>
      <c r="R74" s="827" t="s">
        <v>386</v>
      </c>
      <c r="S74" s="595" t="s">
        <v>387</v>
      </c>
      <c r="T74" s="600" t="s">
        <v>388</v>
      </c>
      <c r="U74" s="827" t="s">
        <v>389</v>
      </c>
      <c r="V74" s="600" t="s">
        <v>390</v>
      </c>
      <c r="W74" s="594"/>
      <c r="X74" s="594"/>
      <c r="Y74" s="595"/>
      <c r="Z74" s="595"/>
      <c r="AA74" s="595"/>
      <c r="AB74" s="595"/>
      <c r="AC74" s="595"/>
      <c r="AD74" s="595"/>
      <c r="AE74" s="595"/>
      <c r="AF74" s="595"/>
      <c r="AG74" s="829"/>
      <c r="AH74" s="833"/>
      <c r="AI74" s="595"/>
      <c r="AJ74" s="595"/>
      <c r="AK74" s="595"/>
      <c r="AL74" s="249"/>
      <c r="AM74" s="249"/>
      <c r="AN74" s="264"/>
    </row>
    <row r="75" spans="1:41" ht="38.25" customHeight="1">
      <c r="A75" s="1480"/>
      <c r="B75" s="190" t="s">
        <v>140</v>
      </c>
      <c r="C75" s="169" t="s">
        <v>391</v>
      </c>
      <c r="D75" s="594"/>
      <c r="E75" s="595"/>
      <c r="F75" s="595"/>
      <c r="G75" s="595"/>
      <c r="H75" s="823" t="s">
        <v>392</v>
      </c>
      <c r="I75" s="826">
        <v>1</v>
      </c>
      <c r="J75" s="595">
        <v>45762</v>
      </c>
      <c r="K75" s="595">
        <v>45762</v>
      </c>
      <c r="L75" s="595">
        <v>45762</v>
      </c>
      <c r="M75" s="595">
        <v>45899</v>
      </c>
      <c r="N75" s="595">
        <v>45899</v>
      </c>
      <c r="O75" s="595">
        <v>45899</v>
      </c>
      <c r="P75" s="594" t="s">
        <v>393</v>
      </c>
      <c r="Q75" s="600" t="s">
        <v>394</v>
      </c>
      <c r="R75" s="827" t="s">
        <v>395</v>
      </c>
      <c r="S75" s="827" t="s">
        <v>395</v>
      </c>
      <c r="T75" s="828" t="s">
        <v>396</v>
      </c>
      <c r="U75" s="827" t="s">
        <v>395</v>
      </c>
      <c r="V75" s="600" t="s">
        <v>390</v>
      </c>
      <c r="W75" s="594"/>
      <c r="X75" s="594"/>
      <c r="Y75" s="595"/>
      <c r="Z75" s="595"/>
      <c r="AA75" s="595"/>
      <c r="AB75" s="595"/>
      <c r="AC75" s="595"/>
      <c r="AD75" s="595"/>
      <c r="AE75" s="595"/>
      <c r="AF75" s="595"/>
      <c r="AG75" s="829"/>
      <c r="AH75" s="833"/>
      <c r="AI75" s="595"/>
      <c r="AJ75" s="595"/>
      <c r="AK75" s="595"/>
      <c r="AL75" s="249"/>
      <c r="AM75" s="249"/>
      <c r="AN75" s="264"/>
    </row>
    <row r="76" spans="1:41" ht="15">
      <c r="A76" s="1480"/>
      <c r="B76" s="196" t="s">
        <v>152</v>
      </c>
      <c r="C76" s="179" t="s">
        <v>153</v>
      </c>
      <c r="D76" s="594"/>
      <c r="E76" s="829"/>
      <c r="F76" s="595"/>
      <c r="G76" s="595"/>
      <c r="H76" s="594" t="s">
        <v>397</v>
      </c>
      <c r="I76" s="826"/>
      <c r="J76" s="595"/>
      <c r="K76" s="595"/>
      <c r="L76" s="595"/>
      <c r="M76" s="595"/>
      <c r="N76" s="595"/>
      <c r="O76" s="595"/>
      <c r="P76" s="594"/>
      <c r="Q76" s="597" t="s">
        <v>398</v>
      </c>
      <c r="R76" s="597" t="s">
        <v>399</v>
      </c>
      <c r="S76" s="597" t="s">
        <v>399</v>
      </c>
      <c r="T76" s="597" t="s">
        <v>400</v>
      </c>
      <c r="U76" s="597" t="s">
        <v>399</v>
      </c>
      <c r="V76" s="597" t="s">
        <v>390</v>
      </c>
      <c r="W76" s="594"/>
      <c r="X76" s="594"/>
      <c r="Y76" s="595"/>
      <c r="Z76" s="595"/>
      <c r="AA76" s="595"/>
      <c r="AB76" s="595"/>
      <c r="AC76" s="595"/>
      <c r="AD76" s="595"/>
      <c r="AE76" s="595"/>
      <c r="AF76" s="595"/>
      <c r="AG76" s="829"/>
      <c r="AH76" s="833"/>
      <c r="AI76" s="595"/>
      <c r="AJ76" s="595"/>
      <c r="AK76" s="595"/>
      <c r="AL76" s="249"/>
      <c r="AM76" s="249"/>
      <c r="AN76" s="262"/>
    </row>
    <row r="77" spans="1:41" ht="24">
      <c r="A77" s="1480"/>
      <c r="B77" s="196" t="s">
        <v>158</v>
      </c>
      <c r="C77" s="179" t="s">
        <v>153</v>
      </c>
      <c r="D77" s="594"/>
      <c r="E77" s="829"/>
      <c r="F77" s="595"/>
      <c r="G77" s="595"/>
      <c r="H77" s="823" t="s">
        <v>401</v>
      </c>
      <c r="I77" s="826">
        <v>13</v>
      </c>
      <c r="J77" s="595">
        <v>45807</v>
      </c>
      <c r="K77" s="595">
        <v>45807</v>
      </c>
      <c r="L77" s="595">
        <v>45813</v>
      </c>
      <c r="M77" s="595">
        <v>45868</v>
      </c>
      <c r="N77" s="595">
        <v>45899</v>
      </c>
      <c r="O77" s="595">
        <v>45899</v>
      </c>
      <c r="P77" s="594" t="s">
        <v>402</v>
      </c>
      <c r="Q77" s="821" t="s">
        <v>403</v>
      </c>
      <c r="R77" s="597" t="s">
        <v>404</v>
      </c>
      <c r="S77" s="597" t="s">
        <v>404</v>
      </c>
      <c r="T77" s="597" t="s">
        <v>405</v>
      </c>
      <c r="U77" s="597" t="s">
        <v>404</v>
      </c>
      <c r="V77" s="597" t="s">
        <v>390</v>
      </c>
      <c r="W77" s="594"/>
      <c r="X77" s="594"/>
      <c r="Y77" s="595"/>
      <c r="Z77" s="595"/>
      <c r="AA77" s="595"/>
      <c r="AB77" s="595"/>
      <c r="AC77" s="595"/>
      <c r="AD77" s="595"/>
      <c r="AE77" s="595"/>
      <c r="AF77" s="595"/>
      <c r="AG77" s="829"/>
      <c r="AH77" s="833"/>
      <c r="AI77" s="595"/>
      <c r="AJ77" s="595"/>
      <c r="AK77" s="595"/>
      <c r="AL77" s="249"/>
      <c r="AM77" s="249"/>
      <c r="AN77" s="264"/>
    </row>
    <row r="78" spans="1:41" ht="36">
      <c r="A78" s="1480"/>
      <c r="B78" s="196" t="s">
        <v>167</v>
      </c>
      <c r="C78" s="179" t="s">
        <v>406</v>
      </c>
      <c r="D78" s="594"/>
      <c r="E78" s="829"/>
      <c r="F78" s="595"/>
      <c r="G78" s="595"/>
      <c r="H78" s="823" t="s">
        <v>407</v>
      </c>
      <c r="I78" s="826"/>
      <c r="J78" s="595">
        <v>45884</v>
      </c>
      <c r="K78" s="595">
        <v>45924</v>
      </c>
      <c r="L78" s="595">
        <v>45924</v>
      </c>
      <c r="M78" s="595">
        <v>45960</v>
      </c>
      <c r="N78" s="595">
        <v>45976</v>
      </c>
      <c r="O78" s="830" t="s">
        <v>408</v>
      </c>
      <c r="P78" s="594"/>
      <c r="Q78" s="821" t="s">
        <v>409</v>
      </c>
      <c r="R78" s="597" t="s">
        <v>410</v>
      </c>
      <c r="S78" s="597" t="s">
        <v>410</v>
      </c>
      <c r="T78" s="597" t="s">
        <v>411</v>
      </c>
      <c r="U78" s="597" t="s">
        <v>410</v>
      </c>
      <c r="V78" s="597" t="s">
        <v>390</v>
      </c>
      <c r="W78" s="594"/>
      <c r="X78" s="594"/>
      <c r="Y78" s="595"/>
      <c r="Z78" s="595"/>
      <c r="AA78" s="595"/>
      <c r="AB78" s="595"/>
      <c r="AC78" s="595"/>
      <c r="AD78" s="595"/>
      <c r="AE78" s="595"/>
      <c r="AF78" s="595"/>
      <c r="AG78" s="829"/>
      <c r="AH78" s="833"/>
      <c r="AI78" s="595"/>
      <c r="AJ78" s="595"/>
      <c r="AK78" s="595"/>
      <c r="AL78" s="249"/>
      <c r="AM78" s="249"/>
      <c r="AN78" s="262"/>
    </row>
    <row r="79" spans="1:41" ht="15">
      <c r="A79" s="1480"/>
      <c r="B79" s="196" t="s">
        <v>412</v>
      </c>
      <c r="C79" s="179" t="s">
        <v>413</v>
      </c>
      <c r="D79" s="594"/>
      <c r="E79" s="829"/>
      <c r="F79" s="595"/>
      <c r="G79" s="595"/>
      <c r="H79" s="823" t="s">
        <v>414</v>
      </c>
      <c r="I79" s="826"/>
      <c r="J79" s="595">
        <v>45884</v>
      </c>
      <c r="K79" s="595">
        <v>45924</v>
      </c>
      <c r="L79" s="595">
        <v>45924</v>
      </c>
      <c r="M79" s="595">
        <v>45960</v>
      </c>
      <c r="N79" s="595">
        <v>45976</v>
      </c>
      <c r="O79" s="830" t="s">
        <v>408</v>
      </c>
      <c r="P79" s="594"/>
      <c r="Q79" s="597" t="s">
        <v>415</v>
      </c>
      <c r="R79" s="597">
        <v>46055</v>
      </c>
      <c r="S79" s="600" t="s">
        <v>416</v>
      </c>
      <c r="T79" s="600" t="s">
        <v>417</v>
      </c>
      <c r="U79" s="600" t="s">
        <v>418</v>
      </c>
      <c r="V79" s="600" t="s">
        <v>47</v>
      </c>
      <c r="W79" s="594"/>
      <c r="X79" s="594"/>
      <c r="Y79" s="600"/>
      <c r="Z79" s="600"/>
      <c r="AA79" s="600"/>
      <c r="AB79" s="600"/>
      <c r="AC79" s="600"/>
      <c r="AD79" s="600"/>
      <c r="AE79" s="600"/>
      <c r="AF79" s="600"/>
      <c r="AG79" s="826"/>
      <c r="AH79" s="594"/>
      <c r="AI79" s="600"/>
      <c r="AJ79" s="600"/>
      <c r="AK79" s="598"/>
      <c r="AL79" s="153"/>
      <c r="AM79" s="153"/>
      <c r="AN79" s="183"/>
    </row>
    <row r="80" spans="1:41">
      <c r="A80" s="1480"/>
      <c r="B80" s="196"/>
      <c r="C80" s="179"/>
      <c r="D80" s="594"/>
      <c r="E80" s="829"/>
      <c r="F80" s="595"/>
      <c r="G80" s="595"/>
      <c r="H80" s="594"/>
      <c r="I80" s="826"/>
      <c r="J80" s="600"/>
      <c r="K80" s="600"/>
      <c r="L80" s="600"/>
      <c r="M80" s="600"/>
      <c r="N80" s="600"/>
      <c r="O80" s="600"/>
      <c r="P80" s="594"/>
      <c r="Q80" s="600"/>
      <c r="R80" s="600"/>
      <c r="S80" s="600"/>
      <c r="T80" s="600"/>
      <c r="U80" s="600"/>
      <c r="V80" s="600"/>
      <c r="W80" s="594"/>
      <c r="X80" s="594"/>
      <c r="Y80" s="600"/>
      <c r="Z80" s="600"/>
      <c r="AA80" s="600"/>
      <c r="AB80" s="600"/>
      <c r="AC80" s="600"/>
      <c r="AD80" s="600"/>
      <c r="AE80" s="600"/>
      <c r="AF80" s="600"/>
      <c r="AG80" s="826"/>
      <c r="AH80" s="594"/>
      <c r="AI80" s="600"/>
      <c r="AJ80" s="600"/>
      <c r="AK80" s="598"/>
      <c r="AL80" s="153"/>
      <c r="AM80" s="153"/>
      <c r="AN80" s="183"/>
    </row>
    <row r="81" spans="1:40" ht="16.5" customHeight="1">
      <c r="A81" s="1480"/>
      <c r="B81" s="1482" t="s">
        <v>264</v>
      </c>
      <c r="C81" s="1512"/>
      <c r="D81" s="1486"/>
      <c r="E81" s="1487"/>
      <c r="F81" s="1487"/>
      <c r="G81" s="1488"/>
      <c r="H81" s="1466"/>
      <c r="I81" s="1467"/>
      <c r="J81" s="1467"/>
      <c r="K81" s="1467"/>
      <c r="L81" s="1467"/>
      <c r="M81" s="1467"/>
      <c r="N81" s="1467"/>
      <c r="O81" s="1467"/>
      <c r="P81" s="1468"/>
      <c r="Q81" s="1517" t="s">
        <v>419</v>
      </c>
      <c r="R81" s="1467"/>
      <c r="S81" s="1467"/>
      <c r="T81" s="1467"/>
      <c r="U81" s="1467"/>
      <c r="V81" s="1467"/>
      <c r="W81" s="1497" t="s">
        <v>420</v>
      </c>
      <c r="X81" s="1487"/>
      <c r="Y81" s="1487"/>
      <c r="Z81" s="1487"/>
      <c r="AA81" s="1487"/>
      <c r="AB81" s="1487"/>
      <c r="AC81" s="1487"/>
      <c r="AD81" s="1487"/>
      <c r="AE81" s="1487"/>
      <c r="AF81" s="1487"/>
      <c r="AG81" s="1487"/>
      <c r="AH81" s="1488"/>
      <c r="AI81" s="1492"/>
      <c r="AJ81" s="1487"/>
      <c r="AK81" s="1487"/>
      <c r="AL81" s="1487"/>
      <c r="AM81" s="1487"/>
      <c r="AN81" s="1493"/>
    </row>
    <row r="82" spans="1:40" ht="63" customHeight="1">
      <c r="A82" s="1509"/>
      <c r="B82" s="1519"/>
      <c r="C82" s="1513"/>
      <c r="D82" s="1498"/>
      <c r="E82" s="1499"/>
      <c r="F82" s="1499"/>
      <c r="G82" s="1500"/>
      <c r="H82" s="1514"/>
      <c r="I82" s="1501"/>
      <c r="J82" s="1501"/>
      <c r="K82" s="1501"/>
      <c r="L82" s="1501"/>
      <c r="M82" s="1501"/>
      <c r="N82" s="1501"/>
      <c r="O82" s="1501"/>
      <c r="P82" s="1515"/>
      <c r="Q82" s="1501"/>
      <c r="R82" s="1501"/>
      <c r="S82" s="1501"/>
      <c r="T82" s="1501"/>
      <c r="U82" s="1501"/>
      <c r="V82" s="1501"/>
      <c r="W82" s="1498"/>
      <c r="X82" s="1499"/>
      <c r="Y82" s="1499"/>
      <c r="Z82" s="1499"/>
      <c r="AA82" s="1499"/>
      <c r="AB82" s="1499"/>
      <c r="AC82" s="1499"/>
      <c r="AD82" s="1499"/>
      <c r="AE82" s="1499"/>
      <c r="AF82" s="1499"/>
      <c r="AG82" s="1499"/>
      <c r="AH82" s="1500"/>
      <c r="AI82" s="1498"/>
      <c r="AJ82" s="1499"/>
      <c r="AK82" s="1499"/>
      <c r="AL82" s="1499"/>
      <c r="AM82" s="1499"/>
      <c r="AN82" s="1518"/>
    </row>
  </sheetData>
  <mergeCells count="60">
    <mergeCell ref="AO67:AO69"/>
    <mergeCell ref="Q81:V82"/>
    <mergeCell ref="W81:AH82"/>
    <mergeCell ref="AI81:AN82"/>
    <mergeCell ref="A66:A82"/>
    <mergeCell ref="B81:B82"/>
    <mergeCell ref="C81:C82"/>
    <mergeCell ref="D81:G82"/>
    <mergeCell ref="H81:P82"/>
    <mergeCell ref="Y64:AH65"/>
    <mergeCell ref="Q64:V65"/>
    <mergeCell ref="A42:A65"/>
    <mergeCell ref="B64:B65"/>
    <mergeCell ref="C64:C65"/>
    <mergeCell ref="D64:G65"/>
    <mergeCell ref="H64:P65"/>
    <mergeCell ref="AI40:AN41"/>
    <mergeCell ref="X2:X3"/>
    <mergeCell ref="AD2:AF2"/>
    <mergeCell ref="Q2:S2"/>
    <mergeCell ref="T2:V2"/>
    <mergeCell ref="AG2:AG3"/>
    <mergeCell ref="AH2:AH3"/>
    <mergeCell ref="W40:AH41"/>
    <mergeCell ref="Q40:V41"/>
    <mergeCell ref="AL5:AM5"/>
    <mergeCell ref="AL6:AM6"/>
    <mergeCell ref="AI5:AJ5"/>
    <mergeCell ref="AI6:AJ6"/>
    <mergeCell ref="AI15:AJ15"/>
    <mergeCell ref="AI9:AJ9"/>
    <mergeCell ref="AI24:AJ24"/>
    <mergeCell ref="A4:A41"/>
    <mergeCell ref="B40:B41"/>
    <mergeCell ref="C40:C41"/>
    <mergeCell ref="D40:G41"/>
    <mergeCell ref="D1:G1"/>
    <mergeCell ref="I2:I3"/>
    <mergeCell ref="A1:A3"/>
    <mergeCell ref="B1:C3"/>
    <mergeCell ref="D2:D3"/>
    <mergeCell ref="E2:E3"/>
    <mergeCell ref="F2:F3"/>
    <mergeCell ref="G2:G3"/>
    <mergeCell ref="AI64:AN65"/>
    <mergeCell ref="AI1:AN1"/>
    <mergeCell ref="Y2:AA2"/>
    <mergeCell ref="H1:P1"/>
    <mergeCell ref="AL2:AM2"/>
    <mergeCell ref="J2:L2"/>
    <mergeCell ref="AI2:AJ2"/>
    <mergeCell ref="P2:P3"/>
    <mergeCell ref="W2:W3"/>
    <mergeCell ref="AK2:AK3"/>
    <mergeCell ref="AN2:AN3"/>
    <mergeCell ref="W1:AH1"/>
    <mergeCell ref="M2:O2"/>
    <mergeCell ref="Q1:V1"/>
    <mergeCell ref="H40:P41"/>
    <mergeCell ref="H2:H3"/>
  </mergeCells>
  <phoneticPr fontId="2" type="noConversion"/>
  <printOptions horizontalCentered="1" verticalCentered="1"/>
  <pageMargins left="0" right="0" top="0" bottom="0" header="0.31496062992125984" footer="0.31496062992125984"/>
  <pageSetup paperSize="8" scale="43" fitToHeight="8" orientation="landscape"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33F7-D0A8-49DD-BFD6-4A1204D19343}">
  <sheetPr>
    <pageSetUpPr fitToPage="1"/>
  </sheetPr>
  <dimension ref="A1:AO162"/>
  <sheetViews>
    <sheetView showGridLines="0" tabSelected="1" zoomScale="115" zoomScaleNormal="115" workbookViewId="0" xr3:uid="{D8992A8B-D0AD-50E5-95E1-E6C0B4E56F34}">
      <pane xSplit="3" ySplit="3" topLeftCell="K55" activePane="bottomRight" state="frozen"/>
      <selection pane="bottomRight" activeCell="S66" sqref="S66"/>
      <selection pane="bottomLeft" activeCell="A4" sqref="A4"/>
      <selection pane="topRight" activeCell="D1" sqref="D1"/>
    </sheetView>
  </sheetViews>
  <sheetFormatPr defaultColWidth="9" defaultRowHeight="14.45"/>
  <cols>
    <col min="1" max="1" width="4.42578125" style="132" customWidth="1"/>
    <col min="2" max="2" width="19.42578125" style="191" customWidth="1"/>
    <col min="3" max="3" width="24.42578125" style="191" customWidth="1"/>
    <col min="4" max="4" width="28.140625" style="132" bestFit="1" customWidth="1"/>
    <col min="5" max="7" width="12" style="132" customWidth="1"/>
    <col min="8" max="8" width="37" style="132" customWidth="1"/>
    <col min="9" max="9" width="9.42578125" style="483" bestFit="1" customWidth="1"/>
    <col min="10" max="15" width="11.42578125" style="132" customWidth="1"/>
    <col min="16" max="16" width="21.42578125" style="192" customWidth="1"/>
    <col min="17" max="17" width="14.42578125" style="193" customWidth="1"/>
    <col min="18" max="19" width="11" style="193" customWidth="1"/>
    <col min="20" max="20" width="19.42578125" style="193" customWidth="1"/>
    <col min="21" max="21" width="11" style="193" customWidth="1"/>
    <col min="22" max="22" width="9.42578125" style="193" customWidth="1"/>
    <col min="23" max="23" width="14.42578125" style="132" customWidth="1"/>
    <col min="24" max="24" width="41.140625" style="132" customWidth="1"/>
    <col min="25" max="27" width="11.42578125" style="193" customWidth="1"/>
    <col min="28" max="28" width="15.7109375" style="193" customWidth="1"/>
    <col min="29" max="29" width="14.42578125" style="193" customWidth="1"/>
    <col min="30" max="33" width="11.42578125" style="132" customWidth="1"/>
    <col min="34" max="34" width="12.85546875" style="132" customWidth="1"/>
    <col min="35" max="35" width="22.42578125" style="132" bestFit="1" customWidth="1"/>
    <col min="36" max="36" width="11.42578125" style="194" customWidth="1"/>
    <col min="37" max="38" width="11.42578125" style="132" customWidth="1"/>
    <col min="39" max="39" width="22.85546875" style="905" customWidth="1"/>
    <col min="40" max="40" width="19.42578125" style="132" customWidth="1"/>
    <col min="41" max="261" width="9" style="132"/>
    <col min="262" max="262" width="4.42578125" style="132" customWidth="1"/>
    <col min="263" max="263" width="19.42578125" style="132" customWidth="1"/>
    <col min="264" max="264" width="24.42578125" style="132" customWidth="1"/>
    <col min="265" max="265" width="28.140625" style="132" bestFit="1" customWidth="1"/>
    <col min="266" max="266" width="10.42578125" style="132" customWidth="1"/>
    <col min="267" max="268" width="10.140625" style="132" bestFit="1" customWidth="1"/>
    <col min="269" max="269" width="35.42578125" style="132" customWidth="1"/>
    <col min="270" max="270" width="9.42578125" style="132" bestFit="1" customWidth="1"/>
    <col min="271" max="276" width="12.42578125" style="132" customWidth="1"/>
    <col min="277" max="277" width="9.42578125" style="132" bestFit="1" customWidth="1"/>
    <col min="278" max="278" width="19.85546875" style="132" customWidth="1"/>
    <col min="279" max="279" width="21.42578125" style="132" customWidth="1"/>
    <col min="280" max="281" width="22.42578125" style="132" customWidth="1"/>
    <col min="282" max="282" width="17" style="132" bestFit="1" customWidth="1"/>
    <col min="283" max="283" width="12.42578125" style="132" customWidth="1"/>
    <col min="284" max="284" width="14.42578125" style="132" customWidth="1"/>
    <col min="285" max="285" width="41.140625" style="132" customWidth="1"/>
    <col min="286" max="286" width="10.140625" style="132" bestFit="1" customWidth="1"/>
    <col min="287" max="287" width="10.42578125" style="132" bestFit="1" customWidth="1"/>
    <col min="288" max="288" width="11.42578125" style="132" bestFit="1" customWidth="1"/>
    <col min="289" max="289" width="10.140625" style="132" bestFit="1" customWidth="1"/>
    <col min="290" max="290" width="10.42578125" style="132" bestFit="1" customWidth="1"/>
    <col min="291" max="291" width="22.42578125" style="132" bestFit="1" customWidth="1"/>
    <col min="292" max="294" width="10.140625" style="132" bestFit="1" customWidth="1"/>
    <col min="295" max="517" width="9" style="132"/>
    <col min="518" max="518" width="4.42578125" style="132" customWidth="1"/>
    <col min="519" max="519" width="19.42578125" style="132" customWidth="1"/>
    <col min="520" max="520" width="24.42578125" style="132" customWidth="1"/>
    <col min="521" max="521" width="28.140625" style="132" bestFit="1" customWidth="1"/>
    <col min="522" max="522" width="10.42578125" style="132" customWidth="1"/>
    <col min="523" max="524" width="10.140625" style="132" bestFit="1" customWidth="1"/>
    <col min="525" max="525" width="35.42578125" style="132" customWidth="1"/>
    <col min="526" max="526" width="9.42578125" style="132" bestFit="1" customWidth="1"/>
    <col min="527" max="532" width="12.42578125" style="132" customWidth="1"/>
    <col min="533" max="533" width="9.42578125" style="132" bestFit="1" customWidth="1"/>
    <col min="534" max="534" width="19.85546875" style="132" customWidth="1"/>
    <col min="535" max="535" width="21.42578125" style="132" customWidth="1"/>
    <col min="536" max="537" width="22.42578125" style="132" customWidth="1"/>
    <col min="538" max="538" width="17" style="132" bestFit="1" customWidth="1"/>
    <col min="539" max="539" width="12.42578125" style="132" customWidth="1"/>
    <col min="540" max="540" width="14.42578125" style="132" customWidth="1"/>
    <col min="541" max="541" width="41.140625" style="132" customWidth="1"/>
    <col min="542" max="542" width="10.140625" style="132" bestFit="1" customWidth="1"/>
    <col min="543" max="543" width="10.42578125" style="132" bestFit="1" customWidth="1"/>
    <col min="544" max="544" width="11.42578125" style="132" bestFit="1" customWidth="1"/>
    <col min="545" max="545" width="10.140625" style="132" bestFit="1" customWidth="1"/>
    <col min="546" max="546" width="10.42578125" style="132" bestFit="1" customWidth="1"/>
    <col min="547" max="547" width="22.42578125" style="132" bestFit="1" customWidth="1"/>
    <col min="548" max="550" width="10.140625" style="132" bestFit="1" customWidth="1"/>
    <col min="551" max="773" width="9" style="132"/>
    <col min="774" max="774" width="4.42578125" style="132" customWidth="1"/>
    <col min="775" max="775" width="19.42578125" style="132" customWidth="1"/>
    <col min="776" max="776" width="24.42578125" style="132" customWidth="1"/>
    <col min="777" max="777" width="28.140625" style="132" bestFit="1" customWidth="1"/>
    <col min="778" max="778" width="10.42578125" style="132" customWidth="1"/>
    <col min="779" max="780" width="10.140625" style="132" bestFit="1" customWidth="1"/>
    <col min="781" max="781" width="35.42578125" style="132" customWidth="1"/>
    <col min="782" max="782" width="9.42578125" style="132" bestFit="1" customWidth="1"/>
    <col min="783" max="788" width="12.42578125" style="132" customWidth="1"/>
    <col min="789" max="789" width="9.42578125" style="132" bestFit="1" customWidth="1"/>
    <col min="790" max="790" width="19.85546875" style="132" customWidth="1"/>
    <col min="791" max="791" width="21.42578125" style="132" customWidth="1"/>
    <col min="792" max="793" width="22.42578125" style="132" customWidth="1"/>
    <col min="794" max="794" width="17" style="132" bestFit="1" customWidth="1"/>
    <col min="795" max="795" width="12.42578125" style="132" customWidth="1"/>
    <col min="796" max="796" width="14.42578125" style="132" customWidth="1"/>
    <col min="797" max="797" width="41.140625" style="132" customWidth="1"/>
    <col min="798" max="798" width="10.140625" style="132" bestFit="1" customWidth="1"/>
    <col min="799" max="799" width="10.42578125" style="132" bestFit="1" customWidth="1"/>
    <col min="800" max="800" width="11.42578125" style="132" bestFit="1" customWidth="1"/>
    <col min="801" max="801" width="10.140625" style="132" bestFit="1" customWidth="1"/>
    <col min="802" max="802" width="10.42578125" style="132" bestFit="1" customWidth="1"/>
    <col min="803" max="803" width="22.42578125" style="132" bestFit="1" customWidth="1"/>
    <col min="804" max="806" width="10.140625" style="132" bestFit="1" customWidth="1"/>
    <col min="807" max="1029" width="9" style="132"/>
    <col min="1030" max="1030" width="4.42578125" style="132" customWidth="1"/>
    <col min="1031" max="1031" width="19.42578125" style="132" customWidth="1"/>
    <col min="1032" max="1032" width="24.42578125" style="132" customWidth="1"/>
    <col min="1033" max="1033" width="28.140625" style="132" bestFit="1" customWidth="1"/>
    <col min="1034" max="1034" width="10.42578125" style="132" customWidth="1"/>
    <col min="1035" max="1036" width="10.140625" style="132" bestFit="1" customWidth="1"/>
    <col min="1037" max="1037" width="35.42578125" style="132" customWidth="1"/>
    <col min="1038" max="1038" width="9.42578125" style="132" bestFit="1" customWidth="1"/>
    <col min="1039" max="1044" width="12.42578125" style="132" customWidth="1"/>
    <col min="1045" max="1045" width="9.42578125" style="132" bestFit="1" customWidth="1"/>
    <col min="1046" max="1046" width="19.85546875" style="132" customWidth="1"/>
    <col min="1047" max="1047" width="21.42578125" style="132" customWidth="1"/>
    <col min="1048" max="1049" width="22.42578125" style="132" customWidth="1"/>
    <col min="1050" max="1050" width="17" style="132" bestFit="1" customWidth="1"/>
    <col min="1051" max="1051" width="12.42578125" style="132" customWidth="1"/>
    <col min="1052" max="1052" width="14.42578125" style="132" customWidth="1"/>
    <col min="1053" max="1053" width="41.140625" style="132" customWidth="1"/>
    <col min="1054" max="1054" width="10.140625" style="132" bestFit="1" customWidth="1"/>
    <col min="1055" max="1055" width="10.42578125" style="132" bestFit="1" customWidth="1"/>
    <col min="1056" max="1056" width="11.42578125" style="132" bestFit="1" customWidth="1"/>
    <col min="1057" max="1057" width="10.140625" style="132" bestFit="1" customWidth="1"/>
    <col min="1058" max="1058" width="10.42578125" style="132" bestFit="1" customWidth="1"/>
    <col min="1059" max="1059" width="22.42578125" style="132" bestFit="1" customWidth="1"/>
    <col min="1060" max="1062" width="10.140625" style="132" bestFit="1" customWidth="1"/>
    <col min="1063" max="1285" width="9" style="132"/>
    <col min="1286" max="1286" width="4.42578125" style="132" customWidth="1"/>
    <col min="1287" max="1287" width="19.42578125" style="132" customWidth="1"/>
    <col min="1288" max="1288" width="24.42578125" style="132" customWidth="1"/>
    <col min="1289" max="1289" width="28.140625" style="132" bestFit="1" customWidth="1"/>
    <col min="1290" max="1290" width="10.42578125" style="132" customWidth="1"/>
    <col min="1291" max="1292" width="10.140625" style="132" bestFit="1" customWidth="1"/>
    <col min="1293" max="1293" width="35.42578125" style="132" customWidth="1"/>
    <col min="1294" max="1294" width="9.42578125" style="132" bestFit="1" customWidth="1"/>
    <col min="1295" max="1300" width="12.42578125" style="132" customWidth="1"/>
    <col min="1301" max="1301" width="9.42578125" style="132" bestFit="1" customWidth="1"/>
    <col min="1302" max="1302" width="19.85546875" style="132" customWidth="1"/>
    <col min="1303" max="1303" width="21.42578125" style="132" customWidth="1"/>
    <col min="1304" max="1305" width="22.42578125" style="132" customWidth="1"/>
    <col min="1306" max="1306" width="17" style="132" bestFit="1" customWidth="1"/>
    <col min="1307" max="1307" width="12.42578125" style="132" customWidth="1"/>
    <col min="1308" max="1308" width="14.42578125" style="132" customWidth="1"/>
    <col min="1309" max="1309" width="41.140625" style="132" customWidth="1"/>
    <col min="1310" max="1310" width="10.140625" style="132" bestFit="1" customWidth="1"/>
    <col min="1311" max="1311" width="10.42578125" style="132" bestFit="1" customWidth="1"/>
    <col min="1312" max="1312" width="11.42578125" style="132" bestFit="1" customWidth="1"/>
    <col min="1313" max="1313" width="10.140625" style="132" bestFit="1" customWidth="1"/>
    <col min="1314" max="1314" width="10.42578125" style="132" bestFit="1" customWidth="1"/>
    <col min="1315" max="1315" width="22.42578125" style="132" bestFit="1" customWidth="1"/>
    <col min="1316" max="1318" width="10.140625" style="132" bestFit="1" customWidth="1"/>
    <col min="1319" max="1541" width="9" style="132"/>
    <col min="1542" max="1542" width="4.42578125" style="132" customWidth="1"/>
    <col min="1543" max="1543" width="19.42578125" style="132" customWidth="1"/>
    <col min="1544" max="1544" width="24.42578125" style="132" customWidth="1"/>
    <col min="1545" max="1545" width="28.140625" style="132" bestFit="1" customWidth="1"/>
    <col min="1546" max="1546" width="10.42578125" style="132" customWidth="1"/>
    <col min="1547" max="1548" width="10.140625" style="132" bestFit="1" customWidth="1"/>
    <col min="1549" max="1549" width="35.42578125" style="132" customWidth="1"/>
    <col min="1550" max="1550" width="9.42578125" style="132" bestFit="1" customWidth="1"/>
    <col min="1551" max="1556" width="12.42578125" style="132" customWidth="1"/>
    <col min="1557" max="1557" width="9.42578125" style="132" bestFit="1" customWidth="1"/>
    <col min="1558" max="1558" width="19.85546875" style="132" customWidth="1"/>
    <col min="1559" max="1559" width="21.42578125" style="132" customWidth="1"/>
    <col min="1560" max="1561" width="22.42578125" style="132" customWidth="1"/>
    <col min="1562" max="1562" width="17" style="132" bestFit="1" customWidth="1"/>
    <col min="1563" max="1563" width="12.42578125" style="132" customWidth="1"/>
    <col min="1564" max="1564" width="14.42578125" style="132" customWidth="1"/>
    <col min="1565" max="1565" width="41.140625" style="132" customWidth="1"/>
    <col min="1566" max="1566" width="10.140625" style="132" bestFit="1" customWidth="1"/>
    <col min="1567" max="1567" width="10.42578125" style="132" bestFit="1" customWidth="1"/>
    <col min="1568" max="1568" width="11.42578125" style="132" bestFit="1" customWidth="1"/>
    <col min="1569" max="1569" width="10.140625" style="132" bestFit="1" customWidth="1"/>
    <col min="1570" max="1570" width="10.42578125" style="132" bestFit="1" customWidth="1"/>
    <col min="1571" max="1571" width="22.42578125" style="132" bestFit="1" customWidth="1"/>
    <col min="1572" max="1574" width="10.140625" style="132" bestFit="1" customWidth="1"/>
    <col min="1575" max="1797" width="9" style="132"/>
    <col min="1798" max="1798" width="4.42578125" style="132" customWidth="1"/>
    <col min="1799" max="1799" width="19.42578125" style="132" customWidth="1"/>
    <col min="1800" max="1800" width="24.42578125" style="132" customWidth="1"/>
    <col min="1801" max="1801" width="28.140625" style="132" bestFit="1" customWidth="1"/>
    <col min="1802" max="1802" width="10.42578125" style="132" customWidth="1"/>
    <col min="1803" max="1804" width="10.140625" style="132" bestFit="1" customWidth="1"/>
    <col min="1805" max="1805" width="35.42578125" style="132" customWidth="1"/>
    <col min="1806" max="1806" width="9.42578125" style="132" bestFit="1" customWidth="1"/>
    <col min="1807" max="1812" width="12.42578125" style="132" customWidth="1"/>
    <col min="1813" max="1813" width="9.42578125" style="132" bestFit="1" customWidth="1"/>
    <col min="1814" max="1814" width="19.85546875" style="132" customWidth="1"/>
    <col min="1815" max="1815" width="21.42578125" style="132" customWidth="1"/>
    <col min="1816" max="1817" width="22.42578125" style="132" customWidth="1"/>
    <col min="1818" max="1818" width="17" style="132" bestFit="1" customWidth="1"/>
    <col min="1819" max="1819" width="12.42578125" style="132" customWidth="1"/>
    <col min="1820" max="1820" width="14.42578125" style="132" customWidth="1"/>
    <col min="1821" max="1821" width="41.140625" style="132" customWidth="1"/>
    <col min="1822" max="1822" width="10.140625" style="132" bestFit="1" customWidth="1"/>
    <col min="1823" max="1823" width="10.42578125" style="132" bestFit="1" customWidth="1"/>
    <col min="1824" max="1824" width="11.42578125" style="132" bestFit="1" customWidth="1"/>
    <col min="1825" max="1825" width="10.140625" style="132" bestFit="1" customWidth="1"/>
    <col min="1826" max="1826" width="10.42578125" style="132" bestFit="1" customWidth="1"/>
    <col min="1827" max="1827" width="22.42578125" style="132" bestFit="1" customWidth="1"/>
    <col min="1828" max="1830" width="10.140625" style="132" bestFit="1" customWidth="1"/>
    <col min="1831" max="2053" width="9" style="132"/>
    <col min="2054" max="2054" width="4.42578125" style="132" customWidth="1"/>
    <col min="2055" max="2055" width="19.42578125" style="132" customWidth="1"/>
    <col min="2056" max="2056" width="24.42578125" style="132" customWidth="1"/>
    <col min="2057" max="2057" width="28.140625" style="132" bestFit="1" customWidth="1"/>
    <col min="2058" max="2058" width="10.42578125" style="132" customWidth="1"/>
    <col min="2059" max="2060" width="10.140625" style="132" bestFit="1" customWidth="1"/>
    <col min="2061" max="2061" width="35.42578125" style="132" customWidth="1"/>
    <col min="2062" max="2062" width="9.42578125" style="132" bestFit="1" customWidth="1"/>
    <col min="2063" max="2068" width="12.42578125" style="132" customWidth="1"/>
    <col min="2069" max="2069" width="9.42578125" style="132" bestFit="1" customWidth="1"/>
    <col min="2070" max="2070" width="19.85546875" style="132" customWidth="1"/>
    <col min="2071" max="2071" width="21.42578125" style="132" customWidth="1"/>
    <col min="2072" max="2073" width="22.42578125" style="132" customWidth="1"/>
    <col min="2074" max="2074" width="17" style="132" bestFit="1" customWidth="1"/>
    <col min="2075" max="2075" width="12.42578125" style="132" customWidth="1"/>
    <col min="2076" max="2076" width="14.42578125" style="132" customWidth="1"/>
    <col min="2077" max="2077" width="41.140625" style="132" customWidth="1"/>
    <col min="2078" max="2078" width="10.140625" style="132" bestFit="1" customWidth="1"/>
    <col min="2079" max="2079" width="10.42578125" style="132" bestFit="1" customWidth="1"/>
    <col min="2080" max="2080" width="11.42578125" style="132" bestFit="1" customWidth="1"/>
    <col min="2081" max="2081" width="10.140625" style="132" bestFit="1" customWidth="1"/>
    <col min="2082" max="2082" width="10.42578125" style="132" bestFit="1" customWidth="1"/>
    <col min="2083" max="2083" width="22.42578125" style="132" bestFit="1" customWidth="1"/>
    <col min="2084" max="2086" width="10.140625" style="132" bestFit="1" customWidth="1"/>
    <col min="2087" max="2309" width="9" style="132"/>
    <col min="2310" max="2310" width="4.42578125" style="132" customWidth="1"/>
    <col min="2311" max="2311" width="19.42578125" style="132" customWidth="1"/>
    <col min="2312" max="2312" width="24.42578125" style="132" customWidth="1"/>
    <col min="2313" max="2313" width="28.140625" style="132" bestFit="1" customWidth="1"/>
    <col min="2314" max="2314" width="10.42578125" style="132" customWidth="1"/>
    <col min="2315" max="2316" width="10.140625" style="132" bestFit="1" customWidth="1"/>
    <col min="2317" max="2317" width="35.42578125" style="132" customWidth="1"/>
    <col min="2318" max="2318" width="9.42578125" style="132" bestFit="1" customWidth="1"/>
    <col min="2319" max="2324" width="12.42578125" style="132" customWidth="1"/>
    <col min="2325" max="2325" width="9.42578125" style="132" bestFit="1" customWidth="1"/>
    <col min="2326" max="2326" width="19.85546875" style="132" customWidth="1"/>
    <col min="2327" max="2327" width="21.42578125" style="132" customWidth="1"/>
    <col min="2328" max="2329" width="22.42578125" style="132" customWidth="1"/>
    <col min="2330" max="2330" width="17" style="132" bestFit="1" customWidth="1"/>
    <col min="2331" max="2331" width="12.42578125" style="132" customWidth="1"/>
    <col min="2332" max="2332" width="14.42578125" style="132" customWidth="1"/>
    <col min="2333" max="2333" width="41.140625" style="132" customWidth="1"/>
    <col min="2334" max="2334" width="10.140625" style="132" bestFit="1" customWidth="1"/>
    <col min="2335" max="2335" width="10.42578125" style="132" bestFit="1" customWidth="1"/>
    <col min="2336" max="2336" width="11.42578125" style="132" bestFit="1" customWidth="1"/>
    <col min="2337" max="2337" width="10.140625" style="132" bestFit="1" customWidth="1"/>
    <col min="2338" max="2338" width="10.42578125" style="132" bestFit="1" customWidth="1"/>
    <col min="2339" max="2339" width="22.42578125" style="132" bestFit="1" customWidth="1"/>
    <col min="2340" max="2342" width="10.140625" style="132" bestFit="1" customWidth="1"/>
    <col min="2343" max="2565" width="9" style="132"/>
    <col min="2566" max="2566" width="4.42578125" style="132" customWidth="1"/>
    <col min="2567" max="2567" width="19.42578125" style="132" customWidth="1"/>
    <col min="2568" max="2568" width="24.42578125" style="132" customWidth="1"/>
    <col min="2569" max="2569" width="28.140625" style="132" bestFit="1" customWidth="1"/>
    <col min="2570" max="2570" width="10.42578125" style="132" customWidth="1"/>
    <col min="2571" max="2572" width="10.140625" style="132" bestFit="1" customWidth="1"/>
    <col min="2573" max="2573" width="35.42578125" style="132" customWidth="1"/>
    <col min="2574" max="2574" width="9.42578125" style="132" bestFit="1" customWidth="1"/>
    <col min="2575" max="2580" width="12.42578125" style="132" customWidth="1"/>
    <col min="2581" max="2581" width="9.42578125" style="132" bestFit="1" customWidth="1"/>
    <col min="2582" max="2582" width="19.85546875" style="132" customWidth="1"/>
    <col min="2583" max="2583" width="21.42578125" style="132" customWidth="1"/>
    <col min="2584" max="2585" width="22.42578125" style="132" customWidth="1"/>
    <col min="2586" max="2586" width="17" style="132" bestFit="1" customWidth="1"/>
    <col min="2587" max="2587" width="12.42578125" style="132" customWidth="1"/>
    <col min="2588" max="2588" width="14.42578125" style="132" customWidth="1"/>
    <col min="2589" max="2589" width="41.140625" style="132" customWidth="1"/>
    <col min="2590" max="2590" width="10.140625" style="132" bestFit="1" customWidth="1"/>
    <col min="2591" max="2591" width="10.42578125" style="132" bestFit="1" customWidth="1"/>
    <col min="2592" max="2592" width="11.42578125" style="132" bestFit="1" customWidth="1"/>
    <col min="2593" max="2593" width="10.140625" style="132" bestFit="1" customWidth="1"/>
    <col min="2594" max="2594" width="10.42578125" style="132" bestFit="1" customWidth="1"/>
    <col min="2595" max="2595" width="22.42578125" style="132" bestFit="1" customWidth="1"/>
    <col min="2596" max="2598" width="10.140625" style="132" bestFit="1" customWidth="1"/>
    <col min="2599" max="2821" width="9" style="132"/>
    <col min="2822" max="2822" width="4.42578125" style="132" customWidth="1"/>
    <col min="2823" max="2823" width="19.42578125" style="132" customWidth="1"/>
    <col min="2824" max="2824" width="24.42578125" style="132" customWidth="1"/>
    <col min="2825" max="2825" width="28.140625" style="132" bestFit="1" customWidth="1"/>
    <col min="2826" max="2826" width="10.42578125" style="132" customWidth="1"/>
    <col min="2827" max="2828" width="10.140625" style="132" bestFit="1" customWidth="1"/>
    <col min="2829" max="2829" width="35.42578125" style="132" customWidth="1"/>
    <col min="2830" max="2830" width="9.42578125" style="132" bestFit="1" customWidth="1"/>
    <col min="2831" max="2836" width="12.42578125" style="132" customWidth="1"/>
    <col min="2837" max="2837" width="9.42578125" style="132" bestFit="1" customWidth="1"/>
    <col min="2838" max="2838" width="19.85546875" style="132" customWidth="1"/>
    <col min="2839" max="2839" width="21.42578125" style="132" customWidth="1"/>
    <col min="2840" max="2841" width="22.42578125" style="132" customWidth="1"/>
    <col min="2842" max="2842" width="17" style="132" bestFit="1" customWidth="1"/>
    <col min="2843" max="2843" width="12.42578125" style="132" customWidth="1"/>
    <col min="2844" max="2844" width="14.42578125" style="132" customWidth="1"/>
    <col min="2845" max="2845" width="41.140625" style="132" customWidth="1"/>
    <col min="2846" max="2846" width="10.140625" style="132" bestFit="1" customWidth="1"/>
    <col min="2847" max="2847" width="10.42578125" style="132" bestFit="1" customWidth="1"/>
    <col min="2848" max="2848" width="11.42578125" style="132" bestFit="1" customWidth="1"/>
    <col min="2849" max="2849" width="10.140625" style="132" bestFit="1" customWidth="1"/>
    <col min="2850" max="2850" width="10.42578125" style="132" bestFit="1" customWidth="1"/>
    <col min="2851" max="2851" width="22.42578125" style="132" bestFit="1" customWidth="1"/>
    <col min="2852" max="2854" width="10.140625" style="132" bestFit="1" customWidth="1"/>
    <col min="2855" max="3077" width="9" style="132"/>
    <col min="3078" max="3078" width="4.42578125" style="132" customWidth="1"/>
    <col min="3079" max="3079" width="19.42578125" style="132" customWidth="1"/>
    <col min="3080" max="3080" width="24.42578125" style="132" customWidth="1"/>
    <col min="3081" max="3081" width="28.140625" style="132" bestFit="1" customWidth="1"/>
    <col min="3082" max="3082" width="10.42578125" style="132" customWidth="1"/>
    <col min="3083" max="3084" width="10.140625" style="132" bestFit="1" customWidth="1"/>
    <col min="3085" max="3085" width="35.42578125" style="132" customWidth="1"/>
    <col min="3086" max="3086" width="9.42578125" style="132" bestFit="1" customWidth="1"/>
    <col min="3087" max="3092" width="12.42578125" style="132" customWidth="1"/>
    <col min="3093" max="3093" width="9.42578125" style="132" bestFit="1" customWidth="1"/>
    <col min="3094" max="3094" width="19.85546875" style="132" customWidth="1"/>
    <col min="3095" max="3095" width="21.42578125" style="132" customWidth="1"/>
    <col min="3096" max="3097" width="22.42578125" style="132" customWidth="1"/>
    <col min="3098" max="3098" width="17" style="132" bestFit="1" customWidth="1"/>
    <col min="3099" max="3099" width="12.42578125" style="132" customWidth="1"/>
    <col min="3100" max="3100" width="14.42578125" style="132" customWidth="1"/>
    <col min="3101" max="3101" width="41.140625" style="132" customWidth="1"/>
    <col min="3102" max="3102" width="10.140625" style="132" bestFit="1" customWidth="1"/>
    <col min="3103" max="3103" width="10.42578125" style="132" bestFit="1" customWidth="1"/>
    <col min="3104" max="3104" width="11.42578125" style="132" bestFit="1" customWidth="1"/>
    <col min="3105" max="3105" width="10.140625" style="132" bestFit="1" customWidth="1"/>
    <col min="3106" max="3106" width="10.42578125" style="132" bestFit="1" customWidth="1"/>
    <col min="3107" max="3107" width="22.42578125" style="132" bestFit="1" customWidth="1"/>
    <col min="3108" max="3110" width="10.140625" style="132" bestFit="1" customWidth="1"/>
    <col min="3111" max="3333" width="9" style="132"/>
    <col min="3334" max="3334" width="4.42578125" style="132" customWidth="1"/>
    <col min="3335" max="3335" width="19.42578125" style="132" customWidth="1"/>
    <col min="3336" max="3336" width="24.42578125" style="132" customWidth="1"/>
    <col min="3337" max="3337" width="28.140625" style="132" bestFit="1" customWidth="1"/>
    <col min="3338" max="3338" width="10.42578125" style="132" customWidth="1"/>
    <col min="3339" max="3340" width="10.140625" style="132" bestFit="1" customWidth="1"/>
    <col min="3341" max="3341" width="35.42578125" style="132" customWidth="1"/>
    <col min="3342" max="3342" width="9.42578125" style="132" bestFit="1" customWidth="1"/>
    <col min="3343" max="3348" width="12.42578125" style="132" customWidth="1"/>
    <col min="3349" max="3349" width="9.42578125" style="132" bestFit="1" customWidth="1"/>
    <col min="3350" max="3350" width="19.85546875" style="132" customWidth="1"/>
    <col min="3351" max="3351" width="21.42578125" style="132" customWidth="1"/>
    <col min="3352" max="3353" width="22.42578125" style="132" customWidth="1"/>
    <col min="3354" max="3354" width="17" style="132" bestFit="1" customWidth="1"/>
    <col min="3355" max="3355" width="12.42578125" style="132" customWidth="1"/>
    <col min="3356" max="3356" width="14.42578125" style="132" customWidth="1"/>
    <col min="3357" max="3357" width="41.140625" style="132" customWidth="1"/>
    <col min="3358" max="3358" width="10.140625" style="132" bestFit="1" customWidth="1"/>
    <col min="3359" max="3359" width="10.42578125" style="132" bestFit="1" customWidth="1"/>
    <col min="3360" max="3360" width="11.42578125" style="132" bestFit="1" customWidth="1"/>
    <col min="3361" max="3361" width="10.140625" style="132" bestFit="1" customWidth="1"/>
    <col min="3362" max="3362" width="10.42578125" style="132" bestFit="1" customWidth="1"/>
    <col min="3363" max="3363" width="22.42578125" style="132" bestFit="1" customWidth="1"/>
    <col min="3364" max="3366" width="10.140625" style="132" bestFit="1" customWidth="1"/>
    <col min="3367" max="3589" width="9" style="132"/>
    <col min="3590" max="3590" width="4.42578125" style="132" customWidth="1"/>
    <col min="3591" max="3591" width="19.42578125" style="132" customWidth="1"/>
    <col min="3592" max="3592" width="24.42578125" style="132" customWidth="1"/>
    <col min="3593" max="3593" width="28.140625" style="132" bestFit="1" customWidth="1"/>
    <col min="3594" max="3594" width="10.42578125" style="132" customWidth="1"/>
    <col min="3595" max="3596" width="10.140625" style="132" bestFit="1" customWidth="1"/>
    <col min="3597" max="3597" width="35.42578125" style="132" customWidth="1"/>
    <col min="3598" max="3598" width="9.42578125" style="132" bestFit="1" customWidth="1"/>
    <col min="3599" max="3604" width="12.42578125" style="132" customWidth="1"/>
    <col min="3605" max="3605" width="9.42578125" style="132" bestFit="1" customWidth="1"/>
    <col min="3606" max="3606" width="19.85546875" style="132" customWidth="1"/>
    <col min="3607" max="3607" width="21.42578125" style="132" customWidth="1"/>
    <col min="3608" max="3609" width="22.42578125" style="132" customWidth="1"/>
    <col min="3610" max="3610" width="17" style="132" bestFit="1" customWidth="1"/>
    <col min="3611" max="3611" width="12.42578125" style="132" customWidth="1"/>
    <col min="3612" max="3612" width="14.42578125" style="132" customWidth="1"/>
    <col min="3613" max="3613" width="41.140625" style="132" customWidth="1"/>
    <col min="3614" max="3614" width="10.140625" style="132" bestFit="1" customWidth="1"/>
    <col min="3615" max="3615" width="10.42578125" style="132" bestFit="1" customWidth="1"/>
    <col min="3616" max="3616" width="11.42578125" style="132" bestFit="1" customWidth="1"/>
    <col min="3617" max="3617" width="10.140625" style="132" bestFit="1" customWidth="1"/>
    <col min="3618" max="3618" width="10.42578125" style="132" bestFit="1" customWidth="1"/>
    <col min="3619" max="3619" width="22.42578125" style="132" bestFit="1" customWidth="1"/>
    <col min="3620" max="3622" width="10.140625" style="132" bestFit="1" customWidth="1"/>
    <col min="3623" max="3845" width="9" style="132"/>
    <col min="3846" max="3846" width="4.42578125" style="132" customWidth="1"/>
    <col min="3847" max="3847" width="19.42578125" style="132" customWidth="1"/>
    <col min="3848" max="3848" width="24.42578125" style="132" customWidth="1"/>
    <col min="3849" max="3849" width="28.140625" style="132" bestFit="1" customWidth="1"/>
    <col min="3850" max="3850" width="10.42578125" style="132" customWidth="1"/>
    <col min="3851" max="3852" width="10.140625" style="132" bestFit="1" customWidth="1"/>
    <col min="3853" max="3853" width="35.42578125" style="132" customWidth="1"/>
    <col min="3854" max="3854" width="9.42578125" style="132" bestFit="1" customWidth="1"/>
    <col min="3855" max="3860" width="12.42578125" style="132" customWidth="1"/>
    <col min="3861" max="3861" width="9.42578125" style="132" bestFit="1" customWidth="1"/>
    <col min="3862" max="3862" width="19.85546875" style="132" customWidth="1"/>
    <col min="3863" max="3863" width="21.42578125" style="132" customWidth="1"/>
    <col min="3864" max="3865" width="22.42578125" style="132" customWidth="1"/>
    <col min="3866" max="3866" width="17" style="132" bestFit="1" customWidth="1"/>
    <col min="3867" max="3867" width="12.42578125" style="132" customWidth="1"/>
    <col min="3868" max="3868" width="14.42578125" style="132" customWidth="1"/>
    <col min="3869" max="3869" width="41.140625" style="132" customWidth="1"/>
    <col min="3870" max="3870" width="10.140625" style="132" bestFit="1" customWidth="1"/>
    <col min="3871" max="3871" width="10.42578125" style="132" bestFit="1" customWidth="1"/>
    <col min="3872" max="3872" width="11.42578125" style="132" bestFit="1" customWidth="1"/>
    <col min="3873" max="3873" width="10.140625" style="132" bestFit="1" customWidth="1"/>
    <col min="3874" max="3874" width="10.42578125" style="132" bestFit="1" customWidth="1"/>
    <col min="3875" max="3875" width="22.42578125" style="132" bestFit="1" customWidth="1"/>
    <col min="3876" max="3878" width="10.140625" style="132" bestFit="1" customWidth="1"/>
    <col min="3879" max="4101" width="9" style="132"/>
    <col min="4102" max="4102" width="4.42578125" style="132" customWidth="1"/>
    <col min="4103" max="4103" width="19.42578125" style="132" customWidth="1"/>
    <col min="4104" max="4104" width="24.42578125" style="132" customWidth="1"/>
    <col min="4105" max="4105" width="28.140625" style="132" bestFit="1" customWidth="1"/>
    <col min="4106" max="4106" width="10.42578125" style="132" customWidth="1"/>
    <col min="4107" max="4108" width="10.140625" style="132" bestFit="1" customWidth="1"/>
    <col min="4109" max="4109" width="35.42578125" style="132" customWidth="1"/>
    <col min="4110" max="4110" width="9.42578125" style="132" bestFit="1" customWidth="1"/>
    <col min="4111" max="4116" width="12.42578125" style="132" customWidth="1"/>
    <col min="4117" max="4117" width="9.42578125" style="132" bestFit="1" customWidth="1"/>
    <col min="4118" max="4118" width="19.85546875" style="132" customWidth="1"/>
    <col min="4119" max="4119" width="21.42578125" style="132" customWidth="1"/>
    <col min="4120" max="4121" width="22.42578125" style="132" customWidth="1"/>
    <col min="4122" max="4122" width="17" style="132" bestFit="1" customWidth="1"/>
    <col min="4123" max="4123" width="12.42578125" style="132" customWidth="1"/>
    <col min="4124" max="4124" width="14.42578125" style="132" customWidth="1"/>
    <col min="4125" max="4125" width="41.140625" style="132" customWidth="1"/>
    <col min="4126" max="4126" width="10.140625" style="132" bestFit="1" customWidth="1"/>
    <col min="4127" max="4127" width="10.42578125" style="132" bestFit="1" customWidth="1"/>
    <col min="4128" max="4128" width="11.42578125" style="132" bestFit="1" customWidth="1"/>
    <col min="4129" max="4129" width="10.140625" style="132" bestFit="1" customWidth="1"/>
    <col min="4130" max="4130" width="10.42578125" style="132" bestFit="1" customWidth="1"/>
    <col min="4131" max="4131" width="22.42578125" style="132" bestFit="1" customWidth="1"/>
    <col min="4132" max="4134" width="10.140625" style="132" bestFit="1" customWidth="1"/>
    <col min="4135" max="4357" width="9" style="132"/>
    <col min="4358" max="4358" width="4.42578125" style="132" customWidth="1"/>
    <col min="4359" max="4359" width="19.42578125" style="132" customWidth="1"/>
    <col min="4360" max="4360" width="24.42578125" style="132" customWidth="1"/>
    <col min="4361" max="4361" width="28.140625" style="132" bestFit="1" customWidth="1"/>
    <col min="4362" max="4362" width="10.42578125" style="132" customWidth="1"/>
    <col min="4363" max="4364" width="10.140625" style="132" bestFit="1" customWidth="1"/>
    <col min="4365" max="4365" width="35.42578125" style="132" customWidth="1"/>
    <col min="4366" max="4366" width="9.42578125" style="132" bestFit="1" customWidth="1"/>
    <col min="4367" max="4372" width="12.42578125" style="132" customWidth="1"/>
    <col min="4373" max="4373" width="9.42578125" style="132" bestFit="1" customWidth="1"/>
    <col min="4374" max="4374" width="19.85546875" style="132" customWidth="1"/>
    <col min="4375" max="4375" width="21.42578125" style="132" customWidth="1"/>
    <col min="4376" max="4377" width="22.42578125" style="132" customWidth="1"/>
    <col min="4378" max="4378" width="17" style="132" bestFit="1" customWidth="1"/>
    <col min="4379" max="4379" width="12.42578125" style="132" customWidth="1"/>
    <col min="4380" max="4380" width="14.42578125" style="132" customWidth="1"/>
    <col min="4381" max="4381" width="41.140625" style="132" customWidth="1"/>
    <col min="4382" max="4382" width="10.140625" style="132" bestFit="1" customWidth="1"/>
    <col min="4383" max="4383" width="10.42578125" style="132" bestFit="1" customWidth="1"/>
    <col min="4384" max="4384" width="11.42578125" style="132" bestFit="1" customWidth="1"/>
    <col min="4385" max="4385" width="10.140625" style="132" bestFit="1" customWidth="1"/>
    <col min="4386" max="4386" width="10.42578125" style="132" bestFit="1" customWidth="1"/>
    <col min="4387" max="4387" width="22.42578125" style="132" bestFit="1" customWidth="1"/>
    <col min="4388" max="4390" width="10.140625" style="132" bestFit="1" customWidth="1"/>
    <col min="4391" max="4613" width="9" style="132"/>
    <col min="4614" max="4614" width="4.42578125" style="132" customWidth="1"/>
    <col min="4615" max="4615" width="19.42578125" style="132" customWidth="1"/>
    <col min="4616" max="4616" width="24.42578125" style="132" customWidth="1"/>
    <col min="4617" max="4617" width="28.140625" style="132" bestFit="1" customWidth="1"/>
    <col min="4618" max="4618" width="10.42578125" style="132" customWidth="1"/>
    <col min="4619" max="4620" width="10.140625" style="132" bestFit="1" customWidth="1"/>
    <col min="4621" max="4621" width="35.42578125" style="132" customWidth="1"/>
    <col min="4622" max="4622" width="9.42578125" style="132" bestFit="1" customWidth="1"/>
    <col min="4623" max="4628" width="12.42578125" style="132" customWidth="1"/>
    <col min="4629" max="4629" width="9.42578125" style="132" bestFit="1" customWidth="1"/>
    <col min="4630" max="4630" width="19.85546875" style="132" customWidth="1"/>
    <col min="4631" max="4631" width="21.42578125" style="132" customWidth="1"/>
    <col min="4632" max="4633" width="22.42578125" style="132" customWidth="1"/>
    <col min="4634" max="4634" width="17" style="132" bestFit="1" customWidth="1"/>
    <col min="4635" max="4635" width="12.42578125" style="132" customWidth="1"/>
    <col min="4636" max="4636" width="14.42578125" style="132" customWidth="1"/>
    <col min="4637" max="4637" width="41.140625" style="132" customWidth="1"/>
    <col min="4638" max="4638" width="10.140625" style="132" bestFit="1" customWidth="1"/>
    <col min="4639" max="4639" width="10.42578125" style="132" bestFit="1" customWidth="1"/>
    <col min="4640" max="4640" width="11.42578125" style="132" bestFit="1" customWidth="1"/>
    <col min="4641" max="4641" width="10.140625" style="132" bestFit="1" customWidth="1"/>
    <col min="4642" max="4642" width="10.42578125" style="132" bestFit="1" customWidth="1"/>
    <col min="4643" max="4643" width="22.42578125" style="132" bestFit="1" customWidth="1"/>
    <col min="4644" max="4646" width="10.140625" style="132" bestFit="1" customWidth="1"/>
    <col min="4647" max="4869" width="9" style="132"/>
    <col min="4870" max="4870" width="4.42578125" style="132" customWidth="1"/>
    <col min="4871" max="4871" width="19.42578125" style="132" customWidth="1"/>
    <col min="4872" max="4872" width="24.42578125" style="132" customWidth="1"/>
    <col min="4873" max="4873" width="28.140625" style="132" bestFit="1" customWidth="1"/>
    <col min="4874" max="4874" width="10.42578125" style="132" customWidth="1"/>
    <col min="4875" max="4876" width="10.140625" style="132" bestFit="1" customWidth="1"/>
    <col min="4877" max="4877" width="35.42578125" style="132" customWidth="1"/>
    <col min="4878" max="4878" width="9.42578125" style="132" bestFit="1" customWidth="1"/>
    <col min="4879" max="4884" width="12.42578125" style="132" customWidth="1"/>
    <col min="4885" max="4885" width="9.42578125" style="132" bestFit="1" customWidth="1"/>
    <col min="4886" max="4886" width="19.85546875" style="132" customWidth="1"/>
    <col min="4887" max="4887" width="21.42578125" style="132" customWidth="1"/>
    <col min="4888" max="4889" width="22.42578125" style="132" customWidth="1"/>
    <col min="4890" max="4890" width="17" style="132" bestFit="1" customWidth="1"/>
    <col min="4891" max="4891" width="12.42578125" style="132" customWidth="1"/>
    <col min="4892" max="4892" width="14.42578125" style="132" customWidth="1"/>
    <col min="4893" max="4893" width="41.140625" style="132" customWidth="1"/>
    <col min="4894" max="4894" width="10.140625" style="132" bestFit="1" customWidth="1"/>
    <col min="4895" max="4895" width="10.42578125" style="132" bestFit="1" customWidth="1"/>
    <col min="4896" max="4896" width="11.42578125" style="132" bestFit="1" customWidth="1"/>
    <col min="4897" max="4897" width="10.140625" style="132" bestFit="1" customWidth="1"/>
    <col min="4898" max="4898" width="10.42578125" style="132" bestFit="1" customWidth="1"/>
    <col min="4899" max="4899" width="22.42578125" style="132" bestFit="1" customWidth="1"/>
    <col min="4900" max="4902" width="10.140625" style="132" bestFit="1" customWidth="1"/>
    <col min="4903" max="5125" width="9" style="132"/>
    <col min="5126" max="5126" width="4.42578125" style="132" customWidth="1"/>
    <col min="5127" max="5127" width="19.42578125" style="132" customWidth="1"/>
    <col min="5128" max="5128" width="24.42578125" style="132" customWidth="1"/>
    <col min="5129" max="5129" width="28.140625" style="132" bestFit="1" customWidth="1"/>
    <col min="5130" max="5130" width="10.42578125" style="132" customWidth="1"/>
    <col min="5131" max="5132" width="10.140625" style="132" bestFit="1" customWidth="1"/>
    <col min="5133" max="5133" width="35.42578125" style="132" customWidth="1"/>
    <col min="5134" max="5134" width="9.42578125" style="132" bestFit="1" customWidth="1"/>
    <col min="5135" max="5140" width="12.42578125" style="132" customWidth="1"/>
    <col min="5141" max="5141" width="9.42578125" style="132" bestFit="1" customWidth="1"/>
    <col min="5142" max="5142" width="19.85546875" style="132" customWidth="1"/>
    <col min="5143" max="5143" width="21.42578125" style="132" customWidth="1"/>
    <col min="5144" max="5145" width="22.42578125" style="132" customWidth="1"/>
    <col min="5146" max="5146" width="17" style="132" bestFit="1" customWidth="1"/>
    <col min="5147" max="5147" width="12.42578125" style="132" customWidth="1"/>
    <col min="5148" max="5148" width="14.42578125" style="132" customWidth="1"/>
    <col min="5149" max="5149" width="41.140625" style="132" customWidth="1"/>
    <col min="5150" max="5150" width="10.140625" style="132" bestFit="1" customWidth="1"/>
    <col min="5151" max="5151" width="10.42578125" style="132" bestFit="1" customWidth="1"/>
    <col min="5152" max="5152" width="11.42578125" style="132" bestFit="1" customWidth="1"/>
    <col min="5153" max="5153" width="10.140625" style="132" bestFit="1" customWidth="1"/>
    <col min="5154" max="5154" width="10.42578125" style="132" bestFit="1" customWidth="1"/>
    <col min="5155" max="5155" width="22.42578125" style="132" bestFit="1" customWidth="1"/>
    <col min="5156" max="5158" width="10.140625" style="132" bestFit="1" customWidth="1"/>
    <col min="5159" max="5381" width="9" style="132"/>
    <col min="5382" max="5382" width="4.42578125" style="132" customWidth="1"/>
    <col min="5383" max="5383" width="19.42578125" style="132" customWidth="1"/>
    <col min="5384" max="5384" width="24.42578125" style="132" customWidth="1"/>
    <col min="5385" max="5385" width="28.140625" style="132" bestFit="1" customWidth="1"/>
    <col min="5386" max="5386" width="10.42578125" style="132" customWidth="1"/>
    <col min="5387" max="5388" width="10.140625" style="132" bestFit="1" customWidth="1"/>
    <col min="5389" max="5389" width="35.42578125" style="132" customWidth="1"/>
    <col min="5390" max="5390" width="9.42578125" style="132" bestFit="1" customWidth="1"/>
    <col min="5391" max="5396" width="12.42578125" style="132" customWidth="1"/>
    <col min="5397" max="5397" width="9.42578125" style="132" bestFit="1" customWidth="1"/>
    <col min="5398" max="5398" width="19.85546875" style="132" customWidth="1"/>
    <col min="5399" max="5399" width="21.42578125" style="132" customWidth="1"/>
    <col min="5400" max="5401" width="22.42578125" style="132" customWidth="1"/>
    <col min="5402" max="5402" width="17" style="132" bestFit="1" customWidth="1"/>
    <col min="5403" max="5403" width="12.42578125" style="132" customWidth="1"/>
    <col min="5404" max="5404" width="14.42578125" style="132" customWidth="1"/>
    <col min="5405" max="5405" width="41.140625" style="132" customWidth="1"/>
    <col min="5406" max="5406" width="10.140625" style="132" bestFit="1" customWidth="1"/>
    <col min="5407" max="5407" width="10.42578125" style="132" bestFit="1" customWidth="1"/>
    <col min="5408" max="5408" width="11.42578125" style="132" bestFit="1" customWidth="1"/>
    <col min="5409" max="5409" width="10.140625" style="132" bestFit="1" customWidth="1"/>
    <col min="5410" max="5410" width="10.42578125" style="132" bestFit="1" customWidth="1"/>
    <col min="5411" max="5411" width="22.42578125" style="132" bestFit="1" customWidth="1"/>
    <col min="5412" max="5414" width="10.140625" style="132" bestFit="1" customWidth="1"/>
    <col min="5415" max="5637" width="9" style="132"/>
    <col min="5638" max="5638" width="4.42578125" style="132" customWidth="1"/>
    <col min="5639" max="5639" width="19.42578125" style="132" customWidth="1"/>
    <col min="5640" max="5640" width="24.42578125" style="132" customWidth="1"/>
    <col min="5641" max="5641" width="28.140625" style="132" bestFit="1" customWidth="1"/>
    <col min="5642" max="5642" width="10.42578125" style="132" customWidth="1"/>
    <col min="5643" max="5644" width="10.140625" style="132" bestFit="1" customWidth="1"/>
    <col min="5645" max="5645" width="35.42578125" style="132" customWidth="1"/>
    <col min="5646" max="5646" width="9.42578125" style="132" bestFit="1" customWidth="1"/>
    <col min="5647" max="5652" width="12.42578125" style="132" customWidth="1"/>
    <col min="5653" max="5653" width="9.42578125" style="132" bestFit="1" customWidth="1"/>
    <col min="5654" max="5654" width="19.85546875" style="132" customWidth="1"/>
    <col min="5655" max="5655" width="21.42578125" style="132" customWidth="1"/>
    <col min="5656" max="5657" width="22.42578125" style="132" customWidth="1"/>
    <col min="5658" max="5658" width="17" style="132" bestFit="1" customWidth="1"/>
    <col min="5659" max="5659" width="12.42578125" style="132" customWidth="1"/>
    <col min="5660" max="5660" width="14.42578125" style="132" customWidth="1"/>
    <col min="5661" max="5661" width="41.140625" style="132" customWidth="1"/>
    <col min="5662" max="5662" width="10.140625" style="132" bestFit="1" customWidth="1"/>
    <col min="5663" max="5663" width="10.42578125" style="132" bestFit="1" customWidth="1"/>
    <col min="5664" max="5664" width="11.42578125" style="132" bestFit="1" customWidth="1"/>
    <col min="5665" max="5665" width="10.140625" style="132" bestFit="1" customWidth="1"/>
    <col min="5666" max="5666" width="10.42578125" style="132" bestFit="1" customWidth="1"/>
    <col min="5667" max="5667" width="22.42578125" style="132" bestFit="1" customWidth="1"/>
    <col min="5668" max="5670" width="10.140625" style="132" bestFit="1" customWidth="1"/>
    <col min="5671" max="5893" width="9" style="132"/>
    <col min="5894" max="5894" width="4.42578125" style="132" customWidth="1"/>
    <col min="5895" max="5895" width="19.42578125" style="132" customWidth="1"/>
    <col min="5896" max="5896" width="24.42578125" style="132" customWidth="1"/>
    <col min="5897" max="5897" width="28.140625" style="132" bestFit="1" customWidth="1"/>
    <col min="5898" max="5898" width="10.42578125" style="132" customWidth="1"/>
    <col min="5899" max="5900" width="10.140625" style="132" bestFit="1" customWidth="1"/>
    <col min="5901" max="5901" width="35.42578125" style="132" customWidth="1"/>
    <col min="5902" max="5902" width="9.42578125" style="132" bestFit="1" customWidth="1"/>
    <col min="5903" max="5908" width="12.42578125" style="132" customWidth="1"/>
    <col min="5909" max="5909" width="9.42578125" style="132" bestFit="1" customWidth="1"/>
    <col min="5910" max="5910" width="19.85546875" style="132" customWidth="1"/>
    <col min="5911" max="5911" width="21.42578125" style="132" customWidth="1"/>
    <col min="5912" max="5913" width="22.42578125" style="132" customWidth="1"/>
    <col min="5914" max="5914" width="17" style="132" bestFit="1" customWidth="1"/>
    <col min="5915" max="5915" width="12.42578125" style="132" customWidth="1"/>
    <col min="5916" max="5916" width="14.42578125" style="132" customWidth="1"/>
    <col min="5917" max="5917" width="41.140625" style="132" customWidth="1"/>
    <col min="5918" max="5918" width="10.140625" style="132" bestFit="1" customWidth="1"/>
    <col min="5919" max="5919" width="10.42578125" style="132" bestFit="1" customWidth="1"/>
    <col min="5920" max="5920" width="11.42578125" style="132" bestFit="1" customWidth="1"/>
    <col min="5921" max="5921" width="10.140625" style="132" bestFit="1" customWidth="1"/>
    <col min="5922" max="5922" width="10.42578125" style="132" bestFit="1" customWidth="1"/>
    <col min="5923" max="5923" width="22.42578125" style="132" bestFit="1" customWidth="1"/>
    <col min="5924" max="5926" width="10.140625" style="132" bestFit="1" customWidth="1"/>
    <col min="5927" max="6149" width="9" style="132"/>
    <col min="6150" max="6150" width="4.42578125" style="132" customWidth="1"/>
    <col min="6151" max="6151" width="19.42578125" style="132" customWidth="1"/>
    <col min="6152" max="6152" width="24.42578125" style="132" customWidth="1"/>
    <col min="6153" max="6153" width="28.140625" style="132" bestFit="1" customWidth="1"/>
    <col min="6154" max="6154" width="10.42578125" style="132" customWidth="1"/>
    <col min="6155" max="6156" width="10.140625" style="132" bestFit="1" customWidth="1"/>
    <col min="6157" max="6157" width="35.42578125" style="132" customWidth="1"/>
    <col min="6158" max="6158" width="9.42578125" style="132" bestFit="1" customWidth="1"/>
    <col min="6159" max="6164" width="12.42578125" style="132" customWidth="1"/>
    <col min="6165" max="6165" width="9.42578125" style="132" bestFit="1" customWidth="1"/>
    <col min="6166" max="6166" width="19.85546875" style="132" customWidth="1"/>
    <col min="6167" max="6167" width="21.42578125" style="132" customWidth="1"/>
    <col min="6168" max="6169" width="22.42578125" style="132" customWidth="1"/>
    <col min="6170" max="6170" width="17" style="132" bestFit="1" customWidth="1"/>
    <col min="6171" max="6171" width="12.42578125" style="132" customWidth="1"/>
    <col min="6172" max="6172" width="14.42578125" style="132" customWidth="1"/>
    <col min="6173" max="6173" width="41.140625" style="132" customWidth="1"/>
    <col min="6174" max="6174" width="10.140625" style="132" bestFit="1" customWidth="1"/>
    <col min="6175" max="6175" width="10.42578125" style="132" bestFit="1" customWidth="1"/>
    <col min="6176" max="6176" width="11.42578125" style="132" bestFit="1" customWidth="1"/>
    <col min="6177" max="6177" width="10.140625" style="132" bestFit="1" customWidth="1"/>
    <col min="6178" max="6178" width="10.42578125" style="132" bestFit="1" customWidth="1"/>
    <col min="6179" max="6179" width="22.42578125" style="132" bestFit="1" customWidth="1"/>
    <col min="6180" max="6182" width="10.140625" style="132" bestFit="1" customWidth="1"/>
    <col min="6183" max="6405" width="9" style="132"/>
    <col min="6406" max="6406" width="4.42578125" style="132" customWidth="1"/>
    <col min="6407" max="6407" width="19.42578125" style="132" customWidth="1"/>
    <col min="6408" max="6408" width="24.42578125" style="132" customWidth="1"/>
    <col min="6409" max="6409" width="28.140625" style="132" bestFit="1" customWidth="1"/>
    <col min="6410" max="6410" width="10.42578125" style="132" customWidth="1"/>
    <col min="6411" max="6412" width="10.140625" style="132" bestFit="1" customWidth="1"/>
    <col min="6413" max="6413" width="35.42578125" style="132" customWidth="1"/>
    <col min="6414" max="6414" width="9.42578125" style="132" bestFit="1" customWidth="1"/>
    <col min="6415" max="6420" width="12.42578125" style="132" customWidth="1"/>
    <col min="6421" max="6421" width="9.42578125" style="132" bestFit="1" customWidth="1"/>
    <col min="6422" max="6422" width="19.85546875" style="132" customWidth="1"/>
    <col min="6423" max="6423" width="21.42578125" style="132" customWidth="1"/>
    <col min="6424" max="6425" width="22.42578125" style="132" customWidth="1"/>
    <col min="6426" max="6426" width="17" style="132" bestFit="1" customWidth="1"/>
    <col min="6427" max="6427" width="12.42578125" style="132" customWidth="1"/>
    <col min="6428" max="6428" width="14.42578125" style="132" customWidth="1"/>
    <col min="6429" max="6429" width="41.140625" style="132" customWidth="1"/>
    <col min="6430" max="6430" width="10.140625" style="132" bestFit="1" customWidth="1"/>
    <col min="6431" max="6431" width="10.42578125" style="132" bestFit="1" customWidth="1"/>
    <col min="6432" max="6432" width="11.42578125" style="132" bestFit="1" customWidth="1"/>
    <col min="6433" max="6433" width="10.140625" style="132" bestFit="1" customWidth="1"/>
    <col min="6434" max="6434" width="10.42578125" style="132" bestFit="1" customWidth="1"/>
    <col min="6435" max="6435" width="22.42578125" style="132" bestFit="1" customWidth="1"/>
    <col min="6436" max="6438" width="10.140625" style="132" bestFit="1" customWidth="1"/>
    <col min="6439" max="6661" width="9" style="132"/>
    <col min="6662" max="6662" width="4.42578125" style="132" customWidth="1"/>
    <col min="6663" max="6663" width="19.42578125" style="132" customWidth="1"/>
    <col min="6664" max="6664" width="24.42578125" style="132" customWidth="1"/>
    <col min="6665" max="6665" width="28.140625" style="132" bestFit="1" customWidth="1"/>
    <col min="6666" max="6666" width="10.42578125" style="132" customWidth="1"/>
    <col min="6667" max="6668" width="10.140625" style="132" bestFit="1" customWidth="1"/>
    <col min="6669" max="6669" width="35.42578125" style="132" customWidth="1"/>
    <col min="6670" max="6670" width="9.42578125" style="132" bestFit="1" customWidth="1"/>
    <col min="6671" max="6676" width="12.42578125" style="132" customWidth="1"/>
    <col min="6677" max="6677" width="9.42578125" style="132" bestFit="1" customWidth="1"/>
    <col min="6678" max="6678" width="19.85546875" style="132" customWidth="1"/>
    <col min="6679" max="6679" width="21.42578125" style="132" customWidth="1"/>
    <col min="6680" max="6681" width="22.42578125" style="132" customWidth="1"/>
    <col min="6682" max="6682" width="17" style="132" bestFit="1" customWidth="1"/>
    <col min="6683" max="6683" width="12.42578125" style="132" customWidth="1"/>
    <col min="6684" max="6684" width="14.42578125" style="132" customWidth="1"/>
    <col min="6685" max="6685" width="41.140625" style="132" customWidth="1"/>
    <col min="6686" max="6686" width="10.140625" style="132" bestFit="1" customWidth="1"/>
    <col min="6687" max="6687" width="10.42578125" style="132" bestFit="1" customWidth="1"/>
    <col min="6688" max="6688" width="11.42578125" style="132" bestFit="1" customWidth="1"/>
    <col min="6689" max="6689" width="10.140625" style="132" bestFit="1" customWidth="1"/>
    <col min="6690" max="6690" width="10.42578125" style="132" bestFit="1" customWidth="1"/>
    <col min="6691" max="6691" width="22.42578125" style="132" bestFit="1" customWidth="1"/>
    <col min="6692" max="6694" width="10.140625" style="132" bestFit="1" customWidth="1"/>
    <col min="6695" max="6917" width="9" style="132"/>
    <col min="6918" max="6918" width="4.42578125" style="132" customWidth="1"/>
    <col min="6919" max="6919" width="19.42578125" style="132" customWidth="1"/>
    <col min="6920" max="6920" width="24.42578125" style="132" customWidth="1"/>
    <col min="6921" max="6921" width="28.140625" style="132" bestFit="1" customWidth="1"/>
    <col min="6922" max="6922" width="10.42578125" style="132" customWidth="1"/>
    <col min="6923" max="6924" width="10.140625" style="132" bestFit="1" customWidth="1"/>
    <col min="6925" max="6925" width="35.42578125" style="132" customWidth="1"/>
    <col min="6926" max="6926" width="9.42578125" style="132" bestFit="1" customWidth="1"/>
    <col min="6927" max="6932" width="12.42578125" style="132" customWidth="1"/>
    <col min="6933" max="6933" width="9.42578125" style="132" bestFit="1" customWidth="1"/>
    <col min="6934" max="6934" width="19.85546875" style="132" customWidth="1"/>
    <col min="6935" max="6935" width="21.42578125" style="132" customWidth="1"/>
    <col min="6936" max="6937" width="22.42578125" style="132" customWidth="1"/>
    <col min="6938" max="6938" width="17" style="132" bestFit="1" customWidth="1"/>
    <col min="6939" max="6939" width="12.42578125" style="132" customWidth="1"/>
    <col min="6940" max="6940" width="14.42578125" style="132" customWidth="1"/>
    <col min="6941" max="6941" width="41.140625" style="132" customWidth="1"/>
    <col min="6942" max="6942" width="10.140625" style="132" bestFit="1" customWidth="1"/>
    <col min="6943" max="6943" width="10.42578125" style="132" bestFit="1" customWidth="1"/>
    <col min="6944" max="6944" width="11.42578125" style="132" bestFit="1" customWidth="1"/>
    <col min="6945" max="6945" width="10.140625" style="132" bestFit="1" customWidth="1"/>
    <col min="6946" max="6946" width="10.42578125" style="132" bestFit="1" customWidth="1"/>
    <col min="6947" max="6947" width="22.42578125" style="132" bestFit="1" customWidth="1"/>
    <col min="6948" max="6950" width="10.140625" style="132" bestFit="1" customWidth="1"/>
    <col min="6951" max="7173" width="9" style="132"/>
    <col min="7174" max="7174" width="4.42578125" style="132" customWidth="1"/>
    <col min="7175" max="7175" width="19.42578125" style="132" customWidth="1"/>
    <col min="7176" max="7176" width="24.42578125" style="132" customWidth="1"/>
    <col min="7177" max="7177" width="28.140625" style="132" bestFit="1" customWidth="1"/>
    <col min="7178" max="7178" width="10.42578125" style="132" customWidth="1"/>
    <col min="7179" max="7180" width="10.140625" style="132" bestFit="1" customWidth="1"/>
    <col min="7181" max="7181" width="35.42578125" style="132" customWidth="1"/>
    <col min="7182" max="7182" width="9.42578125" style="132" bestFit="1" customWidth="1"/>
    <col min="7183" max="7188" width="12.42578125" style="132" customWidth="1"/>
    <col min="7189" max="7189" width="9.42578125" style="132" bestFit="1" customWidth="1"/>
    <col min="7190" max="7190" width="19.85546875" style="132" customWidth="1"/>
    <col min="7191" max="7191" width="21.42578125" style="132" customWidth="1"/>
    <col min="7192" max="7193" width="22.42578125" style="132" customWidth="1"/>
    <col min="7194" max="7194" width="17" style="132" bestFit="1" customWidth="1"/>
    <col min="7195" max="7195" width="12.42578125" style="132" customWidth="1"/>
    <col min="7196" max="7196" width="14.42578125" style="132" customWidth="1"/>
    <col min="7197" max="7197" width="41.140625" style="132" customWidth="1"/>
    <col min="7198" max="7198" width="10.140625" style="132" bestFit="1" customWidth="1"/>
    <col min="7199" max="7199" width="10.42578125" style="132" bestFit="1" customWidth="1"/>
    <col min="7200" max="7200" width="11.42578125" style="132" bestFit="1" customWidth="1"/>
    <col min="7201" max="7201" width="10.140625" style="132" bestFit="1" customWidth="1"/>
    <col min="7202" max="7202" width="10.42578125" style="132" bestFit="1" customWidth="1"/>
    <col min="7203" max="7203" width="22.42578125" style="132" bestFit="1" customWidth="1"/>
    <col min="7204" max="7206" width="10.140625" style="132" bestFit="1" customWidth="1"/>
    <col min="7207" max="7429" width="9" style="132"/>
    <col min="7430" max="7430" width="4.42578125" style="132" customWidth="1"/>
    <col min="7431" max="7431" width="19.42578125" style="132" customWidth="1"/>
    <col min="7432" max="7432" width="24.42578125" style="132" customWidth="1"/>
    <col min="7433" max="7433" width="28.140625" style="132" bestFit="1" customWidth="1"/>
    <col min="7434" max="7434" width="10.42578125" style="132" customWidth="1"/>
    <col min="7435" max="7436" width="10.140625" style="132" bestFit="1" customWidth="1"/>
    <col min="7437" max="7437" width="35.42578125" style="132" customWidth="1"/>
    <col min="7438" max="7438" width="9.42578125" style="132" bestFit="1" customWidth="1"/>
    <col min="7439" max="7444" width="12.42578125" style="132" customWidth="1"/>
    <col min="7445" max="7445" width="9.42578125" style="132" bestFit="1" customWidth="1"/>
    <col min="7446" max="7446" width="19.85546875" style="132" customWidth="1"/>
    <col min="7447" max="7447" width="21.42578125" style="132" customWidth="1"/>
    <col min="7448" max="7449" width="22.42578125" style="132" customWidth="1"/>
    <col min="7450" max="7450" width="17" style="132" bestFit="1" customWidth="1"/>
    <col min="7451" max="7451" width="12.42578125" style="132" customWidth="1"/>
    <col min="7452" max="7452" width="14.42578125" style="132" customWidth="1"/>
    <col min="7453" max="7453" width="41.140625" style="132" customWidth="1"/>
    <col min="7454" max="7454" width="10.140625" style="132" bestFit="1" customWidth="1"/>
    <col min="7455" max="7455" width="10.42578125" style="132" bestFit="1" customWidth="1"/>
    <col min="7456" max="7456" width="11.42578125" style="132" bestFit="1" customWidth="1"/>
    <col min="7457" max="7457" width="10.140625" style="132" bestFit="1" customWidth="1"/>
    <col min="7458" max="7458" width="10.42578125" style="132" bestFit="1" customWidth="1"/>
    <col min="7459" max="7459" width="22.42578125" style="132" bestFit="1" customWidth="1"/>
    <col min="7460" max="7462" width="10.140625" style="132" bestFit="1" customWidth="1"/>
    <col min="7463" max="7685" width="9" style="132"/>
    <col min="7686" max="7686" width="4.42578125" style="132" customWidth="1"/>
    <col min="7687" max="7687" width="19.42578125" style="132" customWidth="1"/>
    <col min="7688" max="7688" width="24.42578125" style="132" customWidth="1"/>
    <col min="7689" max="7689" width="28.140625" style="132" bestFit="1" customWidth="1"/>
    <col min="7690" max="7690" width="10.42578125" style="132" customWidth="1"/>
    <col min="7691" max="7692" width="10.140625" style="132" bestFit="1" customWidth="1"/>
    <col min="7693" max="7693" width="35.42578125" style="132" customWidth="1"/>
    <col min="7694" max="7694" width="9.42578125" style="132" bestFit="1" customWidth="1"/>
    <col min="7695" max="7700" width="12.42578125" style="132" customWidth="1"/>
    <col min="7701" max="7701" width="9.42578125" style="132" bestFit="1" customWidth="1"/>
    <col min="7702" max="7702" width="19.85546875" style="132" customWidth="1"/>
    <col min="7703" max="7703" width="21.42578125" style="132" customWidth="1"/>
    <col min="7704" max="7705" width="22.42578125" style="132" customWidth="1"/>
    <col min="7706" max="7706" width="17" style="132" bestFit="1" customWidth="1"/>
    <col min="7707" max="7707" width="12.42578125" style="132" customWidth="1"/>
    <col min="7708" max="7708" width="14.42578125" style="132" customWidth="1"/>
    <col min="7709" max="7709" width="41.140625" style="132" customWidth="1"/>
    <col min="7710" max="7710" width="10.140625" style="132" bestFit="1" customWidth="1"/>
    <col min="7711" max="7711" width="10.42578125" style="132" bestFit="1" customWidth="1"/>
    <col min="7712" max="7712" width="11.42578125" style="132" bestFit="1" customWidth="1"/>
    <col min="7713" max="7713" width="10.140625" style="132" bestFit="1" customWidth="1"/>
    <col min="7714" max="7714" width="10.42578125" style="132" bestFit="1" customWidth="1"/>
    <col min="7715" max="7715" width="22.42578125" style="132" bestFit="1" customWidth="1"/>
    <col min="7716" max="7718" width="10.140625" style="132" bestFit="1" customWidth="1"/>
    <col min="7719" max="7941" width="9" style="132"/>
    <col min="7942" max="7942" width="4.42578125" style="132" customWidth="1"/>
    <col min="7943" max="7943" width="19.42578125" style="132" customWidth="1"/>
    <col min="7944" max="7944" width="24.42578125" style="132" customWidth="1"/>
    <col min="7945" max="7945" width="28.140625" style="132" bestFit="1" customWidth="1"/>
    <col min="7946" max="7946" width="10.42578125" style="132" customWidth="1"/>
    <col min="7947" max="7948" width="10.140625" style="132" bestFit="1" customWidth="1"/>
    <col min="7949" max="7949" width="35.42578125" style="132" customWidth="1"/>
    <col min="7950" max="7950" width="9.42578125" style="132" bestFit="1" customWidth="1"/>
    <col min="7951" max="7956" width="12.42578125" style="132" customWidth="1"/>
    <col min="7957" max="7957" width="9.42578125" style="132" bestFit="1" customWidth="1"/>
    <col min="7958" max="7958" width="19.85546875" style="132" customWidth="1"/>
    <col min="7959" max="7959" width="21.42578125" style="132" customWidth="1"/>
    <col min="7960" max="7961" width="22.42578125" style="132" customWidth="1"/>
    <col min="7962" max="7962" width="17" style="132" bestFit="1" customWidth="1"/>
    <col min="7963" max="7963" width="12.42578125" style="132" customWidth="1"/>
    <col min="7964" max="7964" width="14.42578125" style="132" customWidth="1"/>
    <col min="7965" max="7965" width="41.140625" style="132" customWidth="1"/>
    <col min="7966" max="7966" width="10.140625" style="132" bestFit="1" customWidth="1"/>
    <col min="7967" max="7967" width="10.42578125" style="132" bestFit="1" customWidth="1"/>
    <col min="7968" max="7968" width="11.42578125" style="132" bestFit="1" customWidth="1"/>
    <col min="7969" max="7969" width="10.140625" style="132" bestFit="1" customWidth="1"/>
    <col min="7970" max="7970" width="10.42578125" style="132" bestFit="1" customWidth="1"/>
    <col min="7971" max="7971" width="22.42578125" style="132" bestFit="1" customWidth="1"/>
    <col min="7972" max="7974" width="10.140625" style="132" bestFit="1" customWidth="1"/>
    <col min="7975" max="8197" width="9" style="132"/>
    <col min="8198" max="8198" width="4.42578125" style="132" customWidth="1"/>
    <col min="8199" max="8199" width="19.42578125" style="132" customWidth="1"/>
    <col min="8200" max="8200" width="24.42578125" style="132" customWidth="1"/>
    <col min="8201" max="8201" width="28.140625" style="132" bestFit="1" customWidth="1"/>
    <col min="8202" max="8202" width="10.42578125" style="132" customWidth="1"/>
    <col min="8203" max="8204" width="10.140625" style="132" bestFit="1" customWidth="1"/>
    <col min="8205" max="8205" width="35.42578125" style="132" customWidth="1"/>
    <col min="8206" max="8206" width="9.42578125" style="132" bestFit="1" customWidth="1"/>
    <col min="8207" max="8212" width="12.42578125" style="132" customWidth="1"/>
    <col min="8213" max="8213" width="9.42578125" style="132" bestFit="1" customWidth="1"/>
    <col min="8214" max="8214" width="19.85546875" style="132" customWidth="1"/>
    <col min="8215" max="8215" width="21.42578125" style="132" customWidth="1"/>
    <col min="8216" max="8217" width="22.42578125" style="132" customWidth="1"/>
    <col min="8218" max="8218" width="17" style="132" bestFit="1" customWidth="1"/>
    <col min="8219" max="8219" width="12.42578125" style="132" customWidth="1"/>
    <col min="8220" max="8220" width="14.42578125" style="132" customWidth="1"/>
    <col min="8221" max="8221" width="41.140625" style="132" customWidth="1"/>
    <col min="8222" max="8222" width="10.140625" style="132" bestFit="1" customWidth="1"/>
    <col min="8223" max="8223" width="10.42578125" style="132" bestFit="1" customWidth="1"/>
    <col min="8224" max="8224" width="11.42578125" style="132" bestFit="1" customWidth="1"/>
    <col min="8225" max="8225" width="10.140625" style="132" bestFit="1" customWidth="1"/>
    <col min="8226" max="8226" width="10.42578125" style="132" bestFit="1" customWidth="1"/>
    <col min="8227" max="8227" width="22.42578125" style="132" bestFit="1" customWidth="1"/>
    <col min="8228" max="8230" width="10.140625" style="132" bestFit="1" customWidth="1"/>
    <col min="8231" max="8453" width="9" style="132"/>
    <col min="8454" max="8454" width="4.42578125" style="132" customWidth="1"/>
    <col min="8455" max="8455" width="19.42578125" style="132" customWidth="1"/>
    <col min="8456" max="8456" width="24.42578125" style="132" customWidth="1"/>
    <col min="8457" max="8457" width="28.140625" style="132" bestFit="1" customWidth="1"/>
    <col min="8458" max="8458" width="10.42578125" style="132" customWidth="1"/>
    <col min="8459" max="8460" width="10.140625" style="132" bestFit="1" customWidth="1"/>
    <col min="8461" max="8461" width="35.42578125" style="132" customWidth="1"/>
    <col min="8462" max="8462" width="9.42578125" style="132" bestFit="1" customWidth="1"/>
    <col min="8463" max="8468" width="12.42578125" style="132" customWidth="1"/>
    <col min="8469" max="8469" width="9.42578125" style="132" bestFit="1" customWidth="1"/>
    <col min="8470" max="8470" width="19.85546875" style="132" customWidth="1"/>
    <col min="8471" max="8471" width="21.42578125" style="132" customWidth="1"/>
    <col min="8472" max="8473" width="22.42578125" style="132" customWidth="1"/>
    <col min="8474" max="8474" width="17" style="132" bestFit="1" customWidth="1"/>
    <col min="8475" max="8475" width="12.42578125" style="132" customWidth="1"/>
    <col min="8476" max="8476" width="14.42578125" style="132" customWidth="1"/>
    <col min="8477" max="8477" width="41.140625" style="132" customWidth="1"/>
    <col min="8478" max="8478" width="10.140625" style="132" bestFit="1" customWidth="1"/>
    <col min="8479" max="8479" width="10.42578125" style="132" bestFit="1" customWidth="1"/>
    <col min="8480" max="8480" width="11.42578125" style="132" bestFit="1" customWidth="1"/>
    <col min="8481" max="8481" width="10.140625" style="132" bestFit="1" customWidth="1"/>
    <col min="8482" max="8482" width="10.42578125" style="132" bestFit="1" customWidth="1"/>
    <col min="8483" max="8483" width="22.42578125" style="132" bestFit="1" customWidth="1"/>
    <col min="8484" max="8486" width="10.140625" style="132" bestFit="1" customWidth="1"/>
    <col min="8487" max="8709" width="9" style="132"/>
    <col min="8710" max="8710" width="4.42578125" style="132" customWidth="1"/>
    <col min="8711" max="8711" width="19.42578125" style="132" customWidth="1"/>
    <col min="8712" max="8712" width="24.42578125" style="132" customWidth="1"/>
    <col min="8713" max="8713" width="28.140625" style="132" bestFit="1" customWidth="1"/>
    <col min="8714" max="8714" width="10.42578125" style="132" customWidth="1"/>
    <col min="8715" max="8716" width="10.140625" style="132" bestFit="1" customWidth="1"/>
    <col min="8717" max="8717" width="35.42578125" style="132" customWidth="1"/>
    <col min="8718" max="8718" width="9.42578125" style="132" bestFit="1" customWidth="1"/>
    <col min="8719" max="8724" width="12.42578125" style="132" customWidth="1"/>
    <col min="8725" max="8725" width="9.42578125" style="132" bestFit="1" customWidth="1"/>
    <col min="8726" max="8726" width="19.85546875" style="132" customWidth="1"/>
    <col min="8727" max="8727" width="21.42578125" style="132" customWidth="1"/>
    <col min="8728" max="8729" width="22.42578125" style="132" customWidth="1"/>
    <col min="8730" max="8730" width="17" style="132" bestFit="1" customWidth="1"/>
    <col min="8731" max="8731" width="12.42578125" style="132" customWidth="1"/>
    <col min="8732" max="8732" width="14.42578125" style="132" customWidth="1"/>
    <col min="8733" max="8733" width="41.140625" style="132" customWidth="1"/>
    <col min="8734" max="8734" width="10.140625" style="132" bestFit="1" customWidth="1"/>
    <col min="8735" max="8735" width="10.42578125" style="132" bestFit="1" customWidth="1"/>
    <col min="8736" max="8736" width="11.42578125" style="132" bestFit="1" customWidth="1"/>
    <col min="8737" max="8737" width="10.140625" style="132" bestFit="1" customWidth="1"/>
    <col min="8738" max="8738" width="10.42578125" style="132" bestFit="1" customWidth="1"/>
    <col min="8739" max="8739" width="22.42578125" style="132" bestFit="1" customWidth="1"/>
    <col min="8740" max="8742" width="10.140625" style="132" bestFit="1" customWidth="1"/>
    <col min="8743" max="8965" width="9" style="132"/>
    <col min="8966" max="8966" width="4.42578125" style="132" customWidth="1"/>
    <col min="8967" max="8967" width="19.42578125" style="132" customWidth="1"/>
    <col min="8968" max="8968" width="24.42578125" style="132" customWidth="1"/>
    <col min="8969" max="8969" width="28.140625" style="132" bestFit="1" customWidth="1"/>
    <col min="8970" max="8970" width="10.42578125" style="132" customWidth="1"/>
    <col min="8971" max="8972" width="10.140625" style="132" bestFit="1" customWidth="1"/>
    <col min="8973" max="8973" width="35.42578125" style="132" customWidth="1"/>
    <col min="8974" max="8974" width="9.42578125" style="132" bestFit="1" customWidth="1"/>
    <col min="8975" max="8980" width="12.42578125" style="132" customWidth="1"/>
    <col min="8981" max="8981" width="9.42578125" style="132" bestFit="1" customWidth="1"/>
    <col min="8982" max="8982" width="19.85546875" style="132" customWidth="1"/>
    <col min="8983" max="8983" width="21.42578125" style="132" customWidth="1"/>
    <col min="8984" max="8985" width="22.42578125" style="132" customWidth="1"/>
    <col min="8986" max="8986" width="17" style="132" bestFit="1" customWidth="1"/>
    <col min="8987" max="8987" width="12.42578125" style="132" customWidth="1"/>
    <col min="8988" max="8988" width="14.42578125" style="132" customWidth="1"/>
    <col min="8989" max="8989" width="41.140625" style="132" customWidth="1"/>
    <col min="8990" max="8990" width="10.140625" style="132" bestFit="1" customWidth="1"/>
    <col min="8991" max="8991" width="10.42578125" style="132" bestFit="1" customWidth="1"/>
    <col min="8992" max="8992" width="11.42578125" style="132" bestFit="1" customWidth="1"/>
    <col min="8993" max="8993" width="10.140625" style="132" bestFit="1" customWidth="1"/>
    <col min="8994" max="8994" width="10.42578125" style="132" bestFit="1" customWidth="1"/>
    <col min="8995" max="8995" width="22.42578125" style="132" bestFit="1" customWidth="1"/>
    <col min="8996" max="8998" width="10.140625" style="132" bestFit="1" customWidth="1"/>
    <col min="8999" max="9221" width="9" style="132"/>
    <col min="9222" max="9222" width="4.42578125" style="132" customWidth="1"/>
    <col min="9223" max="9223" width="19.42578125" style="132" customWidth="1"/>
    <col min="9224" max="9224" width="24.42578125" style="132" customWidth="1"/>
    <col min="9225" max="9225" width="28.140625" style="132" bestFit="1" customWidth="1"/>
    <col min="9226" max="9226" width="10.42578125" style="132" customWidth="1"/>
    <col min="9227" max="9228" width="10.140625" style="132" bestFit="1" customWidth="1"/>
    <col min="9229" max="9229" width="35.42578125" style="132" customWidth="1"/>
    <col min="9230" max="9230" width="9.42578125" style="132" bestFit="1" customWidth="1"/>
    <col min="9231" max="9236" width="12.42578125" style="132" customWidth="1"/>
    <col min="9237" max="9237" width="9.42578125" style="132" bestFit="1" customWidth="1"/>
    <col min="9238" max="9238" width="19.85546875" style="132" customWidth="1"/>
    <col min="9239" max="9239" width="21.42578125" style="132" customWidth="1"/>
    <col min="9240" max="9241" width="22.42578125" style="132" customWidth="1"/>
    <col min="9242" max="9242" width="17" style="132" bestFit="1" customWidth="1"/>
    <col min="9243" max="9243" width="12.42578125" style="132" customWidth="1"/>
    <col min="9244" max="9244" width="14.42578125" style="132" customWidth="1"/>
    <col min="9245" max="9245" width="41.140625" style="132" customWidth="1"/>
    <col min="9246" max="9246" width="10.140625" style="132" bestFit="1" customWidth="1"/>
    <col min="9247" max="9247" width="10.42578125" style="132" bestFit="1" customWidth="1"/>
    <col min="9248" max="9248" width="11.42578125" style="132" bestFit="1" customWidth="1"/>
    <col min="9249" max="9249" width="10.140625" style="132" bestFit="1" customWidth="1"/>
    <col min="9250" max="9250" width="10.42578125" style="132" bestFit="1" customWidth="1"/>
    <col min="9251" max="9251" width="22.42578125" style="132" bestFit="1" customWidth="1"/>
    <col min="9252" max="9254" width="10.140625" style="132" bestFit="1" customWidth="1"/>
    <col min="9255" max="9477" width="9" style="132"/>
    <col min="9478" max="9478" width="4.42578125" style="132" customWidth="1"/>
    <col min="9479" max="9479" width="19.42578125" style="132" customWidth="1"/>
    <col min="9480" max="9480" width="24.42578125" style="132" customWidth="1"/>
    <col min="9481" max="9481" width="28.140625" style="132" bestFit="1" customWidth="1"/>
    <col min="9482" max="9482" width="10.42578125" style="132" customWidth="1"/>
    <col min="9483" max="9484" width="10.140625" style="132" bestFit="1" customWidth="1"/>
    <col min="9485" max="9485" width="35.42578125" style="132" customWidth="1"/>
    <col min="9486" max="9486" width="9.42578125" style="132" bestFit="1" customWidth="1"/>
    <col min="9487" max="9492" width="12.42578125" style="132" customWidth="1"/>
    <col min="9493" max="9493" width="9.42578125" style="132" bestFit="1" customWidth="1"/>
    <col min="9494" max="9494" width="19.85546875" style="132" customWidth="1"/>
    <col min="9495" max="9495" width="21.42578125" style="132" customWidth="1"/>
    <col min="9496" max="9497" width="22.42578125" style="132" customWidth="1"/>
    <col min="9498" max="9498" width="17" style="132" bestFit="1" customWidth="1"/>
    <col min="9499" max="9499" width="12.42578125" style="132" customWidth="1"/>
    <col min="9500" max="9500" width="14.42578125" style="132" customWidth="1"/>
    <col min="9501" max="9501" width="41.140625" style="132" customWidth="1"/>
    <col min="9502" max="9502" width="10.140625" style="132" bestFit="1" customWidth="1"/>
    <col min="9503" max="9503" width="10.42578125" style="132" bestFit="1" customWidth="1"/>
    <col min="9504" max="9504" width="11.42578125" style="132" bestFit="1" customWidth="1"/>
    <col min="9505" max="9505" width="10.140625" style="132" bestFit="1" customWidth="1"/>
    <col min="9506" max="9506" width="10.42578125" style="132" bestFit="1" customWidth="1"/>
    <col min="9507" max="9507" width="22.42578125" style="132" bestFit="1" customWidth="1"/>
    <col min="9508" max="9510" width="10.140625" style="132" bestFit="1" customWidth="1"/>
    <col min="9511" max="9733" width="9" style="132"/>
    <col min="9734" max="9734" width="4.42578125" style="132" customWidth="1"/>
    <col min="9735" max="9735" width="19.42578125" style="132" customWidth="1"/>
    <col min="9736" max="9736" width="24.42578125" style="132" customWidth="1"/>
    <col min="9737" max="9737" width="28.140625" style="132" bestFit="1" customWidth="1"/>
    <col min="9738" max="9738" width="10.42578125" style="132" customWidth="1"/>
    <col min="9739" max="9740" width="10.140625" style="132" bestFit="1" customWidth="1"/>
    <col min="9741" max="9741" width="35.42578125" style="132" customWidth="1"/>
    <col min="9742" max="9742" width="9.42578125" style="132" bestFit="1" customWidth="1"/>
    <col min="9743" max="9748" width="12.42578125" style="132" customWidth="1"/>
    <col min="9749" max="9749" width="9.42578125" style="132" bestFit="1" customWidth="1"/>
    <col min="9750" max="9750" width="19.85546875" style="132" customWidth="1"/>
    <col min="9751" max="9751" width="21.42578125" style="132" customWidth="1"/>
    <col min="9752" max="9753" width="22.42578125" style="132" customWidth="1"/>
    <col min="9754" max="9754" width="17" style="132" bestFit="1" customWidth="1"/>
    <col min="9755" max="9755" width="12.42578125" style="132" customWidth="1"/>
    <col min="9756" max="9756" width="14.42578125" style="132" customWidth="1"/>
    <col min="9757" max="9757" width="41.140625" style="132" customWidth="1"/>
    <col min="9758" max="9758" width="10.140625" style="132" bestFit="1" customWidth="1"/>
    <col min="9759" max="9759" width="10.42578125" style="132" bestFit="1" customWidth="1"/>
    <col min="9760" max="9760" width="11.42578125" style="132" bestFit="1" customWidth="1"/>
    <col min="9761" max="9761" width="10.140625" style="132" bestFit="1" customWidth="1"/>
    <col min="9762" max="9762" width="10.42578125" style="132" bestFit="1" customWidth="1"/>
    <col min="9763" max="9763" width="22.42578125" style="132" bestFit="1" customWidth="1"/>
    <col min="9764" max="9766" width="10.140625" style="132" bestFit="1" customWidth="1"/>
    <col min="9767" max="9989" width="9" style="132"/>
    <col min="9990" max="9990" width="4.42578125" style="132" customWidth="1"/>
    <col min="9991" max="9991" width="19.42578125" style="132" customWidth="1"/>
    <col min="9992" max="9992" width="24.42578125" style="132" customWidth="1"/>
    <col min="9993" max="9993" width="28.140625" style="132" bestFit="1" customWidth="1"/>
    <col min="9994" max="9994" width="10.42578125" style="132" customWidth="1"/>
    <col min="9995" max="9996" width="10.140625" style="132" bestFit="1" customWidth="1"/>
    <col min="9997" max="9997" width="35.42578125" style="132" customWidth="1"/>
    <col min="9998" max="9998" width="9.42578125" style="132" bestFit="1" customWidth="1"/>
    <col min="9999" max="10004" width="12.42578125" style="132" customWidth="1"/>
    <col min="10005" max="10005" width="9.42578125" style="132" bestFit="1" customWidth="1"/>
    <col min="10006" max="10006" width="19.85546875" style="132" customWidth="1"/>
    <col min="10007" max="10007" width="21.42578125" style="132" customWidth="1"/>
    <col min="10008" max="10009" width="22.42578125" style="132" customWidth="1"/>
    <col min="10010" max="10010" width="17" style="132" bestFit="1" customWidth="1"/>
    <col min="10011" max="10011" width="12.42578125" style="132" customWidth="1"/>
    <col min="10012" max="10012" width="14.42578125" style="132" customWidth="1"/>
    <col min="10013" max="10013" width="41.140625" style="132" customWidth="1"/>
    <col min="10014" max="10014" width="10.140625" style="132" bestFit="1" customWidth="1"/>
    <col min="10015" max="10015" width="10.42578125" style="132" bestFit="1" customWidth="1"/>
    <col min="10016" max="10016" width="11.42578125" style="132" bestFit="1" customWidth="1"/>
    <col min="10017" max="10017" width="10.140625" style="132" bestFit="1" customWidth="1"/>
    <col min="10018" max="10018" width="10.42578125" style="132" bestFit="1" customWidth="1"/>
    <col min="10019" max="10019" width="22.42578125" style="132" bestFit="1" customWidth="1"/>
    <col min="10020" max="10022" width="10.140625" style="132" bestFit="1" customWidth="1"/>
    <col min="10023" max="10245" width="9" style="132"/>
    <col min="10246" max="10246" width="4.42578125" style="132" customWidth="1"/>
    <col min="10247" max="10247" width="19.42578125" style="132" customWidth="1"/>
    <col min="10248" max="10248" width="24.42578125" style="132" customWidth="1"/>
    <col min="10249" max="10249" width="28.140625" style="132" bestFit="1" customWidth="1"/>
    <col min="10250" max="10250" width="10.42578125" style="132" customWidth="1"/>
    <col min="10251" max="10252" width="10.140625" style="132" bestFit="1" customWidth="1"/>
    <col min="10253" max="10253" width="35.42578125" style="132" customWidth="1"/>
    <col min="10254" max="10254" width="9.42578125" style="132" bestFit="1" customWidth="1"/>
    <col min="10255" max="10260" width="12.42578125" style="132" customWidth="1"/>
    <col min="10261" max="10261" width="9.42578125" style="132" bestFit="1" customWidth="1"/>
    <col min="10262" max="10262" width="19.85546875" style="132" customWidth="1"/>
    <col min="10263" max="10263" width="21.42578125" style="132" customWidth="1"/>
    <col min="10264" max="10265" width="22.42578125" style="132" customWidth="1"/>
    <col min="10266" max="10266" width="17" style="132" bestFit="1" customWidth="1"/>
    <col min="10267" max="10267" width="12.42578125" style="132" customWidth="1"/>
    <col min="10268" max="10268" width="14.42578125" style="132" customWidth="1"/>
    <col min="10269" max="10269" width="41.140625" style="132" customWidth="1"/>
    <col min="10270" max="10270" width="10.140625" style="132" bestFit="1" customWidth="1"/>
    <col min="10271" max="10271" width="10.42578125" style="132" bestFit="1" customWidth="1"/>
    <col min="10272" max="10272" width="11.42578125" style="132" bestFit="1" customWidth="1"/>
    <col min="10273" max="10273" width="10.140625" style="132" bestFit="1" customWidth="1"/>
    <col min="10274" max="10274" width="10.42578125" style="132" bestFit="1" customWidth="1"/>
    <col min="10275" max="10275" width="22.42578125" style="132" bestFit="1" customWidth="1"/>
    <col min="10276" max="10278" width="10.140625" style="132" bestFit="1" customWidth="1"/>
    <col min="10279" max="10501" width="9" style="132"/>
    <col min="10502" max="10502" width="4.42578125" style="132" customWidth="1"/>
    <col min="10503" max="10503" width="19.42578125" style="132" customWidth="1"/>
    <col min="10504" max="10504" width="24.42578125" style="132" customWidth="1"/>
    <col min="10505" max="10505" width="28.140625" style="132" bestFit="1" customWidth="1"/>
    <col min="10506" max="10506" width="10.42578125" style="132" customWidth="1"/>
    <col min="10507" max="10508" width="10.140625" style="132" bestFit="1" customWidth="1"/>
    <col min="10509" max="10509" width="35.42578125" style="132" customWidth="1"/>
    <col min="10510" max="10510" width="9.42578125" style="132" bestFit="1" customWidth="1"/>
    <col min="10511" max="10516" width="12.42578125" style="132" customWidth="1"/>
    <col min="10517" max="10517" width="9.42578125" style="132" bestFit="1" customWidth="1"/>
    <col min="10518" max="10518" width="19.85546875" style="132" customWidth="1"/>
    <col min="10519" max="10519" width="21.42578125" style="132" customWidth="1"/>
    <col min="10520" max="10521" width="22.42578125" style="132" customWidth="1"/>
    <col min="10522" max="10522" width="17" style="132" bestFit="1" customWidth="1"/>
    <col min="10523" max="10523" width="12.42578125" style="132" customWidth="1"/>
    <col min="10524" max="10524" width="14.42578125" style="132" customWidth="1"/>
    <col min="10525" max="10525" width="41.140625" style="132" customWidth="1"/>
    <col min="10526" max="10526" width="10.140625" style="132" bestFit="1" customWidth="1"/>
    <col min="10527" max="10527" width="10.42578125" style="132" bestFit="1" customWidth="1"/>
    <col min="10528" max="10528" width="11.42578125" style="132" bestFit="1" customWidth="1"/>
    <col min="10529" max="10529" width="10.140625" style="132" bestFit="1" customWidth="1"/>
    <col min="10530" max="10530" width="10.42578125" style="132" bestFit="1" customWidth="1"/>
    <col min="10531" max="10531" width="22.42578125" style="132" bestFit="1" customWidth="1"/>
    <col min="10532" max="10534" width="10.140625" style="132" bestFit="1" customWidth="1"/>
    <col min="10535" max="10757" width="9" style="132"/>
    <col min="10758" max="10758" width="4.42578125" style="132" customWidth="1"/>
    <col min="10759" max="10759" width="19.42578125" style="132" customWidth="1"/>
    <col min="10760" max="10760" width="24.42578125" style="132" customWidth="1"/>
    <col min="10761" max="10761" width="28.140625" style="132" bestFit="1" customWidth="1"/>
    <col min="10762" max="10762" width="10.42578125" style="132" customWidth="1"/>
    <col min="10763" max="10764" width="10.140625" style="132" bestFit="1" customWidth="1"/>
    <col min="10765" max="10765" width="35.42578125" style="132" customWidth="1"/>
    <col min="10766" max="10766" width="9.42578125" style="132" bestFit="1" customWidth="1"/>
    <col min="10767" max="10772" width="12.42578125" style="132" customWidth="1"/>
    <col min="10773" max="10773" width="9.42578125" style="132" bestFit="1" customWidth="1"/>
    <col min="10774" max="10774" width="19.85546875" style="132" customWidth="1"/>
    <col min="10775" max="10775" width="21.42578125" style="132" customWidth="1"/>
    <col min="10776" max="10777" width="22.42578125" style="132" customWidth="1"/>
    <col min="10778" max="10778" width="17" style="132" bestFit="1" customWidth="1"/>
    <col min="10779" max="10779" width="12.42578125" style="132" customWidth="1"/>
    <col min="10780" max="10780" width="14.42578125" style="132" customWidth="1"/>
    <col min="10781" max="10781" width="41.140625" style="132" customWidth="1"/>
    <col min="10782" max="10782" width="10.140625" style="132" bestFit="1" customWidth="1"/>
    <col min="10783" max="10783" width="10.42578125" style="132" bestFit="1" customWidth="1"/>
    <col min="10784" max="10784" width="11.42578125" style="132" bestFit="1" customWidth="1"/>
    <col min="10785" max="10785" width="10.140625" style="132" bestFit="1" customWidth="1"/>
    <col min="10786" max="10786" width="10.42578125" style="132" bestFit="1" customWidth="1"/>
    <col min="10787" max="10787" width="22.42578125" style="132" bestFit="1" customWidth="1"/>
    <col min="10788" max="10790" width="10.140625" style="132" bestFit="1" customWidth="1"/>
    <col min="10791" max="11013" width="9" style="132"/>
    <col min="11014" max="11014" width="4.42578125" style="132" customWidth="1"/>
    <col min="11015" max="11015" width="19.42578125" style="132" customWidth="1"/>
    <col min="11016" max="11016" width="24.42578125" style="132" customWidth="1"/>
    <col min="11017" max="11017" width="28.140625" style="132" bestFit="1" customWidth="1"/>
    <col min="11018" max="11018" width="10.42578125" style="132" customWidth="1"/>
    <col min="11019" max="11020" width="10.140625" style="132" bestFit="1" customWidth="1"/>
    <col min="11021" max="11021" width="35.42578125" style="132" customWidth="1"/>
    <col min="11022" max="11022" width="9.42578125" style="132" bestFit="1" customWidth="1"/>
    <col min="11023" max="11028" width="12.42578125" style="132" customWidth="1"/>
    <col min="11029" max="11029" width="9.42578125" style="132" bestFit="1" customWidth="1"/>
    <col min="11030" max="11030" width="19.85546875" style="132" customWidth="1"/>
    <col min="11031" max="11031" width="21.42578125" style="132" customWidth="1"/>
    <col min="11032" max="11033" width="22.42578125" style="132" customWidth="1"/>
    <col min="11034" max="11034" width="17" style="132" bestFit="1" customWidth="1"/>
    <col min="11035" max="11035" width="12.42578125" style="132" customWidth="1"/>
    <col min="11036" max="11036" width="14.42578125" style="132" customWidth="1"/>
    <col min="11037" max="11037" width="41.140625" style="132" customWidth="1"/>
    <col min="11038" max="11038" width="10.140625" style="132" bestFit="1" customWidth="1"/>
    <col min="11039" max="11039" width="10.42578125" style="132" bestFit="1" customWidth="1"/>
    <col min="11040" max="11040" width="11.42578125" style="132" bestFit="1" customWidth="1"/>
    <col min="11041" max="11041" width="10.140625" style="132" bestFit="1" customWidth="1"/>
    <col min="11042" max="11042" width="10.42578125" style="132" bestFit="1" customWidth="1"/>
    <col min="11043" max="11043" width="22.42578125" style="132" bestFit="1" customWidth="1"/>
    <col min="11044" max="11046" width="10.140625" style="132" bestFit="1" customWidth="1"/>
    <col min="11047" max="11269" width="9" style="132"/>
    <col min="11270" max="11270" width="4.42578125" style="132" customWidth="1"/>
    <col min="11271" max="11271" width="19.42578125" style="132" customWidth="1"/>
    <col min="11272" max="11272" width="24.42578125" style="132" customWidth="1"/>
    <col min="11273" max="11273" width="28.140625" style="132" bestFit="1" customWidth="1"/>
    <col min="11274" max="11274" width="10.42578125" style="132" customWidth="1"/>
    <col min="11275" max="11276" width="10.140625" style="132" bestFit="1" customWidth="1"/>
    <col min="11277" max="11277" width="35.42578125" style="132" customWidth="1"/>
    <col min="11278" max="11278" width="9.42578125" style="132" bestFit="1" customWidth="1"/>
    <col min="11279" max="11284" width="12.42578125" style="132" customWidth="1"/>
    <col min="11285" max="11285" width="9.42578125" style="132" bestFit="1" customWidth="1"/>
    <col min="11286" max="11286" width="19.85546875" style="132" customWidth="1"/>
    <col min="11287" max="11287" width="21.42578125" style="132" customWidth="1"/>
    <col min="11288" max="11289" width="22.42578125" style="132" customWidth="1"/>
    <col min="11290" max="11290" width="17" style="132" bestFit="1" customWidth="1"/>
    <col min="11291" max="11291" width="12.42578125" style="132" customWidth="1"/>
    <col min="11292" max="11292" width="14.42578125" style="132" customWidth="1"/>
    <col min="11293" max="11293" width="41.140625" style="132" customWidth="1"/>
    <col min="11294" max="11294" width="10.140625" style="132" bestFit="1" customWidth="1"/>
    <col min="11295" max="11295" width="10.42578125" style="132" bestFit="1" customWidth="1"/>
    <col min="11296" max="11296" width="11.42578125" style="132" bestFit="1" customWidth="1"/>
    <col min="11297" max="11297" width="10.140625" style="132" bestFit="1" customWidth="1"/>
    <col min="11298" max="11298" width="10.42578125" style="132" bestFit="1" customWidth="1"/>
    <col min="11299" max="11299" width="22.42578125" style="132" bestFit="1" customWidth="1"/>
    <col min="11300" max="11302" width="10.140625" style="132" bestFit="1" customWidth="1"/>
    <col min="11303" max="11525" width="9" style="132"/>
    <col min="11526" max="11526" width="4.42578125" style="132" customWidth="1"/>
    <col min="11527" max="11527" width="19.42578125" style="132" customWidth="1"/>
    <col min="11528" max="11528" width="24.42578125" style="132" customWidth="1"/>
    <col min="11529" max="11529" width="28.140625" style="132" bestFit="1" customWidth="1"/>
    <col min="11530" max="11530" width="10.42578125" style="132" customWidth="1"/>
    <col min="11531" max="11532" width="10.140625" style="132" bestFit="1" customWidth="1"/>
    <col min="11533" max="11533" width="35.42578125" style="132" customWidth="1"/>
    <col min="11534" max="11534" width="9.42578125" style="132" bestFit="1" customWidth="1"/>
    <col min="11535" max="11540" width="12.42578125" style="132" customWidth="1"/>
    <col min="11541" max="11541" width="9.42578125" style="132" bestFit="1" customWidth="1"/>
    <col min="11542" max="11542" width="19.85546875" style="132" customWidth="1"/>
    <col min="11543" max="11543" width="21.42578125" style="132" customWidth="1"/>
    <col min="11544" max="11545" width="22.42578125" style="132" customWidth="1"/>
    <col min="11546" max="11546" width="17" style="132" bestFit="1" customWidth="1"/>
    <col min="11547" max="11547" width="12.42578125" style="132" customWidth="1"/>
    <col min="11548" max="11548" width="14.42578125" style="132" customWidth="1"/>
    <col min="11549" max="11549" width="41.140625" style="132" customWidth="1"/>
    <col min="11550" max="11550" width="10.140625" style="132" bestFit="1" customWidth="1"/>
    <col min="11551" max="11551" width="10.42578125" style="132" bestFit="1" customWidth="1"/>
    <col min="11552" max="11552" width="11.42578125" style="132" bestFit="1" customWidth="1"/>
    <col min="11553" max="11553" width="10.140625" style="132" bestFit="1" customWidth="1"/>
    <col min="11554" max="11554" width="10.42578125" style="132" bestFit="1" customWidth="1"/>
    <col min="11555" max="11555" width="22.42578125" style="132" bestFit="1" customWidth="1"/>
    <col min="11556" max="11558" width="10.140625" style="132" bestFit="1" customWidth="1"/>
    <col min="11559" max="11781" width="9" style="132"/>
    <col min="11782" max="11782" width="4.42578125" style="132" customWidth="1"/>
    <col min="11783" max="11783" width="19.42578125" style="132" customWidth="1"/>
    <col min="11784" max="11784" width="24.42578125" style="132" customWidth="1"/>
    <col min="11785" max="11785" width="28.140625" style="132" bestFit="1" customWidth="1"/>
    <col min="11786" max="11786" width="10.42578125" style="132" customWidth="1"/>
    <col min="11787" max="11788" width="10.140625" style="132" bestFit="1" customWidth="1"/>
    <col min="11789" max="11789" width="35.42578125" style="132" customWidth="1"/>
    <col min="11790" max="11790" width="9.42578125" style="132" bestFit="1" customWidth="1"/>
    <col min="11791" max="11796" width="12.42578125" style="132" customWidth="1"/>
    <col min="11797" max="11797" width="9.42578125" style="132" bestFit="1" customWidth="1"/>
    <col min="11798" max="11798" width="19.85546875" style="132" customWidth="1"/>
    <col min="11799" max="11799" width="21.42578125" style="132" customWidth="1"/>
    <col min="11800" max="11801" width="22.42578125" style="132" customWidth="1"/>
    <col min="11802" max="11802" width="17" style="132" bestFit="1" customWidth="1"/>
    <col min="11803" max="11803" width="12.42578125" style="132" customWidth="1"/>
    <col min="11804" max="11804" width="14.42578125" style="132" customWidth="1"/>
    <col min="11805" max="11805" width="41.140625" style="132" customWidth="1"/>
    <col min="11806" max="11806" width="10.140625" style="132" bestFit="1" customWidth="1"/>
    <col min="11807" max="11807" width="10.42578125" style="132" bestFit="1" customWidth="1"/>
    <col min="11808" max="11808" width="11.42578125" style="132" bestFit="1" customWidth="1"/>
    <col min="11809" max="11809" width="10.140625" style="132" bestFit="1" customWidth="1"/>
    <col min="11810" max="11810" width="10.42578125" style="132" bestFit="1" customWidth="1"/>
    <col min="11811" max="11811" width="22.42578125" style="132" bestFit="1" customWidth="1"/>
    <col min="11812" max="11814" width="10.140625" style="132" bestFit="1" customWidth="1"/>
    <col min="11815" max="12037" width="9" style="132"/>
    <col min="12038" max="12038" width="4.42578125" style="132" customWidth="1"/>
    <col min="12039" max="12039" width="19.42578125" style="132" customWidth="1"/>
    <col min="12040" max="12040" width="24.42578125" style="132" customWidth="1"/>
    <col min="12041" max="12041" width="28.140625" style="132" bestFit="1" customWidth="1"/>
    <col min="12042" max="12042" width="10.42578125" style="132" customWidth="1"/>
    <col min="12043" max="12044" width="10.140625" style="132" bestFit="1" customWidth="1"/>
    <col min="12045" max="12045" width="35.42578125" style="132" customWidth="1"/>
    <col min="12046" max="12046" width="9.42578125" style="132" bestFit="1" customWidth="1"/>
    <col min="12047" max="12052" width="12.42578125" style="132" customWidth="1"/>
    <col min="12053" max="12053" width="9.42578125" style="132" bestFit="1" customWidth="1"/>
    <col min="12054" max="12054" width="19.85546875" style="132" customWidth="1"/>
    <col min="12055" max="12055" width="21.42578125" style="132" customWidth="1"/>
    <col min="12056" max="12057" width="22.42578125" style="132" customWidth="1"/>
    <col min="12058" max="12058" width="17" style="132" bestFit="1" customWidth="1"/>
    <col min="12059" max="12059" width="12.42578125" style="132" customWidth="1"/>
    <col min="12060" max="12060" width="14.42578125" style="132" customWidth="1"/>
    <col min="12061" max="12061" width="41.140625" style="132" customWidth="1"/>
    <col min="12062" max="12062" width="10.140625" style="132" bestFit="1" customWidth="1"/>
    <col min="12063" max="12063" width="10.42578125" style="132" bestFit="1" customWidth="1"/>
    <col min="12064" max="12064" width="11.42578125" style="132" bestFit="1" customWidth="1"/>
    <col min="12065" max="12065" width="10.140625" style="132" bestFit="1" customWidth="1"/>
    <col min="12066" max="12066" width="10.42578125" style="132" bestFit="1" customWidth="1"/>
    <col min="12067" max="12067" width="22.42578125" style="132" bestFit="1" customWidth="1"/>
    <col min="12068" max="12070" width="10.140625" style="132" bestFit="1" customWidth="1"/>
    <col min="12071" max="12293" width="9" style="132"/>
    <col min="12294" max="12294" width="4.42578125" style="132" customWidth="1"/>
    <col min="12295" max="12295" width="19.42578125" style="132" customWidth="1"/>
    <col min="12296" max="12296" width="24.42578125" style="132" customWidth="1"/>
    <col min="12297" max="12297" width="28.140625" style="132" bestFit="1" customWidth="1"/>
    <col min="12298" max="12298" width="10.42578125" style="132" customWidth="1"/>
    <col min="12299" max="12300" width="10.140625" style="132" bestFit="1" customWidth="1"/>
    <col min="12301" max="12301" width="35.42578125" style="132" customWidth="1"/>
    <col min="12302" max="12302" width="9.42578125" style="132" bestFit="1" customWidth="1"/>
    <col min="12303" max="12308" width="12.42578125" style="132" customWidth="1"/>
    <col min="12309" max="12309" width="9.42578125" style="132" bestFit="1" customWidth="1"/>
    <col min="12310" max="12310" width="19.85546875" style="132" customWidth="1"/>
    <col min="12311" max="12311" width="21.42578125" style="132" customWidth="1"/>
    <col min="12312" max="12313" width="22.42578125" style="132" customWidth="1"/>
    <col min="12314" max="12314" width="17" style="132" bestFit="1" customWidth="1"/>
    <col min="12315" max="12315" width="12.42578125" style="132" customWidth="1"/>
    <col min="12316" max="12316" width="14.42578125" style="132" customWidth="1"/>
    <col min="12317" max="12317" width="41.140625" style="132" customWidth="1"/>
    <col min="12318" max="12318" width="10.140625" style="132" bestFit="1" customWidth="1"/>
    <col min="12319" max="12319" width="10.42578125" style="132" bestFit="1" customWidth="1"/>
    <col min="12320" max="12320" width="11.42578125" style="132" bestFit="1" customWidth="1"/>
    <col min="12321" max="12321" width="10.140625" style="132" bestFit="1" customWidth="1"/>
    <col min="12322" max="12322" width="10.42578125" style="132" bestFit="1" customWidth="1"/>
    <col min="12323" max="12323" width="22.42578125" style="132" bestFit="1" customWidth="1"/>
    <col min="12324" max="12326" width="10.140625" style="132" bestFit="1" customWidth="1"/>
    <col min="12327" max="12549" width="9" style="132"/>
    <col min="12550" max="12550" width="4.42578125" style="132" customWidth="1"/>
    <col min="12551" max="12551" width="19.42578125" style="132" customWidth="1"/>
    <col min="12552" max="12552" width="24.42578125" style="132" customWidth="1"/>
    <col min="12553" max="12553" width="28.140625" style="132" bestFit="1" customWidth="1"/>
    <col min="12554" max="12554" width="10.42578125" style="132" customWidth="1"/>
    <col min="12555" max="12556" width="10.140625" style="132" bestFit="1" customWidth="1"/>
    <col min="12557" max="12557" width="35.42578125" style="132" customWidth="1"/>
    <col min="12558" max="12558" width="9.42578125" style="132" bestFit="1" customWidth="1"/>
    <col min="12559" max="12564" width="12.42578125" style="132" customWidth="1"/>
    <col min="12565" max="12565" width="9.42578125" style="132" bestFit="1" customWidth="1"/>
    <col min="12566" max="12566" width="19.85546875" style="132" customWidth="1"/>
    <col min="12567" max="12567" width="21.42578125" style="132" customWidth="1"/>
    <col min="12568" max="12569" width="22.42578125" style="132" customWidth="1"/>
    <col min="12570" max="12570" width="17" style="132" bestFit="1" customWidth="1"/>
    <col min="12571" max="12571" width="12.42578125" style="132" customWidth="1"/>
    <col min="12572" max="12572" width="14.42578125" style="132" customWidth="1"/>
    <col min="12573" max="12573" width="41.140625" style="132" customWidth="1"/>
    <col min="12574" max="12574" width="10.140625" style="132" bestFit="1" customWidth="1"/>
    <col min="12575" max="12575" width="10.42578125" style="132" bestFit="1" customWidth="1"/>
    <col min="12576" max="12576" width="11.42578125" style="132" bestFit="1" customWidth="1"/>
    <col min="12577" max="12577" width="10.140625" style="132" bestFit="1" customWidth="1"/>
    <col min="12578" max="12578" width="10.42578125" style="132" bestFit="1" customWidth="1"/>
    <col min="12579" max="12579" width="22.42578125" style="132" bestFit="1" customWidth="1"/>
    <col min="12580" max="12582" width="10.140625" style="132" bestFit="1" customWidth="1"/>
    <col min="12583" max="12805" width="9" style="132"/>
    <col min="12806" max="12806" width="4.42578125" style="132" customWidth="1"/>
    <col min="12807" max="12807" width="19.42578125" style="132" customWidth="1"/>
    <col min="12808" max="12808" width="24.42578125" style="132" customWidth="1"/>
    <col min="12809" max="12809" width="28.140625" style="132" bestFit="1" customWidth="1"/>
    <col min="12810" max="12810" width="10.42578125" style="132" customWidth="1"/>
    <col min="12811" max="12812" width="10.140625" style="132" bestFit="1" customWidth="1"/>
    <col min="12813" max="12813" width="35.42578125" style="132" customWidth="1"/>
    <col min="12814" max="12814" width="9.42578125" style="132" bestFit="1" customWidth="1"/>
    <col min="12815" max="12820" width="12.42578125" style="132" customWidth="1"/>
    <col min="12821" max="12821" width="9.42578125" style="132" bestFit="1" customWidth="1"/>
    <col min="12822" max="12822" width="19.85546875" style="132" customWidth="1"/>
    <col min="12823" max="12823" width="21.42578125" style="132" customWidth="1"/>
    <col min="12824" max="12825" width="22.42578125" style="132" customWidth="1"/>
    <col min="12826" max="12826" width="17" style="132" bestFit="1" customWidth="1"/>
    <col min="12827" max="12827" width="12.42578125" style="132" customWidth="1"/>
    <col min="12828" max="12828" width="14.42578125" style="132" customWidth="1"/>
    <col min="12829" max="12829" width="41.140625" style="132" customWidth="1"/>
    <col min="12830" max="12830" width="10.140625" style="132" bestFit="1" customWidth="1"/>
    <col min="12831" max="12831" width="10.42578125" style="132" bestFit="1" customWidth="1"/>
    <col min="12832" max="12832" width="11.42578125" style="132" bestFit="1" customWidth="1"/>
    <col min="12833" max="12833" width="10.140625" style="132" bestFit="1" customWidth="1"/>
    <col min="12834" max="12834" width="10.42578125" style="132" bestFit="1" customWidth="1"/>
    <col min="12835" max="12835" width="22.42578125" style="132" bestFit="1" customWidth="1"/>
    <col min="12836" max="12838" width="10.140625" style="132" bestFit="1" customWidth="1"/>
    <col min="12839" max="13061" width="9" style="132"/>
    <col min="13062" max="13062" width="4.42578125" style="132" customWidth="1"/>
    <col min="13063" max="13063" width="19.42578125" style="132" customWidth="1"/>
    <col min="13064" max="13064" width="24.42578125" style="132" customWidth="1"/>
    <col min="13065" max="13065" width="28.140625" style="132" bestFit="1" customWidth="1"/>
    <col min="13066" max="13066" width="10.42578125" style="132" customWidth="1"/>
    <col min="13067" max="13068" width="10.140625" style="132" bestFit="1" customWidth="1"/>
    <col min="13069" max="13069" width="35.42578125" style="132" customWidth="1"/>
    <col min="13070" max="13070" width="9.42578125" style="132" bestFit="1" customWidth="1"/>
    <col min="13071" max="13076" width="12.42578125" style="132" customWidth="1"/>
    <col min="13077" max="13077" width="9.42578125" style="132" bestFit="1" customWidth="1"/>
    <col min="13078" max="13078" width="19.85546875" style="132" customWidth="1"/>
    <col min="13079" max="13079" width="21.42578125" style="132" customWidth="1"/>
    <col min="13080" max="13081" width="22.42578125" style="132" customWidth="1"/>
    <col min="13082" max="13082" width="17" style="132" bestFit="1" customWidth="1"/>
    <col min="13083" max="13083" width="12.42578125" style="132" customWidth="1"/>
    <col min="13084" max="13084" width="14.42578125" style="132" customWidth="1"/>
    <col min="13085" max="13085" width="41.140625" style="132" customWidth="1"/>
    <col min="13086" max="13086" width="10.140625" style="132" bestFit="1" customWidth="1"/>
    <col min="13087" max="13087" width="10.42578125" style="132" bestFit="1" customWidth="1"/>
    <col min="13088" max="13088" width="11.42578125" style="132" bestFit="1" customWidth="1"/>
    <col min="13089" max="13089" width="10.140625" style="132" bestFit="1" customWidth="1"/>
    <col min="13090" max="13090" width="10.42578125" style="132" bestFit="1" customWidth="1"/>
    <col min="13091" max="13091" width="22.42578125" style="132" bestFit="1" customWidth="1"/>
    <col min="13092" max="13094" width="10.140625" style="132" bestFit="1" customWidth="1"/>
    <col min="13095" max="13317" width="9" style="132"/>
    <col min="13318" max="13318" width="4.42578125" style="132" customWidth="1"/>
    <col min="13319" max="13319" width="19.42578125" style="132" customWidth="1"/>
    <col min="13320" max="13320" width="24.42578125" style="132" customWidth="1"/>
    <col min="13321" max="13321" width="28.140625" style="132" bestFit="1" customWidth="1"/>
    <col min="13322" max="13322" width="10.42578125" style="132" customWidth="1"/>
    <col min="13323" max="13324" width="10.140625" style="132" bestFit="1" customWidth="1"/>
    <col min="13325" max="13325" width="35.42578125" style="132" customWidth="1"/>
    <col min="13326" max="13326" width="9.42578125" style="132" bestFit="1" customWidth="1"/>
    <col min="13327" max="13332" width="12.42578125" style="132" customWidth="1"/>
    <col min="13333" max="13333" width="9.42578125" style="132" bestFit="1" customWidth="1"/>
    <col min="13334" max="13334" width="19.85546875" style="132" customWidth="1"/>
    <col min="13335" max="13335" width="21.42578125" style="132" customWidth="1"/>
    <col min="13336" max="13337" width="22.42578125" style="132" customWidth="1"/>
    <col min="13338" max="13338" width="17" style="132" bestFit="1" customWidth="1"/>
    <col min="13339" max="13339" width="12.42578125" style="132" customWidth="1"/>
    <col min="13340" max="13340" width="14.42578125" style="132" customWidth="1"/>
    <col min="13341" max="13341" width="41.140625" style="132" customWidth="1"/>
    <col min="13342" max="13342" width="10.140625" style="132" bestFit="1" customWidth="1"/>
    <col min="13343" max="13343" width="10.42578125" style="132" bestFit="1" customWidth="1"/>
    <col min="13344" max="13344" width="11.42578125" style="132" bestFit="1" customWidth="1"/>
    <col min="13345" max="13345" width="10.140625" style="132" bestFit="1" customWidth="1"/>
    <col min="13346" max="13346" width="10.42578125" style="132" bestFit="1" customWidth="1"/>
    <col min="13347" max="13347" width="22.42578125" style="132" bestFit="1" customWidth="1"/>
    <col min="13348" max="13350" width="10.140625" style="132" bestFit="1" customWidth="1"/>
    <col min="13351" max="13573" width="9" style="132"/>
    <col min="13574" max="13574" width="4.42578125" style="132" customWidth="1"/>
    <col min="13575" max="13575" width="19.42578125" style="132" customWidth="1"/>
    <col min="13576" max="13576" width="24.42578125" style="132" customWidth="1"/>
    <col min="13577" max="13577" width="28.140625" style="132" bestFit="1" customWidth="1"/>
    <col min="13578" max="13578" width="10.42578125" style="132" customWidth="1"/>
    <col min="13579" max="13580" width="10.140625" style="132" bestFit="1" customWidth="1"/>
    <col min="13581" max="13581" width="35.42578125" style="132" customWidth="1"/>
    <col min="13582" max="13582" width="9.42578125" style="132" bestFit="1" customWidth="1"/>
    <col min="13583" max="13588" width="12.42578125" style="132" customWidth="1"/>
    <col min="13589" max="13589" width="9.42578125" style="132" bestFit="1" customWidth="1"/>
    <col min="13590" max="13590" width="19.85546875" style="132" customWidth="1"/>
    <col min="13591" max="13591" width="21.42578125" style="132" customWidth="1"/>
    <col min="13592" max="13593" width="22.42578125" style="132" customWidth="1"/>
    <col min="13594" max="13594" width="17" style="132" bestFit="1" customWidth="1"/>
    <col min="13595" max="13595" width="12.42578125" style="132" customWidth="1"/>
    <col min="13596" max="13596" width="14.42578125" style="132" customWidth="1"/>
    <col min="13597" max="13597" width="41.140625" style="132" customWidth="1"/>
    <col min="13598" max="13598" width="10.140625" style="132" bestFit="1" customWidth="1"/>
    <col min="13599" max="13599" width="10.42578125" style="132" bestFit="1" customWidth="1"/>
    <col min="13600" max="13600" width="11.42578125" style="132" bestFit="1" customWidth="1"/>
    <col min="13601" max="13601" width="10.140625" style="132" bestFit="1" customWidth="1"/>
    <col min="13602" max="13602" width="10.42578125" style="132" bestFit="1" customWidth="1"/>
    <col min="13603" max="13603" width="22.42578125" style="132" bestFit="1" customWidth="1"/>
    <col min="13604" max="13606" width="10.140625" style="132" bestFit="1" customWidth="1"/>
    <col min="13607" max="13829" width="9" style="132"/>
    <col min="13830" max="13830" width="4.42578125" style="132" customWidth="1"/>
    <col min="13831" max="13831" width="19.42578125" style="132" customWidth="1"/>
    <col min="13832" max="13832" width="24.42578125" style="132" customWidth="1"/>
    <col min="13833" max="13833" width="28.140625" style="132" bestFit="1" customWidth="1"/>
    <col min="13834" max="13834" width="10.42578125" style="132" customWidth="1"/>
    <col min="13835" max="13836" width="10.140625" style="132" bestFit="1" customWidth="1"/>
    <col min="13837" max="13837" width="35.42578125" style="132" customWidth="1"/>
    <col min="13838" max="13838" width="9.42578125" style="132" bestFit="1" customWidth="1"/>
    <col min="13839" max="13844" width="12.42578125" style="132" customWidth="1"/>
    <col min="13845" max="13845" width="9.42578125" style="132" bestFit="1" customWidth="1"/>
    <col min="13846" max="13846" width="19.85546875" style="132" customWidth="1"/>
    <col min="13847" max="13847" width="21.42578125" style="132" customWidth="1"/>
    <col min="13848" max="13849" width="22.42578125" style="132" customWidth="1"/>
    <col min="13850" max="13850" width="17" style="132" bestFit="1" customWidth="1"/>
    <col min="13851" max="13851" width="12.42578125" style="132" customWidth="1"/>
    <col min="13852" max="13852" width="14.42578125" style="132" customWidth="1"/>
    <col min="13853" max="13853" width="41.140625" style="132" customWidth="1"/>
    <col min="13854" max="13854" width="10.140625" style="132" bestFit="1" customWidth="1"/>
    <col min="13855" max="13855" width="10.42578125" style="132" bestFit="1" customWidth="1"/>
    <col min="13856" max="13856" width="11.42578125" style="132" bestFit="1" customWidth="1"/>
    <col min="13857" max="13857" width="10.140625" style="132" bestFit="1" customWidth="1"/>
    <col min="13858" max="13858" width="10.42578125" style="132" bestFit="1" customWidth="1"/>
    <col min="13859" max="13859" width="22.42578125" style="132" bestFit="1" customWidth="1"/>
    <col min="13860" max="13862" width="10.140625" style="132" bestFit="1" customWidth="1"/>
    <col min="13863" max="14085" width="9" style="132"/>
    <col min="14086" max="14086" width="4.42578125" style="132" customWidth="1"/>
    <col min="14087" max="14087" width="19.42578125" style="132" customWidth="1"/>
    <col min="14088" max="14088" width="24.42578125" style="132" customWidth="1"/>
    <col min="14089" max="14089" width="28.140625" style="132" bestFit="1" customWidth="1"/>
    <col min="14090" max="14090" width="10.42578125" style="132" customWidth="1"/>
    <col min="14091" max="14092" width="10.140625" style="132" bestFit="1" customWidth="1"/>
    <col min="14093" max="14093" width="35.42578125" style="132" customWidth="1"/>
    <col min="14094" max="14094" width="9.42578125" style="132" bestFit="1" customWidth="1"/>
    <col min="14095" max="14100" width="12.42578125" style="132" customWidth="1"/>
    <col min="14101" max="14101" width="9.42578125" style="132" bestFit="1" customWidth="1"/>
    <col min="14102" max="14102" width="19.85546875" style="132" customWidth="1"/>
    <col min="14103" max="14103" width="21.42578125" style="132" customWidth="1"/>
    <col min="14104" max="14105" width="22.42578125" style="132" customWidth="1"/>
    <col min="14106" max="14106" width="17" style="132" bestFit="1" customWidth="1"/>
    <col min="14107" max="14107" width="12.42578125" style="132" customWidth="1"/>
    <col min="14108" max="14108" width="14.42578125" style="132" customWidth="1"/>
    <col min="14109" max="14109" width="41.140625" style="132" customWidth="1"/>
    <col min="14110" max="14110" width="10.140625" style="132" bestFit="1" customWidth="1"/>
    <col min="14111" max="14111" width="10.42578125" style="132" bestFit="1" customWidth="1"/>
    <col min="14112" max="14112" width="11.42578125" style="132" bestFit="1" customWidth="1"/>
    <col min="14113" max="14113" width="10.140625" style="132" bestFit="1" customWidth="1"/>
    <col min="14114" max="14114" width="10.42578125" style="132" bestFit="1" customWidth="1"/>
    <col min="14115" max="14115" width="22.42578125" style="132" bestFit="1" customWidth="1"/>
    <col min="14116" max="14118" width="10.140625" style="132" bestFit="1" customWidth="1"/>
    <col min="14119" max="14341" width="9" style="132"/>
    <col min="14342" max="14342" width="4.42578125" style="132" customWidth="1"/>
    <col min="14343" max="14343" width="19.42578125" style="132" customWidth="1"/>
    <col min="14344" max="14344" width="24.42578125" style="132" customWidth="1"/>
    <col min="14345" max="14345" width="28.140625" style="132" bestFit="1" customWidth="1"/>
    <col min="14346" max="14346" width="10.42578125" style="132" customWidth="1"/>
    <col min="14347" max="14348" width="10.140625" style="132" bestFit="1" customWidth="1"/>
    <col min="14349" max="14349" width="35.42578125" style="132" customWidth="1"/>
    <col min="14350" max="14350" width="9.42578125" style="132" bestFit="1" customWidth="1"/>
    <col min="14351" max="14356" width="12.42578125" style="132" customWidth="1"/>
    <col min="14357" max="14357" width="9.42578125" style="132" bestFit="1" customWidth="1"/>
    <col min="14358" max="14358" width="19.85546875" style="132" customWidth="1"/>
    <col min="14359" max="14359" width="21.42578125" style="132" customWidth="1"/>
    <col min="14360" max="14361" width="22.42578125" style="132" customWidth="1"/>
    <col min="14362" max="14362" width="17" style="132" bestFit="1" customWidth="1"/>
    <col min="14363" max="14363" width="12.42578125" style="132" customWidth="1"/>
    <col min="14364" max="14364" width="14.42578125" style="132" customWidth="1"/>
    <col min="14365" max="14365" width="41.140625" style="132" customWidth="1"/>
    <col min="14366" max="14366" width="10.140625" style="132" bestFit="1" customWidth="1"/>
    <col min="14367" max="14367" width="10.42578125" style="132" bestFit="1" customWidth="1"/>
    <col min="14368" max="14368" width="11.42578125" style="132" bestFit="1" customWidth="1"/>
    <col min="14369" max="14369" width="10.140625" style="132" bestFit="1" customWidth="1"/>
    <col min="14370" max="14370" width="10.42578125" style="132" bestFit="1" customWidth="1"/>
    <col min="14371" max="14371" width="22.42578125" style="132" bestFit="1" customWidth="1"/>
    <col min="14372" max="14374" width="10.140625" style="132" bestFit="1" customWidth="1"/>
    <col min="14375" max="14597" width="9" style="132"/>
    <col min="14598" max="14598" width="4.42578125" style="132" customWidth="1"/>
    <col min="14599" max="14599" width="19.42578125" style="132" customWidth="1"/>
    <col min="14600" max="14600" width="24.42578125" style="132" customWidth="1"/>
    <col min="14601" max="14601" width="28.140625" style="132" bestFit="1" customWidth="1"/>
    <col min="14602" max="14602" width="10.42578125" style="132" customWidth="1"/>
    <col min="14603" max="14604" width="10.140625" style="132" bestFit="1" customWidth="1"/>
    <col min="14605" max="14605" width="35.42578125" style="132" customWidth="1"/>
    <col min="14606" max="14606" width="9.42578125" style="132" bestFit="1" customWidth="1"/>
    <col min="14607" max="14612" width="12.42578125" style="132" customWidth="1"/>
    <col min="14613" max="14613" width="9.42578125" style="132" bestFit="1" customWidth="1"/>
    <col min="14614" max="14614" width="19.85546875" style="132" customWidth="1"/>
    <col min="14615" max="14615" width="21.42578125" style="132" customWidth="1"/>
    <col min="14616" max="14617" width="22.42578125" style="132" customWidth="1"/>
    <col min="14618" max="14618" width="17" style="132" bestFit="1" customWidth="1"/>
    <col min="14619" max="14619" width="12.42578125" style="132" customWidth="1"/>
    <col min="14620" max="14620" width="14.42578125" style="132" customWidth="1"/>
    <col min="14621" max="14621" width="41.140625" style="132" customWidth="1"/>
    <col min="14622" max="14622" width="10.140625" style="132" bestFit="1" customWidth="1"/>
    <col min="14623" max="14623" width="10.42578125" style="132" bestFit="1" customWidth="1"/>
    <col min="14624" max="14624" width="11.42578125" style="132" bestFit="1" customWidth="1"/>
    <col min="14625" max="14625" width="10.140625" style="132" bestFit="1" customWidth="1"/>
    <col min="14626" max="14626" width="10.42578125" style="132" bestFit="1" customWidth="1"/>
    <col min="14627" max="14627" width="22.42578125" style="132" bestFit="1" customWidth="1"/>
    <col min="14628" max="14630" width="10.140625" style="132" bestFit="1" customWidth="1"/>
    <col min="14631" max="14853" width="9" style="132"/>
    <col min="14854" max="14854" width="4.42578125" style="132" customWidth="1"/>
    <col min="14855" max="14855" width="19.42578125" style="132" customWidth="1"/>
    <col min="14856" max="14856" width="24.42578125" style="132" customWidth="1"/>
    <col min="14857" max="14857" width="28.140625" style="132" bestFit="1" customWidth="1"/>
    <col min="14858" max="14858" width="10.42578125" style="132" customWidth="1"/>
    <col min="14859" max="14860" width="10.140625" style="132" bestFit="1" customWidth="1"/>
    <col min="14861" max="14861" width="35.42578125" style="132" customWidth="1"/>
    <col min="14862" max="14862" width="9.42578125" style="132" bestFit="1" customWidth="1"/>
    <col min="14863" max="14868" width="12.42578125" style="132" customWidth="1"/>
    <col min="14869" max="14869" width="9.42578125" style="132" bestFit="1" customWidth="1"/>
    <col min="14870" max="14870" width="19.85546875" style="132" customWidth="1"/>
    <col min="14871" max="14871" width="21.42578125" style="132" customWidth="1"/>
    <col min="14872" max="14873" width="22.42578125" style="132" customWidth="1"/>
    <col min="14874" max="14874" width="17" style="132" bestFit="1" customWidth="1"/>
    <col min="14875" max="14875" width="12.42578125" style="132" customWidth="1"/>
    <col min="14876" max="14876" width="14.42578125" style="132" customWidth="1"/>
    <col min="14877" max="14877" width="41.140625" style="132" customWidth="1"/>
    <col min="14878" max="14878" width="10.140625" style="132" bestFit="1" customWidth="1"/>
    <col min="14879" max="14879" width="10.42578125" style="132" bestFit="1" customWidth="1"/>
    <col min="14880" max="14880" width="11.42578125" style="132" bestFit="1" customWidth="1"/>
    <col min="14881" max="14881" width="10.140625" style="132" bestFit="1" customWidth="1"/>
    <col min="14882" max="14882" width="10.42578125" style="132" bestFit="1" customWidth="1"/>
    <col min="14883" max="14883" width="22.42578125" style="132" bestFit="1" customWidth="1"/>
    <col min="14884" max="14886" width="10.140625" style="132" bestFit="1" customWidth="1"/>
    <col min="14887" max="15109" width="9" style="132"/>
    <col min="15110" max="15110" width="4.42578125" style="132" customWidth="1"/>
    <col min="15111" max="15111" width="19.42578125" style="132" customWidth="1"/>
    <col min="15112" max="15112" width="24.42578125" style="132" customWidth="1"/>
    <col min="15113" max="15113" width="28.140625" style="132" bestFit="1" customWidth="1"/>
    <col min="15114" max="15114" width="10.42578125" style="132" customWidth="1"/>
    <col min="15115" max="15116" width="10.140625" style="132" bestFit="1" customWidth="1"/>
    <col min="15117" max="15117" width="35.42578125" style="132" customWidth="1"/>
    <col min="15118" max="15118" width="9.42578125" style="132" bestFit="1" customWidth="1"/>
    <col min="15119" max="15124" width="12.42578125" style="132" customWidth="1"/>
    <col min="15125" max="15125" width="9.42578125" style="132" bestFit="1" customWidth="1"/>
    <col min="15126" max="15126" width="19.85546875" style="132" customWidth="1"/>
    <col min="15127" max="15127" width="21.42578125" style="132" customWidth="1"/>
    <col min="15128" max="15129" width="22.42578125" style="132" customWidth="1"/>
    <col min="15130" max="15130" width="17" style="132" bestFit="1" customWidth="1"/>
    <col min="15131" max="15131" width="12.42578125" style="132" customWidth="1"/>
    <col min="15132" max="15132" width="14.42578125" style="132" customWidth="1"/>
    <col min="15133" max="15133" width="41.140625" style="132" customWidth="1"/>
    <col min="15134" max="15134" width="10.140625" style="132" bestFit="1" customWidth="1"/>
    <col min="15135" max="15135" width="10.42578125" style="132" bestFit="1" customWidth="1"/>
    <col min="15136" max="15136" width="11.42578125" style="132" bestFit="1" customWidth="1"/>
    <col min="15137" max="15137" width="10.140625" style="132" bestFit="1" customWidth="1"/>
    <col min="15138" max="15138" width="10.42578125" style="132" bestFit="1" customWidth="1"/>
    <col min="15139" max="15139" width="22.42578125" style="132" bestFit="1" customWidth="1"/>
    <col min="15140" max="15142" width="10.140625" style="132" bestFit="1" customWidth="1"/>
    <col min="15143" max="15365" width="9" style="132"/>
    <col min="15366" max="15366" width="4.42578125" style="132" customWidth="1"/>
    <col min="15367" max="15367" width="19.42578125" style="132" customWidth="1"/>
    <col min="15368" max="15368" width="24.42578125" style="132" customWidth="1"/>
    <col min="15369" max="15369" width="28.140625" style="132" bestFit="1" customWidth="1"/>
    <col min="15370" max="15370" width="10.42578125" style="132" customWidth="1"/>
    <col min="15371" max="15372" width="10.140625" style="132" bestFit="1" customWidth="1"/>
    <col min="15373" max="15373" width="35.42578125" style="132" customWidth="1"/>
    <col min="15374" max="15374" width="9.42578125" style="132" bestFit="1" customWidth="1"/>
    <col min="15375" max="15380" width="12.42578125" style="132" customWidth="1"/>
    <col min="15381" max="15381" width="9.42578125" style="132" bestFit="1" customWidth="1"/>
    <col min="15382" max="15382" width="19.85546875" style="132" customWidth="1"/>
    <col min="15383" max="15383" width="21.42578125" style="132" customWidth="1"/>
    <col min="15384" max="15385" width="22.42578125" style="132" customWidth="1"/>
    <col min="15386" max="15386" width="17" style="132" bestFit="1" customWidth="1"/>
    <col min="15387" max="15387" width="12.42578125" style="132" customWidth="1"/>
    <col min="15388" max="15388" width="14.42578125" style="132" customWidth="1"/>
    <col min="15389" max="15389" width="41.140625" style="132" customWidth="1"/>
    <col min="15390" max="15390" width="10.140625" style="132" bestFit="1" customWidth="1"/>
    <col min="15391" max="15391" width="10.42578125" style="132" bestFit="1" customWidth="1"/>
    <col min="15392" max="15392" width="11.42578125" style="132" bestFit="1" customWidth="1"/>
    <col min="15393" max="15393" width="10.140625" style="132" bestFit="1" customWidth="1"/>
    <col min="15394" max="15394" width="10.42578125" style="132" bestFit="1" customWidth="1"/>
    <col min="15395" max="15395" width="22.42578125" style="132" bestFit="1" customWidth="1"/>
    <col min="15396" max="15398" width="10.140625" style="132" bestFit="1" customWidth="1"/>
    <col min="15399" max="15621" width="9" style="132"/>
    <col min="15622" max="15622" width="4.42578125" style="132" customWidth="1"/>
    <col min="15623" max="15623" width="19.42578125" style="132" customWidth="1"/>
    <col min="15624" max="15624" width="24.42578125" style="132" customWidth="1"/>
    <col min="15625" max="15625" width="28.140625" style="132" bestFit="1" customWidth="1"/>
    <col min="15626" max="15626" width="10.42578125" style="132" customWidth="1"/>
    <col min="15627" max="15628" width="10.140625" style="132" bestFit="1" customWidth="1"/>
    <col min="15629" max="15629" width="35.42578125" style="132" customWidth="1"/>
    <col min="15630" max="15630" width="9.42578125" style="132" bestFit="1" customWidth="1"/>
    <col min="15631" max="15636" width="12.42578125" style="132" customWidth="1"/>
    <col min="15637" max="15637" width="9.42578125" style="132" bestFit="1" customWidth="1"/>
    <col min="15638" max="15638" width="19.85546875" style="132" customWidth="1"/>
    <col min="15639" max="15639" width="21.42578125" style="132" customWidth="1"/>
    <col min="15640" max="15641" width="22.42578125" style="132" customWidth="1"/>
    <col min="15642" max="15642" width="17" style="132" bestFit="1" customWidth="1"/>
    <col min="15643" max="15643" width="12.42578125" style="132" customWidth="1"/>
    <col min="15644" max="15644" width="14.42578125" style="132" customWidth="1"/>
    <col min="15645" max="15645" width="41.140625" style="132" customWidth="1"/>
    <col min="15646" max="15646" width="10.140625" style="132" bestFit="1" customWidth="1"/>
    <col min="15647" max="15647" width="10.42578125" style="132" bestFit="1" customWidth="1"/>
    <col min="15648" max="15648" width="11.42578125" style="132" bestFit="1" customWidth="1"/>
    <col min="15649" max="15649" width="10.140625" style="132" bestFit="1" customWidth="1"/>
    <col min="15650" max="15650" width="10.42578125" style="132" bestFit="1" customWidth="1"/>
    <col min="15651" max="15651" width="22.42578125" style="132" bestFit="1" customWidth="1"/>
    <col min="15652" max="15654" width="10.140625" style="132" bestFit="1" customWidth="1"/>
    <col min="15655" max="15877" width="9" style="132"/>
    <col min="15878" max="15878" width="4.42578125" style="132" customWidth="1"/>
    <col min="15879" max="15879" width="19.42578125" style="132" customWidth="1"/>
    <col min="15880" max="15880" width="24.42578125" style="132" customWidth="1"/>
    <col min="15881" max="15881" width="28.140625" style="132" bestFit="1" customWidth="1"/>
    <col min="15882" max="15882" width="10.42578125" style="132" customWidth="1"/>
    <col min="15883" max="15884" width="10.140625" style="132" bestFit="1" customWidth="1"/>
    <col min="15885" max="15885" width="35.42578125" style="132" customWidth="1"/>
    <col min="15886" max="15886" width="9.42578125" style="132" bestFit="1" customWidth="1"/>
    <col min="15887" max="15892" width="12.42578125" style="132" customWidth="1"/>
    <col min="15893" max="15893" width="9.42578125" style="132" bestFit="1" customWidth="1"/>
    <col min="15894" max="15894" width="19.85546875" style="132" customWidth="1"/>
    <col min="15895" max="15895" width="21.42578125" style="132" customWidth="1"/>
    <col min="15896" max="15897" width="22.42578125" style="132" customWidth="1"/>
    <col min="15898" max="15898" width="17" style="132" bestFit="1" customWidth="1"/>
    <col min="15899" max="15899" width="12.42578125" style="132" customWidth="1"/>
    <col min="15900" max="15900" width="14.42578125" style="132" customWidth="1"/>
    <col min="15901" max="15901" width="41.140625" style="132" customWidth="1"/>
    <col min="15902" max="15902" width="10.140625" style="132" bestFit="1" customWidth="1"/>
    <col min="15903" max="15903" width="10.42578125" style="132" bestFit="1" customWidth="1"/>
    <col min="15904" max="15904" width="11.42578125" style="132" bestFit="1" customWidth="1"/>
    <col min="15905" max="15905" width="10.140625" style="132" bestFit="1" customWidth="1"/>
    <col min="15906" max="15906" width="10.42578125" style="132" bestFit="1" customWidth="1"/>
    <col min="15907" max="15907" width="22.42578125" style="132" bestFit="1" customWidth="1"/>
    <col min="15908" max="15910" width="10.140625" style="132" bestFit="1" customWidth="1"/>
    <col min="15911" max="16133" width="9" style="132"/>
    <col min="16134" max="16134" width="4.42578125" style="132" customWidth="1"/>
    <col min="16135" max="16135" width="19.42578125" style="132" customWidth="1"/>
    <col min="16136" max="16136" width="24.42578125" style="132" customWidth="1"/>
    <col min="16137" max="16137" width="28.140625" style="132" bestFit="1" customWidth="1"/>
    <col min="16138" max="16138" width="10.42578125" style="132" customWidth="1"/>
    <col min="16139" max="16140" width="10.140625" style="132" bestFit="1" customWidth="1"/>
    <col min="16141" max="16141" width="35.42578125" style="132" customWidth="1"/>
    <col min="16142" max="16142" width="9.42578125" style="132" bestFit="1" customWidth="1"/>
    <col min="16143" max="16148" width="12.42578125" style="132" customWidth="1"/>
    <col min="16149" max="16149" width="9.42578125" style="132" bestFit="1" customWidth="1"/>
    <col min="16150" max="16150" width="19.85546875" style="132" customWidth="1"/>
    <col min="16151" max="16151" width="21.42578125" style="132" customWidth="1"/>
    <col min="16152" max="16153" width="22.42578125" style="132" customWidth="1"/>
    <col min="16154" max="16154" width="17" style="132" bestFit="1" customWidth="1"/>
    <col min="16155" max="16155" width="12.42578125" style="132" customWidth="1"/>
    <col min="16156" max="16156" width="14.42578125" style="132" customWidth="1"/>
    <col min="16157" max="16157" width="41.140625" style="132" customWidth="1"/>
    <col min="16158" max="16158" width="10.140625" style="132" bestFit="1" customWidth="1"/>
    <col min="16159" max="16159" width="10.42578125" style="132" bestFit="1" customWidth="1"/>
    <col min="16160" max="16160" width="11.42578125" style="132" bestFit="1" customWidth="1"/>
    <col min="16161" max="16161" width="10.140625" style="132" bestFit="1" customWidth="1"/>
    <col min="16162" max="16162" width="10.42578125" style="132" bestFit="1" customWidth="1"/>
    <col min="16163" max="16163" width="22.42578125" style="132" bestFit="1" customWidth="1"/>
    <col min="16164" max="16166" width="10.140625" style="132" bestFit="1" customWidth="1"/>
    <col min="16167" max="16384" width="9" style="132"/>
  </cols>
  <sheetData>
    <row r="1" spans="1:40" ht="16.5" customHeight="1">
      <c r="A1" s="1550" t="s">
        <v>421</v>
      </c>
      <c r="B1" s="1550" t="s">
        <v>422</v>
      </c>
      <c r="C1" s="1550"/>
      <c r="D1" s="1550" t="s">
        <v>2</v>
      </c>
      <c r="E1" s="1550"/>
      <c r="F1" s="1550"/>
      <c r="G1" s="1550"/>
      <c r="H1" s="1550" t="s">
        <v>3</v>
      </c>
      <c r="I1" s="1550"/>
      <c r="J1" s="1550"/>
      <c r="K1" s="1550"/>
      <c r="L1" s="1550"/>
      <c r="M1" s="1550"/>
      <c r="N1" s="1550"/>
      <c r="O1" s="1550"/>
      <c r="P1" s="1550"/>
      <c r="Q1" s="1465" t="s">
        <v>4</v>
      </c>
      <c r="R1" s="1465"/>
      <c r="S1" s="1465"/>
      <c r="T1" s="1465"/>
      <c r="U1" s="1465"/>
      <c r="V1" s="1465"/>
      <c r="W1" s="1550" t="s">
        <v>423</v>
      </c>
      <c r="X1" s="1550"/>
      <c r="Y1" s="1550"/>
      <c r="Z1" s="1550"/>
      <c r="AA1" s="1550"/>
      <c r="AB1" s="1550"/>
      <c r="AC1" s="1550"/>
      <c r="AD1" s="1550"/>
      <c r="AE1" s="1550"/>
      <c r="AF1" s="1550"/>
      <c r="AG1" s="1550" t="s">
        <v>6</v>
      </c>
      <c r="AH1" s="1550"/>
      <c r="AI1" s="1550"/>
      <c r="AJ1" s="1550"/>
      <c r="AK1" s="1550"/>
      <c r="AL1" s="1550"/>
    </row>
    <row r="2" spans="1:40" ht="15">
      <c r="A2" s="1550"/>
      <c r="B2" s="1550"/>
      <c r="C2" s="1550"/>
      <c r="D2" s="1550" t="s">
        <v>7</v>
      </c>
      <c r="E2" s="1550" t="s">
        <v>8</v>
      </c>
      <c r="F2" s="1550" t="s">
        <v>9</v>
      </c>
      <c r="G2" s="1550" t="s">
        <v>10</v>
      </c>
      <c r="H2" s="1550" t="s">
        <v>11</v>
      </c>
      <c r="I2" s="1553" t="s">
        <v>12</v>
      </c>
      <c r="J2" s="1550" t="s">
        <v>13</v>
      </c>
      <c r="K2" s="1550"/>
      <c r="L2" s="1550"/>
      <c r="M2" s="1550" t="s">
        <v>14</v>
      </c>
      <c r="N2" s="1550"/>
      <c r="O2" s="1550"/>
      <c r="P2" s="1550" t="s">
        <v>15</v>
      </c>
      <c r="Q2" s="1465" t="s">
        <v>16</v>
      </c>
      <c r="R2" s="1465"/>
      <c r="S2" s="1465"/>
      <c r="T2" s="1465" t="s">
        <v>17</v>
      </c>
      <c r="U2" s="1465"/>
      <c r="V2" s="1465"/>
      <c r="W2" s="1550" t="s">
        <v>18</v>
      </c>
      <c r="X2" s="1550" t="s">
        <v>424</v>
      </c>
      <c r="Y2" s="1465" t="s">
        <v>20</v>
      </c>
      <c r="Z2" s="1465"/>
      <c r="AA2" s="1465"/>
      <c r="AB2" s="131" t="s">
        <v>21</v>
      </c>
      <c r="AC2" s="131" t="s">
        <v>22</v>
      </c>
      <c r="AD2" s="1550" t="s">
        <v>23</v>
      </c>
      <c r="AE2" s="1550"/>
      <c r="AF2" s="1550"/>
      <c r="AG2" s="1550" t="s">
        <v>26</v>
      </c>
      <c r="AH2" s="1550"/>
      <c r="AI2" s="1550" t="s">
        <v>27</v>
      </c>
      <c r="AJ2" s="1550" t="s">
        <v>28</v>
      </c>
      <c r="AK2" s="1550"/>
      <c r="AL2" s="1550" t="s">
        <v>425</v>
      </c>
    </row>
    <row r="3" spans="1:40" ht="15">
      <c r="A3" s="1551"/>
      <c r="B3" s="1551"/>
      <c r="C3" s="1551"/>
      <c r="D3" s="1551"/>
      <c r="E3" s="1551"/>
      <c r="F3" s="1551"/>
      <c r="G3" s="1551"/>
      <c r="H3" s="1551"/>
      <c r="I3" s="1554"/>
      <c r="J3" s="133" t="s">
        <v>8</v>
      </c>
      <c r="K3" s="133" t="s">
        <v>9</v>
      </c>
      <c r="L3" s="133" t="s">
        <v>10</v>
      </c>
      <c r="M3" s="133" t="s">
        <v>8</v>
      </c>
      <c r="N3" s="133" t="s">
        <v>9</v>
      </c>
      <c r="O3" s="133" t="s">
        <v>10</v>
      </c>
      <c r="P3" s="1551"/>
      <c r="Q3" s="134" t="s">
        <v>30</v>
      </c>
      <c r="R3" s="134" t="s">
        <v>9</v>
      </c>
      <c r="S3" s="134" t="s">
        <v>10</v>
      </c>
      <c r="T3" s="134" t="s">
        <v>31</v>
      </c>
      <c r="U3" s="134" t="s">
        <v>32</v>
      </c>
      <c r="V3" s="134" t="s">
        <v>33</v>
      </c>
      <c r="W3" s="1551"/>
      <c r="X3" s="1551"/>
      <c r="Y3" s="134" t="s">
        <v>8</v>
      </c>
      <c r="Z3" s="134" t="s">
        <v>9</v>
      </c>
      <c r="AA3" s="134" t="s">
        <v>10</v>
      </c>
      <c r="AB3" s="134" t="s">
        <v>34</v>
      </c>
      <c r="AC3" s="134" t="s">
        <v>35</v>
      </c>
      <c r="AD3" s="135" t="s">
        <v>8</v>
      </c>
      <c r="AE3" s="133" t="s">
        <v>9</v>
      </c>
      <c r="AF3" s="133" t="s">
        <v>10</v>
      </c>
      <c r="AG3" s="133" t="s">
        <v>36</v>
      </c>
      <c r="AH3" s="133" t="s">
        <v>37</v>
      </c>
      <c r="AI3" s="1551"/>
      <c r="AJ3" s="136" t="s">
        <v>38</v>
      </c>
      <c r="AK3" s="133" t="s">
        <v>39</v>
      </c>
      <c r="AL3" s="1551"/>
    </row>
    <row r="4" spans="1:40" ht="15">
      <c r="A4" s="1537">
        <v>1</v>
      </c>
      <c r="B4" s="137" t="s">
        <v>40</v>
      </c>
      <c r="C4" s="138" t="s">
        <v>426</v>
      </c>
      <c r="D4" s="1338" t="s">
        <v>42</v>
      </c>
      <c r="E4" s="606">
        <v>45720</v>
      </c>
      <c r="F4" s="606">
        <v>45720</v>
      </c>
      <c r="G4" s="606">
        <v>45720</v>
      </c>
      <c r="H4" s="1338" t="s">
        <v>427</v>
      </c>
      <c r="I4" s="1339" t="s">
        <v>428</v>
      </c>
      <c r="J4" s="1340">
        <v>45777</v>
      </c>
      <c r="K4" s="1340">
        <v>45789</v>
      </c>
      <c r="L4" s="1340">
        <v>45742</v>
      </c>
      <c r="M4" s="1340">
        <v>45946</v>
      </c>
      <c r="N4" s="819">
        <v>45900</v>
      </c>
      <c r="O4" s="1340">
        <v>45883</v>
      </c>
      <c r="P4" s="1338" t="s">
        <v>429</v>
      </c>
      <c r="Q4" s="835" t="s">
        <v>59</v>
      </c>
      <c r="R4" s="819">
        <v>45874</v>
      </c>
      <c r="S4" s="819">
        <v>45874</v>
      </c>
      <c r="T4" s="835" t="s">
        <v>430</v>
      </c>
      <c r="U4" s="819">
        <v>45874</v>
      </c>
      <c r="V4" s="835" t="s">
        <v>47</v>
      </c>
      <c r="W4" s="1341" t="s">
        <v>431</v>
      </c>
      <c r="X4" s="1342" t="s">
        <v>432</v>
      </c>
      <c r="Y4" s="819">
        <v>45853</v>
      </c>
      <c r="Z4" s="819">
        <v>45943</v>
      </c>
      <c r="AA4" s="819">
        <v>45943</v>
      </c>
      <c r="AB4" s="819" t="s">
        <v>433</v>
      </c>
      <c r="AC4" s="819" t="s">
        <v>434</v>
      </c>
      <c r="AD4" s="1340">
        <v>46060</v>
      </c>
      <c r="AE4" s="1340">
        <v>46079</v>
      </c>
      <c r="AF4" s="1340">
        <v>46079</v>
      </c>
      <c r="AG4" s="396">
        <v>46144</v>
      </c>
      <c r="AH4" s="248">
        <v>46145</v>
      </c>
      <c r="AI4" s="521" t="s">
        <v>435</v>
      </c>
      <c r="AJ4" s="396">
        <v>46221</v>
      </c>
      <c r="AK4" s="246"/>
      <c r="AL4" s="389">
        <v>46121</v>
      </c>
      <c r="AM4" s="905" t="s">
        <v>436</v>
      </c>
      <c r="AN4" s="1127" t="s">
        <v>128</v>
      </c>
    </row>
    <row r="5" spans="1:40" ht="17.25" customHeight="1">
      <c r="A5" s="1538"/>
      <c r="B5" s="142" t="s">
        <v>52</v>
      </c>
      <c r="C5" s="115" t="s">
        <v>437</v>
      </c>
      <c r="D5" s="604" t="s">
        <v>438</v>
      </c>
      <c r="E5" s="603">
        <v>45727</v>
      </c>
      <c r="F5" s="603">
        <v>45734</v>
      </c>
      <c r="G5" s="603">
        <v>45730</v>
      </c>
      <c r="H5" s="604" t="s">
        <v>427</v>
      </c>
      <c r="I5" s="1339" t="s">
        <v>439</v>
      </c>
      <c r="J5" s="603">
        <v>45777</v>
      </c>
      <c r="K5" s="603">
        <v>45789</v>
      </c>
      <c r="L5" s="603">
        <v>45742</v>
      </c>
      <c r="M5" s="603">
        <v>45946</v>
      </c>
      <c r="N5" s="595">
        <v>45973</v>
      </c>
      <c r="O5" s="603">
        <v>45968</v>
      </c>
      <c r="P5" s="604" t="s">
        <v>429</v>
      </c>
      <c r="Q5" s="597" t="s">
        <v>440</v>
      </c>
      <c r="R5" s="593">
        <v>45978</v>
      </c>
      <c r="S5" s="593">
        <v>45978</v>
      </c>
      <c r="T5" s="597" t="s">
        <v>441</v>
      </c>
      <c r="U5" s="593">
        <v>45978</v>
      </c>
      <c r="V5" s="597" t="s">
        <v>47</v>
      </c>
      <c r="W5" s="607" t="s">
        <v>442</v>
      </c>
      <c r="X5" s="604" t="s">
        <v>443</v>
      </c>
      <c r="Y5" s="595">
        <v>45853</v>
      </c>
      <c r="Z5" s="595">
        <v>45943</v>
      </c>
      <c r="AA5" s="595">
        <v>45943</v>
      </c>
      <c r="AB5" s="595" t="s">
        <v>433</v>
      </c>
      <c r="AC5" s="595" t="s">
        <v>434</v>
      </c>
      <c r="AD5" s="603">
        <v>46060</v>
      </c>
      <c r="AE5" s="603">
        <v>46079</v>
      </c>
      <c r="AF5" s="603">
        <v>46079</v>
      </c>
      <c r="AG5" s="245">
        <v>46144</v>
      </c>
      <c r="AH5" s="248">
        <v>46145</v>
      </c>
      <c r="AI5" s="522" t="s">
        <v>435</v>
      </c>
      <c r="AJ5" s="245">
        <v>46221</v>
      </c>
      <c r="AK5" s="244"/>
      <c r="AL5" s="390">
        <v>46114</v>
      </c>
      <c r="AM5" s="905" t="s">
        <v>436</v>
      </c>
      <c r="AN5" s="1127" t="s">
        <v>128</v>
      </c>
    </row>
    <row r="6" spans="1:40" ht="15.75" customHeight="1">
      <c r="A6" s="1538"/>
      <c r="B6" s="142" t="s">
        <v>64</v>
      </c>
      <c r="C6" s="116">
        <v>5000106307</v>
      </c>
      <c r="D6" s="604" t="s">
        <v>65</v>
      </c>
      <c r="E6" s="603">
        <v>45777</v>
      </c>
      <c r="F6" s="603">
        <v>45789</v>
      </c>
      <c r="G6" s="603">
        <v>45789</v>
      </c>
      <c r="H6" s="604" t="s">
        <v>444</v>
      </c>
      <c r="I6" s="600" t="s">
        <v>445</v>
      </c>
      <c r="J6" s="603">
        <v>45777</v>
      </c>
      <c r="K6" s="603">
        <v>45789</v>
      </c>
      <c r="L6" s="603">
        <v>45789</v>
      </c>
      <c r="M6" s="603">
        <v>45927</v>
      </c>
      <c r="N6" s="595">
        <v>45991</v>
      </c>
      <c r="O6" s="603">
        <v>45981</v>
      </c>
      <c r="P6" s="604" t="s">
        <v>446</v>
      </c>
      <c r="Q6" s="597" t="s">
        <v>447</v>
      </c>
      <c r="R6" s="595">
        <v>46017</v>
      </c>
      <c r="S6" s="595">
        <v>46017</v>
      </c>
      <c r="T6" s="597" t="s">
        <v>448</v>
      </c>
      <c r="U6" s="595">
        <v>46017</v>
      </c>
      <c r="V6" s="597" t="s">
        <v>47</v>
      </c>
      <c r="W6" s="607"/>
      <c r="X6" s="604"/>
      <c r="Y6" s="595"/>
      <c r="Z6" s="595"/>
      <c r="AA6" s="595"/>
      <c r="AB6" s="595"/>
      <c r="AC6" s="595"/>
      <c r="AD6" s="603"/>
      <c r="AE6" s="603"/>
      <c r="AF6" s="603"/>
      <c r="AG6" s="245"/>
      <c r="AH6" s="245"/>
      <c r="AI6" s="522"/>
      <c r="AJ6" s="245"/>
      <c r="AK6" s="245"/>
      <c r="AL6" s="903"/>
      <c r="AM6" s="905" t="s">
        <v>449</v>
      </c>
    </row>
    <row r="7" spans="1:40" ht="15.75" customHeight="1">
      <c r="A7" s="1538"/>
      <c r="B7" s="142" t="s">
        <v>74</v>
      </c>
      <c r="C7" s="116">
        <v>2</v>
      </c>
      <c r="D7" s="604" t="s">
        <v>450</v>
      </c>
      <c r="E7" s="603">
        <v>45910</v>
      </c>
      <c r="F7" s="603">
        <v>45950</v>
      </c>
      <c r="G7" s="603" t="s">
        <v>451</v>
      </c>
      <c r="H7" s="604" t="s">
        <v>452</v>
      </c>
      <c r="I7" s="600" t="s">
        <v>56</v>
      </c>
      <c r="J7" s="603">
        <v>45736</v>
      </c>
      <c r="K7" s="603">
        <v>45789</v>
      </c>
      <c r="L7" s="603">
        <v>45770</v>
      </c>
      <c r="M7" s="603">
        <v>45946</v>
      </c>
      <c r="N7" s="595">
        <v>45950</v>
      </c>
      <c r="O7" s="603">
        <v>45940</v>
      </c>
      <c r="P7" s="604" t="s">
        <v>453</v>
      </c>
      <c r="Q7" s="597" t="s">
        <v>454</v>
      </c>
      <c r="R7" s="595">
        <v>46017</v>
      </c>
      <c r="S7" s="595">
        <v>46017</v>
      </c>
      <c r="T7" s="597" t="s">
        <v>448</v>
      </c>
      <c r="U7" s="595">
        <v>46017</v>
      </c>
      <c r="V7" s="597" t="s">
        <v>47</v>
      </c>
      <c r="W7" s="607"/>
      <c r="X7" s="604"/>
      <c r="Y7" s="595"/>
      <c r="Z7" s="595"/>
      <c r="AA7" s="595"/>
      <c r="AB7" s="595"/>
      <c r="AC7" s="595"/>
      <c r="AD7" s="603"/>
      <c r="AE7" s="603"/>
      <c r="AF7" s="603"/>
      <c r="AG7" s="245"/>
      <c r="AH7" s="245"/>
      <c r="AI7" s="522"/>
      <c r="AJ7" s="245"/>
      <c r="AK7" s="245"/>
      <c r="AL7" s="903"/>
    </row>
    <row r="8" spans="1:40" ht="15.75" customHeight="1">
      <c r="A8" s="1538"/>
      <c r="B8" s="142" t="s">
        <v>83</v>
      </c>
      <c r="C8" s="116" t="s">
        <v>455</v>
      </c>
      <c r="D8" s="604" t="s">
        <v>75</v>
      </c>
      <c r="E8" s="603">
        <v>45946</v>
      </c>
      <c r="F8" s="603">
        <v>45946</v>
      </c>
      <c r="G8" s="1350" t="s">
        <v>456</v>
      </c>
      <c r="H8" s="604" t="s">
        <v>457</v>
      </c>
      <c r="I8" s="1339" t="s">
        <v>458</v>
      </c>
      <c r="J8" s="603">
        <v>45863</v>
      </c>
      <c r="K8" s="603">
        <v>45838</v>
      </c>
      <c r="L8" s="603">
        <v>45834</v>
      </c>
      <c r="M8" s="603">
        <v>45923</v>
      </c>
      <c r="N8" s="595">
        <v>45970</v>
      </c>
      <c r="O8" s="603">
        <v>45965</v>
      </c>
      <c r="P8" s="604" t="s">
        <v>459</v>
      </c>
      <c r="Q8" s="597" t="s">
        <v>460</v>
      </c>
      <c r="R8" s="595">
        <v>46021</v>
      </c>
      <c r="S8" s="595">
        <v>46021</v>
      </c>
      <c r="T8" s="597" t="s">
        <v>461</v>
      </c>
      <c r="U8" s="595">
        <v>46021</v>
      </c>
      <c r="V8" s="597" t="s">
        <v>47</v>
      </c>
      <c r="W8" s="607"/>
      <c r="X8" s="604"/>
      <c r="Y8" s="595"/>
      <c r="Z8" s="595"/>
      <c r="AA8" s="595"/>
      <c r="AB8" s="595"/>
      <c r="AC8" s="595"/>
      <c r="AD8" s="603"/>
      <c r="AE8" s="603"/>
      <c r="AF8" s="603"/>
      <c r="AG8" s="245"/>
      <c r="AH8" s="245"/>
      <c r="AI8" s="522"/>
      <c r="AJ8" s="244"/>
      <c r="AK8" s="244"/>
      <c r="AL8" s="390"/>
    </row>
    <row r="9" spans="1:40" ht="15.75" customHeight="1">
      <c r="A9" s="1538"/>
      <c r="B9" s="142" t="s">
        <v>95</v>
      </c>
      <c r="C9" s="151">
        <v>46070</v>
      </c>
      <c r="D9" s="604" t="s">
        <v>59</v>
      </c>
      <c r="E9" s="603">
        <v>45839</v>
      </c>
      <c r="F9" s="603">
        <v>45874</v>
      </c>
      <c r="G9" s="603">
        <v>45874</v>
      </c>
      <c r="H9" s="604" t="s">
        <v>462</v>
      </c>
      <c r="I9" s="1339" t="s">
        <v>445</v>
      </c>
      <c r="J9" s="603">
        <v>45833</v>
      </c>
      <c r="K9" s="603">
        <v>45833</v>
      </c>
      <c r="L9" s="603">
        <v>45805</v>
      </c>
      <c r="M9" s="603">
        <v>45953</v>
      </c>
      <c r="N9" s="595">
        <v>46015</v>
      </c>
      <c r="O9" s="603">
        <v>46008</v>
      </c>
      <c r="P9" s="604" t="s">
        <v>463</v>
      </c>
      <c r="Q9" s="597" t="s">
        <v>464</v>
      </c>
      <c r="R9" s="595">
        <v>46034</v>
      </c>
      <c r="S9" s="595">
        <v>46034</v>
      </c>
      <c r="T9" s="597" t="s">
        <v>465</v>
      </c>
      <c r="U9" s="595">
        <v>46034</v>
      </c>
      <c r="V9" s="597" t="s">
        <v>47</v>
      </c>
      <c r="W9" s="607"/>
      <c r="X9" s="604"/>
      <c r="Y9" s="595"/>
      <c r="Z9" s="595"/>
      <c r="AA9" s="595"/>
      <c r="AB9" s="595"/>
      <c r="AC9" s="595"/>
      <c r="AD9" s="603"/>
      <c r="AE9" s="603"/>
      <c r="AF9" s="603"/>
      <c r="AG9" s="245"/>
      <c r="AH9" s="245"/>
      <c r="AI9" s="522"/>
      <c r="AJ9" s="144"/>
      <c r="AK9" s="144"/>
      <c r="AL9" s="148"/>
    </row>
    <row r="10" spans="1:40" ht="15.75" customHeight="1">
      <c r="A10" s="1538"/>
      <c r="B10" s="142" t="s">
        <v>104</v>
      </c>
      <c r="C10" s="152" t="s">
        <v>105</v>
      </c>
      <c r="D10" s="604" t="s">
        <v>96</v>
      </c>
      <c r="E10" s="603">
        <v>45853</v>
      </c>
      <c r="F10" s="603">
        <v>45951</v>
      </c>
      <c r="G10" s="603">
        <v>45943</v>
      </c>
      <c r="H10" s="604" t="s">
        <v>466</v>
      </c>
      <c r="I10" s="1339" t="s">
        <v>445</v>
      </c>
      <c r="J10" s="603">
        <v>45863</v>
      </c>
      <c r="K10" s="603">
        <v>45868</v>
      </c>
      <c r="L10" s="603">
        <v>45852</v>
      </c>
      <c r="M10" s="603">
        <v>45923</v>
      </c>
      <c r="N10" s="603">
        <v>45950</v>
      </c>
      <c r="O10" s="603">
        <v>45922</v>
      </c>
      <c r="P10" s="604" t="s">
        <v>467</v>
      </c>
      <c r="Q10" s="600" t="s">
        <v>468</v>
      </c>
      <c r="R10" s="595" t="s">
        <v>469</v>
      </c>
      <c r="S10" s="595" t="s">
        <v>469</v>
      </c>
      <c r="T10" s="597" t="s">
        <v>470</v>
      </c>
      <c r="U10" s="595" t="s">
        <v>469</v>
      </c>
      <c r="V10" s="597" t="s">
        <v>47</v>
      </c>
      <c r="W10" s="607"/>
      <c r="X10" s="604"/>
      <c r="Y10" s="595"/>
      <c r="Z10" s="595"/>
      <c r="AA10" s="595"/>
      <c r="AB10" s="595"/>
      <c r="AC10" s="595"/>
      <c r="AD10" s="603"/>
      <c r="AE10" s="603"/>
      <c r="AF10" s="603"/>
      <c r="AG10" s="244"/>
      <c r="AH10" s="244"/>
      <c r="AI10" s="147"/>
      <c r="AJ10" s="144"/>
      <c r="AK10" s="144"/>
      <c r="AL10" s="148"/>
    </row>
    <row r="11" spans="1:40" ht="15.75" customHeight="1">
      <c r="A11" s="1538"/>
      <c r="B11" s="142" t="s">
        <v>118</v>
      </c>
      <c r="C11" s="415" t="s">
        <v>471</v>
      </c>
      <c r="D11" s="604" t="s">
        <v>472</v>
      </c>
      <c r="E11" s="603">
        <v>46043</v>
      </c>
      <c r="F11" s="603">
        <v>46066</v>
      </c>
      <c r="G11" s="603">
        <v>46066</v>
      </c>
      <c r="H11" s="604" t="s">
        <v>473</v>
      </c>
      <c r="I11" s="1339" t="s">
        <v>474</v>
      </c>
      <c r="J11" s="603">
        <v>45863</v>
      </c>
      <c r="K11" s="603">
        <v>45868</v>
      </c>
      <c r="L11" s="603">
        <v>45845</v>
      </c>
      <c r="M11" s="603">
        <v>45915</v>
      </c>
      <c r="N11" s="603">
        <v>45915</v>
      </c>
      <c r="O11" s="603">
        <v>45898</v>
      </c>
      <c r="P11" s="610" t="s">
        <v>475</v>
      </c>
      <c r="Q11" s="600" t="s">
        <v>476</v>
      </c>
      <c r="R11" s="595" t="s">
        <v>255</v>
      </c>
      <c r="S11" s="595" t="s">
        <v>255</v>
      </c>
      <c r="T11" s="600" t="s">
        <v>477</v>
      </c>
      <c r="U11" s="595" t="s">
        <v>255</v>
      </c>
      <c r="V11" s="597" t="s">
        <v>47</v>
      </c>
      <c r="W11" s="607"/>
      <c r="X11" s="604"/>
      <c r="Y11" s="595"/>
      <c r="Z11" s="595"/>
      <c r="AA11" s="595"/>
      <c r="AB11" s="595"/>
      <c r="AC11" s="595"/>
      <c r="AD11" s="603"/>
      <c r="AE11" s="603"/>
      <c r="AF11" s="603"/>
      <c r="AG11" s="244"/>
      <c r="AH11" s="244"/>
      <c r="AI11" s="147"/>
      <c r="AJ11" s="144"/>
      <c r="AK11" s="144"/>
      <c r="AL11" s="148"/>
    </row>
    <row r="12" spans="1:40" ht="15.75" customHeight="1">
      <c r="A12" s="1538"/>
      <c r="B12" s="142" t="s">
        <v>129</v>
      </c>
      <c r="C12" s="116">
        <v>3</v>
      </c>
      <c r="D12" s="604" t="s">
        <v>478</v>
      </c>
      <c r="E12" s="603">
        <v>46060</v>
      </c>
      <c r="F12" s="603">
        <v>46079</v>
      </c>
      <c r="G12" s="603">
        <v>46080</v>
      </c>
      <c r="H12" s="604" t="s">
        <v>479</v>
      </c>
      <c r="I12" s="1339" t="s">
        <v>480</v>
      </c>
      <c r="J12" s="603">
        <v>45833</v>
      </c>
      <c r="K12" s="603">
        <v>45868</v>
      </c>
      <c r="L12" s="603">
        <v>45845</v>
      </c>
      <c r="M12" s="603">
        <v>45953</v>
      </c>
      <c r="N12" s="603">
        <v>45915</v>
      </c>
      <c r="O12" s="603">
        <v>45898</v>
      </c>
      <c r="P12" s="604" t="s">
        <v>475</v>
      </c>
      <c r="Q12" s="600"/>
      <c r="R12" s="595"/>
      <c r="S12" s="595"/>
      <c r="T12" s="600"/>
      <c r="U12" s="600"/>
      <c r="V12" s="600"/>
      <c r="W12" s="607"/>
      <c r="X12" s="604"/>
      <c r="Y12" s="595"/>
      <c r="Z12" s="595"/>
      <c r="AA12" s="595"/>
      <c r="AB12" s="595"/>
      <c r="AC12" s="595"/>
      <c r="AD12" s="603"/>
      <c r="AE12" s="603"/>
      <c r="AF12" s="603"/>
      <c r="AG12" s="244"/>
      <c r="AH12" s="244"/>
      <c r="AI12" s="147"/>
      <c r="AJ12" s="144"/>
      <c r="AK12" s="144"/>
      <c r="AL12" s="148"/>
      <c r="AM12" s="1249"/>
      <c r="AN12" s="1250"/>
    </row>
    <row r="13" spans="1:40" ht="15.75" customHeight="1">
      <c r="A13" s="1538"/>
      <c r="B13" s="142" t="s">
        <v>140</v>
      </c>
      <c r="C13" s="116" t="s">
        <v>481</v>
      </c>
      <c r="D13" s="604"/>
      <c r="E13" s="603"/>
      <c r="F13" s="603"/>
      <c r="G13" s="603"/>
      <c r="H13" s="604" t="s">
        <v>482</v>
      </c>
      <c r="I13" s="1339" t="s">
        <v>474</v>
      </c>
      <c r="J13" s="603">
        <v>45833</v>
      </c>
      <c r="K13" s="603">
        <v>45812</v>
      </c>
      <c r="L13" s="603">
        <v>45812</v>
      </c>
      <c r="M13" s="603">
        <v>45953</v>
      </c>
      <c r="N13" s="603">
        <v>45918</v>
      </c>
      <c r="O13" s="603">
        <v>45897</v>
      </c>
      <c r="P13" s="610" t="s">
        <v>483</v>
      </c>
      <c r="Q13" s="597"/>
      <c r="R13" s="595"/>
      <c r="S13" s="595"/>
      <c r="T13" s="597"/>
      <c r="U13" s="597"/>
      <c r="V13" s="597"/>
      <c r="W13" s="607"/>
      <c r="X13" s="604"/>
      <c r="Y13" s="595"/>
      <c r="Z13" s="595"/>
      <c r="AA13" s="595"/>
      <c r="AB13" s="595"/>
      <c r="AC13" s="595"/>
      <c r="AD13" s="603"/>
      <c r="AE13" s="603"/>
      <c r="AF13" s="603"/>
      <c r="AG13" s="244"/>
      <c r="AH13" s="244"/>
      <c r="AI13" s="147"/>
      <c r="AJ13" s="144"/>
      <c r="AK13" s="144"/>
      <c r="AL13" s="148"/>
    </row>
    <row r="14" spans="1:40" ht="15.75" customHeight="1">
      <c r="A14" s="1538"/>
      <c r="B14" s="142" t="s">
        <v>152</v>
      </c>
      <c r="C14" s="116" t="s">
        <v>153</v>
      </c>
      <c r="D14" s="604"/>
      <c r="E14" s="603"/>
      <c r="F14" s="603"/>
      <c r="G14" s="603"/>
      <c r="H14" s="604" t="s">
        <v>484</v>
      </c>
      <c r="I14" s="1339" t="s">
        <v>445</v>
      </c>
      <c r="J14" s="603">
        <v>45833</v>
      </c>
      <c r="K14" s="603">
        <v>45853</v>
      </c>
      <c r="L14" s="603">
        <v>45839</v>
      </c>
      <c r="M14" s="603">
        <v>45953</v>
      </c>
      <c r="N14" s="603">
        <v>45950</v>
      </c>
      <c r="O14" s="603">
        <v>45916</v>
      </c>
      <c r="P14" s="604" t="s">
        <v>483</v>
      </c>
      <c r="Q14" s="597"/>
      <c r="R14" s="595"/>
      <c r="S14" s="595"/>
      <c r="T14" s="600"/>
      <c r="U14" s="600"/>
      <c r="V14" s="600"/>
      <c r="W14" s="607"/>
      <c r="X14" s="604"/>
      <c r="Y14" s="595"/>
      <c r="Z14" s="595"/>
      <c r="AA14" s="595"/>
      <c r="AB14" s="595"/>
      <c r="AC14" s="595"/>
      <c r="AD14" s="603"/>
      <c r="AE14" s="603"/>
      <c r="AF14" s="603"/>
      <c r="AG14" s="244"/>
      <c r="AH14" s="244"/>
      <c r="AI14" s="147"/>
      <c r="AJ14" s="144"/>
      <c r="AK14" s="144"/>
      <c r="AL14" s="148"/>
    </row>
    <row r="15" spans="1:40" ht="15.75" customHeight="1">
      <c r="A15" s="1538"/>
      <c r="B15" s="142" t="s">
        <v>158</v>
      </c>
      <c r="C15" s="116" t="s">
        <v>485</v>
      </c>
      <c r="D15" s="604"/>
      <c r="E15" s="603"/>
      <c r="F15" s="603"/>
      <c r="G15" s="603"/>
      <c r="H15" s="604" t="s">
        <v>486</v>
      </c>
      <c r="I15" s="1343" t="s">
        <v>487</v>
      </c>
      <c r="J15" s="603">
        <v>45899</v>
      </c>
      <c r="K15" s="603">
        <v>45915</v>
      </c>
      <c r="L15" s="603">
        <v>45902</v>
      </c>
      <c r="M15" s="603">
        <v>46021</v>
      </c>
      <c r="N15" s="603">
        <v>45995</v>
      </c>
      <c r="O15" s="603">
        <v>45952</v>
      </c>
      <c r="P15" s="604" t="s">
        <v>488</v>
      </c>
      <c r="Q15" s="597"/>
      <c r="R15" s="595"/>
      <c r="S15" s="595"/>
      <c r="T15" s="597"/>
      <c r="U15" s="597"/>
      <c r="V15" s="597"/>
      <c r="W15" s="607"/>
      <c r="X15" s="604"/>
      <c r="Y15" s="595"/>
      <c r="Z15" s="595"/>
      <c r="AA15" s="595"/>
      <c r="AB15" s="595"/>
      <c r="AC15" s="595"/>
      <c r="AD15" s="603"/>
      <c r="AE15" s="603"/>
      <c r="AF15" s="603"/>
      <c r="AG15" s="244"/>
      <c r="AH15" s="244"/>
      <c r="AI15" s="147"/>
      <c r="AJ15" s="144"/>
      <c r="AK15" s="144"/>
      <c r="AL15" s="148"/>
    </row>
    <row r="16" spans="1:40" ht="15.75" customHeight="1">
      <c r="A16" s="1538"/>
      <c r="B16" s="142" t="s">
        <v>167</v>
      </c>
      <c r="C16" s="116" t="s">
        <v>406</v>
      </c>
      <c r="D16" s="604"/>
      <c r="E16" s="603"/>
      <c r="F16" s="603"/>
      <c r="G16" s="603"/>
      <c r="H16" s="604" t="s">
        <v>489</v>
      </c>
      <c r="I16" s="1343"/>
      <c r="J16" s="603">
        <v>45910</v>
      </c>
      <c r="K16" s="603">
        <v>45943</v>
      </c>
      <c r="L16" s="603">
        <v>45929</v>
      </c>
      <c r="M16" s="603">
        <v>46030</v>
      </c>
      <c r="N16" s="603">
        <v>46030</v>
      </c>
      <c r="O16" s="603">
        <v>45952</v>
      </c>
      <c r="P16" s="604" t="s">
        <v>490</v>
      </c>
      <c r="Q16" s="597"/>
      <c r="R16" s="595"/>
      <c r="S16" s="595"/>
      <c r="T16" s="600"/>
      <c r="U16" s="600"/>
      <c r="V16" s="600"/>
      <c r="W16" s="607"/>
      <c r="X16" s="604"/>
      <c r="Y16" s="595"/>
      <c r="Z16" s="595"/>
      <c r="AA16" s="595"/>
      <c r="AB16" s="595"/>
      <c r="AC16" s="595"/>
      <c r="AD16" s="603"/>
      <c r="AE16" s="603"/>
      <c r="AF16" s="603"/>
      <c r="AG16" s="244"/>
      <c r="AH16" s="244"/>
      <c r="AI16" s="147"/>
      <c r="AJ16" s="144"/>
      <c r="AK16" s="144"/>
      <c r="AL16" s="148"/>
    </row>
    <row r="17" spans="1:38" ht="15.75" customHeight="1">
      <c r="A17" s="1538"/>
      <c r="B17" s="143" t="s">
        <v>412</v>
      </c>
      <c r="C17" s="116" t="s">
        <v>491</v>
      </c>
      <c r="D17" s="604"/>
      <c r="E17" s="603"/>
      <c r="F17" s="603"/>
      <c r="G17" s="603"/>
      <c r="H17" s="604" t="s">
        <v>492</v>
      </c>
      <c r="I17" s="1343" t="s">
        <v>487</v>
      </c>
      <c r="J17" s="603">
        <v>45792</v>
      </c>
      <c r="K17" s="603">
        <v>45915</v>
      </c>
      <c r="L17" s="603">
        <v>45929</v>
      </c>
      <c r="M17" s="603">
        <v>45822</v>
      </c>
      <c r="N17" s="603">
        <v>45945</v>
      </c>
      <c r="O17" s="603">
        <v>45945</v>
      </c>
      <c r="P17" s="604" t="s">
        <v>493</v>
      </c>
      <c r="Q17" s="600"/>
      <c r="R17" s="595"/>
      <c r="S17" s="595"/>
      <c r="T17" s="600"/>
      <c r="U17" s="600"/>
      <c r="V17" s="600"/>
      <c r="W17" s="607"/>
      <c r="X17" s="604"/>
      <c r="Y17" s="595"/>
      <c r="Z17" s="595"/>
      <c r="AA17" s="595"/>
      <c r="AB17" s="595"/>
      <c r="AC17" s="595"/>
      <c r="AD17" s="603"/>
      <c r="AE17" s="603"/>
      <c r="AF17" s="603"/>
      <c r="AG17" s="244"/>
      <c r="AH17" s="244"/>
      <c r="AI17" s="147"/>
      <c r="AJ17" s="144"/>
      <c r="AK17" s="144"/>
      <c r="AL17" s="148"/>
    </row>
    <row r="18" spans="1:38" ht="35.25" customHeight="1">
      <c r="A18" s="1538"/>
      <c r="B18" s="156"/>
      <c r="C18" s="157"/>
      <c r="D18" s="604"/>
      <c r="E18" s="603"/>
      <c r="F18" s="603"/>
      <c r="G18" s="603"/>
      <c r="H18" s="1344" t="s">
        <v>494</v>
      </c>
      <c r="I18" s="1345" t="s">
        <v>487</v>
      </c>
      <c r="J18" s="1346">
        <v>45894</v>
      </c>
      <c r="K18" s="1346">
        <v>45915</v>
      </c>
      <c r="L18" s="1346" t="s">
        <v>451</v>
      </c>
      <c r="M18" s="1346">
        <v>45924</v>
      </c>
      <c r="N18" s="1346">
        <v>45930</v>
      </c>
      <c r="O18" s="1346"/>
      <c r="P18" s="1347"/>
      <c r="Q18" s="597"/>
      <c r="R18" s="595"/>
      <c r="S18" s="595"/>
      <c r="T18" s="600"/>
      <c r="U18" s="600"/>
      <c r="V18" s="600"/>
      <c r="W18" s="607"/>
      <c r="X18" s="604"/>
      <c r="Y18" s="1348"/>
      <c r="Z18" s="1348"/>
      <c r="AA18" s="1348"/>
      <c r="AB18" s="1348"/>
      <c r="AC18" s="1348"/>
      <c r="AD18" s="603"/>
      <c r="AE18" s="603"/>
      <c r="AF18" s="603"/>
      <c r="AG18" s="244"/>
      <c r="AH18" s="244"/>
      <c r="AI18" s="147"/>
      <c r="AJ18" s="144"/>
      <c r="AK18" s="144"/>
      <c r="AL18" s="148"/>
    </row>
    <row r="19" spans="1:38" ht="15.75" customHeight="1">
      <c r="A19" s="1538"/>
      <c r="B19" s="156"/>
      <c r="C19" s="157"/>
      <c r="D19" s="604"/>
      <c r="E19" s="603"/>
      <c r="F19" s="603"/>
      <c r="G19" s="603"/>
      <c r="H19" s="604" t="s">
        <v>495</v>
      </c>
      <c r="I19" s="1343" t="s">
        <v>487</v>
      </c>
      <c r="J19" s="603">
        <v>45809</v>
      </c>
      <c r="K19" s="603">
        <v>45863</v>
      </c>
      <c r="L19" s="603">
        <v>45855</v>
      </c>
      <c r="M19" s="603">
        <v>45929</v>
      </c>
      <c r="N19" s="603">
        <v>45950</v>
      </c>
      <c r="O19" s="603">
        <v>45911</v>
      </c>
      <c r="P19" s="604"/>
      <c r="Q19" s="597"/>
      <c r="R19" s="595"/>
      <c r="S19" s="595"/>
      <c r="T19" s="597"/>
      <c r="U19" s="597"/>
      <c r="V19" s="597"/>
      <c r="W19" s="607"/>
      <c r="X19" s="604"/>
      <c r="Y19" s="1348"/>
      <c r="Z19" s="1348"/>
      <c r="AA19" s="1348"/>
      <c r="AB19" s="1348"/>
      <c r="AC19" s="1348"/>
      <c r="AD19" s="603"/>
      <c r="AE19" s="603"/>
      <c r="AF19" s="603"/>
      <c r="AG19" s="244"/>
      <c r="AH19" s="244"/>
      <c r="AI19" s="147"/>
      <c r="AJ19" s="144"/>
      <c r="AK19" s="144"/>
      <c r="AL19" s="148"/>
    </row>
    <row r="20" spans="1:38" ht="15.75" customHeight="1">
      <c r="A20" s="1538"/>
      <c r="B20" s="156"/>
      <c r="C20" s="157"/>
      <c r="D20" s="604"/>
      <c r="E20" s="603"/>
      <c r="F20" s="603"/>
      <c r="G20" s="603"/>
      <c r="H20" s="604" t="s">
        <v>496</v>
      </c>
      <c r="I20" s="1343" t="s">
        <v>497</v>
      </c>
      <c r="J20" s="603">
        <v>45870</v>
      </c>
      <c r="K20" s="603">
        <v>45854</v>
      </c>
      <c r="L20" s="603">
        <v>45854</v>
      </c>
      <c r="M20" s="603">
        <v>45954</v>
      </c>
      <c r="N20" s="603">
        <v>45861</v>
      </c>
      <c r="O20" s="603">
        <v>45861</v>
      </c>
      <c r="P20" s="604"/>
      <c r="Q20" s="597"/>
      <c r="R20" s="595"/>
      <c r="S20" s="595"/>
      <c r="T20" s="600"/>
      <c r="U20" s="600"/>
      <c r="V20" s="600"/>
      <c r="W20" s="607"/>
      <c r="X20" s="604"/>
      <c r="Y20" s="595"/>
      <c r="Z20" s="595"/>
      <c r="AA20" s="595"/>
      <c r="AB20" s="595"/>
      <c r="AC20" s="595"/>
      <c r="AD20" s="603"/>
      <c r="AE20" s="603"/>
      <c r="AF20" s="603"/>
      <c r="AG20" s="244"/>
      <c r="AH20" s="244"/>
      <c r="AI20" s="147"/>
      <c r="AJ20" s="144"/>
      <c r="AK20" s="144"/>
      <c r="AL20" s="148"/>
    </row>
    <row r="21" spans="1:38" ht="15.75" customHeight="1">
      <c r="A21" s="1538"/>
      <c r="B21" s="156"/>
      <c r="C21" s="157"/>
      <c r="D21" s="604"/>
      <c r="E21" s="603"/>
      <c r="F21" s="603"/>
      <c r="G21" s="603"/>
      <c r="H21" s="610" t="s">
        <v>498</v>
      </c>
      <c r="I21" s="1343" t="s">
        <v>497</v>
      </c>
      <c r="J21" s="603">
        <v>45879</v>
      </c>
      <c r="K21" s="603">
        <v>45879</v>
      </c>
      <c r="L21" s="603">
        <v>45861</v>
      </c>
      <c r="M21" s="603">
        <v>45938</v>
      </c>
      <c r="N21" s="603">
        <v>45982</v>
      </c>
      <c r="O21" s="603" t="s">
        <v>499</v>
      </c>
      <c r="P21" s="604" t="s">
        <v>500</v>
      </c>
      <c r="Q21" s="597"/>
      <c r="R21" s="595"/>
      <c r="S21" s="595"/>
      <c r="T21" s="597"/>
      <c r="U21" s="597"/>
      <c r="V21" s="597"/>
      <c r="W21" s="607"/>
      <c r="X21" s="604"/>
      <c r="Y21" s="595"/>
      <c r="Z21" s="595"/>
      <c r="AA21" s="595"/>
      <c r="AB21" s="595"/>
      <c r="AC21" s="595"/>
      <c r="AD21" s="603"/>
      <c r="AE21" s="603"/>
      <c r="AF21" s="603"/>
      <c r="AG21" s="244"/>
      <c r="AH21" s="244"/>
      <c r="AI21" s="147"/>
      <c r="AJ21" s="144"/>
      <c r="AK21" s="144"/>
      <c r="AL21" s="148"/>
    </row>
    <row r="22" spans="1:38" ht="15.75" customHeight="1">
      <c r="A22" s="1538"/>
      <c r="B22" s="156"/>
      <c r="C22" s="157"/>
      <c r="D22" s="604"/>
      <c r="E22" s="603"/>
      <c r="F22" s="603"/>
      <c r="G22" s="603"/>
      <c r="H22" s="604" t="s">
        <v>501</v>
      </c>
      <c r="I22" s="1343" t="s">
        <v>502</v>
      </c>
      <c r="J22" s="603">
        <v>45945</v>
      </c>
      <c r="K22" s="603">
        <v>45945</v>
      </c>
      <c r="L22" s="603">
        <v>45945</v>
      </c>
      <c r="M22" s="603">
        <v>46037</v>
      </c>
      <c r="N22" s="603">
        <v>46037</v>
      </c>
      <c r="O22" s="603">
        <v>46036</v>
      </c>
      <c r="P22" s="604" t="s">
        <v>503</v>
      </c>
      <c r="Q22" s="597"/>
      <c r="R22" s="595"/>
      <c r="S22" s="595"/>
      <c r="T22" s="597"/>
      <c r="U22" s="597"/>
      <c r="V22" s="597"/>
      <c r="W22" s="607"/>
      <c r="X22" s="604"/>
      <c r="Y22" s="595"/>
      <c r="Z22" s="595"/>
      <c r="AA22" s="595"/>
      <c r="AB22" s="595"/>
      <c r="AC22" s="595"/>
      <c r="AD22" s="603"/>
      <c r="AE22" s="603"/>
      <c r="AF22" s="603"/>
      <c r="AG22" s="244"/>
      <c r="AH22" s="244"/>
      <c r="AI22" s="147"/>
      <c r="AJ22" s="144"/>
      <c r="AK22" s="144"/>
      <c r="AL22" s="148"/>
    </row>
    <row r="23" spans="1:38" ht="15.75" customHeight="1">
      <c r="A23" s="1538"/>
      <c r="B23" s="156"/>
      <c r="C23" s="157"/>
      <c r="D23" s="604"/>
      <c r="E23" s="603"/>
      <c r="F23" s="603"/>
      <c r="G23" s="603"/>
      <c r="H23" s="604" t="s">
        <v>504</v>
      </c>
      <c r="I23" s="1343" t="s">
        <v>497</v>
      </c>
      <c r="J23" s="603">
        <v>45809</v>
      </c>
      <c r="K23" s="603">
        <v>45809</v>
      </c>
      <c r="L23" s="603">
        <v>45805</v>
      </c>
      <c r="M23" s="603">
        <v>45929</v>
      </c>
      <c r="N23" s="603">
        <v>45904</v>
      </c>
      <c r="O23" s="603">
        <v>45890</v>
      </c>
      <c r="P23" s="604" t="s">
        <v>505</v>
      </c>
      <c r="Q23" s="597"/>
      <c r="R23" s="595"/>
      <c r="S23" s="595"/>
      <c r="T23" s="597"/>
      <c r="U23" s="597"/>
      <c r="V23" s="597"/>
      <c r="W23" s="607"/>
      <c r="X23" s="604"/>
      <c r="Y23" s="600"/>
      <c r="Z23" s="600"/>
      <c r="AA23" s="600"/>
      <c r="AB23" s="600"/>
      <c r="AC23" s="600"/>
      <c r="AD23" s="611"/>
      <c r="AE23" s="611"/>
      <c r="AF23" s="611"/>
      <c r="AG23" s="144"/>
      <c r="AH23" s="144"/>
      <c r="AI23" s="147"/>
      <c r="AJ23" s="144"/>
      <c r="AK23" s="144"/>
      <c r="AL23" s="148"/>
    </row>
    <row r="24" spans="1:38" ht="15.75" customHeight="1">
      <c r="A24" s="1538"/>
      <c r="B24" s="156"/>
      <c r="C24" s="157"/>
      <c r="D24" s="604"/>
      <c r="E24" s="603"/>
      <c r="F24" s="603"/>
      <c r="G24" s="603"/>
      <c r="H24" s="604"/>
      <c r="I24" s="605"/>
      <c r="J24" s="603"/>
      <c r="K24" s="603"/>
      <c r="L24" s="603"/>
      <c r="M24" s="603"/>
      <c r="N24" s="603"/>
      <c r="O24" s="603"/>
      <c r="P24" s="604"/>
      <c r="Q24" s="597"/>
      <c r="R24" s="595"/>
      <c r="S24" s="595"/>
      <c r="T24" s="597"/>
      <c r="U24" s="597"/>
      <c r="V24" s="597"/>
      <c r="W24" s="607"/>
      <c r="X24" s="604"/>
      <c r="Y24" s="600"/>
      <c r="Z24" s="600"/>
      <c r="AA24" s="600"/>
      <c r="AB24" s="600"/>
      <c r="AC24" s="600"/>
      <c r="AD24" s="611"/>
      <c r="AE24" s="611"/>
      <c r="AF24" s="611"/>
      <c r="AG24" s="144"/>
      <c r="AH24" s="144"/>
      <c r="AI24" s="147"/>
      <c r="AJ24" s="144"/>
      <c r="AK24" s="144"/>
      <c r="AL24" s="148"/>
    </row>
    <row r="25" spans="1:38" ht="15.75" customHeight="1">
      <c r="A25" s="1538"/>
      <c r="B25" s="156"/>
      <c r="C25" s="157"/>
      <c r="D25" s="604"/>
      <c r="E25" s="603"/>
      <c r="F25" s="603"/>
      <c r="G25" s="603"/>
      <c r="H25" s="1347" t="s">
        <v>506</v>
      </c>
      <c r="I25" s="1349"/>
      <c r="J25" s="1346">
        <v>45910</v>
      </c>
      <c r="K25" s="1346">
        <v>45910</v>
      </c>
      <c r="L25" s="1346">
        <v>45915</v>
      </c>
      <c r="M25" s="1346">
        <v>46030</v>
      </c>
      <c r="N25" s="1346">
        <v>46030</v>
      </c>
      <c r="O25" s="1346"/>
      <c r="P25" s="1347"/>
      <c r="Q25" s="597"/>
      <c r="R25" s="595"/>
      <c r="S25" s="595"/>
      <c r="T25" s="597"/>
      <c r="U25" s="597"/>
      <c r="V25" s="597"/>
      <c r="W25" s="607"/>
      <c r="X25" s="604"/>
      <c r="Y25" s="1348"/>
      <c r="Z25" s="1348"/>
      <c r="AA25" s="1348"/>
      <c r="AB25" s="1348"/>
      <c r="AC25" s="1348"/>
      <c r="AD25" s="611"/>
      <c r="AE25" s="611"/>
      <c r="AF25" s="611"/>
      <c r="AG25" s="144"/>
      <c r="AH25" s="144"/>
      <c r="AI25" s="147"/>
      <c r="AJ25" s="144"/>
      <c r="AK25" s="144"/>
      <c r="AL25" s="148"/>
    </row>
    <row r="26" spans="1:38" ht="15.75" customHeight="1">
      <c r="A26" s="1538"/>
      <c r="B26" s="156"/>
      <c r="C26" s="157"/>
      <c r="D26" s="604"/>
      <c r="E26" s="603"/>
      <c r="F26" s="603"/>
      <c r="G26" s="603"/>
      <c r="H26" s="604" t="s">
        <v>507</v>
      </c>
      <c r="I26" s="605"/>
      <c r="J26" s="603">
        <v>45879</v>
      </c>
      <c r="K26" s="603">
        <v>45915</v>
      </c>
      <c r="L26" s="603">
        <v>45910</v>
      </c>
      <c r="M26" s="603">
        <v>45909</v>
      </c>
      <c r="N26" s="603">
        <v>45945</v>
      </c>
      <c r="O26" s="603">
        <v>45929</v>
      </c>
      <c r="P26" s="604"/>
      <c r="Q26" s="597"/>
      <c r="R26" s="595"/>
      <c r="S26" s="595"/>
      <c r="T26" s="597"/>
      <c r="U26" s="597"/>
      <c r="V26" s="597"/>
      <c r="W26" s="607"/>
      <c r="X26" s="604"/>
      <c r="Y26" s="1348"/>
      <c r="Z26" s="1348"/>
      <c r="AA26" s="1348"/>
      <c r="AB26" s="1348"/>
      <c r="AC26" s="1348"/>
      <c r="AD26" s="611"/>
      <c r="AE26" s="611"/>
      <c r="AF26" s="611"/>
      <c r="AG26" s="144"/>
      <c r="AH26" s="144"/>
      <c r="AI26" s="147"/>
      <c r="AJ26" s="144"/>
      <c r="AK26" s="144"/>
      <c r="AL26" s="148"/>
    </row>
    <row r="27" spans="1:38" ht="15.75" customHeight="1">
      <c r="A27" s="1538"/>
      <c r="B27" s="156"/>
      <c r="C27" s="157"/>
      <c r="D27" s="604"/>
      <c r="E27" s="603"/>
      <c r="F27" s="603"/>
      <c r="G27" s="603"/>
      <c r="H27" s="604" t="s">
        <v>508</v>
      </c>
      <c r="I27" s="605"/>
      <c r="J27" s="603">
        <v>45858</v>
      </c>
      <c r="K27" s="603">
        <v>45858</v>
      </c>
      <c r="L27" s="603">
        <v>45858</v>
      </c>
      <c r="M27" s="603">
        <v>45948</v>
      </c>
      <c r="N27" s="603">
        <v>45873</v>
      </c>
      <c r="O27" s="603">
        <v>45873</v>
      </c>
      <c r="P27" s="604"/>
      <c r="Q27" s="597"/>
      <c r="R27" s="595"/>
      <c r="S27" s="595"/>
      <c r="T27" s="597"/>
      <c r="U27" s="597"/>
      <c r="V27" s="597"/>
      <c r="W27" s="607"/>
      <c r="X27" s="604"/>
      <c r="Y27" s="595"/>
      <c r="Z27" s="595"/>
      <c r="AA27" s="595"/>
      <c r="AB27" s="595"/>
      <c r="AC27" s="595"/>
      <c r="AD27" s="611"/>
      <c r="AE27" s="611"/>
      <c r="AF27" s="611"/>
      <c r="AG27" s="144"/>
      <c r="AH27" s="144"/>
      <c r="AI27" s="147"/>
      <c r="AJ27" s="144"/>
      <c r="AK27" s="144"/>
      <c r="AL27" s="148"/>
    </row>
    <row r="28" spans="1:38" ht="15.75" customHeight="1">
      <c r="A28" s="1538"/>
      <c r="B28" s="156"/>
      <c r="C28" s="157"/>
      <c r="D28" s="604"/>
      <c r="E28" s="603"/>
      <c r="F28" s="603"/>
      <c r="G28" s="603"/>
      <c r="H28" s="604"/>
      <c r="I28" s="605"/>
      <c r="J28" s="603"/>
      <c r="K28" s="603"/>
      <c r="L28" s="603"/>
      <c r="M28" s="603"/>
      <c r="N28" s="603"/>
      <c r="O28" s="603"/>
      <c r="P28" s="604"/>
      <c r="Q28" s="597"/>
      <c r="R28" s="595"/>
      <c r="S28" s="595"/>
      <c r="T28" s="597"/>
      <c r="U28" s="597"/>
      <c r="V28" s="597"/>
      <c r="W28" s="607"/>
      <c r="X28" s="604"/>
      <c r="Y28" s="595"/>
      <c r="Z28" s="595"/>
      <c r="AA28" s="595"/>
      <c r="AB28" s="595"/>
      <c r="AC28" s="595"/>
      <c r="AD28" s="611"/>
      <c r="AE28" s="611"/>
      <c r="AF28" s="611"/>
      <c r="AG28" s="144"/>
      <c r="AH28" s="144"/>
      <c r="AI28" s="147"/>
      <c r="AJ28" s="144"/>
      <c r="AK28" s="144"/>
      <c r="AL28" s="148"/>
    </row>
    <row r="29" spans="1:38" ht="15.75" customHeight="1">
      <c r="A29" s="1538"/>
      <c r="B29" s="156"/>
      <c r="C29" s="157"/>
      <c r="D29" s="604"/>
      <c r="E29" s="603"/>
      <c r="F29" s="603"/>
      <c r="G29" s="603"/>
      <c r="H29" s="604"/>
      <c r="I29" s="605"/>
      <c r="J29" s="603"/>
      <c r="K29" s="603"/>
      <c r="L29" s="603"/>
      <c r="M29" s="603"/>
      <c r="N29" s="603"/>
      <c r="O29" s="603"/>
      <c r="P29" s="604"/>
      <c r="Q29" s="597"/>
      <c r="R29" s="595"/>
      <c r="S29" s="595"/>
      <c r="T29" s="597"/>
      <c r="U29" s="597"/>
      <c r="V29" s="597"/>
      <c r="W29" s="607"/>
      <c r="X29" s="604"/>
      <c r="Y29" s="600"/>
      <c r="Z29" s="600"/>
      <c r="AA29" s="600"/>
      <c r="AB29" s="600"/>
      <c r="AC29" s="600"/>
      <c r="AD29" s="611"/>
      <c r="AE29" s="611"/>
      <c r="AF29" s="611"/>
      <c r="AG29" s="144"/>
      <c r="AH29" s="144"/>
      <c r="AI29" s="147"/>
      <c r="AJ29" s="144"/>
      <c r="AK29" s="144"/>
      <c r="AL29" s="148"/>
    </row>
    <row r="30" spans="1:38" ht="15.75" customHeight="1">
      <c r="A30" s="1538"/>
      <c r="B30" s="159"/>
      <c r="C30" s="160"/>
      <c r="D30" s="604"/>
      <c r="E30" s="603"/>
      <c r="F30" s="603"/>
      <c r="G30" s="603"/>
      <c r="H30" s="604"/>
      <c r="I30" s="605"/>
      <c r="J30" s="603"/>
      <c r="K30" s="603"/>
      <c r="L30" s="603"/>
      <c r="M30" s="603"/>
      <c r="N30" s="603"/>
      <c r="O30" s="603"/>
      <c r="P30" s="604"/>
      <c r="Q30" s="600"/>
      <c r="R30" s="600"/>
      <c r="S30" s="600"/>
      <c r="T30" s="600"/>
      <c r="U30" s="600"/>
      <c r="V30" s="600"/>
      <c r="W30" s="604"/>
      <c r="X30" s="604"/>
      <c r="Y30" s="604"/>
      <c r="Z30" s="604"/>
      <c r="AA30" s="604"/>
      <c r="AB30" s="604"/>
      <c r="AC30" s="604"/>
      <c r="AD30" s="611"/>
      <c r="AE30" s="611"/>
      <c r="AF30" s="611"/>
      <c r="AG30" s="144"/>
      <c r="AH30" s="144"/>
      <c r="AI30" s="147"/>
      <c r="AJ30" s="144"/>
      <c r="AK30" s="144"/>
      <c r="AL30" s="148"/>
    </row>
    <row r="31" spans="1:38" ht="31.5" customHeight="1">
      <c r="A31" s="1538"/>
      <c r="B31" s="1540"/>
      <c r="C31" s="1541"/>
      <c r="D31" s="1543" t="s">
        <v>509</v>
      </c>
      <c r="E31" s="1544"/>
      <c r="F31" s="1544"/>
      <c r="G31" s="1544"/>
      <c r="H31" s="1543" t="s">
        <v>510</v>
      </c>
      <c r="I31" s="1544"/>
      <c r="J31" s="1544"/>
      <c r="K31" s="1544"/>
      <c r="L31" s="1544"/>
      <c r="M31" s="1544"/>
      <c r="N31" s="1544"/>
      <c r="O31" s="1544"/>
      <c r="P31" s="1544"/>
      <c r="Q31" s="1546" t="s">
        <v>511</v>
      </c>
      <c r="R31" s="1547"/>
      <c r="S31" s="1547"/>
      <c r="T31" s="1547"/>
      <c r="U31" s="1547"/>
      <c r="V31" s="2305"/>
      <c r="W31" s="1543" t="s">
        <v>511</v>
      </c>
      <c r="X31" s="1544"/>
      <c r="Y31" s="1544"/>
      <c r="Z31" s="1544"/>
      <c r="AA31" s="1544"/>
      <c r="AB31" s="1544"/>
      <c r="AC31" s="1544"/>
      <c r="AD31" s="1544"/>
      <c r="AE31" s="1544"/>
      <c r="AF31" s="1544"/>
      <c r="AG31" s="1555" t="s">
        <v>512</v>
      </c>
      <c r="AH31" s="1544"/>
      <c r="AI31" s="1544"/>
      <c r="AJ31" s="1544"/>
      <c r="AK31" s="1544"/>
      <c r="AL31" s="1556"/>
    </row>
    <row r="32" spans="1:38" ht="31.5" customHeight="1">
      <c r="A32" s="1552"/>
      <c r="B32" s="1561"/>
      <c r="C32" s="1561"/>
      <c r="D32" s="1557"/>
      <c r="E32" s="1557"/>
      <c r="F32" s="1557"/>
      <c r="G32" s="1557"/>
      <c r="H32" s="1557"/>
      <c r="I32" s="1557"/>
      <c r="J32" s="1557"/>
      <c r="K32" s="1557"/>
      <c r="L32" s="1557"/>
      <c r="M32" s="1557"/>
      <c r="N32" s="1557"/>
      <c r="O32" s="1557"/>
      <c r="P32" s="1557"/>
      <c r="Q32" s="1559"/>
      <c r="R32" s="1560"/>
      <c r="S32" s="1560"/>
      <c r="T32" s="1560"/>
      <c r="U32" s="1560"/>
      <c r="V32" s="2306"/>
      <c r="W32" s="1557"/>
      <c r="X32" s="1557"/>
      <c r="Y32" s="1557"/>
      <c r="Z32" s="1557"/>
      <c r="AA32" s="1557"/>
      <c r="AB32" s="1557"/>
      <c r="AC32" s="1557"/>
      <c r="AD32" s="1557"/>
      <c r="AE32" s="1557"/>
      <c r="AF32" s="1557"/>
      <c r="AG32" s="1557"/>
      <c r="AH32" s="1557"/>
      <c r="AI32" s="1557"/>
      <c r="AJ32" s="1557"/>
      <c r="AK32" s="1557"/>
      <c r="AL32" s="1558"/>
    </row>
    <row r="33" spans="1:41" s="166" customFormat="1" ht="24">
      <c r="A33" s="1479">
        <v>2</v>
      </c>
      <c r="B33" s="161" t="s">
        <v>40</v>
      </c>
      <c r="C33" s="162" t="s">
        <v>513</v>
      </c>
      <c r="D33" s="161" t="s">
        <v>42</v>
      </c>
      <c r="E33" s="247">
        <v>45726</v>
      </c>
      <c r="F33" s="247">
        <v>45726</v>
      </c>
      <c r="G33" s="247">
        <v>45726</v>
      </c>
      <c r="H33" s="161" t="s">
        <v>514</v>
      </c>
      <c r="I33" s="207">
        <v>4</v>
      </c>
      <c r="J33" s="140" t="s">
        <v>515</v>
      </c>
      <c r="K33" s="140" t="s">
        <v>515</v>
      </c>
      <c r="L33" s="140" t="s">
        <v>515</v>
      </c>
      <c r="M33" s="140" t="s">
        <v>515</v>
      </c>
      <c r="N33" s="140" t="s">
        <v>515</v>
      </c>
      <c r="O33" s="140" t="s">
        <v>515</v>
      </c>
      <c r="P33" s="163" t="s">
        <v>516</v>
      </c>
      <c r="Q33" s="278" t="s">
        <v>517</v>
      </c>
      <c r="R33" s="247">
        <v>45897</v>
      </c>
      <c r="S33" s="247">
        <v>45897</v>
      </c>
      <c r="T33" s="247" t="s">
        <v>518</v>
      </c>
      <c r="U33" s="247">
        <v>45863</v>
      </c>
      <c r="V33" s="247" t="s">
        <v>519</v>
      </c>
      <c r="W33" s="164" t="s">
        <v>520</v>
      </c>
      <c r="X33" s="165" t="s">
        <v>521</v>
      </c>
      <c r="Y33" s="247">
        <v>45915</v>
      </c>
      <c r="Z33" s="247">
        <v>45915</v>
      </c>
      <c r="AA33" s="247">
        <v>45902</v>
      </c>
      <c r="AB33" s="247" t="s">
        <v>522</v>
      </c>
      <c r="AC33" s="247" t="s">
        <v>523</v>
      </c>
      <c r="AD33" s="247">
        <v>46015</v>
      </c>
      <c r="AE33" s="247">
        <v>46080</v>
      </c>
      <c r="AF33" s="247">
        <v>46080</v>
      </c>
      <c r="AG33" s="247">
        <v>46183</v>
      </c>
      <c r="AH33" s="1001" t="s">
        <v>524</v>
      </c>
      <c r="AI33" s="808" t="s">
        <v>525</v>
      </c>
      <c r="AJ33" s="254">
        <f>AG33+60</f>
        <v>46243</v>
      </c>
      <c r="AK33" s="247"/>
      <c r="AL33" s="260">
        <v>46088</v>
      </c>
      <c r="AM33" s="167"/>
      <c r="AO33" s="167"/>
    </row>
    <row r="34" spans="1:41" s="166" customFormat="1" ht="24">
      <c r="A34" s="1480"/>
      <c r="B34" s="168" t="s">
        <v>52</v>
      </c>
      <c r="C34" s="169" t="s">
        <v>521</v>
      </c>
      <c r="D34" s="168" t="s">
        <v>54</v>
      </c>
      <c r="E34" s="248">
        <v>45747</v>
      </c>
      <c r="F34" s="248">
        <v>45747</v>
      </c>
      <c r="G34" s="248">
        <v>45747</v>
      </c>
      <c r="H34" s="168" t="s">
        <v>526</v>
      </c>
      <c r="I34" s="208" t="s">
        <v>56</v>
      </c>
      <c r="J34" s="248">
        <v>45703</v>
      </c>
      <c r="K34" s="248">
        <v>45703</v>
      </c>
      <c r="L34" s="248">
        <v>45706</v>
      </c>
      <c r="M34" s="248">
        <v>45899</v>
      </c>
      <c r="N34" s="248">
        <v>45899</v>
      </c>
      <c r="O34" s="248">
        <v>45894</v>
      </c>
      <c r="P34" s="171" t="s">
        <v>516</v>
      </c>
      <c r="Q34" s="145" t="s">
        <v>527</v>
      </c>
      <c r="R34" s="370" t="s">
        <v>528</v>
      </c>
      <c r="S34" s="370" t="s">
        <v>528</v>
      </c>
      <c r="T34" s="248" t="s">
        <v>518</v>
      </c>
      <c r="U34" s="248">
        <v>45946</v>
      </c>
      <c r="V34" s="248" t="s">
        <v>519</v>
      </c>
      <c r="W34" s="165" t="s">
        <v>529</v>
      </c>
      <c r="X34" s="165" t="s">
        <v>521</v>
      </c>
      <c r="Y34" s="248">
        <v>45915</v>
      </c>
      <c r="Z34" s="248">
        <v>45915</v>
      </c>
      <c r="AA34" s="248">
        <v>45902</v>
      </c>
      <c r="AB34" s="248" t="s">
        <v>522</v>
      </c>
      <c r="AC34" s="248" t="s">
        <v>523</v>
      </c>
      <c r="AD34" s="248">
        <v>46015</v>
      </c>
      <c r="AE34" s="248">
        <v>46080</v>
      </c>
      <c r="AF34" s="248">
        <v>46080</v>
      </c>
      <c r="AG34" s="248">
        <v>46183</v>
      </c>
      <c r="AH34" s="1002" t="s">
        <v>524</v>
      </c>
      <c r="AI34" s="1258" t="s">
        <v>525</v>
      </c>
      <c r="AJ34" s="249">
        <f t="shared" ref="AJ34:AJ36" si="0">AG34+60</f>
        <v>46243</v>
      </c>
      <c r="AK34" s="1257"/>
      <c r="AL34" s="262">
        <v>46106</v>
      </c>
      <c r="AM34" s="1003" t="s">
        <v>530</v>
      </c>
      <c r="AO34" s="167"/>
    </row>
    <row r="35" spans="1:41" s="166" customFormat="1" ht="15">
      <c r="A35" s="1480"/>
      <c r="B35" s="168" t="s">
        <v>64</v>
      </c>
      <c r="C35" s="169">
        <v>5000106431</v>
      </c>
      <c r="D35" s="168" t="s">
        <v>65</v>
      </c>
      <c r="E35" s="248">
        <v>45777</v>
      </c>
      <c r="F35" s="245">
        <v>45789</v>
      </c>
      <c r="G35" s="245">
        <v>45706</v>
      </c>
      <c r="H35" s="168" t="s">
        <v>531</v>
      </c>
      <c r="I35" s="180">
        <v>3</v>
      </c>
      <c r="J35" s="248">
        <v>45703</v>
      </c>
      <c r="K35" s="248">
        <v>45703</v>
      </c>
      <c r="L35" s="248">
        <v>45706</v>
      </c>
      <c r="M35" s="248">
        <v>45899</v>
      </c>
      <c r="N35" s="248">
        <v>45899</v>
      </c>
      <c r="O35" s="248">
        <v>45899</v>
      </c>
      <c r="P35" s="171" t="s">
        <v>532</v>
      </c>
      <c r="Q35" s="145" t="s">
        <v>533</v>
      </c>
      <c r="R35" s="248" t="s">
        <v>534</v>
      </c>
      <c r="S35" s="248" t="s">
        <v>534</v>
      </c>
      <c r="T35" s="248" t="s">
        <v>535</v>
      </c>
      <c r="U35" s="248" t="s">
        <v>534</v>
      </c>
      <c r="V35" s="248" t="s">
        <v>519</v>
      </c>
      <c r="W35" s="165" t="s">
        <v>536</v>
      </c>
      <c r="X35" s="165" t="s">
        <v>521</v>
      </c>
      <c r="Y35" s="248">
        <v>45915</v>
      </c>
      <c r="Z35" s="248">
        <v>45915</v>
      </c>
      <c r="AA35" s="248">
        <v>45902</v>
      </c>
      <c r="AB35" s="248" t="s">
        <v>522</v>
      </c>
      <c r="AC35" s="248" t="s">
        <v>523</v>
      </c>
      <c r="AD35" s="248">
        <v>46015</v>
      </c>
      <c r="AE35" s="248">
        <v>46080</v>
      </c>
      <c r="AF35" s="248">
        <v>46080</v>
      </c>
      <c r="AG35" s="248">
        <v>46183</v>
      </c>
      <c r="AH35" s="1002" t="s">
        <v>524</v>
      </c>
      <c r="AI35" s="1258" t="s">
        <v>525</v>
      </c>
      <c r="AJ35" s="249">
        <f t="shared" si="0"/>
        <v>46243</v>
      </c>
      <c r="AK35" s="1257"/>
      <c r="AL35" s="262">
        <v>46118</v>
      </c>
      <c r="AM35" s="167"/>
      <c r="AO35" s="167"/>
    </row>
    <row r="36" spans="1:41" s="166" customFormat="1" ht="15">
      <c r="A36" s="1480"/>
      <c r="B36" s="168" t="s">
        <v>74</v>
      </c>
      <c r="C36" s="169">
        <v>4</v>
      </c>
      <c r="D36" s="168" t="s">
        <v>75</v>
      </c>
      <c r="E36" s="248">
        <v>45900</v>
      </c>
      <c r="F36" s="248">
        <v>45900</v>
      </c>
      <c r="G36" s="248">
        <v>45899</v>
      </c>
      <c r="H36" s="168" t="s">
        <v>537</v>
      </c>
      <c r="I36" s="180">
        <v>1</v>
      </c>
      <c r="J36" s="248">
        <v>45700</v>
      </c>
      <c r="K36" s="248">
        <v>45700</v>
      </c>
      <c r="L36" s="248">
        <v>45700</v>
      </c>
      <c r="M36" s="248">
        <v>45976</v>
      </c>
      <c r="N36" s="248">
        <v>46021</v>
      </c>
      <c r="O36" s="248">
        <v>46021</v>
      </c>
      <c r="P36" s="171" t="s">
        <v>538</v>
      </c>
      <c r="Q36" s="145" t="s">
        <v>539</v>
      </c>
      <c r="R36" s="248">
        <v>46073</v>
      </c>
      <c r="S36" s="248">
        <v>46073</v>
      </c>
      <c r="T36" s="248" t="s">
        <v>540</v>
      </c>
      <c r="U36" s="248">
        <v>46073</v>
      </c>
      <c r="V36" s="248" t="s">
        <v>519</v>
      </c>
      <c r="W36" s="165" t="s">
        <v>541</v>
      </c>
      <c r="X36" s="165" t="s">
        <v>521</v>
      </c>
      <c r="Y36" s="248">
        <v>45915</v>
      </c>
      <c r="Z36" s="248">
        <v>45915</v>
      </c>
      <c r="AA36" s="248">
        <v>45902</v>
      </c>
      <c r="AB36" s="248" t="s">
        <v>522</v>
      </c>
      <c r="AC36" s="248" t="s">
        <v>523</v>
      </c>
      <c r="AD36" s="248">
        <v>46015</v>
      </c>
      <c r="AE36" s="248">
        <v>46080</v>
      </c>
      <c r="AF36" s="248">
        <v>46080</v>
      </c>
      <c r="AG36" s="248">
        <v>46183</v>
      </c>
      <c r="AH36" s="1002" t="s">
        <v>524</v>
      </c>
      <c r="AI36" s="1258" t="s">
        <v>525</v>
      </c>
      <c r="AJ36" s="249">
        <f t="shared" si="0"/>
        <v>46243</v>
      </c>
      <c r="AK36" s="1257"/>
      <c r="AL36" s="262">
        <v>46130</v>
      </c>
      <c r="AM36" s="167"/>
      <c r="AO36" s="167"/>
    </row>
    <row r="37" spans="1:41" s="166" customFormat="1" ht="15">
      <c r="A37" s="1480"/>
      <c r="B37" s="168" t="s">
        <v>83</v>
      </c>
      <c r="C37" s="169" t="s">
        <v>542</v>
      </c>
      <c r="D37" s="168" t="s">
        <v>85</v>
      </c>
      <c r="E37" s="248" t="s">
        <v>418</v>
      </c>
      <c r="F37" s="248" t="s">
        <v>418</v>
      </c>
      <c r="G37" s="248" t="s">
        <v>418</v>
      </c>
      <c r="H37" s="168" t="s">
        <v>543</v>
      </c>
      <c r="I37" s="180">
        <v>3</v>
      </c>
      <c r="J37" s="248">
        <v>45698</v>
      </c>
      <c r="K37" s="248">
        <v>45698</v>
      </c>
      <c r="L37" s="248">
        <v>45698</v>
      </c>
      <c r="M37" s="248">
        <v>45991</v>
      </c>
      <c r="N37" s="248">
        <v>46042</v>
      </c>
      <c r="O37" s="248">
        <v>46042</v>
      </c>
      <c r="P37" s="171" t="s">
        <v>544</v>
      </c>
      <c r="Q37" s="145"/>
      <c r="R37" s="248"/>
      <c r="S37" s="248"/>
      <c r="T37" s="248"/>
      <c r="U37" s="248"/>
      <c r="V37" s="248"/>
      <c r="W37" s="169"/>
      <c r="X37" s="169"/>
      <c r="Y37" s="248"/>
      <c r="Z37" s="248"/>
      <c r="AA37" s="249"/>
      <c r="AB37" s="249"/>
      <c r="AC37" s="249"/>
      <c r="AD37" s="248"/>
      <c r="AE37" s="248"/>
      <c r="AF37" s="249"/>
      <c r="AG37" s="248"/>
      <c r="AH37" s="248"/>
      <c r="AI37" s="174"/>
      <c r="AJ37" s="1259"/>
      <c r="AK37" s="170"/>
      <c r="AL37" s="172"/>
      <c r="AM37" s="167"/>
      <c r="AO37" s="167"/>
    </row>
    <row r="38" spans="1:41" s="166" customFormat="1" ht="15">
      <c r="A38" s="1480"/>
      <c r="B38" s="168" t="s">
        <v>95</v>
      </c>
      <c r="C38" s="175">
        <v>46042</v>
      </c>
      <c r="D38" s="168" t="s">
        <v>96</v>
      </c>
      <c r="E38" s="248">
        <v>45915</v>
      </c>
      <c r="F38" s="248">
        <v>45915</v>
      </c>
      <c r="G38" s="248">
        <v>45902</v>
      </c>
      <c r="H38" s="168" t="s">
        <v>545</v>
      </c>
      <c r="I38" s="180">
        <v>1</v>
      </c>
      <c r="J38" s="248">
        <v>45698</v>
      </c>
      <c r="K38" s="248">
        <v>45698</v>
      </c>
      <c r="L38" s="248">
        <v>45698</v>
      </c>
      <c r="M38" s="248">
        <v>45991</v>
      </c>
      <c r="N38" s="248">
        <v>46042</v>
      </c>
      <c r="O38" s="248">
        <v>46042</v>
      </c>
      <c r="P38" s="169" t="s">
        <v>544</v>
      </c>
      <c r="Q38" s="145"/>
      <c r="R38" s="248"/>
      <c r="S38" s="248"/>
      <c r="T38" s="248"/>
      <c r="U38" s="248"/>
      <c r="V38" s="248"/>
      <c r="W38" s="169"/>
      <c r="X38" s="169"/>
      <c r="Y38" s="248"/>
      <c r="Z38" s="248"/>
      <c r="AA38" s="249"/>
      <c r="AB38" s="249"/>
      <c r="AC38" s="249"/>
      <c r="AD38" s="248"/>
      <c r="AE38" s="248"/>
      <c r="AF38" s="249"/>
      <c r="AG38" s="248"/>
      <c r="AH38" s="248"/>
      <c r="AI38" s="174"/>
      <c r="AJ38" s="145"/>
      <c r="AK38" s="170"/>
      <c r="AL38" s="172"/>
      <c r="AM38" s="167"/>
      <c r="AO38" s="167"/>
    </row>
    <row r="39" spans="1:41" s="166" customFormat="1" ht="15">
      <c r="A39" s="1480"/>
      <c r="B39" s="168" t="s">
        <v>104</v>
      </c>
      <c r="C39" s="169" t="s">
        <v>105</v>
      </c>
      <c r="D39" s="168" t="s">
        <v>472</v>
      </c>
      <c r="E39" s="248">
        <v>46011</v>
      </c>
      <c r="F39" s="248">
        <v>46073</v>
      </c>
      <c r="G39" s="248">
        <v>46073</v>
      </c>
      <c r="H39" s="168" t="s">
        <v>546</v>
      </c>
      <c r="I39" s="182">
        <v>2</v>
      </c>
      <c r="J39" s="248">
        <v>45698</v>
      </c>
      <c r="K39" s="248">
        <v>45698</v>
      </c>
      <c r="L39" s="248">
        <v>45698</v>
      </c>
      <c r="M39" s="248">
        <v>45991</v>
      </c>
      <c r="N39" s="248">
        <v>46042</v>
      </c>
      <c r="O39" s="248">
        <v>46042</v>
      </c>
      <c r="P39" s="169" t="s">
        <v>544</v>
      </c>
      <c r="Q39" s="145"/>
      <c r="R39" s="248"/>
      <c r="S39" s="249"/>
      <c r="T39" s="248"/>
      <c r="U39" s="248"/>
      <c r="V39" s="248"/>
      <c r="W39" s="169"/>
      <c r="X39" s="169"/>
      <c r="Y39" s="249"/>
      <c r="Z39" s="249"/>
      <c r="AA39" s="249"/>
      <c r="AB39" s="249"/>
      <c r="AC39" s="249"/>
      <c r="AD39" s="249"/>
      <c r="AE39" s="249"/>
      <c r="AF39" s="249"/>
      <c r="AG39" s="249"/>
      <c r="AH39" s="249"/>
      <c r="AI39" s="174"/>
      <c r="AJ39" s="153"/>
      <c r="AK39" s="153"/>
      <c r="AL39" s="172"/>
      <c r="AM39" s="167"/>
      <c r="AO39" s="167"/>
    </row>
    <row r="40" spans="1:41" s="166" customFormat="1" ht="15">
      <c r="A40" s="1480"/>
      <c r="B40" s="168" t="s">
        <v>118</v>
      </c>
      <c r="C40" s="169" t="s">
        <v>547</v>
      </c>
      <c r="D40" s="168" t="s">
        <v>130</v>
      </c>
      <c r="E40" s="248">
        <v>46015</v>
      </c>
      <c r="F40" s="248">
        <f>F39+7</f>
        <v>46080</v>
      </c>
      <c r="G40" s="248">
        <f>G39+7</f>
        <v>46080</v>
      </c>
      <c r="H40" s="168" t="s">
        <v>548</v>
      </c>
      <c r="I40" s="182">
        <v>3</v>
      </c>
      <c r="J40" s="248">
        <v>45703</v>
      </c>
      <c r="K40" s="248">
        <v>45703</v>
      </c>
      <c r="L40" s="248">
        <v>45706</v>
      </c>
      <c r="M40" s="248">
        <v>45899</v>
      </c>
      <c r="N40" s="248">
        <v>45899</v>
      </c>
      <c r="O40" s="248">
        <v>45899</v>
      </c>
      <c r="P40" s="169" t="s">
        <v>532</v>
      </c>
      <c r="Q40" s="153"/>
      <c r="R40" s="249"/>
      <c r="S40" s="249"/>
      <c r="T40" s="249"/>
      <c r="U40" s="249"/>
      <c r="V40" s="249"/>
      <c r="W40" s="169"/>
      <c r="X40" s="169"/>
      <c r="Y40" s="249"/>
      <c r="Z40" s="249"/>
      <c r="AA40" s="249"/>
      <c r="AB40" s="249"/>
      <c r="AC40" s="249"/>
      <c r="AD40" s="249"/>
      <c r="AE40" s="249"/>
      <c r="AF40" s="249"/>
      <c r="AG40" s="249"/>
      <c r="AH40" s="249"/>
      <c r="AI40" s="174"/>
      <c r="AJ40" s="153"/>
      <c r="AK40" s="153"/>
      <c r="AL40" s="177"/>
      <c r="AM40" s="167"/>
      <c r="AO40" s="167"/>
    </row>
    <row r="41" spans="1:41" s="166" customFormat="1" ht="15">
      <c r="A41" s="1480"/>
      <c r="B41" s="178" t="s">
        <v>129</v>
      </c>
      <c r="C41" s="179">
        <v>2</v>
      </c>
      <c r="D41" s="168"/>
      <c r="E41" s="248"/>
      <c r="F41" s="248"/>
      <c r="G41" s="249"/>
      <c r="H41" s="168" t="s">
        <v>549</v>
      </c>
      <c r="I41" s="182">
        <v>1</v>
      </c>
      <c r="J41" s="248">
        <v>45703</v>
      </c>
      <c r="K41" s="248">
        <v>45703</v>
      </c>
      <c r="L41" s="248">
        <v>45706</v>
      </c>
      <c r="M41" s="248">
        <v>45899</v>
      </c>
      <c r="N41" s="248">
        <v>45899</v>
      </c>
      <c r="O41" s="248">
        <v>45894</v>
      </c>
      <c r="P41" s="169" t="s">
        <v>550</v>
      </c>
      <c r="Q41" s="153"/>
      <c r="R41" s="249"/>
      <c r="S41" s="249"/>
      <c r="T41" s="249"/>
      <c r="U41" s="249"/>
      <c r="V41" s="249"/>
      <c r="W41" s="169"/>
      <c r="X41" s="169"/>
      <c r="Y41" s="249"/>
      <c r="Z41" s="249"/>
      <c r="AA41" s="249"/>
      <c r="AB41" s="249"/>
      <c r="AC41" s="249"/>
      <c r="AD41" s="249"/>
      <c r="AE41" s="249"/>
      <c r="AF41" s="249"/>
      <c r="AG41" s="249"/>
      <c r="AH41" s="249"/>
      <c r="AI41" s="174"/>
      <c r="AJ41" s="153"/>
      <c r="AK41" s="153"/>
      <c r="AL41" s="177"/>
      <c r="AM41" s="167"/>
      <c r="AO41" s="167"/>
    </row>
    <row r="42" spans="1:41" s="166" customFormat="1" ht="15">
      <c r="A42" s="1480"/>
      <c r="B42" s="168" t="s">
        <v>140</v>
      </c>
      <c r="C42" s="169" t="s">
        <v>551</v>
      </c>
      <c r="D42" s="168"/>
      <c r="E42" s="248"/>
      <c r="F42" s="249"/>
      <c r="G42" s="249"/>
      <c r="H42" s="168" t="s">
        <v>552</v>
      </c>
      <c r="I42" s="182">
        <v>3</v>
      </c>
      <c r="J42" s="248">
        <v>45797</v>
      </c>
      <c r="K42" s="248">
        <v>45842</v>
      </c>
      <c r="L42" s="248">
        <v>45842</v>
      </c>
      <c r="M42" s="248">
        <v>45899</v>
      </c>
      <c r="N42" s="248">
        <v>45899</v>
      </c>
      <c r="O42" s="248">
        <v>45899</v>
      </c>
      <c r="P42" s="169" t="s">
        <v>553</v>
      </c>
      <c r="Q42" s="153"/>
      <c r="R42" s="249"/>
      <c r="S42" s="249"/>
      <c r="T42" s="249"/>
      <c r="U42" s="249"/>
      <c r="V42" s="249"/>
      <c r="W42" s="169"/>
      <c r="X42" s="169"/>
      <c r="Y42" s="249"/>
      <c r="Z42" s="249"/>
      <c r="AA42" s="249"/>
      <c r="AB42" s="249"/>
      <c r="AC42" s="249"/>
      <c r="AD42" s="249"/>
      <c r="AE42" s="249"/>
      <c r="AF42" s="249"/>
      <c r="AG42" s="249"/>
      <c r="AH42" s="249"/>
      <c r="AI42" s="174"/>
      <c r="AJ42" s="153"/>
      <c r="AK42" s="153"/>
      <c r="AL42" s="177"/>
      <c r="AM42" s="167"/>
      <c r="AO42" s="167"/>
    </row>
    <row r="43" spans="1:41" s="166" customFormat="1" ht="15">
      <c r="A43" s="1480"/>
      <c r="B43" s="178" t="s">
        <v>152</v>
      </c>
      <c r="C43" s="179" t="s">
        <v>554</v>
      </c>
      <c r="D43" s="168"/>
      <c r="E43" s="250"/>
      <c r="F43" s="248"/>
      <c r="G43" s="248"/>
      <c r="H43" s="168" t="s">
        <v>555</v>
      </c>
      <c r="I43" s="180">
        <v>3</v>
      </c>
      <c r="J43" s="248" t="s">
        <v>515</v>
      </c>
      <c r="K43" s="248" t="s">
        <v>515</v>
      </c>
      <c r="L43" s="248" t="s">
        <v>515</v>
      </c>
      <c r="M43" s="248" t="s">
        <v>515</v>
      </c>
      <c r="N43" s="248" t="s">
        <v>515</v>
      </c>
      <c r="O43" s="248" t="s">
        <v>515</v>
      </c>
      <c r="P43" s="169" t="s">
        <v>556</v>
      </c>
      <c r="Q43" s="145"/>
      <c r="R43" s="248"/>
      <c r="S43" s="249"/>
      <c r="T43" s="248"/>
      <c r="U43" s="248"/>
      <c r="V43" s="248"/>
      <c r="W43" s="169"/>
      <c r="X43" s="169"/>
      <c r="Y43" s="249"/>
      <c r="Z43" s="249"/>
      <c r="AA43" s="249"/>
      <c r="AB43" s="249"/>
      <c r="AC43" s="249"/>
      <c r="AD43" s="249"/>
      <c r="AE43" s="249"/>
      <c r="AF43" s="249"/>
      <c r="AG43" s="249"/>
      <c r="AH43" s="249"/>
      <c r="AI43" s="174"/>
      <c r="AJ43" s="153"/>
      <c r="AK43" s="153"/>
      <c r="AL43" s="181"/>
      <c r="AM43" s="167"/>
      <c r="AO43" s="167"/>
    </row>
    <row r="44" spans="1:41" s="166" customFormat="1" ht="15">
      <c r="A44" s="1480"/>
      <c r="B44" s="178" t="s">
        <v>158</v>
      </c>
      <c r="C44" s="179" t="s">
        <v>557</v>
      </c>
      <c r="D44" s="168"/>
      <c r="E44" s="251"/>
      <c r="F44" s="248"/>
      <c r="G44" s="248"/>
      <c r="H44" s="168" t="s">
        <v>558</v>
      </c>
      <c r="I44" s="182">
        <v>3</v>
      </c>
      <c r="J44" s="248">
        <v>45792</v>
      </c>
      <c r="K44" s="248">
        <v>45845</v>
      </c>
      <c r="L44" s="248">
        <v>45845</v>
      </c>
      <c r="M44" s="248">
        <v>45960</v>
      </c>
      <c r="N44" s="248">
        <v>46006</v>
      </c>
      <c r="O44" s="248">
        <v>46006</v>
      </c>
      <c r="P44" s="169" t="s">
        <v>516</v>
      </c>
      <c r="Q44" s="145"/>
      <c r="R44" s="248"/>
      <c r="S44" s="249"/>
      <c r="T44" s="249"/>
      <c r="U44" s="249"/>
      <c r="V44" s="249"/>
      <c r="W44" s="169"/>
      <c r="X44" s="169"/>
      <c r="Y44" s="249"/>
      <c r="Z44" s="249"/>
      <c r="AA44" s="249"/>
      <c r="AB44" s="249"/>
      <c r="AC44" s="249"/>
      <c r="AD44" s="249"/>
      <c r="AE44" s="249"/>
      <c r="AF44" s="249"/>
      <c r="AG44" s="249"/>
      <c r="AH44" s="249"/>
      <c r="AI44" s="174"/>
      <c r="AJ44" s="153"/>
      <c r="AK44" s="153"/>
      <c r="AL44" s="183"/>
      <c r="AM44" s="167"/>
      <c r="AO44" s="167"/>
    </row>
    <row r="45" spans="1:41" s="166" customFormat="1" ht="15">
      <c r="A45" s="1480"/>
      <c r="B45" s="178" t="s">
        <v>559</v>
      </c>
      <c r="C45" s="179" t="s">
        <v>491</v>
      </c>
      <c r="D45" s="168"/>
      <c r="E45" s="250"/>
      <c r="F45" s="248"/>
      <c r="G45" s="248"/>
      <c r="H45" s="168" t="s">
        <v>560</v>
      </c>
      <c r="I45" s="180">
        <v>3</v>
      </c>
      <c r="J45" s="248">
        <v>45792</v>
      </c>
      <c r="K45" s="248">
        <v>45847</v>
      </c>
      <c r="L45" s="248">
        <v>45847</v>
      </c>
      <c r="M45" s="248">
        <v>45960</v>
      </c>
      <c r="N45" s="248">
        <v>46006</v>
      </c>
      <c r="O45" s="248">
        <v>46006</v>
      </c>
      <c r="P45" s="169" t="s">
        <v>561</v>
      </c>
      <c r="Q45" s="145"/>
      <c r="R45" s="248"/>
      <c r="S45" s="249"/>
      <c r="T45" s="248"/>
      <c r="U45" s="248"/>
      <c r="V45" s="248"/>
      <c r="W45" s="169"/>
      <c r="X45" s="169"/>
      <c r="Y45" s="249"/>
      <c r="Z45" s="249"/>
      <c r="AA45" s="249"/>
      <c r="AB45" s="249"/>
      <c r="AC45" s="249"/>
      <c r="AD45" s="249"/>
      <c r="AE45" s="249"/>
      <c r="AF45" s="249"/>
      <c r="AG45" s="249"/>
      <c r="AH45" s="249"/>
      <c r="AI45" s="174"/>
      <c r="AJ45" s="153"/>
      <c r="AK45" s="153"/>
      <c r="AL45" s="181"/>
      <c r="AM45" s="167"/>
      <c r="AO45" s="167"/>
    </row>
    <row r="46" spans="1:41" s="166" customFormat="1" ht="15">
      <c r="A46" s="1480"/>
      <c r="B46" s="178"/>
      <c r="C46" s="179"/>
      <c r="D46" s="168"/>
      <c r="E46" s="250"/>
      <c r="F46" s="248"/>
      <c r="G46" s="248"/>
      <c r="H46" s="168" t="s">
        <v>562</v>
      </c>
      <c r="I46" s="180">
        <v>3</v>
      </c>
      <c r="J46" s="248">
        <v>45698</v>
      </c>
      <c r="K46" s="248">
        <v>45698</v>
      </c>
      <c r="L46" s="248">
        <v>45698</v>
      </c>
      <c r="M46" s="248">
        <v>45960</v>
      </c>
      <c r="N46" s="248">
        <v>46006</v>
      </c>
      <c r="O46" s="248">
        <v>46006</v>
      </c>
      <c r="P46" s="169" t="s">
        <v>544</v>
      </c>
      <c r="Q46" s="145"/>
      <c r="R46" s="248"/>
      <c r="S46" s="249"/>
      <c r="T46" s="248"/>
      <c r="U46" s="248"/>
      <c r="V46" s="248"/>
      <c r="W46" s="169"/>
      <c r="X46" s="169"/>
      <c r="Y46" s="249"/>
      <c r="Z46" s="249"/>
      <c r="AA46" s="249"/>
      <c r="AB46" s="249"/>
      <c r="AC46" s="249"/>
      <c r="AD46" s="249"/>
      <c r="AE46" s="249"/>
      <c r="AF46" s="249"/>
      <c r="AG46" s="249"/>
      <c r="AH46" s="249"/>
      <c r="AI46" s="174"/>
      <c r="AJ46" s="153"/>
      <c r="AK46" s="153"/>
      <c r="AL46" s="181"/>
      <c r="AM46" s="167"/>
      <c r="AO46" s="167"/>
    </row>
    <row r="47" spans="1:41" s="166" customFormat="1" ht="15">
      <c r="A47" s="1480"/>
      <c r="B47" s="178"/>
      <c r="C47" s="179"/>
      <c r="D47" s="168"/>
      <c r="E47" s="250"/>
      <c r="F47" s="248"/>
      <c r="G47" s="248"/>
      <c r="H47" s="168" t="s">
        <v>563</v>
      </c>
      <c r="I47" s="180">
        <v>3</v>
      </c>
      <c r="J47" s="248">
        <v>45703</v>
      </c>
      <c r="K47" s="248">
        <v>45703</v>
      </c>
      <c r="L47" s="248">
        <v>45706</v>
      </c>
      <c r="M47" s="248">
        <v>45899</v>
      </c>
      <c r="N47" s="248">
        <v>45899</v>
      </c>
      <c r="O47" s="248">
        <v>45853</v>
      </c>
      <c r="P47" s="169" t="s">
        <v>564</v>
      </c>
      <c r="Q47" s="145"/>
      <c r="R47" s="248"/>
      <c r="S47" s="249"/>
      <c r="T47" s="248"/>
      <c r="U47" s="248"/>
      <c r="V47" s="248"/>
      <c r="W47" s="169"/>
      <c r="X47" s="169"/>
      <c r="Y47" s="153"/>
      <c r="Z47" s="153"/>
      <c r="AA47" s="153"/>
      <c r="AB47" s="153"/>
      <c r="AC47" s="153"/>
      <c r="AD47" s="153"/>
      <c r="AE47" s="153"/>
      <c r="AF47" s="153"/>
      <c r="AG47" s="153"/>
      <c r="AH47" s="153"/>
      <c r="AI47" s="174"/>
      <c r="AJ47" s="153"/>
      <c r="AK47" s="153"/>
      <c r="AL47" s="181"/>
      <c r="AM47" s="167"/>
      <c r="AO47" s="167"/>
    </row>
    <row r="48" spans="1:41" s="166" customFormat="1" ht="15">
      <c r="A48" s="1480"/>
      <c r="B48" s="178"/>
      <c r="C48" s="179"/>
      <c r="D48" s="168"/>
      <c r="E48" s="250"/>
      <c r="F48" s="248"/>
      <c r="G48" s="248"/>
      <c r="H48" s="168" t="s">
        <v>565</v>
      </c>
      <c r="I48" s="180">
        <v>3</v>
      </c>
      <c r="J48" s="248" t="s">
        <v>515</v>
      </c>
      <c r="K48" s="248" t="s">
        <v>515</v>
      </c>
      <c r="L48" s="248" t="s">
        <v>515</v>
      </c>
      <c r="M48" s="248" t="s">
        <v>515</v>
      </c>
      <c r="N48" s="248" t="s">
        <v>515</v>
      </c>
      <c r="O48" s="248" t="s">
        <v>515</v>
      </c>
      <c r="P48" s="169" t="s">
        <v>566</v>
      </c>
      <c r="Q48" s="145"/>
      <c r="R48" s="248"/>
      <c r="S48" s="249"/>
      <c r="T48" s="248"/>
      <c r="U48" s="248"/>
      <c r="V48" s="248"/>
      <c r="W48" s="169"/>
      <c r="X48" s="169"/>
      <c r="Y48" s="153"/>
      <c r="Z48" s="153"/>
      <c r="AA48" s="153"/>
      <c r="AB48" s="153"/>
      <c r="AC48" s="153"/>
      <c r="AD48" s="153"/>
      <c r="AE48" s="153"/>
      <c r="AF48" s="153"/>
      <c r="AG48" s="153"/>
      <c r="AH48" s="153"/>
      <c r="AI48" s="174"/>
      <c r="AJ48" s="153"/>
      <c r="AK48" s="153"/>
      <c r="AL48" s="181"/>
      <c r="AM48" s="167"/>
      <c r="AO48" s="167"/>
    </row>
    <row r="49" spans="1:41" s="166" customFormat="1" ht="15">
      <c r="A49" s="1480"/>
      <c r="B49" s="178"/>
      <c r="C49" s="179"/>
      <c r="D49" s="168"/>
      <c r="E49" s="250"/>
      <c r="F49" s="248"/>
      <c r="G49" s="248"/>
      <c r="H49" s="168" t="s">
        <v>567</v>
      </c>
      <c r="I49" s="180">
        <v>1</v>
      </c>
      <c r="J49" s="248">
        <v>45792</v>
      </c>
      <c r="K49" s="248">
        <v>45853</v>
      </c>
      <c r="L49" s="248">
        <v>45853</v>
      </c>
      <c r="M49" s="248">
        <v>45960</v>
      </c>
      <c r="N49" s="248">
        <v>46006</v>
      </c>
      <c r="O49" s="248">
        <v>46006</v>
      </c>
      <c r="P49" s="169" t="s">
        <v>568</v>
      </c>
      <c r="Q49" s="145"/>
      <c r="R49" s="248"/>
      <c r="S49" s="249"/>
      <c r="T49" s="248"/>
      <c r="U49" s="248"/>
      <c r="V49" s="248"/>
      <c r="W49" s="169"/>
      <c r="X49" s="169"/>
      <c r="Y49" s="153"/>
      <c r="Z49" s="153"/>
      <c r="AA49" s="153"/>
      <c r="AB49" s="153"/>
      <c r="AC49" s="153"/>
      <c r="AD49" s="153"/>
      <c r="AE49" s="153"/>
      <c r="AF49" s="153"/>
      <c r="AG49" s="153"/>
      <c r="AH49" s="153"/>
      <c r="AI49" s="174"/>
      <c r="AJ49" s="153"/>
      <c r="AK49" s="153"/>
      <c r="AL49" s="181"/>
      <c r="AM49" s="167"/>
      <c r="AO49" s="167"/>
    </row>
    <row r="50" spans="1:41" s="166" customFormat="1" ht="15">
      <c r="A50" s="1480"/>
      <c r="B50" s="178"/>
      <c r="C50" s="179"/>
      <c r="D50" s="168"/>
      <c r="E50" s="250"/>
      <c r="F50" s="248"/>
      <c r="G50" s="248"/>
      <c r="H50" s="168" t="s">
        <v>569</v>
      </c>
      <c r="I50" s="180">
        <v>3</v>
      </c>
      <c r="J50" s="248">
        <v>45792</v>
      </c>
      <c r="K50" s="248">
        <v>45835</v>
      </c>
      <c r="L50" s="248">
        <v>45835</v>
      </c>
      <c r="M50" s="248">
        <v>45899</v>
      </c>
      <c r="N50" s="248">
        <v>45960</v>
      </c>
      <c r="O50" s="248">
        <v>45960</v>
      </c>
      <c r="P50" s="169" t="s">
        <v>516</v>
      </c>
      <c r="Q50" s="145"/>
      <c r="R50" s="248"/>
      <c r="S50" s="249"/>
      <c r="T50" s="248"/>
      <c r="U50" s="248"/>
      <c r="V50" s="248"/>
      <c r="W50" s="169"/>
      <c r="X50" s="169"/>
      <c r="Y50" s="153"/>
      <c r="Z50" s="153"/>
      <c r="AA50" s="153"/>
      <c r="AB50" s="153"/>
      <c r="AC50" s="153"/>
      <c r="AD50" s="153"/>
      <c r="AE50" s="153"/>
      <c r="AF50" s="153"/>
      <c r="AG50" s="153"/>
      <c r="AH50" s="153"/>
      <c r="AI50" s="174"/>
      <c r="AJ50" s="153"/>
      <c r="AK50" s="153"/>
      <c r="AL50" s="181"/>
      <c r="AM50" s="167"/>
      <c r="AO50" s="167"/>
    </row>
    <row r="51" spans="1:41" s="166" customFormat="1" ht="15">
      <c r="A51" s="1480"/>
      <c r="B51" s="178"/>
      <c r="C51" s="179"/>
      <c r="D51" s="168"/>
      <c r="E51" s="250"/>
      <c r="F51" s="248"/>
      <c r="G51" s="248"/>
      <c r="H51" s="168" t="s">
        <v>570</v>
      </c>
      <c r="I51" s="180">
        <v>4</v>
      </c>
      <c r="J51" s="248" t="s">
        <v>515</v>
      </c>
      <c r="K51" s="248" t="s">
        <v>515</v>
      </c>
      <c r="L51" s="248" t="s">
        <v>515</v>
      </c>
      <c r="M51" s="248" t="s">
        <v>515</v>
      </c>
      <c r="N51" s="248" t="s">
        <v>515</v>
      </c>
      <c r="O51" s="248" t="s">
        <v>515</v>
      </c>
      <c r="P51" s="169" t="s">
        <v>564</v>
      </c>
      <c r="Q51" s="145"/>
      <c r="R51" s="248"/>
      <c r="S51" s="249"/>
      <c r="T51" s="248"/>
      <c r="U51" s="248"/>
      <c r="V51" s="248"/>
      <c r="W51" s="169"/>
      <c r="X51" s="169"/>
      <c r="Y51" s="153"/>
      <c r="Z51" s="153"/>
      <c r="AA51" s="153"/>
      <c r="AB51" s="153"/>
      <c r="AC51" s="153"/>
      <c r="AD51" s="153"/>
      <c r="AE51" s="153"/>
      <c r="AF51" s="153"/>
      <c r="AG51" s="153"/>
      <c r="AH51" s="153"/>
      <c r="AI51" s="174"/>
      <c r="AJ51" s="153"/>
      <c r="AK51" s="153"/>
      <c r="AL51" s="181"/>
      <c r="AM51" s="167"/>
      <c r="AO51" s="167"/>
    </row>
    <row r="52" spans="1:41" s="166" customFormat="1" ht="15">
      <c r="A52" s="1480"/>
      <c r="B52" s="178"/>
      <c r="C52" s="179"/>
      <c r="D52" s="168"/>
      <c r="E52" s="250"/>
      <c r="F52" s="248"/>
      <c r="G52" s="248"/>
      <c r="H52" s="168" t="s">
        <v>571</v>
      </c>
      <c r="I52" s="180">
        <v>1</v>
      </c>
      <c r="J52" s="248" t="s">
        <v>515</v>
      </c>
      <c r="K52" s="248" t="s">
        <v>515</v>
      </c>
      <c r="L52" s="248" t="s">
        <v>515</v>
      </c>
      <c r="M52" s="248" t="s">
        <v>515</v>
      </c>
      <c r="N52" s="248" t="s">
        <v>515</v>
      </c>
      <c r="O52" s="248" t="s">
        <v>515</v>
      </c>
      <c r="P52" s="169" t="s">
        <v>564</v>
      </c>
      <c r="Q52" s="145"/>
      <c r="R52" s="145"/>
      <c r="S52" s="150"/>
      <c r="T52" s="145"/>
      <c r="U52" s="145"/>
      <c r="V52" s="145"/>
      <c r="W52" s="169"/>
      <c r="X52" s="169"/>
      <c r="Y52" s="153"/>
      <c r="Z52" s="153"/>
      <c r="AA52" s="153"/>
      <c r="AB52" s="153"/>
      <c r="AC52" s="153"/>
      <c r="AD52" s="153"/>
      <c r="AE52" s="153"/>
      <c r="AF52" s="153"/>
      <c r="AG52" s="153"/>
      <c r="AH52" s="153"/>
      <c r="AI52" s="174"/>
      <c r="AJ52" s="153"/>
      <c r="AK52" s="153"/>
      <c r="AL52" s="181"/>
      <c r="AM52" s="167"/>
      <c r="AO52" s="167"/>
    </row>
    <row r="53" spans="1:41" s="166" customFormat="1" ht="15">
      <c r="A53" s="1480"/>
      <c r="B53" s="178"/>
      <c r="C53" s="179"/>
      <c r="D53" s="168"/>
      <c r="E53" s="250"/>
      <c r="F53" s="248"/>
      <c r="G53" s="248"/>
      <c r="H53" s="168" t="s">
        <v>572</v>
      </c>
      <c r="I53" s="180">
        <v>6</v>
      </c>
      <c r="J53" s="248" t="s">
        <v>515</v>
      </c>
      <c r="K53" s="248" t="s">
        <v>515</v>
      </c>
      <c r="L53" s="249" t="s">
        <v>515</v>
      </c>
      <c r="M53" s="248" t="s">
        <v>515</v>
      </c>
      <c r="N53" s="249" t="s">
        <v>515</v>
      </c>
      <c r="O53" s="249" t="s">
        <v>515</v>
      </c>
      <c r="P53" s="169" t="s">
        <v>561</v>
      </c>
      <c r="Q53" s="145"/>
      <c r="R53" s="145"/>
      <c r="S53" s="150"/>
      <c r="T53" s="145"/>
      <c r="U53" s="145"/>
      <c r="V53" s="145"/>
      <c r="W53" s="169"/>
      <c r="X53" s="169"/>
      <c r="Y53" s="153"/>
      <c r="Z53" s="153"/>
      <c r="AA53" s="153"/>
      <c r="AB53" s="153"/>
      <c r="AC53" s="153"/>
      <c r="AD53" s="153"/>
      <c r="AE53" s="153"/>
      <c r="AF53" s="153"/>
      <c r="AG53" s="153"/>
      <c r="AH53" s="153"/>
      <c r="AI53" s="174"/>
      <c r="AJ53" s="153"/>
      <c r="AK53" s="153"/>
      <c r="AL53" s="181"/>
      <c r="AM53" s="167"/>
      <c r="AO53" s="167"/>
    </row>
    <row r="54" spans="1:41" s="166" customFormat="1" ht="15">
      <c r="A54" s="1480"/>
      <c r="B54" s="178"/>
      <c r="C54" s="179"/>
      <c r="D54" s="168"/>
      <c r="E54" s="250"/>
      <c r="F54" s="248"/>
      <c r="G54" s="248"/>
      <c r="H54" s="168" t="s">
        <v>573</v>
      </c>
      <c r="I54" s="180">
        <v>2</v>
      </c>
      <c r="J54" s="248" t="s">
        <v>515</v>
      </c>
      <c r="K54" s="248" t="s">
        <v>515</v>
      </c>
      <c r="L54" s="249" t="s">
        <v>515</v>
      </c>
      <c r="M54" s="248" t="s">
        <v>515</v>
      </c>
      <c r="N54" s="249" t="s">
        <v>515</v>
      </c>
      <c r="O54" s="249" t="s">
        <v>515</v>
      </c>
      <c r="P54" s="169" t="s">
        <v>574</v>
      </c>
      <c r="Q54" s="145"/>
      <c r="R54" s="145"/>
      <c r="S54" s="150"/>
      <c r="T54" s="145"/>
      <c r="U54" s="145"/>
      <c r="V54" s="145"/>
      <c r="W54" s="169"/>
      <c r="X54" s="169"/>
      <c r="Y54" s="153"/>
      <c r="Z54" s="153"/>
      <c r="AA54" s="153"/>
      <c r="AB54" s="153"/>
      <c r="AC54" s="153"/>
      <c r="AD54" s="153"/>
      <c r="AE54" s="153"/>
      <c r="AF54" s="153"/>
      <c r="AG54" s="153"/>
      <c r="AH54" s="153"/>
      <c r="AI54" s="174"/>
      <c r="AJ54" s="153"/>
      <c r="AK54" s="153"/>
      <c r="AL54" s="181"/>
      <c r="AM54" s="167"/>
      <c r="AO54" s="167"/>
    </row>
    <row r="55" spans="1:41" s="166" customFormat="1">
      <c r="A55" s="1480"/>
      <c r="B55" s="178"/>
      <c r="C55" s="179"/>
      <c r="D55" s="168"/>
      <c r="E55" s="250"/>
      <c r="F55" s="248"/>
      <c r="G55" s="248"/>
      <c r="H55" s="168"/>
      <c r="I55" s="265"/>
      <c r="J55" s="248"/>
      <c r="K55" s="248"/>
      <c r="L55" s="249"/>
      <c r="M55" s="248"/>
      <c r="N55" s="248"/>
      <c r="O55" s="145"/>
      <c r="P55" s="169"/>
      <c r="Q55" s="145"/>
      <c r="R55" s="145"/>
      <c r="S55" s="150"/>
      <c r="T55" s="145"/>
      <c r="U55" s="145"/>
      <c r="V55" s="145"/>
      <c r="W55" s="169"/>
      <c r="X55" s="169"/>
      <c r="Y55" s="153"/>
      <c r="Z55" s="153"/>
      <c r="AA55" s="153"/>
      <c r="AB55" s="153"/>
      <c r="AC55" s="153"/>
      <c r="AD55" s="153"/>
      <c r="AE55" s="153"/>
      <c r="AF55" s="153"/>
      <c r="AG55" s="153"/>
      <c r="AH55" s="153"/>
      <c r="AI55" s="174"/>
      <c r="AJ55" s="153"/>
      <c r="AK55" s="153"/>
      <c r="AL55" s="181"/>
      <c r="AM55" s="167"/>
      <c r="AO55" s="167"/>
    </row>
    <row r="56" spans="1:41" s="166" customFormat="1">
      <c r="A56" s="1480"/>
      <c r="B56" s="178"/>
      <c r="C56" s="179"/>
      <c r="D56" s="168"/>
      <c r="E56" s="251"/>
      <c r="F56" s="248"/>
      <c r="G56" s="248"/>
      <c r="H56" s="168"/>
      <c r="I56" s="266"/>
      <c r="J56" s="248"/>
      <c r="K56" s="248"/>
      <c r="L56" s="249"/>
      <c r="M56" s="249"/>
      <c r="N56" s="249"/>
      <c r="O56" s="153"/>
      <c r="P56" s="169"/>
      <c r="Q56" s="145"/>
      <c r="R56" s="145"/>
      <c r="S56" s="153"/>
      <c r="T56" s="153"/>
      <c r="U56" s="153"/>
      <c r="V56" s="153"/>
      <c r="W56" s="169"/>
      <c r="X56" s="169"/>
      <c r="Y56" s="153"/>
      <c r="Z56" s="153"/>
      <c r="AA56" s="153"/>
      <c r="AB56" s="153"/>
      <c r="AC56" s="153"/>
      <c r="AD56" s="153"/>
      <c r="AE56" s="153"/>
      <c r="AF56" s="153"/>
      <c r="AG56" s="153"/>
      <c r="AH56" s="153"/>
      <c r="AI56" s="174"/>
      <c r="AJ56" s="153"/>
      <c r="AK56" s="153"/>
      <c r="AL56" s="183"/>
      <c r="AM56" s="167"/>
      <c r="AO56" s="167"/>
    </row>
    <row r="57" spans="1:41" s="166" customFormat="1">
      <c r="A57" s="1480"/>
      <c r="B57" s="178"/>
      <c r="C57" s="179"/>
      <c r="D57" s="168"/>
      <c r="E57" s="251"/>
      <c r="F57" s="249"/>
      <c r="G57" s="249"/>
      <c r="H57" s="168"/>
      <c r="I57" s="266"/>
      <c r="J57" s="249"/>
      <c r="K57" s="249"/>
      <c r="L57" s="249"/>
      <c r="M57" s="249"/>
      <c r="N57" s="249"/>
      <c r="O57" s="153"/>
      <c r="P57" s="169"/>
      <c r="Q57" s="153"/>
      <c r="R57" s="153"/>
      <c r="S57" s="153"/>
      <c r="T57" s="153"/>
      <c r="U57" s="153"/>
      <c r="V57" s="153"/>
      <c r="W57" s="169"/>
      <c r="X57" s="169"/>
      <c r="Y57" s="153"/>
      <c r="Z57" s="153"/>
      <c r="AA57" s="153"/>
      <c r="AB57" s="153"/>
      <c r="AC57" s="153"/>
      <c r="AD57" s="153"/>
      <c r="AE57" s="153"/>
      <c r="AF57" s="153"/>
      <c r="AG57" s="153"/>
      <c r="AH57" s="153"/>
      <c r="AI57" s="174"/>
      <c r="AJ57" s="153"/>
      <c r="AK57" s="153"/>
      <c r="AL57" s="183"/>
      <c r="AM57" s="167"/>
      <c r="AO57" s="167"/>
    </row>
    <row r="58" spans="1:41" s="166" customFormat="1" ht="16.5" customHeight="1">
      <c r="A58" s="1480"/>
      <c r="B58" s="1510" t="s">
        <v>264</v>
      </c>
      <c r="C58" s="1512"/>
      <c r="D58" s="1486"/>
      <c r="E58" s="1487"/>
      <c r="F58" s="1487"/>
      <c r="G58" s="1488"/>
      <c r="H58" s="1466"/>
      <c r="I58" s="1467"/>
      <c r="J58" s="1467"/>
      <c r="K58" s="1467"/>
      <c r="L58" s="1467"/>
      <c r="M58" s="1467"/>
      <c r="N58" s="1467"/>
      <c r="O58" s="1467"/>
      <c r="P58" s="1468"/>
      <c r="Q58" s="1467"/>
      <c r="R58" s="1467"/>
      <c r="S58" s="1467"/>
      <c r="T58" s="1467"/>
      <c r="U58" s="1467"/>
      <c r="V58" s="1467"/>
      <c r="W58" s="1543" t="s">
        <v>511</v>
      </c>
      <c r="X58" s="1544"/>
      <c r="Y58" s="1544"/>
      <c r="Z58" s="1544"/>
      <c r="AA58" s="1544"/>
      <c r="AB58" s="1544"/>
      <c r="AC58" s="1544"/>
      <c r="AD58" s="1544"/>
      <c r="AE58" s="1544"/>
      <c r="AF58" s="1544"/>
      <c r="AG58" s="1555" t="s">
        <v>512</v>
      </c>
      <c r="AH58" s="1544"/>
      <c r="AI58" s="1544"/>
      <c r="AJ58" s="1544"/>
      <c r="AK58" s="1544"/>
      <c r="AL58" s="1556"/>
      <c r="AM58" s="905"/>
      <c r="AN58" s="132"/>
      <c r="AO58" s="167"/>
    </row>
    <row r="59" spans="1:41" s="166" customFormat="1" ht="58.5" customHeight="1">
      <c r="A59" s="1509"/>
      <c r="B59" s="1511"/>
      <c r="C59" s="1513"/>
      <c r="D59" s="1498"/>
      <c r="E59" s="1499"/>
      <c r="F59" s="1499"/>
      <c r="G59" s="1500"/>
      <c r="H59" s="1514"/>
      <c r="I59" s="1501"/>
      <c r="J59" s="1501"/>
      <c r="K59" s="1501"/>
      <c r="L59" s="1501"/>
      <c r="M59" s="1501"/>
      <c r="N59" s="1501"/>
      <c r="O59" s="1501"/>
      <c r="P59" s="1515"/>
      <c r="Q59" s="1501"/>
      <c r="R59" s="1501"/>
      <c r="S59" s="1501"/>
      <c r="T59" s="1501"/>
      <c r="U59" s="1501"/>
      <c r="V59" s="1501"/>
      <c r="W59" s="1557"/>
      <c r="X59" s="1557"/>
      <c r="Y59" s="1557"/>
      <c r="Z59" s="1557"/>
      <c r="AA59" s="1557"/>
      <c r="AB59" s="1557"/>
      <c r="AC59" s="1557"/>
      <c r="AD59" s="1557"/>
      <c r="AE59" s="1557"/>
      <c r="AF59" s="1557"/>
      <c r="AG59" s="1564"/>
      <c r="AH59" s="1564"/>
      <c r="AI59" s="1564"/>
      <c r="AJ59" s="1564"/>
      <c r="AK59" s="1564"/>
      <c r="AL59" s="1571"/>
      <c r="AM59" s="905"/>
      <c r="AN59" s="132"/>
      <c r="AO59" s="167"/>
    </row>
    <row r="60" spans="1:41" ht="15">
      <c r="A60" s="1537">
        <v>3</v>
      </c>
      <c r="B60" s="137" t="s">
        <v>40</v>
      </c>
      <c r="C60" s="138" t="s">
        <v>575</v>
      </c>
      <c r="D60" s="139" t="s">
        <v>42</v>
      </c>
      <c r="E60" s="244">
        <v>45754</v>
      </c>
      <c r="F60" s="244">
        <v>45754</v>
      </c>
      <c r="G60" s="244">
        <v>45754</v>
      </c>
      <c r="H60" s="143" t="s">
        <v>576</v>
      </c>
      <c r="I60" s="180">
        <v>2</v>
      </c>
      <c r="J60" s="253">
        <v>45772</v>
      </c>
      <c r="K60" s="253">
        <v>45804</v>
      </c>
      <c r="L60" s="245">
        <v>45804</v>
      </c>
      <c r="M60" s="245">
        <v>45891</v>
      </c>
      <c r="N60" s="245">
        <v>45968</v>
      </c>
      <c r="O60" s="245">
        <v>45968</v>
      </c>
      <c r="P60" s="115" t="s">
        <v>577</v>
      </c>
      <c r="Q60" s="140" t="s">
        <v>578</v>
      </c>
      <c r="R60" s="254">
        <v>45890</v>
      </c>
      <c r="S60" s="247">
        <v>45890</v>
      </c>
      <c r="T60" s="247" t="s">
        <v>579</v>
      </c>
      <c r="U60" s="247">
        <v>45890</v>
      </c>
      <c r="V60" s="247" t="s">
        <v>580</v>
      </c>
      <c r="W60" s="141" t="s">
        <v>581</v>
      </c>
      <c r="X60" s="184" t="s">
        <v>582</v>
      </c>
      <c r="Y60" s="247">
        <v>45905</v>
      </c>
      <c r="Z60" s="247">
        <v>45905</v>
      </c>
      <c r="AA60" s="247">
        <v>45904</v>
      </c>
      <c r="AB60" s="247"/>
      <c r="AC60" s="247"/>
      <c r="AD60" s="246">
        <v>45982</v>
      </c>
      <c r="AE60" s="245">
        <v>46125</v>
      </c>
      <c r="AF60" s="396"/>
      <c r="AG60" s="253">
        <v>46167</v>
      </c>
      <c r="AH60" s="1128"/>
      <c r="AI60" s="1128" t="s">
        <v>583</v>
      </c>
      <c r="AJ60" s="243">
        <v>46231</v>
      </c>
      <c r="AK60" s="243"/>
      <c r="AL60" s="1129">
        <v>46089</v>
      </c>
      <c r="AM60" s="905" t="s">
        <v>584</v>
      </c>
      <c r="AN60" s="132" t="s">
        <v>585</v>
      </c>
    </row>
    <row r="61" spans="1:41" ht="17.25" customHeight="1">
      <c r="A61" s="1538"/>
      <c r="B61" s="142" t="s">
        <v>52</v>
      </c>
      <c r="C61" s="115" t="s">
        <v>586</v>
      </c>
      <c r="D61" s="143" t="s">
        <v>587</v>
      </c>
      <c r="E61" s="244">
        <v>45757</v>
      </c>
      <c r="F61" s="244">
        <v>45813</v>
      </c>
      <c r="G61" s="244" t="s">
        <v>588</v>
      </c>
      <c r="H61" s="143" t="s">
        <v>589</v>
      </c>
      <c r="I61" s="180"/>
      <c r="J61" s="253">
        <v>45997</v>
      </c>
      <c r="K61" s="245">
        <v>46045</v>
      </c>
      <c r="L61" s="245">
        <v>46045</v>
      </c>
      <c r="M61" s="245">
        <v>46074</v>
      </c>
      <c r="N61" s="245">
        <v>46074</v>
      </c>
      <c r="O61" s="245">
        <v>46020</v>
      </c>
      <c r="P61" s="115" t="s">
        <v>590</v>
      </c>
      <c r="Q61" s="145" t="s">
        <v>591</v>
      </c>
      <c r="R61" s="248">
        <v>45930</v>
      </c>
      <c r="S61" s="248">
        <v>45930</v>
      </c>
      <c r="T61" s="248" t="s">
        <v>592</v>
      </c>
      <c r="U61" s="248">
        <v>45930</v>
      </c>
      <c r="V61" s="145" t="s">
        <v>580</v>
      </c>
      <c r="W61" s="146" t="s">
        <v>593</v>
      </c>
      <c r="X61" s="185" t="s">
        <v>582</v>
      </c>
      <c r="Y61" s="248">
        <v>45905</v>
      </c>
      <c r="Z61" s="248">
        <v>45905</v>
      </c>
      <c r="AA61" s="248">
        <v>45904</v>
      </c>
      <c r="AB61" s="248"/>
      <c r="AC61" s="248"/>
      <c r="AD61" s="244">
        <v>45982</v>
      </c>
      <c r="AE61" s="245">
        <v>46125</v>
      </c>
      <c r="AF61" s="245"/>
      <c r="AG61" s="245">
        <v>46167</v>
      </c>
      <c r="AH61" s="147"/>
      <c r="AI61" s="147" t="s">
        <v>583</v>
      </c>
      <c r="AJ61" s="244">
        <v>46231</v>
      </c>
      <c r="AK61" s="244"/>
      <c r="AL61" s="390">
        <v>46100</v>
      </c>
      <c r="AM61" s="905" t="s">
        <v>594</v>
      </c>
    </row>
    <row r="62" spans="1:41" ht="15.75" customHeight="1">
      <c r="A62" s="1538"/>
      <c r="B62" s="142" t="s">
        <v>64</v>
      </c>
      <c r="C62" s="116">
        <v>5000106483</v>
      </c>
      <c r="D62" s="143" t="s">
        <v>65</v>
      </c>
      <c r="E62" s="244">
        <v>45765</v>
      </c>
      <c r="F62" s="244">
        <v>45805</v>
      </c>
      <c r="G62" s="244">
        <v>45805</v>
      </c>
      <c r="H62" s="143" t="s">
        <v>595</v>
      </c>
      <c r="I62" s="180">
        <v>2</v>
      </c>
      <c r="J62" s="253">
        <v>45772</v>
      </c>
      <c r="K62" s="245">
        <v>45805</v>
      </c>
      <c r="L62" s="245">
        <v>45805</v>
      </c>
      <c r="M62" s="245">
        <v>45884</v>
      </c>
      <c r="N62" s="245">
        <v>45986</v>
      </c>
      <c r="O62" s="245">
        <v>45986</v>
      </c>
      <c r="P62" s="115" t="s">
        <v>596</v>
      </c>
      <c r="Q62" s="145" t="s">
        <v>597</v>
      </c>
      <c r="R62" s="248" t="s">
        <v>598</v>
      </c>
      <c r="S62" s="248" t="s">
        <v>598</v>
      </c>
      <c r="T62" s="248" t="s">
        <v>599</v>
      </c>
      <c r="U62" s="248" t="s">
        <v>598</v>
      </c>
      <c r="V62" s="145" t="s">
        <v>580</v>
      </c>
      <c r="W62" s="146" t="s">
        <v>600</v>
      </c>
      <c r="X62" s="185" t="s">
        <v>601</v>
      </c>
      <c r="Y62" s="248">
        <v>45905</v>
      </c>
      <c r="Z62" s="248">
        <v>45905</v>
      </c>
      <c r="AA62" s="248">
        <v>45904</v>
      </c>
      <c r="AB62" s="248"/>
      <c r="AC62" s="248"/>
      <c r="AD62" s="244">
        <v>45982</v>
      </c>
      <c r="AE62" s="245">
        <v>46125</v>
      </c>
      <c r="AF62" s="245"/>
      <c r="AG62" s="245">
        <v>46167</v>
      </c>
      <c r="AH62" s="147"/>
      <c r="AI62" s="147" t="s">
        <v>583</v>
      </c>
      <c r="AJ62" s="244">
        <v>46231</v>
      </c>
      <c r="AK62" s="244"/>
      <c r="AL62" s="390">
        <v>46118</v>
      </c>
    </row>
    <row r="63" spans="1:41" ht="30.75" customHeight="1">
      <c r="A63" s="1538"/>
      <c r="B63" s="142" t="s">
        <v>74</v>
      </c>
      <c r="C63" s="116">
        <v>4</v>
      </c>
      <c r="D63" s="143" t="s">
        <v>75</v>
      </c>
      <c r="E63" s="244">
        <v>45900</v>
      </c>
      <c r="F63" s="245">
        <v>45930</v>
      </c>
      <c r="G63" s="422" t="s">
        <v>602</v>
      </c>
      <c r="H63" s="143" t="s">
        <v>603</v>
      </c>
      <c r="I63" s="180"/>
      <c r="J63" s="253">
        <v>45997</v>
      </c>
      <c r="K63" s="245">
        <v>46045</v>
      </c>
      <c r="L63" s="245">
        <v>46045</v>
      </c>
      <c r="M63" s="245" t="s">
        <v>604</v>
      </c>
      <c r="N63" s="245">
        <v>46074</v>
      </c>
      <c r="O63" s="245">
        <v>46020</v>
      </c>
      <c r="P63" s="115" t="s">
        <v>590</v>
      </c>
      <c r="Q63" s="145" t="s">
        <v>605</v>
      </c>
      <c r="R63" s="248" t="s">
        <v>606</v>
      </c>
      <c r="S63" s="248" t="s">
        <v>606</v>
      </c>
      <c r="T63" s="248" t="s">
        <v>607</v>
      </c>
      <c r="U63" s="248" t="s">
        <v>606</v>
      </c>
      <c r="V63" s="145" t="s">
        <v>295</v>
      </c>
      <c r="W63" s="146" t="s">
        <v>608</v>
      </c>
      <c r="X63" s="186" t="s">
        <v>601</v>
      </c>
      <c r="Y63" s="248">
        <v>45905</v>
      </c>
      <c r="Z63" s="248">
        <v>45905</v>
      </c>
      <c r="AA63" s="248">
        <v>45904</v>
      </c>
      <c r="AB63" s="248"/>
      <c r="AC63" s="248"/>
      <c r="AD63" s="244">
        <v>45982</v>
      </c>
      <c r="AE63" s="245">
        <v>46125</v>
      </c>
      <c r="AF63" s="245"/>
      <c r="AG63" s="245">
        <v>46167</v>
      </c>
      <c r="AH63" s="147"/>
      <c r="AI63" s="147" t="s">
        <v>583</v>
      </c>
      <c r="AJ63" s="244">
        <v>46231</v>
      </c>
      <c r="AK63" s="244"/>
      <c r="AL63" s="390">
        <v>46125</v>
      </c>
    </row>
    <row r="64" spans="1:41" ht="15.75" customHeight="1">
      <c r="A64" s="1538"/>
      <c r="B64" s="142" t="s">
        <v>83</v>
      </c>
      <c r="C64" s="116" t="s">
        <v>609</v>
      </c>
      <c r="D64" s="143" t="s">
        <v>59</v>
      </c>
      <c r="E64" s="244" t="s">
        <v>418</v>
      </c>
      <c r="F64" s="244" t="s">
        <v>418</v>
      </c>
      <c r="G64" s="244" t="s">
        <v>418</v>
      </c>
      <c r="H64" s="143" t="s">
        <v>610</v>
      </c>
      <c r="I64" s="180"/>
      <c r="J64" s="253">
        <v>45786</v>
      </c>
      <c r="K64" s="245">
        <v>45791</v>
      </c>
      <c r="L64" s="245">
        <v>45791</v>
      </c>
      <c r="M64" s="245">
        <v>45884</v>
      </c>
      <c r="N64" s="245">
        <v>46097</v>
      </c>
      <c r="O64" s="245">
        <v>46097</v>
      </c>
      <c r="P64" s="149" t="s">
        <v>611</v>
      </c>
      <c r="Q64" s="145" t="s">
        <v>612</v>
      </c>
      <c r="R64" s="248">
        <v>46153</v>
      </c>
      <c r="S64" s="248">
        <v>46153</v>
      </c>
      <c r="T64" s="248" t="s">
        <v>613</v>
      </c>
      <c r="U64" s="248"/>
      <c r="V64" s="145"/>
      <c r="W64" s="146" t="s">
        <v>600</v>
      </c>
      <c r="X64" s="149" t="s">
        <v>614</v>
      </c>
      <c r="Y64" s="248"/>
      <c r="Z64" s="248"/>
      <c r="AA64" s="249"/>
      <c r="AB64" s="249"/>
      <c r="AC64" s="249"/>
      <c r="AD64" s="244"/>
      <c r="AE64" s="244"/>
      <c r="AF64" s="244"/>
      <c r="AG64" s="1459" t="s">
        <v>223</v>
      </c>
      <c r="AH64" s="147"/>
      <c r="AI64" s="147"/>
      <c r="AJ64" s="244"/>
      <c r="AK64" s="244"/>
      <c r="AL64" s="390" t="s">
        <v>451</v>
      </c>
    </row>
    <row r="65" spans="1:39" ht="15.75" customHeight="1">
      <c r="A65" s="1538"/>
      <c r="B65" s="142" t="s">
        <v>615</v>
      </c>
      <c r="C65" s="570">
        <v>45991</v>
      </c>
      <c r="D65" s="143" t="s">
        <v>96</v>
      </c>
      <c r="E65" s="244">
        <v>45905</v>
      </c>
      <c r="F65" s="244">
        <v>45935</v>
      </c>
      <c r="G65" s="244">
        <v>45904</v>
      </c>
      <c r="H65" s="143" t="s">
        <v>616</v>
      </c>
      <c r="I65" s="180">
        <v>2</v>
      </c>
      <c r="J65" s="253">
        <v>45772</v>
      </c>
      <c r="K65" s="245" t="s">
        <v>223</v>
      </c>
      <c r="L65" s="245"/>
      <c r="M65" s="245">
        <v>45884</v>
      </c>
      <c r="N65" s="245">
        <v>46097</v>
      </c>
      <c r="O65" s="245">
        <v>46097</v>
      </c>
      <c r="P65" s="149" t="s">
        <v>617</v>
      </c>
      <c r="Q65" s="145" t="s">
        <v>119</v>
      </c>
      <c r="R65" s="248">
        <v>46160</v>
      </c>
      <c r="S65" s="1458">
        <v>46160</v>
      </c>
      <c r="T65" s="248" t="s">
        <v>618</v>
      </c>
      <c r="U65" s="248"/>
      <c r="V65" s="145"/>
      <c r="W65" s="146" t="s">
        <v>608</v>
      </c>
      <c r="X65" s="149" t="s">
        <v>614</v>
      </c>
      <c r="Y65" s="248"/>
      <c r="Z65" s="248"/>
      <c r="AA65" s="249"/>
      <c r="AB65" s="249"/>
      <c r="AC65" s="249"/>
      <c r="AD65" s="244"/>
      <c r="AE65" s="244"/>
      <c r="AF65" s="244"/>
      <c r="AG65" s="1459" t="s">
        <v>223</v>
      </c>
      <c r="AH65" s="147"/>
      <c r="AI65" s="147"/>
      <c r="AJ65" s="244"/>
      <c r="AK65" s="244"/>
      <c r="AL65" s="390" t="s">
        <v>451</v>
      </c>
    </row>
    <row r="66" spans="1:39" ht="45.75" customHeight="1">
      <c r="A66" s="1538"/>
      <c r="B66" s="142" t="s">
        <v>370</v>
      </c>
      <c r="C66" s="152" t="s">
        <v>105</v>
      </c>
      <c r="D66" s="143" t="s">
        <v>472</v>
      </c>
      <c r="E66" s="244">
        <v>45954</v>
      </c>
      <c r="F66" s="370" t="s">
        <v>619</v>
      </c>
      <c r="G66" s="244" t="s">
        <v>620</v>
      </c>
      <c r="H66" s="143" t="s">
        <v>621</v>
      </c>
      <c r="I66" s="180">
        <v>2</v>
      </c>
      <c r="J66" s="253">
        <v>45765</v>
      </c>
      <c r="K66" s="245">
        <v>45786</v>
      </c>
      <c r="L66" s="245">
        <v>45786</v>
      </c>
      <c r="M66" s="245">
        <v>45856</v>
      </c>
      <c r="N66" s="245">
        <v>45930</v>
      </c>
      <c r="O66" s="245">
        <v>45931</v>
      </c>
      <c r="P66" s="149" t="s">
        <v>622</v>
      </c>
      <c r="Q66" s="145" t="s">
        <v>623</v>
      </c>
      <c r="R66" s="1458">
        <v>46164</v>
      </c>
      <c r="S66" s="1458"/>
      <c r="T66" s="248"/>
      <c r="U66" s="248"/>
      <c r="V66" s="145"/>
      <c r="W66" s="146"/>
      <c r="X66" s="149" t="s">
        <v>624</v>
      </c>
      <c r="Y66" s="249"/>
      <c r="Z66" s="249"/>
      <c r="AA66" s="249"/>
      <c r="AB66" s="249"/>
      <c r="AC66" s="249"/>
      <c r="AD66" s="244"/>
      <c r="AE66" s="244"/>
      <c r="AF66" s="1353"/>
      <c r="AG66" s="1354" t="s">
        <v>231</v>
      </c>
      <c r="AH66" s="245"/>
      <c r="AI66" s="522"/>
      <c r="AJ66" s="245"/>
      <c r="AK66" s="245"/>
      <c r="AL66" s="903"/>
    </row>
    <row r="67" spans="1:39" ht="36.75" customHeight="1">
      <c r="A67" s="1538"/>
      <c r="B67" s="142" t="s">
        <v>376</v>
      </c>
      <c r="C67" s="152" t="s">
        <v>625</v>
      </c>
      <c r="D67" s="143" t="s">
        <v>478</v>
      </c>
      <c r="E67" s="244">
        <v>45991</v>
      </c>
      <c r="F67" s="248">
        <v>46142</v>
      </c>
      <c r="G67" s="244"/>
      <c r="H67" s="143" t="s">
        <v>626</v>
      </c>
      <c r="I67" s="180">
        <v>10</v>
      </c>
      <c r="J67" s="253">
        <v>45825</v>
      </c>
      <c r="K67" s="245">
        <v>45825</v>
      </c>
      <c r="L67" s="245">
        <v>45825</v>
      </c>
      <c r="M67" s="245">
        <v>45920</v>
      </c>
      <c r="N67" s="245">
        <v>45999</v>
      </c>
      <c r="O67" s="245">
        <v>45999</v>
      </c>
      <c r="P67" s="149" t="s">
        <v>627</v>
      </c>
      <c r="Q67" s="153"/>
      <c r="R67" s="249"/>
      <c r="S67" s="249"/>
      <c r="T67" s="249"/>
      <c r="U67" s="249"/>
      <c r="V67" s="153"/>
      <c r="W67" s="146"/>
      <c r="X67" s="149"/>
      <c r="Y67" s="249"/>
      <c r="Z67" s="249"/>
      <c r="AA67" s="249"/>
      <c r="AB67" s="249"/>
      <c r="AC67" s="249"/>
      <c r="AD67" s="244"/>
      <c r="AE67" s="244"/>
      <c r="AF67" s="1353" t="s">
        <v>237</v>
      </c>
      <c r="AG67" s="245">
        <v>46140</v>
      </c>
      <c r="AH67" s="245">
        <v>46141</v>
      </c>
      <c r="AI67" s="522" t="s">
        <v>628</v>
      </c>
      <c r="AJ67" s="245">
        <v>46142</v>
      </c>
      <c r="AK67" s="245">
        <v>46142</v>
      </c>
      <c r="AL67" s="903">
        <v>46112</v>
      </c>
      <c r="AM67" s="905" t="s">
        <v>629</v>
      </c>
    </row>
    <row r="68" spans="1:39" ht="15.75" customHeight="1">
      <c r="A68" s="1538"/>
      <c r="B68" s="142" t="s">
        <v>129</v>
      </c>
      <c r="C68" s="116">
        <v>2</v>
      </c>
      <c r="D68" s="143"/>
      <c r="E68" s="244"/>
      <c r="F68" s="244"/>
      <c r="G68" s="244"/>
      <c r="H68" s="143" t="s">
        <v>630</v>
      </c>
      <c r="I68" s="399">
        <v>12</v>
      </c>
      <c r="J68" s="245">
        <v>45825</v>
      </c>
      <c r="K68" s="245">
        <v>45825</v>
      </c>
      <c r="L68" s="245">
        <v>45825</v>
      </c>
      <c r="M68" s="245">
        <v>45920</v>
      </c>
      <c r="N68" s="245">
        <v>45999</v>
      </c>
      <c r="O68" s="245">
        <v>45999</v>
      </c>
      <c r="P68" s="115" t="s">
        <v>627</v>
      </c>
      <c r="Q68" s="153"/>
      <c r="R68" s="249"/>
      <c r="S68" s="249"/>
      <c r="T68" s="249"/>
      <c r="U68" s="249"/>
      <c r="V68" s="153"/>
      <c r="W68" s="146"/>
      <c r="X68" s="149"/>
      <c r="Y68" s="249"/>
      <c r="Z68" s="249"/>
      <c r="AA68" s="249"/>
      <c r="AB68" s="249"/>
      <c r="AC68" s="249"/>
      <c r="AD68" s="244"/>
      <c r="AE68" s="244"/>
      <c r="AF68" s="1355" t="s">
        <v>244</v>
      </c>
      <c r="AG68" s="244" t="s">
        <v>245</v>
      </c>
      <c r="AH68" s="244"/>
      <c r="AI68" s="147" t="s">
        <v>631</v>
      </c>
      <c r="AJ68" s="144"/>
      <c r="AK68" s="144"/>
      <c r="AL68" s="148"/>
    </row>
    <row r="69" spans="1:39" ht="15.75" customHeight="1">
      <c r="A69" s="1538"/>
      <c r="B69" s="142" t="s">
        <v>632</v>
      </c>
      <c r="C69" s="116" t="s">
        <v>633</v>
      </c>
      <c r="D69" s="143"/>
      <c r="E69" s="244"/>
      <c r="F69" s="244"/>
      <c r="G69" s="244"/>
      <c r="H69" s="143" t="s">
        <v>634</v>
      </c>
      <c r="I69" s="399">
        <v>4</v>
      </c>
      <c r="J69" s="245">
        <v>45825</v>
      </c>
      <c r="K69" s="245">
        <v>45825</v>
      </c>
      <c r="L69" s="245">
        <v>45825</v>
      </c>
      <c r="M69" s="245">
        <v>45920</v>
      </c>
      <c r="N69" s="245">
        <v>45999</v>
      </c>
      <c r="O69" s="245">
        <v>45999</v>
      </c>
      <c r="P69" s="116" t="s">
        <v>627</v>
      </c>
      <c r="Q69" s="145"/>
      <c r="R69" s="248"/>
      <c r="S69" s="249"/>
      <c r="T69" s="248"/>
      <c r="U69" s="248"/>
      <c r="V69" s="145"/>
      <c r="W69" s="146"/>
      <c r="X69" s="149"/>
      <c r="Y69" s="249"/>
      <c r="Z69" s="249"/>
      <c r="AA69" s="249"/>
      <c r="AB69" s="249"/>
      <c r="AC69" s="249"/>
      <c r="AD69" s="244"/>
      <c r="AE69" s="244"/>
      <c r="AF69" s="244"/>
      <c r="AG69" s="244"/>
      <c r="AH69" s="244"/>
      <c r="AI69" s="147"/>
      <c r="AJ69" s="144"/>
      <c r="AK69" s="144"/>
      <c r="AL69" s="148"/>
    </row>
    <row r="70" spans="1:39" ht="15.75" customHeight="1">
      <c r="A70" s="1538"/>
      <c r="B70" s="142" t="s">
        <v>635</v>
      </c>
      <c r="C70" s="116" t="s">
        <v>554</v>
      </c>
      <c r="D70" s="143"/>
      <c r="E70" s="244"/>
      <c r="F70" s="244"/>
      <c r="G70" s="244"/>
      <c r="H70" s="143" t="s">
        <v>636</v>
      </c>
      <c r="I70" s="399">
        <v>8</v>
      </c>
      <c r="J70" s="245">
        <v>45825</v>
      </c>
      <c r="K70" s="245">
        <v>45825</v>
      </c>
      <c r="L70" s="245">
        <v>45825</v>
      </c>
      <c r="M70" s="245">
        <v>45920</v>
      </c>
      <c r="N70" s="245">
        <v>45999</v>
      </c>
      <c r="O70" s="245">
        <v>45999</v>
      </c>
      <c r="P70" s="115" t="s">
        <v>637</v>
      </c>
      <c r="Q70" s="145"/>
      <c r="R70" s="248"/>
      <c r="S70" s="249"/>
      <c r="T70" s="249"/>
      <c r="U70" s="249"/>
      <c r="V70" s="153"/>
      <c r="W70" s="146"/>
      <c r="X70" s="149"/>
      <c r="Y70" s="249"/>
      <c r="Z70" s="249"/>
      <c r="AA70" s="249"/>
      <c r="AB70" s="249"/>
      <c r="AC70" s="249"/>
      <c r="AD70" s="244"/>
      <c r="AE70" s="244"/>
      <c r="AF70" s="244"/>
      <c r="AG70" s="244"/>
      <c r="AH70" s="244"/>
      <c r="AI70" s="147"/>
      <c r="AJ70" s="144"/>
      <c r="AK70" s="144"/>
      <c r="AL70" s="148"/>
    </row>
    <row r="71" spans="1:39" ht="15.75" customHeight="1">
      <c r="A71" s="1538"/>
      <c r="B71" s="142" t="s">
        <v>638</v>
      </c>
      <c r="C71" s="116" t="s">
        <v>639</v>
      </c>
      <c r="D71" s="143"/>
      <c r="E71" s="244"/>
      <c r="F71" s="244"/>
      <c r="G71" s="244"/>
      <c r="H71" s="143" t="s">
        <v>640</v>
      </c>
      <c r="I71" s="399">
        <v>1</v>
      </c>
      <c r="J71" s="245">
        <v>45997</v>
      </c>
      <c r="K71" s="245">
        <v>46045</v>
      </c>
      <c r="L71" s="245">
        <v>46045</v>
      </c>
      <c r="M71" s="245">
        <v>45997</v>
      </c>
      <c r="N71" s="245">
        <v>46098</v>
      </c>
      <c r="O71" s="245">
        <v>46093</v>
      </c>
      <c r="P71" s="115" t="s">
        <v>641</v>
      </c>
      <c r="Q71" s="145"/>
      <c r="R71" s="248"/>
      <c r="S71" s="249"/>
      <c r="T71" s="248"/>
      <c r="U71" s="248"/>
      <c r="V71" s="145"/>
      <c r="W71" s="146"/>
      <c r="X71" s="115"/>
      <c r="Y71" s="249"/>
      <c r="Z71" s="249"/>
      <c r="AA71" s="249"/>
      <c r="AB71" s="249"/>
      <c r="AC71" s="249"/>
      <c r="AD71" s="244"/>
      <c r="AE71" s="244"/>
      <c r="AF71" s="244"/>
      <c r="AG71" s="244"/>
      <c r="AH71" s="244"/>
      <c r="AI71" s="147"/>
      <c r="AJ71" s="144"/>
      <c r="AK71" s="144"/>
      <c r="AL71" s="148"/>
    </row>
    <row r="72" spans="1:39" ht="15.75" customHeight="1">
      <c r="A72" s="1538"/>
      <c r="B72" s="142" t="s">
        <v>167</v>
      </c>
      <c r="C72" s="116" t="s">
        <v>406</v>
      </c>
      <c r="D72" s="143"/>
      <c r="E72" s="244"/>
      <c r="F72" s="244"/>
      <c r="G72" s="244"/>
      <c r="H72" s="143" t="s">
        <v>642</v>
      </c>
      <c r="I72" s="399">
        <v>1</v>
      </c>
      <c r="J72" s="245">
        <v>45997</v>
      </c>
      <c r="K72" s="245">
        <v>46045</v>
      </c>
      <c r="L72" s="245">
        <v>46045</v>
      </c>
      <c r="M72" s="245">
        <v>45997</v>
      </c>
      <c r="N72" s="245">
        <v>46098</v>
      </c>
      <c r="O72" s="245">
        <v>46093</v>
      </c>
      <c r="P72" s="115" t="s">
        <v>641</v>
      </c>
      <c r="Q72" s="145"/>
      <c r="R72" s="248"/>
      <c r="S72" s="249"/>
      <c r="T72" s="249"/>
      <c r="U72" s="249"/>
      <c r="V72" s="153"/>
      <c r="W72" s="146"/>
      <c r="X72" s="115"/>
      <c r="Y72" s="249"/>
      <c r="Z72" s="249"/>
      <c r="AA72" s="249"/>
      <c r="AB72" s="249"/>
      <c r="AC72" s="249"/>
      <c r="AD72" s="244"/>
      <c r="AE72" s="244"/>
      <c r="AF72" s="244"/>
      <c r="AG72" s="244"/>
      <c r="AH72" s="244"/>
      <c r="AI72" s="147"/>
      <c r="AJ72" s="144"/>
      <c r="AK72" s="144"/>
      <c r="AL72" s="148"/>
    </row>
    <row r="73" spans="1:39" ht="15.75" customHeight="1">
      <c r="A73" s="1538"/>
      <c r="B73" s="142" t="s">
        <v>412</v>
      </c>
      <c r="C73" s="116" t="s">
        <v>643</v>
      </c>
      <c r="D73" s="143"/>
      <c r="E73" s="244"/>
      <c r="F73" s="244"/>
      <c r="G73" s="244"/>
      <c r="H73" s="143" t="s">
        <v>644</v>
      </c>
      <c r="I73" s="399"/>
      <c r="J73" s="245"/>
      <c r="K73" s="245"/>
      <c r="L73" s="245"/>
      <c r="M73" s="245"/>
      <c r="N73" s="245"/>
      <c r="O73" s="245"/>
      <c r="P73" s="116" t="s">
        <v>645</v>
      </c>
      <c r="Q73" s="153"/>
      <c r="R73" s="249"/>
      <c r="S73" s="249"/>
      <c r="T73" s="249"/>
      <c r="U73" s="249"/>
      <c r="V73" s="153"/>
      <c r="W73" s="146"/>
      <c r="X73" s="115"/>
      <c r="Y73" s="249"/>
      <c r="Z73" s="249"/>
      <c r="AA73" s="249"/>
      <c r="AB73" s="249"/>
      <c r="AC73" s="249"/>
      <c r="AD73" s="244"/>
      <c r="AE73" s="244"/>
      <c r="AF73" s="244"/>
      <c r="AG73" s="244"/>
      <c r="AH73" s="244"/>
      <c r="AI73" s="147"/>
      <c r="AJ73" s="144"/>
      <c r="AK73" s="144"/>
      <c r="AL73" s="148"/>
    </row>
    <row r="74" spans="1:39" ht="35.25" customHeight="1">
      <c r="A74" s="1538"/>
      <c r="B74" s="156"/>
      <c r="C74" s="157"/>
      <c r="D74" s="143"/>
      <c r="E74" s="244"/>
      <c r="F74" s="244"/>
      <c r="G74" s="244"/>
      <c r="H74" s="155" t="s">
        <v>646</v>
      </c>
      <c r="I74" s="399">
        <v>8</v>
      </c>
      <c r="J74" s="245">
        <v>45989</v>
      </c>
      <c r="K74" s="245">
        <v>46003</v>
      </c>
      <c r="L74" s="245">
        <v>46001</v>
      </c>
      <c r="M74" s="245">
        <v>46101</v>
      </c>
      <c r="N74" s="245">
        <v>46136</v>
      </c>
      <c r="O74" s="2304">
        <v>46160</v>
      </c>
      <c r="P74" s="116" t="s">
        <v>647</v>
      </c>
      <c r="Q74" s="145"/>
      <c r="R74" s="248"/>
      <c r="S74" s="249"/>
      <c r="T74" s="249"/>
      <c r="U74" s="249"/>
      <c r="V74" s="153"/>
      <c r="W74" s="146"/>
      <c r="X74" s="115"/>
      <c r="Y74" s="115"/>
      <c r="Z74" s="115"/>
      <c r="AA74" s="115"/>
      <c r="AB74" s="115"/>
      <c r="AC74" s="115"/>
      <c r="AD74" s="144"/>
      <c r="AE74" s="144"/>
      <c r="AF74" s="144"/>
      <c r="AG74" s="144"/>
      <c r="AH74" s="144"/>
      <c r="AI74" s="147"/>
      <c r="AJ74" s="144"/>
      <c r="AK74" s="144"/>
      <c r="AL74" s="148"/>
    </row>
    <row r="75" spans="1:39" ht="15.75" customHeight="1">
      <c r="A75" s="1538"/>
      <c r="B75" s="156"/>
      <c r="C75" s="157"/>
      <c r="D75" s="143"/>
      <c r="E75" s="244"/>
      <c r="F75" s="244"/>
      <c r="G75" s="244"/>
      <c r="H75" s="143" t="s">
        <v>648</v>
      </c>
      <c r="I75" s="399">
        <v>8</v>
      </c>
      <c r="J75" s="245">
        <v>45989</v>
      </c>
      <c r="K75" s="245">
        <v>46003</v>
      </c>
      <c r="L75" s="245">
        <v>46001</v>
      </c>
      <c r="M75" s="245">
        <v>46115</v>
      </c>
      <c r="N75" s="245">
        <v>46157</v>
      </c>
      <c r="O75" s="2304">
        <v>46160</v>
      </c>
      <c r="P75" s="116" t="s">
        <v>649</v>
      </c>
      <c r="Q75" s="145"/>
      <c r="R75" s="145"/>
      <c r="S75" s="150"/>
      <c r="T75" s="145"/>
      <c r="U75" s="145"/>
      <c r="V75" s="145"/>
      <c r="W75" s="146"/>
      <c r="X75" s="115"/>
      <c r="Y75" s="115"/>
      <c r="Z75" s="115"/>
      <c r="AA75" s="115"/>
      <c r="AB75" s="115"/>
      <c r="AC75" s="115"/>
      <c r="AD75" s="144"/>
      <c r="AE75" s="144"/>
      <c r="AF75" s="144"/>
      <c r="AG75" s="144"/>
      <c r="AH75" s="144"/>
      <c r="AI75" s="147"/>
      <c r="AJ75" s="144"/>
      <c r="AK75" s="144"/>
      <c r="AL75" s="148"/>
    </row>
    <row r="76" spans="1:39" ht="15.75" customHeight="1">
      <c r="A76" s="1538"/>
      <c r="B76" s="156"/>
      <c r="C76" s="157"/>
      <c r="D76" s="143"/>
      <c r="E76" s="244"/>
      <c r="F76" s="244"/>
      <c r="G76" s="244"/>
      <c r="H76" s="143" t="s">
        <v>650</v>
      </c>
      <c r="I76" s="399">
        <v>8</v>
      </c>
      <c r="J76" s="245">
        <v>45989</v>
      </c>
      <c r="K76" s="245">
        <v>46003</v>
      </c>
      <c r="L76" s="245">
        <v>46001</v>
      </c>
      <c r="M76" s="245">
        <v>46115</v>
      </c>
      <c r="N76" s="245">
        <v>46157</v>
      </c>
      <c r="O76" s="2304">
        <v>46160</v>
      </c>
      <c r="P76" s="116" t="s">
        <v>651</v>
      </c>
      <c r="Q76" s="145"/>
      <c r="R76" s="145"/>
      <c r="S76" s="153"/>
      <c r="T76" s="153"/>
      <c r="U76" s="153"/>
      <c r="V76" s="153"/>
      <c r="W76" s="146"/>
      <c r="X76" s="115"/>
      <c r="Y76" s="153"/>
      <c r="Z76" s="153"/>
      <c r="AA76" s="153"/>
      <c r="AB76" s="153"/>
      <c r="AC76" s="153"/>
      <c r="AD76" s="144"/>
      <c r="AE76" s="144"/>
      <c r="AF76" s="144"/>
      <c r="AG76" s="144"/>
      <c r="AH76" s="144"/>
      <c r="AI76" s="147"/>
      <c r="AJ76" s="144"/>
      <c r="AK76" s="144"/>
      <c r="AL76" s="148"/>
    </row>
    <row r="77" spans="1:39" ht="15.75" customHeight="1">
      <c r="A77" s="1538"/>
      <c r="B77" s="156"/>
      <c r="C77" s="157"/>
      <c r="D77" s="143"/>
      <c r="E77" s="244"/>
      <c r="F77" s="244"/>
      <c r="G77" s="244"/>
      <c r="H77" s="143" t="s">
        <v>652</v>
      </c>
      <c r="I77" s="399">
        <v>8</v>
      </c>
      <c r="J77" s="245">
        <v>45989</v>
      </c>
      <c r="K77" s="245">
        <v>46003</v>
      </c>
      <c r="L77" s="245">
        <v>46001</v>
      </c>
      <c r="M77" s="245">
        <v>46066</v>
      </c>
      <c r="N77" s="245">
        <v>46157</v>
      </c>
      <c r="O77" s="2304">
        <v>46160</v>
      </c>
      <c r="P77" s="116" t="s">
        <v>653</v>
      </c>
      <c r="Q77" s="145"/>
      <c r="R77" s="145"/>
      <c r="S77" s="145"/>
      <c r="T77" s="145"/>
      <c r="U77" s="145"/>
      <c r="V77" s="145"/>
      <c r="W77" s="146"/>
      <c r="X77" s="115"/>
      <c r="Y77" s="153"/>
      <c r="Z77" s="153"/>
      <c r="AA77" s="153"/>
      <c r="AB77" s="153"/>
      <c r="AC77" s="153"/>
      <c r="AD77" s="144"/>
      <c r="AE77" s="144"/>
      <c r="AF77" s="144"/>
      <c r="AG77" s="144"/>
      <c r="AH77" s="144"/>
      <c r="AI77" s="147"/>
      <c r="AJ77" s="144"/>
      <c r="AK77" s="144"/>
      <c r="AL77" s="148"/>
    </row>
    <row r="78" spans="1:39" ht="15.75" customHeight="1">
      <c r="A78" s="1538"/>
      <c r="B78" s="156"/>
      <c r="C78" s="157"/>
      <c r="D78" s="143"/>
      <c r="E78" s="244"/>
      <c r="F78" s="244"/>
      <c r="G78" s="244"/>
      <c r="H78" s="143" t="s">
        <v>654</v>
      </c>
      <c r="I78" s="399">
        <v>8</v>
      </c>
      <c r="J78" s="245">
        <v>45989</v>
      </c>
      <c r="K78" s="245">
        <v>46003</v>
      </c>
      <c r="L78" s="245">
        <v>46001</v>
      </c>
      <c r="M78" s="245">
        <v>46066</v>
      </c>
      <c r="N78" s="245">
        <v>46157</v>
      </c>
      <c r="O78" s="2304">
        <v>46160</v>
      </c>
      <c r="P78" s="115" t="s">
        <v>653</v>
      </c>
      <c r="Q78" s="145"/>
      <c r="R78" s="145"/>
      <c r="S78" s="145"/>
      <c r="T78" s="145"/>
      <c r="U78" s="145"/>
      <c r="V78" s="145"/>
      <c r="W78" s="146"/>
      <c r="X78" s="115"/>
      <c r="Y78" s="153"/>
      <c r="Z78" s="153"/>
      <c r="AA78" s="153"/>
      <c r="AB78" s="153"/>
      <c r="AC78" s="153"/>
      <c r="AD78" s="144"/>
      <c r="AE78" s="144"/>
      <c r="AF78" s="144"/>
      <c r="AG78" s="144"/>
      <c r="AH78" s="144"/>
      <c r="AI78" s="147"/>
      <c r="AJ78" s="144"/>
      <c r="AK78" s="144"/>
      <c r="AL78" s="148"/>
    </row>
    <row r="79" spans="1:39" ht="15.75" customHeight="1">
      <c r="A79" s="1538"/>
      <c r="B79" s="156"/>
      <c r="C79" s="157"/>
      <c r="D79" s="143"/>
      <c r="E79" s="244"/>
      <c r="F79" s="244"/>
      <c r="G79" s="244"/>
      <c r="H79" s="143" t="s">
        <v>655</v>
      </c>
      <c r="I79" s="399">
        <v>8</v>
      </c>
      <c r="J79" s="245" t="s">
        <v>656</v>
      </c>
      <c r="K79" s="245">
        <v>46006</v>
      </c>
      <c r="L79" s="245">
        <v>46006</v>
      </c>
      <c r="M79" s="245">
        <v>46136</v>
      </c>
      <c r="N79" s="245">
        <v>46157</v>
      </c>
      <c r="O79" s="2304">
        <v>46160</v>
      </c>
      <c r="P79" s="115" t="s">
        <v>653</v>
      </c>
      <c r="Q79" s="145"/>
      <c r="R79" s="145"/>
      <c r="S79" s="145"/>
      <c r="T79" s="145"/>
      <c r="U79" s="145"/>
      <c r="V79" s="145"/>
      <c r="W79" s="146"/>
      <c r="X79" s="115"/>
      <c r="Y79" s="153"/>
      <c r="Z79" s="153"/>
      <c r="AA79" s="153"/>
      <c r="AB79" s="153"/>
      <c r="AC79" s="153"/>
      <c r="AD79" s="144"/>
      <c r="AE79" s="144"/>
      <c r="AF79" s="144"/>
      <c r="AG79" s="144"/>
      <c r="AH79" s="144"/>
      <c r="AI79" s="147"/>
      <c r="AJ79" s="144"/>
      <c r="AK79" s="144"/>
      <c r="AL79" s="148"/>
    </row>
    <row r="80" spans="1:39" ht="15.75" customHeight="1">
      <c r="A80" s="1538"/>
      <c r="B80" s="156"/>
      <c r="C80" s="157"/>
      <c r="D80" s="143"/>
      <c r="E80" s="244"/>
      <c r="F80" s="244"/>
      <c r="G80" s="244"/>
      <c r="H80" s="143" t="s">
        <v>657</v>
      </c>
      <c r="I80" s="399">
        <v>8</v>
      </c>
      <c r="J80" s="245" t="s">
        <v>656</v>
      </c>
      <c r="K80" s="245">
        <v>46006</v>
      </c>
      <c r="L80" s="245">
        <v>46006</v>
      </c>
      <c r="M80" s="245">
        <v>46147</v>
      </c>
      <c r="N80" s="2304">
        <v>46164</v>
      </c>
      <c r="O80" s="2304"/>
      <c r="P80" s="115" t="s">
        <v>653</v>
      </c>
      <c r="Q80" s="145"/>
      <c r="R80" s="145"/>
      <c r="S80" s="145"/>
      <c r="T80" s="145"/>
      <c r="U80" s="145"/>
      <c r="V80" s="145"/>
      <c r="W80" s="146"/>
      <c r="X80" s="115"/>
      <c r="Y80" s="153"/>
      <c r="Z80" s="153"/>
      <c r="AA80" s="153"/>
      <c r="AB80" s="153"/>
      <c r="AC80" s="153"/>
      <c r="AD80" s="144"/>
      <c r="AE80" s="144"/>
      <c r="AF80" s="144"/>
      <c r="AG80" s="144"/>
      <c r="AH80" s="144"/>
      <c r="AI80" s="147"/>
      <c r="AJ80" s="144"/>
      <c r="AK80" s="144"/>
      <c r="AL80" s="148"/>
    </row>
    <row r="81" spans="1:39" ht="15.75" customHeight="1">
      <c r="A81" s="1538"/>
      <c r="B81" s="156"/>
      <c r="C81" s="157"/>
      <c r="D81" s="143"/>
      <c r="E81" s="244"/>
      <c r="F81" s="244"/>
      <c r="G81" s="244"/>
      <c r="H81" s="504" t="s">
        <v>658</v>
      </c>
      <c r="I81" s="431">
        <v>2</v>
      </c>
      <c r="J81" s="432">
        <v>45997</v>
      </c>
      <c r="K81" s="432">
        <v>46045</v>
      </c>
      <c r="L81" s="432">
        <v>46045</v>
      </c>
      <c r="M81" s="432">
        <v>46074</v>
      </c>
      <c r="N81" s="432">
        <v>46074</v>
      </c>
      <c r="O81" s="432">
        <v>46020</v>
      </c>
      <c r="P81" s="904" t="s">
        <v>653</v>
      </c>
      <c r="Q81" s="145"/>
      <c r="R81" s="145"/>
      <c r="S81" s="145"/>
      <c r="T81" s="145"/>
      <c r="U81" s="145"/>
      <c r="V81" s="145"/>
      <c r="W81" s="146"/>
      <c r="X81" s="115"/>
      <c r="Y81" s="153"/>
      <c r="Z81" s="153"/>
      <c r="AA81" s="153"/>
      <c r="AB81" s="153"/>
      <c r="AC81" s="153"/>
      <c r="AD81" s="144"/>
      <c r="AE81" s="144"/>
      <c r="AF81" s="144"/>
      <c r="AG81" s="144"/>
      <c r="AH81" s="144"/>
      <c r="AI81" s="147"/>
      <c r="AJ81" s="144"/>
      <c r="AK81" s="144"/>
      <c r="AL81" s="148"/>
    </row>
    <row r="82" spans="1:39" ht="15.75" customHeight="1">
      <c r="A82" s="1538"/>
      <c r="B82" s="156"/>
      <c r="C82" s="157"/>
      <c r="D82" s="143"/>
      <c r="E82" s="244"/>
      <c r="F82" s="244"/>
      <c r="G82" s="244"/>
      <c r="H82" s="504" t="s">
        <v>659</v>
      </c>
      <c r="I82" s="431">
        <v>2</v>
      </c>
      <c r="J82" s="432">
        <v>45997</v>
      </c>
      <c r="K82" s="432">
        <v>46045</v>
      </c>
      <c r="L82" s="432">
        <v>46045</v>
      </c>
      <c r="M82" s="432">
        <v>46074</v>
      </c>
      <c r="N82" s="432">
        <v>46074</v>
      </c>
      <c r="O82" s="432">
        <v>46020</v>
      </c>
      <c r="P82" s="904" t="s">
        <v>653</v>
      </c>
      <c r="Q82" s="145"/>
      <c r="R82" s="145"/>
      <c r="S82" s="145"/>
      <c r="T82" s="145"/>
      <c r="U82" s="145"/>
      <c r="V82" s="145"/>
      <c r="W82" s="146"/>
      <c r="X82" s="115"/>
      <c r="Y82" s="153"/>
      <c r="Z82" s="153"/>
      <c r="AA82" s="153"/>
      <c r="AB82" s="153"/>
      <c r="AC82" s="153"/>
      <c r="AD82" s="144"/>
      <c r="AE82" s="144"/>
      <c r="AF82" s="144"/>
      <c r="AG82" s="144"/>
      <c r="AH82" s="144"/>
      <c r="AI82" s="147"/>
      <c r="AJ82" s="144"/>
      <c r="AK82" s="144"/>
      <c r="AL82" s="148"/>
    </row>
    <row r="83" spans="1:39" ht="15.75" customHeight="1">
      <c r="A83" s="1538"/>
      <c r="B83" s="156"/>
      <c r="C83" s="157"/>
      <c r="D83" s="143"/>
      <c r="E83" s="244"/>
      <c r="F83" s="244"/>
      <c r="G83" s="244"/>
      <c r="H83" s="143"/>
      <c r="I83" s="399"/>
      <c r="J83" s="245"/>
      <c r="K83" s="245"/>
      <c r="L83" s="245"/>
      <c r="M83" s="245"/>
      <c r="N83" s="245"/>
      <c r="O83" s="245"/>
      <c r="P83" s="115"/>
      <c r="Q83" s="145"/>
      <c r="R83" s="145"/>
      <c r="S83" s="145"/>
      <c r="T83" s="145"/>
      <c r="U83" s="145"/>
      <c r="V83" s="145"/>
      <c r="W83" s="146"/>
      <c r="X83" s="115"/>
      <c r="Y83" s="153"/>
      <c r="Z83" s="153"/>
      <c r="AA83" s="153"/>
      <c r="AB83" s="153"/>
      <c r="AC83" s="153"/>
      <c r="AD83" s="144"/>
      <c r="AE83" s="144"/>
      <c r="AF83" s="144"/>
      <c r="AG83" s="144"/>
      <c r="AH83" s="144"/>
      <c r="AI83" s="147"/>
      <c r="AJ83" s="144"/>
      <c r="AK83" s="144"/>
      <c r="AL83" s="148"/>
    </row>
    <row r="84" spans="1:39" ht="15.75" customHeight="1">
      <c r="A84" s="1538"/>
      <c r="B84" s="156"/>
      <c r="C84" s="157"/>
      <c r="D84" s="143"/>
      <c r="E84" s="244"/>
      <c r="F84" s="244"/>
      <c r="G84" s="244"/>
      <c r="H84" s="143"/>
      <c r="I84" s="481"/>
      <c r="J84" s="244"/>
      <c r="K84" s="245"/>
      <c r="L84" s="245"/>
      <c r="M84" s="245"/>
      <c r="N84" s="245"/>
      <c r="O84" s="244"/>
      <c r="P84" s="115"/>
      <c r="Q84" s="145"/>
      <c r="R84" s="145"/>
      <c r="S84" s="150"/>
      <c r="T84" s="145"/>
      <c r="U84" s="145"/>
      <c r="V84" s="145"/>
      <c r="W84" s="146"/>
      <c r="X84" s="115"/>
      <c r="Y84" s="153"/>
      <c r="Z84" s="153"/>
      <c r="AA84" s="153"/>
      <c r="AB84" s="153"/>
      <c r="AC84" s="153"/>
      <c r="AD84" s="144"/>
      <c r="AE84" s="144"/>
      <c r="AF84" s="144"/>
      <c r="AG84" s="144"/>
      <c r="AH84" s="144"/>
      <c r="AI84" s="147"/>
      <c r="AJ84" s="144"/>
      <c r="AK84" s="144"/>
      <c r="AL84" s="148"/>
    </row>
    <row r="85" spans="1:39" ht="15.75" customHeight="1">
      <c r="A85" s="1538"/>
      <c r="B85" s="159"/>
      <c r="C85" s="160"/>
      <c r="D85" s="143"/>
      <c r="E85" s="244"/>
      <c r="F85" s="244"/>
      <c r="G85" s="244"/>
      <c r="H85" s="143"/>
      <c r="I85" s="481"/>
      <c r="J85" s="244"/>
      <c r="K85" s="244"/>
      <c r="L85" s="244"/>
      <c r="M85" s="244"/>
      <c r="N85" s="244"/>
      <c r="O85" s="244"/>
      <c r="P85" s="115"/>
      <c r="Q85" s="153"/>
      <c r="R85" s="153"/>
      <c r="S85" s="153"/>
      <c r="T85" s="153"/>
      <c r="U85" s="153"/>
      <c r="V85" s="153"/>
      <c r="W85" s="143"/>
      <c r="X85" s="115"/>
      <c r="Y85" s="115"/>
      <c r="Z85" s="115"/>
      <c r="AA85" s="115"/>
      <c r="AB85" s="115"/>
      <c r="AC85" s="115"/>
      <c r="AD85" s="144"/>
      <c r="AE85" s="144"/>
      <c r="AF85" s="144"/>
      <c r="AG85" s="144"/>
      <c r="AH85" s="144"/>
      <c r="AI85" s="147"/>
      <c r="AJ85" s="144"/>
      <c r="AK85" s="144"/>
      <c r="AL85" s="148"/>
    </row>
    <row r="86" spans="1:39" ht="31.5" customHeight="1">
      <c r="A86" s="1538"/>
      <c r="B86" s="1540"/>
      <c r="C86" s="1541"/>
      <c r="D86" s="1543" t="s">
        <v>660</v>
      </c>
      <c r="E86" s="1544"/>
      <c r="F86" s="1544"/>
      <c r="G86" s="1544"/>
      <c r="H86" s="1543" t="s">
        <v>661</v>
      </c>
      <c r="I86" s="1544"/>
      <c r="J86" s="1544"/>
      <c r="K86" s="1544"/>
      <c r="L86" s="1544"/>
      <c r="M86" s="1544"/>
      <c r="N86" s="1544"/>
      <c r="O86" s="1544"/>
      <c r="P86" s="1544"/>
      <c r="Q86" s="1546" t="s">
        <v>662</v>
      </c>
      <c r="R86" s="1547"/>
      <c r="S86" s="1547"/>
      <c r="T86" s="1547"/>
      <c r="U86" s="1547"/>
      <c r="V86" s="2305"/>
      <c r="W86" s="1565" t="s">
        <v>663</v>
      </c>
      <c r="X86" s="1566"/>
      <c r="Y86" s="1566"/>
      <c r="Z86" s="1566"/>
      <c r="AA86" s="1566"/>
      <c r="AB86" s="1566"/>
      <c r="AC86" s="1566"/>
      <c r="AD86" s="1566"/>
      <c r="AE86" s="1566"/>
      <c r="AF86" s="1567"/>
      <c r="AG86" s="1586" t="s">
        <v>663</v>
      </c>
      <c r="AH86" s="1587"/>
      <c r="AI86" s="1587"/>
      <c r="AJ86" s="1587"/>
      <c r="AK86" s="1587"/>
      <c r="AL86" s="1588"/>
    </row>
    <row r="87" spans="1:39" ht="70.5" customHeight="1">
      <c r="A87" s="1539"/>
      <c r="B87" s="1542"/>
      <c r="C87" s="1542"/>
      <c r="D87" s="1545"/>
      <c r="E87" s="1545"/>
      <c r="F87" s="1545"/>
      <c r="G87" s="1545"/>
      <c r="H87" s="1545"/>
      <c r="I87" s="1545"/>
      <c r="J87" s="1545"/>
      <c r="K87" s="1545"/>
      <c r="L87" s="1545"/>
      <c r="M87" s="1545"/>
      <c r="N87" s="1545"/>
      <c r="O87" s="1545"/>
      <c r="P87" s="1545"/>
      <c r="Q87" s="1548"/>
      <c r="R87" s="1549"/>
      <c r="S87" s="1549"/>
      <c r="T87" s="1549"/>
      <c r="U87" s="1549"/>
      <c r="V87" s="2307"/>
      <c r="W87" s="1583"/>
      <c r="X87" s="1584"/>
      <c r="Y87" s="1584"/>
      <c r="Z87" s="1584"/>
      <c r="AA87" s="1584"/>
      <c r="AB87" s="1584"/>
      <c r="AC87" s="1584"/>
      <c r="AD87" s="1584"/>
      <c r="AE87" s="1584"/>
      <c r="AF87" s="1585"/>
      <c r="AG87" s="1589"/>
      <c r="AH87" s="1590"/>
      <c r="AI87" s="1590"/>
      <c r="AJ87" s="1590"/>
      <c r="AK87" s="1590"/>
      <c r="AL87" s="1591"/>
    </row>
    <row r="88" spans="1:39" s="166" customFormat="1" ht="15">
      <c r="A88" s="1522">
        <v>4</v>
      </c>
      <c r="B88" s="371" t="s">
        <v>40</v>
      </c>
      <c r="C88" s="372" t="s">
        <v>664</v>
      </c>
      <c r="D88" s="669" t="s">
        <v>42</v>
      </c>
      <c r="E88" s="670">
        <v>45712</v>
      </c>
      <c r="F88" s="670">
        <v>45712</v>
      </c>
      <c r="G88" s="670">
        <v>45712</v>
      </c>
      <c r="H88" s="669" t="s">
        <v>665</v>
      </c>
      <c r="I88" s="671">
        <v>4</v>
      </c>
      <c r="J88" s="670">
        <v>45707</v>
      </c>
      <c r="K88" s="670">
        <v>45707</v>
      </c>
      <c r="L88" s="670">
        <v>45707</v>
      </c>
      <c r="M88" s="670">
        <v>45916</v>
      </c>
      <c r="N88" s="670">
        <v>45916</v>
      </c>
      <c r="O88" s="670">
        <v>45807</v>
      </c>
      <c r="P88" s="669"/>
      <c r="Q88" s="672" t="s">
        <v>666</v>
      </c>
      <c r="R88" s="670">
        <v>45925</v>
      </c>
      <c r="S88" s="670">
        <v>45925</v>
      </c>
      <c r="T88" s="670" t="s">
        <v>667</v>
      </c>
      <c r="U88" s="670">
        <v>45925</v>
      </c>
      <c r="V88" s="672" t="s">
        <v>390</v>
      </c>
      <c r="W88" s="673" t="s">
        <v>668</v>
      </c>
      <c r="X88" s="673" t="s">
        <v>669</v>
      </c>
      <c r="Y88" s="670">
        <v>45917</v>
      </c>
      <c r="Z88" s="670">
        <v>45917</v>
      </c>
      <c r="AA88" s="670">
        <v>45904</v>
      </c>
      <c r="AB88" s="670" t="s">
        <v>670</v>
      </c>
      <c r="AC88" s="670" t="s">
        <v>671</v>
      </c>
      <c r="AD88" s="670">
        <v>45989</v>
      </c>
      <c r="AE88" s="670">
        <v>45989</v>
      </c>
      <c r="AF88" s="670">
        <v>45989</v>
      </c>
      <c r="AG88" s="670">
        <v>46018</v>
      </c>
      <c r="AH88" s="670">
        <v>46019</v>
      </c>
      <c r="AI88" s="674" t="s">
        <v>672</v>
      </c>
      <c r="AJ88" s="670">
        <v>46057</v>
      </c>
      <c r="AK88" s="670">
        <v>46056</v>
      </c>
      <c r="AL88" s="675">
        <v>46088</v>
      </c>
      <c r="AM88" s="167"/>
    </row>
    <row r="89" spans="1:39" s="166" customFormat="1" ht="15">
      <c r="A89" s="1523"/>
      <c r="B89" s="168" t="s">
        <v>52</v>
      </c>
      <c r="C89" s="169" t="s">
        <v>673</v>
      </c>
      <c r="D89" s="594" t="s">
        <v>54</v>
      </c>
      <c r="E89" s="595">
        <v>45758</v>
      </c>
      <c r="F89" s="595">
        <v>45754</v>
      </c>
      <c r="G89" s="595">
        <v>45754</v>
      </c>
      <c r="H89" s="594" t="s">
        <v>674</v>
      </c>
      <c r="I89" s="596">
        <v>4</v>
      </c>
      <c r="J89" s="593">
        <v>45707</v>
      </c>
      <c r="K89" s="593">
        <v>45707</v>
      </c>
      <c r="L89" s="593">
        <v>45707</v>
      </c>
      <c r="M89" s="593">
        <v>45916</v>
      </c>
      <c r="N89" s="593">
        <v>45916</v>
      </c>
      <c r="O89" s="595">
        <v>45807</v>
      </c>
      <c r="P89" s="594"/>
      <c r="Q89" s="597" t="s">
        <v>675</v>
      </c>
      <c r="R89" s="593">
        <v>45960</v>
      </c>
      <c r="S89" s="593">
        <v>45960</v>
      </c>
      <c r="T89" s="595" t="s">
        <v>676</v>
      </c>
      <c r="U89" s="595">
        <v>45960</v>
      </c>
      <c r="V89" s="597" t="s">
        <v>390</v>
      </c>
      <c r="W89" s="598" t="s">
        <v>677</v>
      </c>
      <c r="X89" s="598" t="s">
        <v>678</v>
      </c>
      <c r="Y89" s="595">
        <v>45917</v>
      </c>
      <c r="Z89" s="595">
        <v>45917</v>
      </c>
      <c r="AA89" s="595">
        <v>45904</v>
      </c>
      <c r="AB89" s="595" t="s">
        <v>670</v>
      </c>
      <c r="AC89" s="595" t="s">
        <v>671</v>
      </c>
      <c r="AD89" s="595">
        <v>45989</v>
      </c>
      <c r="AE89" s="595">
        <v>45989</v>
      </c>
      <c r="AF89" s="599">
        <v>45989</v>
      </c>
      <c r="AG89" s="595">
        <v>46018</v>
      </c>
      <c r="AH89" s="667">
        <v>46019</v>
      </c>
      <c r="AI89" s="668" t="s">
        <v>672</v>
      </c>
      <c r="AJ89" s="595">
        <v>46057</v>
      </c>
      <c r="AK89" s="595">
        <v>46056</v>
      </c>
      <c r="AL89" s="676">
        <v>46106</v>
      </c>
      <c r="AM89" s="167"/>
    </row>
    <row r="90" spans="1:39" s="166" customFormat="1" ht="15">
      <c r="A90" s="1523"/>
      <c r="B90" s="168" t="s">
        <v>64</v>
      </c>
      <c r="C90" s="169">
        <v>5000105913</v>
      </c>
      <c r="D90" s="594" t="s">
        <v>65</v>
      </c>
      <c r="E90" s="595">
        <v>45707</v>
      </c>
      <c r="F90" s="595">
        <v>45707</v>
      </c>
      <c r="G90" s="595">
        <v>45707</v>
      </c>
      <c r="H90" s="594" t="s">
        <v>679</v>
      </c>
      <c r="I90" s="596">
        <v>4</v>
      </c>
      <c r="J90" s="593">
        <v>45707</v>
      </c>
      <c r="K90" s="593">
        <v>45707</v>
      </c>
      <c r="L90" s="593">
        <v>45707</v>
      </c>
      <c r="M90" s="593">
        <v>45916</v>
      </c>
      <c r="N90" s="593">
        <v>45916</v>
      </c>
      <c r="O90" s="595">
        <v>45919</v>
      </c>
      <c r="P90" s="594"/>
      <c r="Q90" s="597" t="s">
        <v>680</v>
      </c>
      <c r="R90" s="593">
        <v>45973</v>
      </c>
      <c r="S90" s="595">
        <v>45973</v>
      </c>
      <c r="T90" s="595" t="s">
        <v>681</v>
      </c>
      <c r="U90" s="595">
        <v>45973</v>
      </c>
      <c r="V90" s="597" t="s">
        <v>390</v>
      </c>
      <c r="W90" s="598" t="s">
        <v>682</v>
      </c>
      <c r="X90" s="598" t="s">
        <v>678</v>
      </c>
      <c r="Y90" s="595">
        <v>45917</v>
      </c>
      <c r="Z90" s="595">
        <v>45917</v>
      </c>
      <c r="AA90" s="595">
        <v>45904</v>
      </c>
      <c r="AB90" s="595" t="s">
        <v>670</v>
      </c>
      <c r="AC90" s="595" t="s">
        <v>671</v>
      </c>
      <c r="AD90" s="595">
        <v>45989</v>
      </c>
      <c r="AE90" s="595">
        <v>45989</v>
      </c>
      <c r="AF90" s="599">
        <v>45989</v>
      </c>
      <c r="AG90" s="595">
        <v>46018</v>
      </c>
      <c r="AH90" s="667">
        <v>46019</v>
      </c>
      <c r="AI90" s="668" t="s">
        <v>672</v>
      </c>
      <c r="AJ90" s="595">
        <v>46057</v>
      </c>
      <c r="AK90" s="595">
        <v>46056</v>
      </c>
      <c r="AL90" s="676">
        <v>46118</v>
      </c>
      <c r="AM90" s="167"/>
    </row>
    <row r="91" spans="1:39" s="166" customFormat="1" ht="15">
      <c r="A91" s="1523"/>
      <c r="B91" s="168" t="s">
        <v>74</v>
      </c>
      <c r="C91" s="169">
        <v>4</v>
      </c>
      <c r="D91" s="594" t="s">
        <v>75</v>
      </c>
      <c r="E91" s="595">
        <v>45916</v>
      </c>
      <c r="F91" s="595">
        <v>45916</v>
      </c>
      <c r="G91" s="595">
        <v>45917</v>
      </c>
      <c r="H91" s="594" t="s">
        <v>683</v>
      </c>
      <c r="I91" s="596">
        <v>4</v>
      </c>
      <c r="J91" s="593">
        <v>45707</v>
      </c>
      <c r="K91" s="593">
        <v>45707</v>
      </c>
      <c r="L91" s="593">
        <v>45707</v>
      </c>
      <c r="M91" s="593">
        <v>45916</v>
      </c>
      <c r="N91" s="593">
        <v>45916</v>
      </c>
      <c r="O91" s="595">
        <v>45907</v>
      </c>
      <c r="P91" s="594"/>
      <c r="Q91" s="597"/>
      <c r="R91" s="593"/>
      <c r="S91" s="595"/>
      <c r="T91" s="595"/>
      <c r="U91" s="595"/>
      <c r="V91" s="597"/>
      <c r="W91" s="598" t="s">
        <v>684</v>
      </c>
      <c r="X91" s="598" t="s">
        <v>678</v>
      </c>
      <c r="Y91" s="595">
        <v>45917</v>
      </c>
      <c r="Z91" s="595">
        <v>45917</v>
      </c>
      <c r="AA91" s="595">
        <v>45904</v>
      </c>
      <c r="AB91" s="595" t="s">
        <v>670</v>
      </c>
      <c r="AC91" s="595" t="s">
        <v>671</v>
      </c>
      <c r="AD91" s="595">
        <v>45989</v>
      </c>
      <c r="AE91" s="595">
        <v>45989</v>
      </c>
      <c r="AF91" s="599">
        <v>45989</v>
      </c>
      <c r="AG91" s="595">
        <v>46018</v>
      </c>
      <c r="AH91" s="667">
        <v>46019</v>
      </c>
      <c r="AI91" s="668" t="s">
        <v>672</v>
      </c>
      <c r="AJ91" s="595">
        <v>46057</v>
      </c>
      <c r="AK91" s="595">
        <v>46056</v>
      </c>
      <c r="AL91" s="676">
        <v>46130</v>
      </c>
      <c r="AM91" s="167"/>
    </row>
    <row r="92" spans="1:39" s="166" customFormat="1" ht="15">
      <c r="A92" s="1523"/>
      <c r="B92" s="168" t="s">
        <v>83</v>
      </c>
      <c r="C92" s="169" t="s">
        <v>685</v>
      </c>
      <c r="D92" s="594" t="s">
        <v>85</v>
      </c>
      <c r="E92" s="595" t="s">
        <v>418</v>
      </c>
      <c r="F92" s="595" t="s">
        <v>418</v>
      </c>
      <c r="G92" s="595" t="s">
        <v>418</v>
      </c>
      <c r="H92" s="594" t="s">
        <v>686</v>
      </c>
      <c r="I92" s="596">
        <v>4</v>
      </c>
      <c r="J92" s="593">
        <v>45707</v>
      </c>
      <c r="K92" s="593">
        <v>45707</v>
      </c>
      <c r="L92" s="593">
        <v>45707</v>
      </c>
      <c r="M92" s="593">
        <v>45916</v>
      </c>
      <c r="N92" s="593">
        <v>45916</v>
      </c>
      <c r="O92" s="595">
        <v>45916</v>
      </c>
      <c r="P92" s="594"/>
      <c r="Q92" s="597"/>
      <c r="R92" s="593"/>
      <c r="S92" s="595"/>
      <c r="T92" s="595"/>
      <c r="U92" s="595"/>
      <c r="V92" s="597"/>
      <c r="W92" s="594"/>
      <c r="X92" s="594"/>
      <c r="Y92" s="595"/>
      <c r="Z92" s="595"/>
      <c r="AA92" s="595"/>
      <c r="AB92" s="595"/>
      <c r="AC92" s="595"/>
      <c r="AD92" s="595"/>
      <c r="AE92" s="595"/>
      <c r="AF92" s="599"/>
      <c r="AG92" s="595"/>
      <c r="AH92" s="667"/>
      <c r="AI92" s="598"/>
      <c r="AJ92" s="595"/>
      <c r="AK92" s="595"/>
      <c r="AL92" s="676"/>
      <c r="AM92" s="167"/>
    </row>
    <row r="93" spans="1:39" s="166" customFormat="1" ht="15">
      <c r="A93" s="1523"/>
      <c r="B93" s="168" t="s">
        <v>95</v>
      </c>
      <c r="C93" s="175">
        <v>45989</v>
      </c>
      <c r="D93" s="594" t="s">
        <v>96</v>
      </c>
      <c r="E93" s="595">
        <v>45917</v>
      </c>
      <c r="F93" s="595">
        <v>45917</v>
      </c>
      <c r="G93" s="595">
        <v>45904</v>
      </c>
      <c r="H93" s="594" t="s">
        <v>687</v>
      </c>
      <c r="I93" s="596">
        <v>4</v>
      </c>
      <c r="J93" s="593">
        <v>45707</v>
      </c>
      <c r="K93" s="593">
        <v>45707</v>
      </c>
      <c r="L93" s="593">
        <v>45707</v>
      </c>
      <c r="M93" s="593">
        <v>45916</v>
      </c>
      <c r="N93" s="593">
        <v>45916</v>
      </c>
      <c r="O93" s="595">
        <v>45917</v>
      </c>
      <c r="P93" s="594"/>
      <c r="Q93" s="597"/>
      <c r="R93" s="593"/>
      <c r="S93" s="595"/>
      <c r="T93" s="595"/>
      <c r="U93" s="595"/>
      <c r="V93" s="597"/>
      <c r="W93" s="594"/>
      <c r="X93" s="594"/>
      <c r="Y93" s="595"/>
      <c r="Z93" s="595"/>
      <c r="AA93" s="595"/>
      <c r="AB93" s="595"/>
      <c r="AC93" s="595"/>
      <c r="AD93" s="595"/>
      <c r="AE93" s="595"/>
      <c r="AF93" s="595"/>
      <c r="AG93" s="595"/>
      <c r="AH93" s="595"/>
      <c r="AI93" s="598"/>
      <c r="AJ93" s="595"/>
      <c r="AK93" s="595"/>
      <c r="AL93" s="676"/>
      <c r="AM93" s="167"/>
    </row>
    <row r="94" spans="1:39" s="166" customFormat="1" ht="15">
      <c r="A94" s="1523"/>
      <c r="B94" s="168" t="s">
        <v>104</v>
      </c>
      <c r="C94" s="169" t="s">
        <v>105</v>
      </c>
      <c r="D94" s="594" t="s">
        <v>130</v>
      </c>
      <c r="E94" s="595">
        <v>45989</v>
      </c>
      <c r="F94" s="595">
        <v>45989</v>
      </c>
      <c r="G94" s="595">
        <v>45989</v>
      </c>
      <c r="H94" s="594" t="s">
        <v>688</v>
      </c>
      <c r="I94" s="596">
        <v>1</v>
      </c>
      <c r="J94" s="593">
        <v>45707</v>
      </c>
      <c r="K94" s="593">
        <v>45707</v>
      </c>
      <c r="L94" s="593">
        <v>45707</v>
      </c>
      <c r="M94" s="593">
        <v>45916</v>
      </c>
      <c r="N94" s="593">
        <v>45916</v>
      </c>
      <c r="O94" s="595">
        <v>45911</v>
      </c>
      <c r="P94" s="594"/>
      <c r="Q94" s="597"/>
      <c r="R94" s="595"/>
      <c r="S94" s="595"/>
      <c r="T94" s="595"/>
      <c r="U94" s="595"/>
      <c r="V94" s="597"/>
      <c r="W94" s="594"/>
      <c r="X94" s="594"/>
      <c r="Y94" s="595"/>
      <c r="Z94" s="595"/>
      <c r="AA94" s="595"/>
      <c r="AB94" s="595"/>
      <c r="AC94" s="595"/>
      <c r="AD94" s="595"/>
      <c r="AE94" s="595"/>
      <c r="AF94" s="595"/>
      <c r="AG94" s="595"/>
      <c r="AH94" s="595"/>
      <c r="AI94" s="598"/>
      <c r="AJ94" s="595"/>
      <c r="AK94" s="595"/>
      <c r="AL94" s="676"/>
      <c r="AM94" s="167"/>
    </row>
    <row r="95" spans="1:39" s="166" customFormat="1" ht="15">
      <c r="A95" s="1523"/>
      <c r="B95" s="168" t="s">
        <v>118</v>
      </c>
      <c r="C95" s="169" t="s">
        <v>689</v>
      </c>
      <c r="D95" s="594"/>
      <c r="E95" s="595"/>
      <c r="F95" s="595"/>
      <c r="G95" s="595"/>
      <c r="H95" s="594"/>
      <c r="I95" s="596"/>
      <c r="J95" s="595"/>
      <c r="K95" s="595"/>
      <c r="L95" s="595"/>
      <c r="M95" s="595"/>
      <c r="N95" s="595"/>
      <c r="O95" s="595"/>
      <c r="P95" s="594"/>
      <c r="Q95" s="600"/>
      <c r="R95" s="595"/>
      <c r="S95" s="595"/>
      <c r="T95" s="595"/>
      <c r="U95" s="595"/>
      <c r="V95" s="600"/>
      <c r="W95" s="594"/>
      <c r="X95" s="594"/>
      <c r="Y95" s="595"/>
      <c r="Z95" s="595"/>
      <c r="AA95" s="595"/>
      <c r="AB95" s="595"/>
      <c r="AC95" s="595"/>
      <c r="AD95" s="595"/>
      <c r="AE95" s="595"/>
      <c r="AF95" s="595"/>
      <c r="AG95" s="595"/>
      <c r="AH95" s="595"/>
      <c r="AI95" s="598"/>
      <c r="AJ95" s="595"/>
      <c r="AK95" s="595"/>
      <c r="AL95" s="676"/>
      <c r="AM95" s="167"/>
    </row>
    <row r="96" spans="1:39" s="166" customFormat="1" ht="15">
      <c r="A96" s="1523"/>
      <c r="B96" s="178" t="s">
        <v>129</v>
      </c>
      <c r="C96" s="179">
        <v>2</v>
      </c>
      <c r="D96" s="594"/>
      <c r="E96" s="595"/>
      <c r="F96" s="595"/>
      <c r="G96" s="595"/>
      <c r="H96" s="594"/>
      <c r="I96" s="596"/>
      <c r="J96" s="595"/>
      <c r="K96" s="595"/>
      <c r="L96" s="595"/>
      <c r="M96" s="595"/>
      <c r="N96" s="595"/>
      <c r="O96" s="595"/>
      <c r="P96" s="594"/>
      <c r="Q96" s="600"/>
      <c r="R96" s="595"/>
      <c r="S96" s="595"/>
      <c r="T96" s="595"/>
      <c r="U96" s="595"/>
      <c r="V96" s="600"/>
      <c r="W96" s="594"/>
      <c r="X96" s="594"/>
      <c r="Y96" s="595"/>
      <c r="Z96" s="595"/>
      <c r="AA96" s="595"/>
      <c r="AB96" s="595"/>
      <c r="AC96" s="595"/>
      <c r="AD96" s="595"/>
      <c r="AE96" s="595"/>
      <c r="AF96" s="595"/>
      <c r="AG96" s="595"/>
      <c r="AH96" s="595"/>
      <c r="AI96" s="598"/>
      <c r="AJ96" s="600"/>
      <c r="AK96" s="600"/>
      <c r="AL96" s="677"/>
      <c r="AM96" s="167"/>
    </row>
    <row r="97" spans="1:41" s="166" customFormat="1" ht="15">
      <c r="A97" s="1523"/>
      <c r="B97" s="168" t="s">
        <v>140</v>
      </c>
      <c r="C97" s="169" t="s">
        <v>690</v>
      </c>
      <c r="D97" s="594"/>
      <c r="E97" s="595"/>
      <c r="F97" s="595"/>
      <c r="G97" s="595"/>
      <c r="H97" s="594"/>
      <c r="I97" s="596"/>
      <c r="J97" s="595"/>
      <c r="K97" s="595"/>
      <c r="L97" s="595"/>
      <c r="M97" s="595"/>
      <c r="N97" s="595"/>
      <c r="O97" s="595"/>
      <c r="P97" s="594"/>
      <c r="Q97" s="600"/>
      <c r="R97" s="595"/>
      <c r="S97" s="595"/>
      <c r="T97" s="595"/>
      <c r="U97" s="595"/>
      <c r="V97" s="600"/>
      <c r="W97" s="594"/>
      <c r="X97" s="594"/>
      <c r="Y97" s="595"/>
      <c r="Z97" s="595"/>
      <c r="AA97" s="595"/>
      <c r="AB97" s="595"/>
      <c r="AC97" s="595"/>
      <c r="AD97" s="595"/>
      <c r="AE97" s="595"/>
      <c r="AF97" s="595"/>
      <c r="AG97" s="595"/>
      <c r="AH97" s="595"/>
      <c r="AI97" s="598"/>
      <c r="AJ97" s="600"/>
      <c r="AK97" s="600"/>
      <c r="AL97" s="677"/>
      <c r="AM97" s="167"/>
    </row>
    <row r="98" spans="1:41" s="166" customFormat="1" ht="15">
      <c r="A98" s="1523"/>
      <c r="B98" s="178" t="s">
        <v>152</v>
      </c>
      <c r="C98" s="179" t="s">
        <v>153</v>
      </c>
      <c r="D98" s="594"/>
      <c r="E98" s="601"/>
      <c r="F98" s="595"/>
      <c r="G98" s="595"/>
      <c r="H98" s="594"/>
      <c r="I98" s="596"/>
      <c r="J98" s="595"/>
      <c r="K98" s="595"/>
      <c r="L98" s="595"/>
      <c r="M98" s="595"/>
      <c r="N98" s="595"/>
      <c r="O98" s="595"/>
      <c r="P98" s="594"/>
      <c r="Q98" s="597"/>
      <c r="R98" s="595"/>
      <c r="S98" s="595"/>
      <c r="T98" s="595"/>
      <c r="U98" s="595"/>
      <c r="V98" s="597"/>
      <c r="W98" s="594"/>
      <c r="X98" s="594"/>
      <c r="Y98" s="595"/>
      <c r="Z98" s="595"/>
      <c r="AA98" s="595"/>
      <c r="AB98" s="595"/>
      <c r="AC98" s="595"/>
      <c r="AD98" s="595"/>
      <c r="AE98" s="595"/>
      <c r="AF98" s="595"/>
      <c r="AG98" s="595"/>
      <c r="AH98" s="595"/>
      <c r="AI98" s="598"/>
      <c r="AJ98" s="600"/>
      <c r="AK98" s="600"/>
      <c r="AL98" s="678"/>
      <c r="AM98" s="167"/>
    </row>
    <row r="99" spans="1:41" s="166" customFormat="1" ht="15">
      <c r="A99" s="1523"/>
      <c r="B99" s="178" t="s">
        <v>158</v>
      </c>
      <c r="C99" s="179" t="s">
        <v>691</v>
      </c>
      <c r="D99" s="594"/>
      <c r="E99" s="601"/>
      <c r="F99" s="595"/>
      <c r="G99" s="595"/>
      <c r="H99" s="594"/>
      <c r="I99" s="596"/>
      <c r="J99" s="595"/>
      <c r="K99" s="595"/>
      <c r="L99" s="595"/>
      <c r="M99" s="595"/>
      <c r="N99" s="595"/>
      <c r="O99" s="595"/>
      <c r="P99" s="594"/>
      <c r="Q99" s="597"/>
      <c r="R99" s="597"/>
      <c r="S99" s="600"/>
      <c r="T99" s="600"/>
      <c r="U99" s="600"/>
      <c r="V99" s="600"/>
      <c r="W99" s="594"/>
      <c r="X99" s="594"/>
      <c r="Y99" s="595"/>
      <c r="Z99" s="595"/>
      <c r="AA99" s="595"/>
      <c r="AB99" s="595"/>
      <c r="AC99" s="595"/>
      <c r="AD99" s="595"/>
      <c r="AE99" s="595"/>
      <c r="AF99" s="595"/>
      <c r="AG99" s="595"/>
      <c r="AH99" s="595"/>
      <c r="AI99" s="598"/>
      <c r="AJ99" s="600"/>
      <c r="AK99" s="600"/>
      <c r="AL99" s="679"/>
      <c r="AM99" s="167"/>
    </row>
    <row r="100" spans="1:41" s="166" customFormat="1" ht="15">
      <c r="A100" s="1523"/>
      <c r="B100" s="178" t="s">
        <v>167</v>
      </c>
      <c r="C100" s="179" t="s">
        <v>406</v>
      </c>
      <c r="D100" s="594"/>
      <c r="E100" s="601"/>
      <c r="F100" s="595"/>
      <c r="G100" s="595"/>
      <c r="H100" s="594"/>
      <c r="I100" s="596"/>
      <c r="J100" s="595"/>
      <c r="K100" s="595"/>
      <c r="L100" s="595"/>
      <c r="M100" s="595"/>
      <c r="N100" s="595"/>
      <c r="O100" s="595"/>
      <c r="P100" s="594"/>
      <c r="Q100" s="597"/>
      <c r="R100" s="597"/>
      <c r="S100" s="597"/>
      <c r="T100" s="597"/>
      <c r="U100" s="597"/>
      <c r="V100" s="597"/>
      <c r="W100" s="594"/>
      <c r="X100" s="594"/>
      <c r="Y100" s="595"/>
      <c r="Z100" s="595"/>
      <c r="AA100" s="595"/>
      <c r="AB100" s="595"/>
      <c r="AC100" s="595"/>
      <c r="AD100" s="595"/>
      <c r="AE100" s="595"/>
      <c r="AF100" s="595"/>
      <c r="AG100" s="595"/>
      <c r="AH100" s="595"/>
      <c r="AI100" s="598"/>
      <c r="AJ100" s="600"/>
      <c r="AK100" s="600"/>
      <c r="AL100" s="678"/>
      <c r="AM100" s="167"/>
    </row>
    <row r="101" spans="1:41" s="166" customFormat="1" ht="15">
      <c r="A101" s="1523"/>
      <c r="B101" s="178" t="s">
        <v>412</v>
      </c>
      <c r="C101" s="179" t="s">
        <v>413</v>
      </c>
      <c r="D101" s="594"/>
      <c r="E101" s="601"/>
      <c r="F101" s="595"/>
      <c r="G101" s="595"/>
      <c r="H101" s="594"/>
      <c r="I101" s="596"/>
      <c r="J101" s="595"/>
      <c r="K101" s="595"/>
      <c r="L101" s="595"/>
      <c r="M101" s="595"/>
      <c r="N101" s="595"/>
      <c r="O101" s="595"/>
      <c r="P101" s="594"/>
      <c r="Q101" s="597"/>
      <c r="R101" s="597"/>
      <c r="S101" s="600"/>
      <c r="T101" s="600"/>
      <c r="U101" s="600"/>
      <c r="V101" s="600"/>
      <c r="W101" s="594"/>
      <c r="X101" s="594"/>
      <c r="Y101" s="595"/>
      <c r="Z101" s="595"/>
      <c r="AA101" s="595"/>
      <c r="AB101" s="595"/>
      <c r="AC101" s="595"/>
      <c r="AD101" s="595"/>
      <c r="AE101" s="595"/>
      <c r="AF101" s="595"/>
      <c r="AG101" s="595"/>
      <c r="AH101" s="595"/>
      <c r="AI101" s="598"/>
      <c r="AJ101" s="600"/>
      <c r="AK101" s="600"/>
      <c r="AL101" s="679"/>
      <c r="AM101" s="167"/>
    </row>
    <row r="102" spans="1:41" s="166" customFormat="1">
      <c r="A102" s="1523"/>
      <c r="B102" s="178"/>
      <c r="C102" s="179"/>
      <c r="D102" s="594"/>
      <c r="E102" s="601"/>
      <c r="F102" s="595"/>
      <c r="G102" s="595"/>
      <c r="H102" s="594"/>
      <c r="I102" s="596"/>
      <c r="J102" s="595"/>
      <c r="K102" s="595"/>
      <c r="L102" s="595"/>
      <c r="M102" s="595"/>
      <c r="N102" s="595"/>
      <c r="O102" s="595"/>
      <c r="P102" s="594"/>
      <c r="Q102" s="600"/>
      <c r="R102" s="600"/>
      <c r="S102" s="600"/>
      <c r="T102" s="600"/>
      <c r="U102" s="600"/>
      <c r="V102" s="600"/>
      <c r="W102" s="594"/>
      <c r="X102" s="594"/>
      <c r="Y102" s="600"/>
      <c r="Z102" s="600"/>
      <c r="AA102" s="600"/>
      <c r="AB102" s="600"/>
      <c r="AC102" s="600"/>
      <c r="AD102" s="600"/>
      <c r="AE102" s="600"/>
      <c r="AF102" s="600"/>
      <c r="AG102" s="600"/>
      <c r="AH102" s="600"/>
      <c r="AI102" s="598"/>
      <c r="AJ102" s="600"/>
      <c r="AK102" s="600"/>
      <c r="AL102" s="679"/>
      <c r="AM102" s="167"/>
    </row>
    <row r="103" spans="1:41" s="166" customFormat="1" ht="16.5" customHeight="1">
      <c r="A103" s="1523"/>
      <c r="B103" s="1510" t="s">
        <v>264</v>
      </c>
      <c r="C103" s="1512"/>
      <c r="D103" s="1527"/>
      <c r="E103" s="1528"/>
      <c r="F103" s="1528"/>
      <c r="G103" s="1529"/>
      <c r="H103" s="1533"/>
      <c r="I103" s="1520"/>
      <c r="J103" s="1520"/>
      <c r="K103" s="1520"/>
      <c r="L103" s="1520"/>
      <c r="M103" s="1520"/>
      <c r="N103" s="1520"/>
      <c r="O103" s="1520"/>
      <c r="P103" s="1534"/>
      <c r="Q103" s="1520"/>
      <c r="R103" s="1520"/>
      <c r="S103" s="1520"/>
      <c r="T103" s="1520"/>
      <c r="U103" s="1520"/>
      <c r="V103" s="1520"/>
      <c r="W103" s="1572" t="s">
        <v>663</v>
      </c>
      <c r="X103" s="1573"/>
      <c r="Y103" s="1573"/>
      <c r="Z103" s="1573"/>
      <c r="AA103" s="1573"/>
      <c r="AB103" s="1573"/>
      <c r="AC103" s="1573"/>
      <c r="AD103" s="1573"/>
      <c r="AE103" s="1573"/>
      <c r="AF103" s="1574"/>
      <c r="AG103" s="1578" t="s">
        <v>692</v>
      </c>
      <c r="AH103" s="1579"/>
      <c r="AI103" s="1579"/>
      <c r="AJ103" s="1579"/>
      <c r="AK103" s="1579"/>
      <c r="AL103" s="1580"/>
      <c r="AM103" s="602"/>
      <c r="AN103" s="602"/>
      <c r="AO103" s="167"/>
    </row>
    <row r="104" spans="1:41" s="166" customFormat="1" ht="58.5" customHeight="1">
      <c r="A104" s="1524"/>
      <c r="B104" s="1525"/>
      <c r="C104" s="1526"/>
      <c r="D104" s="1530"/>
      <c r="E104" s="1531"/>
      <c r="F104" s="1531"/>
      <c r="G104" s="1532"/>
      <c r="H104" s="1535"/>
      <c r="I104" s="1521"/>
      <c r="J104" s="1521"/>
      <c r="K104" s="1521"/>
      <c r="L104" s="1521"/>
      <c r="M104" s="1521"/>
      <c r="N104" s="1521"/>
      <c r="O104" s="1521"/>
      <c r="P104" s="1536"/>
      <c r="Q104" s="1521"/>
      <c r="R104" s="1521"/>
      <c r="S104" s="1521"/>
      <c r="T104" s="1521"/>
      <c r="U104" s="1521"/>
      <c r="V104" s="1521"/>
      <c r="W104" s="1575"/>
      <c r="X104" s="1576"/>
      <c r="Y104" s="1576"/>
      <c r="Z104" s="1576"/>
      <c r="AA104" s="1576"/>
      <c r="AB104" s="1576"/>
      <c r="AC104" s="1576"/>
      <c r="AD104" s="1576"/>
      <c r="AE104" s="1576"/>
      <c r="AF104" s="1577"/>
      <c r="AG104" s="1581"/>
      <c r="AH104" s="1581"/>
      <c r="AI104" s="1581"/>
      <c r="AJ104" s="1581"/>
      <c r="AK104" s="1581"/>
      <c r="AL104" s="1582"/>
      <c r="AM104" s="602"/>
      <c r="AN104" s="602"/>
      <c r="AO104" s="167"/>
    </row>
    <row r="105" spans="1:41" ht="15">
      <c r="A105" s="1562">
        <v>5</v>
      </c>
      <c r="B105" s="680" t="s">
        <v>40</v>
      </c>
      <c r="C105" s="681" t="s">
        <v>693</v>
      </c>
      <c r="D105" s="592" t="s">
        <v>42</v>
      </c>
      <c r="E105" s="606">
        <v>45754</v>
      </c>
      <c r="F105" s="606">
        <v>45754</v>
      </c>
      <c r="G105" s="606">
        <v>45754</v>
      </c>
      <c r="H105" s="682" t="s">
        <v>665</v>
      </c>
      <c r="I105" s="683"/>
      <c r="J105" s="684">
        <v>45768</v>
      </c>
      <c r="K105" s="684">
        <v>45768</v>
      </c>
      <c r="L105" s="684">
        <v>45768</v>
      </c>
      <c r="M105" s="684">
        <v>45936</v>
      </c>
      <c r="N105" s="606">
        <v>45891</v>
      </c>
      <c r="O105" s="606">
        <v>45891</v>
      </c>
      <c r="P105" s="682" t="s">
        <v>694</v>
      </c>
      <c r="Q105" s="685" t="s">
        <v>695</v>
      </c>
      <c r="R105" s="686">
        <v>45917</v>
      </c>
      <c r="S105" s="686">
        <v>45917</v>
      </c>
      <c r="T105" s="593" t="s">
        <v>696</v>
      </c>
      <c r="U105" s="593">
        <v>45917</v>
      </c>
      <c r="V105" s="685" t="s">
        <v>47</v>
      </c>
      <c r="W105" s="687" t="s">
        <v>697</v>
      </c>
      <c r="X105" s="688" t="s">
        <v>698</v>
      </c>
      <c r="Y105" s="593">
        <v>45905</v>
      </c>
      <c r="Z105" s="593">
        <v>45905</v>
      </c>
      <c r="AA105" s="593">
        <v>45902</v>
      </c>
      <c r="AB105" s="593" t="s">
        <v>699</v>
      </c>
      <c r="AC105" s="593" t="s">
        <v>700</v>
      </c>
      <c r="AD105" s="606">
        <v>45991</v>
      </c>
      <c r="AE105" s="606">
        <v>45960</v>
      </c>
      <c r="AF105" s="606">
        <v>45960</v>
      </c>
      <c r="AG105" s="606">
        <v>45990</v>
      </c>
      <c r="AH105" s="606">
        <v>45990</v>
      </c>
      <c r="AI105" s="687" t="s">
        <v>701</v>
      </c>
      <c r="AJ105" s="606">
        <v>46029</v>
      </c>
      <c r="AK105" s="606">
        <v>46030</v>
      </c>
      <c r="AL105" s="689">
        <v>46153</v>
      </c>
      <c r="AM105" s="905" t="s">
        <v>702</v>
      </c>
    </row>
    <row r="106" spans="1:41" ht="17.25" customHeight="1">
      <c r="A106" s="1538"/>
      <c r="B106" s="142" t="s">
        <v>52</v>
      </c>
      <c r="C106" s="115" t="s">
        <v>698</v>
      </c>
      <c r="D106" s="594" t="s">
        <v>54</v>
      </c>
      <c r="E106" s="603">
        <v>45761</v>
      </c>
      <c r="F106" s="603">
        <v>45761</v>
      </c>
      <c r="G106" s="603">
        <v>45761</v>
      </c>
      <c r="H106" s="604" t="s">
        <v>674</v>
      </c>
      <c r="I106" s="605"/>
      <c r="J106" s="606">
        <v>45768</v>
      </c>
      <c r="K106" s="606">
        <v>45768</v>
      </c>
      <c r="L106" s="606">
        <v>45768</v>
      </c>
      <c r="M106" s="606">
        <v>45936</v>
      </c>
      <c r="N106" s="603">
        <v>45880</v>
      </c>
      <c r="O106" s="603">
        <v>45880</v>
      </c>
      <c r="P106" s="604" t="s">
        <v>703</v>
      </c>
      <c r="Q106" s="597" t="s">
        <v>704</v>
      </c>
      <c r="R106" s="595" t="s">
        <v>705</v>
      </c>
      <c r="S106" s="595">
        <v>45944</v>
      </c>
      <c r="T106" s="595" t="s">
        <v>706</v>
      </c>
      <c r="U106" s="595">
        <v>45944</v>
      </c>
      <c r="V106" s="597" t="s">
        <v>47</v>
      </c>
      <c r="W106" s="607" t="s">
        <v>707</v>
      </c>
      <c r="X106" s="608" t="s">
        <v>698</v>
      </c>
      <c r="Y106" s="595">
        <v>45905</v>
      </c>
      <c r="Z106" s="595">
        <v>45905</v>
      </c>
      <c r="AA106" s="595">
        <v>45902</v>
      </c>
      <c r="AB106" s="595" t="s">
        <v>699</v>
      </c>
      <c r="AC106" s="595" t="s">
        <v>700</v>
      </c>
      <c r="AD106" s="603">
        <v>45991</v>
      </c>
      <c r="AE106" s="603">
        <v>45960</v>
      </c>
      <c r="AF106" s="603">
        <v>45960</v>
      </c>
      <c r="AG106" s="603">
        <v>45990</v>
      </c>
      <c r="AH106" s="603">
        <v>45990</v>
      </c>
      <c r="AI106" s="607" t="s">
        <v>701</v>
      </c>
      <c r="AJ106" s="603">
        <f>AJ105</f>
        <v>46029</v>
      </c>
      <c r="AK106" s="603">
        <v>46030</v>
      </c>
      <c r="AL106" s="613">
        <v>46141</v>
      </c>
    </row>
    <row r="107" spans="1:41" ht="15.75" customHeight="1">
      <c r="A107" s="1538"/>
      <c r="B107" s="142" t="s">
        <v>64</v>
      </c>
      <c r="C107" s="116">
        <v>5000106805</v>
      </c>
      <c r="D107" s="594" t="s">
        <v>65</v>
      </c>
      <c r="E107" s="603">
        <v>45768</v>
      </c>
      <c r="F107" s="603">
        <v>45768</v>
      </c>
      <c r="G107" s="603">
        <v>45768</v>
      </c>
      <c r="H107" s="604" t="s">
        <v>679</v>
      </c>
      <c r="I107" s="605"/>
      <c r="J107" s="606">
        <v>45768</v>
      </c>
      <c r="K107" s="606">
        <v>45768</v>
      </c>
      <c r="L107" s="606">
        <v>45768</v>
      </c>
      <c r="M107" s="606">
        <v>45936</v>
      </c>
      <c r="N107" s="603">
        <v>45862</v>
      </c>
      <c r="O107" s="603">
        <v>45862</v>
      </c>
      <c r="P107" s="604" t="s">
        <v>708</v>
      </c>
      <c r="Q107" s="597" t="s">
        <v>709</v>
      </c>
      <c r="R107" s="593" t="s">
        <v>710</v>
      </c>
      <c r="S107" s="595">
        <v>45945</v>
      </c>
      <c r="T107" s="595" t="s">
        <v>706</v>
      </c>
      <c r="U107" s="595">
        <v>45945</v>
      </c>
      <c r="V107" s="597" t="s">
        <v>47</v>
      </c>
      <c r="W107" s="607"/>
      <c r="X107" s="608"/>
      <c r="Y107" s="595"/>
      <c r="Z107" s="595"/>
      <c r="AA107" s="595"/>
      <c r="AB107" s="595"/>
      <c r="AC107" s="595"/>
      <c r="AD107" s="603"/>
      <c r="AE107" s="603"/>
      <c r="AF107" s="603"/>
      <c r="AG107" s="603"/>
      <c r="AH107" s="603"/>
      <c r="AI107" s="607"/>
      <c r="AJ107" s="603"/>
      <c r="AK107" s="603"/>
      <c r="AL107" s="613"/>
    </row>
    <row r="108" spans="1:41" ht="15.75" customHeight="1">
      <c r="A108" s="1538"/>
      <c r="B108" s="142" t="s">
        <v>74</v>
      </c>
      <c r="C108" s="116">
        <v>2</v>
      </c>
      <c r="D108" s="594" t="s">
        <v>75</v>
      </c>
      <c r="E108" s="603">
        <v>45930</v>
      </c>
      <c r="F108" s="603">
        <v>45930</v>
      </c>
      <c r="G108" s="603">
        <v>45891</v>
      </c>
      <c r="H108" s="604" t="s">
        <v>711</v>
      </c>
      <c r="I108" s="605"/>
      <c r="J108" s="606">
        <v>45768</v>
      </c>
      <c r="K108" s="606">
        <v>45768</v>
      </c>
      <c r="L108" s="606">
        <v>45768</v>
      </c>
      <c r="M108" s="606">
        <v>45952</v>
      </c>
      <c r="N108" s="603">
        <v>45952</v>
      </c>
      <c r="O108" s="603">
        <v>45919</v>
      </c>
      <c r="P108" s="604" t="s">
        <v>712</v>
      </c>
      <c r="Q108" s="597" t="s">
        <v>713</v>
      </c>
      <c r="R108" s="595">
        <v>45946</v>
      </c>
      <c r="S108" s="595">
        <v>45946</v>
      </c>
      <c r="T108" s="595" t="s">
        <v>706</v>
      </c>
      <c r="U108" s="595">
        <v>45946</v>
      </c>
      <c r="V108" s="597" t="s">
        <v>47</v>
      </c>
      <c r="W108" s="607"/>
      <c r="X108" s="609"/>
      <c r="Y108" s="595"/>
      <c r="Z108" s="595"/>
      <c r="AA108" s="595"/>
      <c r="AB108" s="595"/>
      <c r="AC108" s="595"/>
      <c r="AD108" s="603"/>
      <c r="AE108" s="603"/>
      <c r="AF108" s="603"/>
      <c r="AG108" s="603"/>
      <c r="AH108" s="603"/>
      <c r="AI108" s="607"/>
      <c r="AJ108" s="603"/>
      <c r="AK108" s="603"/>
      <c r="AL108" s="613"/>
    </row>
    <row r="109" spans="1:41" ht="15.75" customHeight="1">
      <c r="A109" s="1538"/>
      <c r="B109" s="142" t="s">
        <v>83</v>
      </c>
      <c r="C109" s="116" t="s">
        <v>714</v>
      </c>
      <c r="D109" s="594" t="s">
        <v>715</v>
      </c>
      <c r="E109" s="603">
        <v>45944</v>
      </c>
      <c r="F109" s="603">
        <v>45944</v>
      </c>
      <c r="G109" s="603">
        <v>45945</v>
      </c>
      <c r="H109" s="604" t="s">
        <v>716</v>
      </c>
      <c r="I109" s="605"/>
      <c r="J109" s="606">
        <v>45768</v>
      </c>
      <c r="K109" s="606">
        <v>45768</v>
      </c>
      <c r="L109" s="603">
        <v>45768</v>
      </c>
      <c r="M109" s="603">
        <v>45939</v>
      </c>
      <c r="N109" s="603">
        <v>45939</v>
      </c>
      <c r="O109" s="603">
        <v>45902</v>
      </c>
      <c r="P109" s="604" t="s">
        <v>717</v>
      </c>
      <c r="Q109" s="597" t="s">
        <v>718</v>
      </c>
      <c r="R109" s="595" t="s">
        <v>719</v>
      </c>
      <c r="S109" s="595" t="s">
        <v>719</v>
      </c>
      <c r="T109" s="595" t="s">
        <v>706</v>
      </c>
      <c r="U109" s="595" t="s">
        <v>719</v>
      </c>
      <c r="V109" s="597" t="s">
        <v>47</v>
      </c>
      <c r="W109" s="607"/>
      <c r="X109" s="604"/>
      <c r="Y109" s="595"/>
      <c r="Z109" s="595"/>
      <c r="AA109" s="595"/>
      <c r="AB109" s="595"/>
      <c r="AC109" s="595"/>
      <c r="AD109" s="603"/>
      <c r="AE109" s="603"/>
      <c r="AF109" s="603"/>
      <c r="AG109" s="603"/>
      <c r="AH109" s="603"/>
      <c r="AI109" s="607"/>
      <c r="AJ109" s="603"/>
      <c r="AK109" s="603"/>
      <c r="AL109" s="613"/>
    </row>
    <row r="110" spans="1:41" ht="15.75" customHeight="1">
      <c r="A110" s="1538"/>
      <c r="B110" s="142" t="s">
        <v>95</v>
      </c>
      <c r="C110" s="570">
        <v>45991</v>
      </c>
      <c r="D110" s="594" t="s">
        <v>720</v>
      </c>
      <c r="E110" s="603">
        <v>45979</v>
      </c>
      <c r="F110" s="603">
        <v>45944</v>
      </c>
      <c r="G110" s="603">
        <v>45945</v>
      </c>
      <c r="H110" s="604"/>
      <c r="I110" s="605"/>
      <c r="J110" s="603"/>
      <c r="K110" s="603"/>
      <c r="L110" s="603"/>
      <c r="M110" s="603"/>
      <c r="N110" s="603"/>
      <c r="O110" s="603"/>
      <c r="P110" s="604"/>
      <c r="Q110" s="597"/>
      <c r="R110" s="595"/>
      <c r="S110" s="595"/>
      <c r="T110" s="595"/>
      <c r="U110" s="595"/>
      <c r="V110" s="597"/>
      <c r="W110" s="607"/>
      <c r="X110" s="604"/>
      <c r="Y110" s="595"/>
      <c r="Z110" s="595"/>
      <c r="AA110" s="595"/>
      <c r="AB110" s="595"/>
      <c r="AC110" s="595"/>
      <c r="AD110" s="603"/>
      <c r="AE110" s="603"/>
      <c r="AF110" s="603"/>
      <c r="AG110" s="603"/>
      <c r="AH110" s="603"/>
      <c r="AI110" s="607"/>
      <c r="AJ110" s="603"/>
      <c r="AK110" s="603"/>
      <c r="AL110" s="613"/>
    </row>
    <row r="111" spans="1:41" ht="15.75" customHeight="1">
      <c r="A111" s="1538"/>
      <c r="B111" s="142" t="s">
        <v>104</v>
      </c>
      <c r="C111" s="152" t="s">
        <v>105</v>
      </c>
      <c r="D111" s="594" t="s">
        <v>119</v>
      </c>
      <c r="E111" s="603">
        <v>45987</v>
      </c>
      <c r="F111" s="603">
        <v>45953</v>
      </c>
      <c r="G111" s="603">
        <v>45953</v>
      </c>
      <c r="H111" s="604"/>
      <c r="I111" s="605"/>
      <c r="J111" s="603"/>
      <c r="K111" s="603"/>
      <c r="L111" s="603"/>
      <c r="M111" s="603"/>
      <c r="N111" s="603"/>
      <c r="O111" s="603"/>
      <c r="P111" s="604"/>
      <c r="Q111" s="597"/>
      <c r="R111" s="595"/>
      <c r="S111" s="595"/>
      <c r="T111" s="595"/>
      <c r="U111" s="595"/>
      <c r="V111" s="597"/>
      <c r="W111" s="607"/>
      <c r="X111" s="604"/>
      <c r="Y111" s="595"/>
      <c r="Z111" s="595"/>
      <c r="AA111" s="595"/>
      <c r="AB111" s="595"/>
      <c r="AC111" s="595"/>
      <c r="AD111" s="603"/>
      <c r="AE111" s="603"/>
      <c r="AF111" s="603"/>
      <c r="AG111" s="603"/>
      <c r="AH111" s="603"/>
      <c r="AI111" s="607"/>
      <c r="AJ111" s="603"/>
      <c r="AK111" s="603"/>
      <c r="AL111" s="613"/>
    </row>
    <row r="112" spans="1:41" ht="15.75" customHeight="1">
      <c r="A112" s="1538"/>
      <c r="B112" s="142" t="s">
        <v>118</v>
      </c>
      <c r="C112" s="152" t="s">
        <v>689</v>
      </c>
      <c r="D112" s="594" t="s">
        <v>130</v>
      </c>
      <c r="E112" s="603">
        <v>45991</v>
      </c>
      <c r="F112" s="603">
        <v>45991</v>
      </c>
      <c r="G112" s="603">
        <v>45960</v>
      </c>
      <c r="H112" s="604"/>
      <c r="I112" s="605"/>
      <c r="J112" s="603"/>
      <c r="K112" s="603"/>
      <c r="L112" s="603"/>
      <c r="M112" s="603"/>
      <c r="N112" s="603"/>
      <c r="O112" s="603"/>
      <c r="P112" s="610"/>
      <c r="Q112" s="600"/>
      <c r="R112" s="595"/>
      <c r="S112" s="595"/>
      <c r="T112" s="595"/>
      <c r="U112" s="595"/>
      <c r="V112" s="600"/>
      <c r="W112" s="607"/>
      <c r="X112" s="604"/>
      <c r="Y112" s="595"/>
      <c r="Z112" s="595"/>
      <c r="AA112" s="595"/>
      <c r="AB112" s="595"/>
      <c r="AC112" s="595"/>
      <c r="AD112" s="603"/>
      <c r="AE112" s="603"/>
      <c r="AF112" s="603"/>
      <c r="AG112" s="603"/>
      <c r="AH112" s="603"/>
      <c r="AI112" s="607"/>
      <c r="AJ112" s="611"/>
      <c r="AK112" s="611"/>
      <c r="AL112" s="614"/>
    </row>
    <row r="113" spans="1:41" ht="15.75" customHeight="1">
      <c r="A113" s="1538"/>
      <c r="B113" s="142" t="s">
        <v>129</v>
      </c>
      <c r="C113" s="116">
        <v>2</v>
      </c>
      <c r="D113" s="594"/>
      <c r="E113" s="603"/>
      <c r="F113" s="603"/>
      <c r="G113" s="603"/>
      <c r="H113" s="604"/>
      <c r="I113" s="605"/>
      <c r="J113" s="603"/>
      <c r="K113" s="603"/>
      <c r="L113" s="603"/>
      <c r="M113" s="603"/>
      <c r="N113" s="603"/>
      <c r="O113" s="603"/>
      <c r="P113" s="604"/>
      <c r="Q113" s="600"/>
      <c r="R113" s="595"/>
      <c r="S113" s="595"/>
      <c r="T113" s="595"/>
      <c r="U113" s="595"/>
      <c r="V113" s="600"/>
      <c r="W113" s="607"/>
      <c r="X113" s="604"/>
      <c r="Y113" s="595"/>
      <c r="Z113" s="595"/>
      <c r="AA113" s="595"/>
      <c r="AB113" s="595"/>
      <c r="AC113" s="595"/>
      <c r="AD113" s="603"/>
      <c r="AE113" s="603"/>
      <c r="AF113" s="603"/>
      <c r="AG113" s="603"/>
      <c r="AH113" s="603"/>
      <c r="AI113" s="607"/>
      <c r="AJ113" s="611"/>
      <c r="AK113" s="611"/>
      <c r="AL113" s="614"/>
    </row>
    <row r="114" spans="1:41" ht="15.75" customHeight="1">
      <c r="A114" s="1538"/>
      <c r="B114" s="142" t="s">
        <v>140</v>
      </c>
      <c r="C114" s="116" t="s">
        <v>721</v>
      </c>
      <c r="D114" s="604"/>
      <c r="E114" s="603"/>
      <c r="F114" s="603"/>
      <c r="G114" s="603"/>
      <c r="H114" s="604"/>
      <c r="I114" s="605"/>
      <c r="J114" s="603"/>
      <c r="K114" s="603"/>
      <c r="L114" s="603"/>
      <c r="M114" s="603"/>
      <c r="N114" s="603"/>
      <c r="O114" s="603"/>
      <c r="P114" s="610"/>
      <c r="Q114" s="597"/>
      <c r="R114" s="595"/>
      <c r="S114" s="595"/>
      <c r="T114" s="595"/>
      <c r="U114" s="595"/>
      <c r="V114" s="597"/>
      <c r="W114" s="607"/>
      <c r="X114" s="604"/>
      <c r="Y114" s="595"/>
      <c r="Z114" s="595"/>
      <c r="AA114" s="595"/>
      <c r="AB114" s="595"/>
      <c r="AC114" s="595"/>
      <c r="AD114" s="603"/>
      <c r="AE114" s="603"/>
      <c r="AF114" s="603"/>
      <c r="AG114" s="603"/>
      <c r="AH114" s="603"/>
      <c r="AI114" s="607"/>
      <c r="AJ114" s="611"/>
      <c r="AK114" s="611"/>
      <c r="AL114" s="614"/>
    </row>
    <row r="115" spans="1:41" ht="15.75" customHeight="1">
      <c r="A115" s="1538"/>
      <c r="B115" s="142" t="s">
        <v>152</v>
      </c>
      <c r="C115" s="116" t="s">
        <v>554</v>
      </c>
      <c r="D115" s="604"/>
      <c r="E115" s="603"/>
      <c r="F115" s="603"/>
      <c r="G115" s="603"/>
      <c r="H115" s="604"/>
      <c r="I115" s="605"/>
      <c r="J115" s="611"/>
      <c r="K115" s="611"/>
      <c r="L115" s="611"/>
      <c r="M115" s="611"/>
      <c r="N115" s="611"/>
      <c r="O115" s="611"/>
      <c r="P115" s="604"/>
      <c r="Q115" s="597"/>
      <c r="R115" s="595"/>
      <c r="S115" s="595"/>
      <c r="T115" s="595"/>
      <c r="U115" s="595"/>
      <c r="V115" s="600"/>
      <c r="W115" s="607"/>
      <c r="X115" s="604"/>
      <c r="Y115" s="595"/>
      <c r="Z115" s="595"/>
      <c r="AA115" s="595"/>
      <c r="AB115" s="595"/>
      <c r="AC115" s="595"/>
      <c r="AD115" s="603"/>
      <c r="AE115" s="603"/>
      <c r="AF115" s="603"/>
      <c r="AG115" s="603"/>
      <c r="AH115" s="603"/>
      <c r="AI115" s="607"/>
      <c r="AJ115" s="611"/>
      <c r="AK115" s="611"/>
      <c r="AL115" s="614"/>
    </row>
    <row r="116" spans="1:41" ht="15.75" customHeight="1">
      <c r="A116" s="1538"/>
      <c r="B116" s="142" t="s">
        <v>158</v>
      </c>
      <c r="C116" s="116" t="s">
        <v>722</v>
      </c>
      <c r="D116" s="604"/>
      <c r="E116" s="603"/>
      <c r="F116" s="603"/>
      <c r="G116" s="603"/>
      <c r="H116" s="604"/>
      <c r="I116" s="605"/>
      <c r="J116" s="611"/>
      <c r="K116" s="611"/>
      <c r="L116" s="611"/>
      <c r="M116" s="611"/>
      <c r="N116" s="611"/>
      <c r="O116" s="611"/>
      <c r="P116" s="604"/>
      <c r="Q116" s="597"/>
      <c r="R116" s="595"/>
      <c r="S116" s="595"/>
      <c r="T116" s="595"/>
      <c r="U116" s="595"/>
      <c r="V116" s="597"/>
      <c r="W116" s="607"/>
      <c r="X116" s="604"/>
      <c r="Y116" s="595"/>
      <c r="Z116" s="595"/>
      <c r="AA116" s="595"/>
      <c r="AB116" s="595"/>
      <c r="AC116" s="595"/>
      <c r="AD116" s="603"/>
      <c r="AE116" s="603"/>
      <c r="AF116" s="603"/>
      <c r="AG116" s="603"/>
      <c r="AH116" s="603"/>
      <c r="AI116" s="607"/>
      <c r="AJ116" s="611"/>
      <c r="AK116" s="611"/>
      <c r="AL116" s="614"/>
    </row>
    <row r="117" spans="1:41" ht="15.75" customHeight="1">
      <c r="A117" s="1538"/>
      <c r="B117" s="142" t="s">
        <v>167</v>
      </c>
      <c r="C117" s="116" t="s">
        <v>406</v>
      </c>
      <c r="D117" s="604"/>
      <c r="E117" s="612"/>
      <c r="F117" s="612"/>
      <c r="G117" s="612"/>
      <c r="H117" s="604"/>
      <c r="I117" s="605"/>
      <c r="J117" s="611"/>
      <c r="K117" s="611"/>
      <c r="L117" s="611"/>
      <c r="M117" s="611"/>
      <c r="N117" s="611"/>
      <c r="O117" s="611"/>
      <c r="P117" s="604"/>
      <c r="Q117" s="597"/>
      <c r="R117" s="595"/>
      <c r="S117" s="595"/>
      <c r="T117" s="595"/>
      <c r="U117" s="595"/>
      <c r="V117" s="600"/>
      <c r="W117" s="607"/>
      <c r="X117" s="604"/>
      <c r="Y117" s="600"/>
      <c r="Z117" s="600"/>
      <c r="AA117" s="600"/>
      <c r="AB117" s="600"/>
      <c r="AC117" s="600"/>
      <c r="AD117" s="611"/>
      <c r="AE117" s="611"/>
      <c r="AF117" s="611"/>
      <c r="AG117" s="611"/>
      <c r="AH117" s="611"/>
      <c r="AI117" s="607"/>
      <c r="AJ117" s="611"/>
      <c r="AK117" s="611"/>
      <c r="AL117" s="614"/>
    </row>
    <row r="118" spans="1:41" ht="15.75" customHeight="1">
      <c r="A118" s="1538"/>
      <c r="B118" s="142" t="s">
        <v>412</v>
      </c>
      <c r="C118" s="116" t="s">
        <v>491</v>
      </c>
      <c r="D118" s="604"/>
      <c r="E118" s="612"/>
      <c r="F118" s="612"/>
      <c r="G118" s="612"/>
      <c r="H118" s="604"/>
      <c r="I118" s="605"/>
      <c r="J118" s="611"/>
      <c r="K118" s="611"/>
      <c r="L118" s="611"/>
      <c r="M118" s="611"/>
      <c r="N118" s="611"/>
      <c r="O118" s="611"/>
      <c r="P118" s="604"/>
      <c r="Q118" s="600"/>
      <c r="R118" s="595"/>
      <c r="S118" s="595"/>
      <c r="T118" s="595"/>
      <c r="U118" s="595"/>
      <c r="V118" s="600"/>
      <c r="W118" s="607"/>
      <c r="X118" s="604"/>
      <c r="Y118" s="600"/>
      <c r="Z118" s="600"/>
      <c r="AA118" s="600"/>
      <c r="AB118" s="600"/>
      <c r="AC118" s="600"/>
      <c r="AD118" s="611"/>
      <c r="AE118" s="611"/>
      <c r="AF118" s="611"/>
      <c r="AG118" s="611"/>
      <c r="AH118" s="611"/>
      <c r="AI118" s="607"/>
      <c r="AJ118" s="611"/>
      <c r="AK118" s="611"/>
      <c r="AL118" s="614"/>
    </row>
    <row r="119" spans="1:41" ht="15.75" customHeight="1">
      <c r="A119" s="1538"/>
      <c r="B119" s="142"/>
      <c r="C119" s="116"/>
      <c r="D119" s="604"/>
      <c r="E119" s="612"/>
      <c r="F119" s="612"/>
      <c r="G119" s="612"/>
      <c r="H119" s="604"/>
      <c r="I119" s="605"/>
      <c r="J119" s="612"/>
      <c r="K119" s="612"/>
      <c r="L119" s="612"/>
      <c r="M119" s="612"/>
      <c r="N119" s="612"/>
      <c r="O119" s="612"/>
      <c r="P119" s="604"/>
      <c r="Q119" s="597"/>
      <c r="R119" s="597"/>
      <c r="S119" s="597"/>
      <c r="T119" s="597"/>
      <c r="U119" s="597"/>
      <c r="V119" s="597"/>
      <c r="W119" s="607"/>
      <c r="X119" s="604"/>
      <c r="Y119" s="600"/>
      <c r="Z119" s="600"/>
      <c r="AA119" s="600"/>
      <c r="AB119" s="600"/>
      <c r="AC119" s="600"/>
      <c r="AD119" s="611"/>
      <c r="AE119" s="611"/>
      <c r="AF119" s="611"/>
      <c r="AG119" s="611"/>
      <c r="AH119" s="611"/>
      <c r="AI119" s="607"/>
      <c r="AJ119" s="611"/>
      <c r="AK119" s="611"/>
      <c r="AL119" s="614"/>
    </row>
    <row r="120" spans="1:41" ht="15.75" customHeight="1">
      <c r="A120" s="1538"/>
      <c r="B120" s="142"/>
      <c r="C120" s="116"/>
      <c r="D120" s="604"/>
      <c r="E120" s="612"/>
      <c r="F120" s="612"/>
      <c r="G120" s="612"/>
      <c r="H120" s="604"/>
      <c r="I120" s="605"/>
      <c r="J120" s="612"/>
      <c r="K120" s="612"/>
      <c r="L120" s="612"/>
      <c r="M120" s="612"/>
      <c r="N120" s="612"/>
      <c r="O120" s="612"/>
      <c r="P120" s="604"/>
      <c r="Q120" s="600"/>
      <c r="R120" s="600"/>
      <c r="S120" s="600"/>
      <c r="T120" s="600"/>
      <c r="U120" s="600"/>
      <c r="V120" s="600"/>
      <c r="W120" s="604"/>
      <c r="X120" s="604"/>
      <c r="Y120" s="604"/>
      <c r="Z120" s="604"/>
      <c r="AA120" s="604"/>
      <c r="AB120" s="604"/>
      <c r="AC120" s="604"/>
      <c r="AD120" s="611"/>
      <c r="AE120" s="611"/>
      <c r="AF120" s="611"/>
      <c r="AG120" s="611"/>
      <c r="AH120" s="611"/>
      <c r="AI120" s="607"/>
      <c r="AJ120" s="611"/>
      <c r="AK120" s="611"/>
      <c r="AL120" s="614"/>
    </row>
    <row r="121" spans="1:41" ht="31.5" customHeight="1">
      <c r="A121" s="1538"/>
      <c r="B121" s="1540"/>
      <c r="C121" s="1541"/>
      <c r="D121" s="1543" t="s">
        <v>723</v>
      </c>
      <c r="E121" s="1544"/>
      <c r="F121" s="1544"/>
      <c r="G121" s="1544"/>
      <c r="H121" s="1543" t="s">
        <v>510</v>
      </c>
      <c r="I121" s="1544"/>
      <c r="J121" s="1544"/>
      <c r="K121" s="1544"/>
      <c r="L121" s="1544"/>
      <c r="M121" s="1544"/>
      <c r="N121" s="1544"/>
      <c r="O121" s="1544"/>
      <c r="P121" s="1544"/>
      <c r="Q121" s="1546" t="s">
        <v>511</v>
      </c>
      <c r="R121" s="1547"/>
      <c r="S121" s="1547"/>
      <c r="T121" s="1547"/>
      <c r="U121" s="1547"/>
      <c r="V121" s="2305"/>
      <c r="W121" s="1565" t="s">
        <v>692</v>
      </c>
      <c r="X121" s="1566"/>
      <c r="Y121" s="1566"/>
      <c r="Z121" s="1566"/>
      <c r="AA121" s="1566"/>
      <c r="AB121" s="1566"/>
      <c r="AC121" s="1566"/>
      <c r="AD121" s="1566"/>
      <c r="AE121" s="1566"/>
      <c r="AF121" s="1567"/>
      <c r="AG121" s="1555" t="s">
        <v>512</v>
      </c>
      <c r="AH121" s="1544"/>
      <c r="AI121" s="1544"/>
      <c r="AJ121" s="1544"/>
      <c r="AK121" s="1544"/>
      <c r="AL121" s="1556"/>
    </row>
    <row r="122" spans="1:41" ht="31.5" customHeight="1">
      <c r="A122" s="1552"/>
      <c r="B122" s="1563"/>
      <c r="C122" s="1563"/>
      <c r="D122" s="1564"/>
      <c r="E122" s="1564"/>
      <c r="F122" s="1564"/>
      <c r="G122" s="1564"/>
      <c r="H122" s="1564"/>
      <c r="I122" s="1564"/>
      <c r="J122" s="1564"/>
      <c r="K122" s="1564"/>
      <c r="L122" s="1564"/>
      <c r="M122" s="1564"/>
      <c r="N122" s="1564"/>
      <c r="O122" s="1564"/>
      <c r="P122" s="1564"/>
      <c r="Q122" s="1559"/>
      <c r="R122" s="1560"/>
      <c r="S122" s="1560"/>
      <c r="T122" s="1560"/>
      <c r="U122" s="1560"/>
      <c r="V122" s="2306"/>
      <c r="W122" s="1568"/>
      <c r="X122" s="1569"/>
      <c r="Y122" s="1569"/>
      <c r="Z122" s="1569"/>
      <c r="AA122" s="1569"/>
      <c r="AB122" s="1569"/>
      <c r="AC122" s="1569"/>
      <c r="AD122" s="1569"/>
      <c r="AE122" s="1569"/>
      <c r="AF122" s="1570"/>
      <c r="AG122" s="1557"/>
      <c r="AH122" s="1557"/>
      <c r="AI122" s="1557"/>
      <c r="AJ122" s="1557"/>
      <c r="AK122" s="1557"/>
      <c r="AL122" s="1558"/>
    </row>
    <row r="123" spans="1:41" s="166" customFormat="1" ht="15">
      <c r="A123" s="1479">
        <v>6</v>
      </c>
      <c r="B123" s="187" t="s">
        <v>40</v>
      </c>
      <c r="C123" s="162" t="s">
        <v>724</v>
      </c>
      <c r="D123" s="818" t="s">
        <v>42</v>
      </c>
      <c r="E123" s="819">
        <v>45826</v>
      </c>
      <c r="F123" s="819">
        <v>45826</v>
      </c>
      <c r="G123" s="819">
        <v>45826</v>
      </c>
      <c r="H123" s="818" t="s">
        <v>725</v>
      </c>
      <c r="I123" s="834" t="s">
        <v>726</v>
      </c>
      <c r="J123" s="819">
        <v>45870</v>
      </c>
      <c r="K123" s="819">
        <v>45884</v>
      </c>
      <c r="L123" s="819">
        <v>45882</v>
      </c>
      <c r="M123" s="819">
        <v>45915</v>
      </c>
      <c r="N123" s="819">
        <v>45917</v>
      </c>
      <c r="O123" s="819">
        <v>45917</v>
      </c>
      <c r="P123" s="820"/>
      <c r="Q123" s="818" t="s">
        <v>727</v>
      </c>
      <c r="R123" s="595">
        <v>46021</v>
      </c>
      <c r="S123" s="595">
        <v>46021</v>
      </c>
      <c r="T123" s="819" t="s">
        <v>728</v>
      </c>
      <c r="U123" s="595">
        <v>46021</v>
      </c>
      <c r="V123" s="835" t="s">
        <v>47</v>
      </c>
      <c r="W123" s="835" t="s">
        <v>729</v>
      </c>
      <c r="X123" s="822" t="s">
        <v>730</v>
      </c>
      <c r="Y123" s="595">
        <v>45916</v>
      </c>
      <c r="Z123" s="819">
        <v>45929</v>
      </c>
      <c r="AA123" s="819">
        <v>45929</v>
      </c>
      <c r="AB123" s="819" t="s">
        <v>731</v>
      </c>
      <c r="AC123" s="819" t="s">
        <v>732</v>
      </c>
      <c r="AD123" s="819">
        <v>45991</v>
      </c>
      <c r="AE123" s="595">
        <v>46041</v>
      </c>
      <c r="AF123" s="595">
        <v>46041</v>
      </c>
      <c r="AG123" s="247">
        <v>46087</v>
      </c>
      <c r="AH123" s="247">
        <v>46081</v>
      </c>
      <c r="AI123" s="259" t="s">
        <v>733</v>
      </c>
      <c r="AJ123" s="1454">
        <v>46193</v>
      </c>
      <c r="AK123" s="247"/>
      <c r="AL123" s="729">
        <v>46088</v>
      </c>
      <c r="AM123" s="1300" t="s">
        <v>734</v>
      </c>
      <c r="AN123" s="272"/>
      <c r="AO123" s="272"/>
    </row>
    <row r="124" spans="1:41" s="166" customFormat="1" ht="15">
      <c r="A124" s="1480"/>
      <c r="B124" s="269" t="s">
        <v>52</v>
      </c>
      <c r="C124" s="169" t="s">
        <v>735</v>
      </c>
      <c r="D124" s="594" t="s">
        <v>54</v>
      </c>
      <c r="E124" s="595">
        <v>45853</v>
      </c>
      <c r="F124" s="595">
        <v>45853</v>
      </c>
      <c r="G124" s="595">
        <v>45828</v>
      </c>
      <c r="H124" s="823" t="s">
        <v>736</v>
      </c>
      <c r="I124" s="836" t="s">
        <v>439</v>
      </c>
      <c r="J124" s="595">
        <v>45870</v>
      </c>
      <c r="K124" s="593">
        <v>45884</v>
      </c>
      <c r="L124" s="595">
        <v>45882</v>
      </c>
      <c r="M124" s="595">
        <v>45901</v>
      </c>
      <c r="N124" s="595">
        <v>45901</v>
      </c>
      <c r="O124" s="595">
        <v>45901</v>
      </c>
      <c r="P124" s="826"/>
      <c r="Q124" s="594" t="s">
        <v>737</v>
      </c>
      <c r="R124" s="595">
        <v>46021</v>
      </c>
      <c r="S124" s="595">
        <v>46021</v>
      </c>
      <c r="T124" s="593" t="s">
        <v>738</v>
      </c>
      <c r="U124" s="595">
        <v>46021</v>
      </c>
      <c r="V124" s="597" t="s">
        <v>47</v>
      </c>
      <c r="W124" s="597"/>
      <c r="X124" s="598"/>
      <c r="Y124" s="595"/>
      <c r="Z124" s="595"/>
      <c r="AA124" s="595"/>
      <c r="AB124" s="595"/>
      <c r="AC124" s="595"/>
      <c r="AD124" s="595"/>
      <c r="AE124" s="595"/>
      <c r="AF124" s="595"/>
      <c r="AG124" s="248"/>
      <c r="AH124" s="256"/>
      <c r="AI124" s="261"/>
      <c r="AJ124" s="248"/>
      <c r="AK124" s="248"/>
      <c r="AL124" s="275"/>
      <c r="AM124" s="1452" t="s">
        <v>739</v>
      </c>
      <c r="AN124" s="272"/>
      <c r="AO124" s="272"/>
    </row>
    <row r="125" spans="1:41" s="166" customFormat="1" ht="15">
      <c r="A125" s="1480"/>
      <c r="B125" s="269" t="s">
        <v>64</v>
      </c>
      <c r="C125" s="169">
        <v>5000107980</v>
      </c>
      <c r="D125" s="594" t="s">
        <v>65</v>
      </c>
      <c r="E125" s="595">
        <v>45870</v>
      </c>
      <c r="F125" s="595">
        <v>45884</v>
      </c>
      <c r="G125" s="595">
        <v>45882</v>
      </c>
      <c r="H125" s="823" t="s">
        <v>740</v>
      </c>
      <c r="I125" s="596">
        <v>1</v>
      </c>
      <c r="J125" s="595">
        <v>45870</v>
      </c>
      <c r="K125" s="593">
        <v>45884</v>
      </c>
      <c r="L125" s="595">
        <v>45882</v>
      </c>
      <c r="M125" s="595">
        <v>45901</v>
      </c>
      <c r="N125" s="595">
        <v>45901</v>
      </c>
      <c r="O125" s="595">
        <v>45901</v>
      </c>
      <c r="P125" s="826"/>
      <c r="Q125" s="594" t="s">
        <v>741</v>
      </c>
      <c r="R125" s="595">
        <v>46035</v>
      </c>
      <c r="S125" s="595">
        <v>46035</v>
      </c>
      <c r="T125" s="595" t="s">
        <v>742</v>
      </c>
      <c r="U125" s="595">
        <v>46035</v>
      </c>
      <c r="V125" s="597" t="s">
        <v>47</v>
      </c>
      <c r="W125" s="597"/>
      <c r="X125" s="598"/>
      <c r="Y125" s="833"/>
      <c r="Z125" s="595"/>
      <c r="AA125" s="595"/>
      <c r="AB125" s="595"/>
      <c r="AC125" s="595"/>
      <c r="AD125" s="595"/>
      <c r="AE125" s="595"/>
      <c r="AF125" s="595"/>
      <c r="AG125" s="248"/>
      <c r="AH125" s="256"/>
      <c r="AI125" s="261"/>
      <c r="AJ125" s="248"/>
      <c r="AK125" s="248"/>
      <c r="AL125" s="275"/>
      <c r="AM125" s="272"/>
      <c r="AN125" s="272"/>
      <c r="AO125" s="272"/>
    </row>
    <row r="126" spans="1:41" s="166" customFormat="1" ht="15">
      <c r="A126" s="1480"/>
      <c r="B126" s="269" t="s">
        <v>74</v>
      </c>
      <c r="C126" s="169">
        <v>1</v>
      </c>
      <c r="D126" s="594" t="s">
        <v>75</v>
      </c>
      <c r="E126" s="595">
        <v>45915</v>
      </c>
      <c r="F126" s="595">
        <v>45917</v>
      </c>
      <c r="G126" s="595">
        <v>45917</v>
      </c>
      <c r="H126" s="594" t="s">
        <v>743</v>
      </c>
      <c r="I126" s="596">
        <v>2</v>
      </c>
      <c r="J126" s="595">
        <v>45870</v>
      </c>
      <c r="K126" s="593">
        <v>45884</v>
      </c>
      <c r="L126" s="595">
        <v>45882</v>
      </c>
      <c r="M126" s="595">
        <v>45901</v>
      </c>
      <c r="N126" s="595">
        <v>45901</v>
      </c>
      <c r="O126" s="595">
        <v>45901</v>
      </c>
      <c r="P126" s="826"/>
      <c r="Q126" s="594"/>
      <c r="R126" s="595"/>
      <c r="S126" s="595"/>
      <c r="T126" s="595"/>
      <c r="U126" s="597"/>
      <c r="V126" s="597"/>
      <c r="W126" s="597"/>
      <c r="X126" s="598"/>
      <c r="Y126" s="595"/>
      <c r="Z126" s="595"/>
      <c r="AA126" s="595"/>
      <c r="AB126" s="595"/>
      <c r="AC126" s="595"/>
      <c r="AD126" s="595"/>
      <c r="AE126" s="595"/>
      <c r="AF126" s="595"/>
      <c r="AG126" s="248"/>
      <c r="AH126" s="256"/>
      <c r="AI126" s="261"/>
      <c r="AJ126" s="248"/>
      <c r="AK126" s="248"/>
      <c r="AL126" s="275"/>
      <c r="AM126" s="272"/>
      <c r="AN126" s="272"/>
      <c r="AO126" s="272"/>
    </row>
    <row r="127" spans="1:41" s="166" customFormat="1" ht="15">
      <c r="A127" s="1480"/>
      <c r="B127" s="269" t="s">
        <v>83</v>
      </c>
      <c r="C127" s="271" t="s">
        <v>744</v>
      </c>
      <c r="D127" s="594" t="s">
        <v>96</v>
      </c>
      <c r="E127" s="595">
        <v>45916</v>
      </c>
      <c r="F127" s="595">
        <v>45920</v>
      </c>
      <c r="G127" s="595">
        <v>45920</v>
      </c>
      <c r="H127" s="594" t="s">
        <v>745</v>
      </c>
      <c r="I127" s="596">
        <v>1</v>
      </c>
      <c r="J127" s="595">
        <v>45870</v>
      </c>
      <c r="K127" s="593">
        <v>45884</v>
      </c>
      <c r="L127" s="595">
        <v>45882</v>
      </c>
      <c r="M127" s="595">
        <v>45901</v>
      </c>
      <c r="N127" s="595">
        <v>45905</v>
      </c>
      <c r="O127" s="595">
        <v>45905</v>
      </c>
      <c r="P127" s="826"/>
      <c r="Q127" s="594"/>
      <c r="R127" s="595"/>
      <c r="S127" s="595"/>
      <c r="T127" s="595"/>
      <c r="U127" s="597"/>
      <c r="V127" s="597"/>
      <c r="W127" s="597"/>
      <c r="X127" s="594"/>
      <c r="Y127" s="833"/>
      <c r="Z127" s="595"/>
      <c r="AA127" s="595"/>
      <c r="AB127" s="595"/>
      <c r="AC127" s="595"/>
      <c r="AD127" s="595"/>
      <c r="AE127" s="595"/>
      <c r="AF127" s="595"/>
      <c r="AG127" s="249"/>
      <c r="AH127" s="257"/>
      <c r="AI127" s="263"/>
      <c r="AJ127" s="248"/>
      <c r="AK127" s="248"/>
      <c r="AL127" s="276"/>
      <c r="AM127" s="272"/>
      <c r="AN127" s="272"/>
      <c r="AO127" s="272"/>
    </row>
    <row r="128" spans="1:41" s="166" customFormat="1" ht="15">
      <c r="A128" s="1480"/>
      <c r="B128" s="269" t="s">
        <v>95</v>
      </c>
      <c r="C128" s="175">
        <v>45991</v>
      </c>
      <c r="D128" s="594" t="s">
        <v>130</v>
      </c>
      <c r="E128" s="595">
        <v>45991</v>
      </c>
      <c r="F128" s="595">
        <v>46054</v>
      </c>
      <c r="G128" s="595">
        <v>46063</v>
      </c>
      <c r="H128" s="592"/>
      <c r="I128" s="596"/>
      <c r="J128" s="595"/>
      <c r="K128" s="593"/>
      <c r="L128" s="595"/>
      <c r="M128" s="595"/>
      <c r="N128" s="595"/>
      <c r="O128" s="595"/>
      <c r="P128" s="826"/>
      <c r="Q128" s="594"/>
      <c r="R128" s="595"/>
      <c r="S128" s="595"/>
      <c r="T128" s="595"/>
      <c r="U128" s="597"/>
      <c r="V128" s="597"/>
      <c r="W128" s="597"/>
      <c r="X128" s="594"/>
      <c r="Y128" s="594"/>
      <c r="Z128" s="595"/>
      <c r="AA128" s="595"/>
      <c r="AB128" s="595"/>
      <c r="AC128" s="595"/>
      <c r="AD128" s="595"/>
      <c r="AE128" s="595"/>
      <c r="AF128" s="595"/>
      <c r="AG128" s="249"/>
      <c r="AH128" s="257"/>
      <c r="AI128" s="263"/>
      <c r="AJ128" s="248"/>
      <c r="AK128" s="248"/>
      <c r="AL128" s="276"/>
      <c r="AM128" s="272"/>
      <c r="AN128" s="272"/>
      <c r="AO128" s="272"/>
    </row>
    <row r="129" spans="1:41" s="166" customFormat="1" ht="15">
      <c r="A129" s="1480"/>
      <c r="B129" s="269" t="s">
        <v>104</v>
      </c>
      <c r="C129" s="169" t="s">
        <v>105</v>
      </c>
      <c r="D129" s="594"/>
      <c r="E129" s="595"/>
      <c r="F129" s="595"/>
      <c r="G129" s="595"/>
      <c r="H129" s="823"/>
      <c r="I129" s="596"/>
      <c r="J129" s="595"/>
      <c r="K129" s="595"/>
      <c r="L129" s="595"/>
      <c r="M129" s="595"/>
      <c r="N129" s="595"/>
      <c r="O129" s="595"/>
      <c r="P129" s="826"/>
      <c r="Q129" s="594"/>
      <c r="R129" s="595"/>
      <c r="S129" s="595"/>
      <c r="T129" s="595"/>
      <c r="U129" s="597"/>
      <c r="V129" s="597"/>
      <c r="W129" s="597"/>
      <c r="X129" s="594"/>
      <c r="Y129" s="594"/>
      <c r="Z129" s="595"/>
      <c r="AA129" s="595"/>
      <c r="AB129" s="595"/>
      <c r="AC129" s="595"/>
      <c r="AD129" s="595"/>
      <c r="AE129" s="595"/>
      <c r="AF129" s="595"/>
      <c r="AG129" s="249"/>
      <c r="AH129" s="257"/>
      <c r="AI129" s="263"/>
      <c r="AJ129" s="249"/>
      <c r="AK129" s="249"/>
      <c r="AL129" s="276"/>
      <c r="AM129" s="273"/>
      <c r="AN129" s="273"/>
      <c r="AO129" s="272"/>
    </row>
    <row r="130" spans="1:41" s="166" customFormat="1" ht="15">
      <c r="A130" s="1480"/>
      <c r="B130" s="269" t="s">
        <v>118</v>
      </c>
      <c r="C130" s="169" t="s">
        <v>746</v>
      </c>
      <c r="D130" s="594"/>
      <c r="E130" s="595"/>
      <c r="F130" s="595"/>
      <c r="G130" s="595"/>
      <c r="H130" s="594"/>
      <c r="I130" s="596"/>
      <c r="J130" s="595"/>
      <c r="K130" s="595"/>
      <c r="L130" s="595"/>
      <c r="M130" s="595"/>
      <c r="N130" s="595"/>
      <c r="O130" s="595"/>
      <c r="P130" s="826"/>
      <c r="Q130" s="594"/>
      <c r="R130" s="595"/>
      <c r="S130" s="595"/>
      <c r="T130" s="595"/>
      <c r="U130" s="600"/>
      <c r="V130" s="600"/>
      <c r="W130" s="600"/>
      <c r="X130" s="594"/>
      <c r="Y130" s="594"/>
      <c r="Z130" s="595"/>
      <c r="AA130" s="595"/>
      <c r="AB130" s="595"/>
      <c r="AC130" s="595"/>
      <c r="AD130" s="595"/>
      <c r="AE130" s="595"/>
      <c r="AF130" s="595"/>
      <c r="AG130" s="249"/>
      <c r="AH130" s="257"/>
      <c r="AI130" s="263"/>
      <c r="AJ130" s="249"/>
      <c r="AK130" s="249"/>
      <c r="AL130" s="276"/>
      <c r="AM130" s="273"/>
      <c r="AN130" s="273"/>
      <c r="AO130" s="273"/>
    </row>
    <row r="131" spans="1:41" s="166" customFormat="1" ht="15">
      <c r="A131" s="1480"/>
      <c r="B131" s="270" t="s">
        <v>129</v>
      </c>
      <c r="C131" s="179">
        <v>3</v>
      </c>
      <c r="D131" s="594"/>
      <c r="E131" s="595"/>
      <c r="F131" s="595"/>
      <c r="G131" s="595"/>
      <c r="H131" s="823"/>
      <c r="I131" s="596"/>
      <c r="J131" s="595"/>
      <c r="K131" s="595"/>
      <c r="L131" s="595"/>
      <c r="M131" s="595"/>
      <c r="N131" s="595"/>
      <c r="O131" s="595"/>
      <c r="P131" s="826"/>
      <c r="Q131" s="594"/>
      <c r="R131" s="595"/>
      <c r="S131" s="595"/>
      <c r="T131" s="595"/>
      <c r="U131" s="600"/>
      <c r="V131" s="600"/>
      <c r="W131" s="600"/>
      <c r="X131" s="594"/>
      <c r="Y131" s="594"/>
      <c r="Z131" s="595"/>
      <c r="AA131" s="595"/>
      <c r="AB131" s="595"/>
      <c r="AC131" s="595"/>
      <c r="AD131" s="595"/>
      <c r="AE131" s="595"/>
      <c r="AF131" s="595"/>
      <c r="AG131" s="249"/>
      <c r="AH131" s="257"/>
      <c r="AI131" s="263"/>
      <c r="AJ131" s="249"/>
      <c r="AK131" s="249"/>
      <c r="AL131" s="276"/>
      <c r="AM131" s="273"/>
      <c r="AN131" s="273"/>
      <c r="AO131" s="273"/>
    </row>
    <row r="132" spans="1:41" s="166" customFormat="1" ht="15">
      <c r="A132" s="1480"/>
      <c r="B132" s="269" t="s">
        <v>140</v>
      </c>
      <c r="C132" s="169" t="s">
        <v>747</v>
      </c>
      <c r="D132" s="594"/>
      <c r="E132" s="595"/>
      <c r="F132" s="595"/>
      <c r="G132" s="595"/>
      <c r="H132" s="594"/>
      <c r="I132" s="596"/>
      <c r="J132" s="595"/>
      <c r="K132" s="595"/>
      <c r="L132" s="595"/>
      <c r="M132" s="595"/>
      <c r="N132" s="595"/>
      <c r="O132" s="595"/>
      <c r="P132" s="826"/>
      <c r="Q132" s="594"/>
      <c r="R132" s="595"/>
      <c r="S132" s="595"/>
      <c r="T132" s="595"/>
      <c r="U132" s="600"/>
      <c r="V132" s="600"/>
      <c r="W132" s="600"/>
      <c r="X132" s="594"/>
      <c r="Y132" s="594"/>
      <c r="Z132" s="595"/>
      <c r="AA132" s="595"/>
      <c r="AB132" s="595"/>
      <c r="AC132" s="595"/>
      <c r="AD132" s="595"/>
      <c r="AE132" s="595"/>
      <c r="AF132" s="595"/>
      <c r="AG132" s="249"/>
      <c r="AH132" s="257"/>
      <c r="AI132" s="263"/>
      <c r="AJ132" s="249"/>
      <c r="AK132" s="249"/>
      <c r="AL132" s="276"/>
      <c r="AM132" s="273"/>
      <c r="AN132" s="273"/>
      <c r="AO132" s="273"/>
    </row>
    <row r="133" spans="1:41" s="166" customFormat="1" ht="15">
      <c r="A133" s="1480"/>
      <c r="B133" s="270" t="s">
        <v>152</v>
      </c>
      <c r="C133" s="179" t="s">
        <v>748</v>
      </c>
      <c r="D133" s="594"/>
      <c r="E133" s="829"/>
      <c r="F133" s="595"/>
      <c r="G133" s="595"/>
      <c r="H133" s="823"/>
      <c r="I133" s="596"/>
      <c r="J133" s="595"/>
      <c r="K133" s="595"/>
      <c r="L133" s="595"/>
      <c r="M133" s="595"/>
      <c r="N133" s="595"/>
      <c r="O133" s="597"/>
      <c r="P133" s="826"/>
      <c r="Q133" s="594"/>
      <c r="R133" s="595"/>
      <c r="S133" s="595"/>
      <c r="T133" s="597"/>
      <c r="U133" s="597"/>
      <c r="V133" s="597"/>
      <c r="W133" s="597"/>
      <c r="X133" s="594"/>
      <c r="Y133" s="594"/>
      <c r="Z133" s="595"/>
      <c r="AA133" s="595"/>
      <c r="AB133" s="595"/>
      <c r="AC133" s="595"/>
      <c r="AD133" s="595"/>
      <c r="AE133" s="595"/>
      <c r="AF133" s="595"/>
      <c r="AG133" s="249"/>
      <c r="AH133" s="257"/>
      <c r="AI133" s="263"/>
      <c r="AJ133" s="249"/>
      <c r="AK133" s="249"/>
      <c r="AL133" s="276"/>
      <c r="AM133" s="273"/>
      <c r="AN133" s="273"/>
      <c r="AO133" s="272"/>
    </row>
    <row r="134" spans="1:41" s="166" customFormat="1" ht="15">
      <c r="A134" s="1480"/>
      <c r="B134" s="270" t="s">
        <v>158</v>
      </c>
      <c r="C134" s="179" t="s">
        <v>749</v>
      </c>
      <c r="D134" s="594"/>
      <c r="E134" s="829"/>
      <c r="F134" s="595"/>
      <c r="G134" s="595"/>
      <c r="H134" s="823"/>
      <c r="I134" s="596"/>
      <c r="J134" s="595"/>
      <c r="K134" s="595"/>
      <c r="L134" s="595"/>
      <c r="M134" s="595"/>
      <c r="N134" s="595"/>
      <c r="O134" s="600"/>
      <c r="P134" s="826"/>
      <c r="Q134" s="594"/>
      <c r="R134" s="595"/>
      <c r="S134" s="595"/>
      <c r="T134" s="600"/>
      <c r="U134" s="600"/>
      <c r="V134" s="600"/>
      <c r="W134" s="600"/>
      <c r="X134" s="594"/>
      <c r="Y134" s="594"/>
      <c r="Z134" s="595"/>
      <c r="AA134" s="595"/>
      <c r="AB134" s="595"/>
      <c r="AC134" s="595"/>
      <c r="AD134" s="595"/>
      <c r="AE134" s="595"/>
      <c r="AF134" s="595"/>
      <c r="AG134" s="249"/>
      <c r="AH134" s="257"/>
      <c r="AI134" s="263"/>
      <c r="AJ134" s="249"/>
      <c r="AK134" s="249"/>
      <c r="AL134" s="276"/>
      <c r="AM134" s="273"/>
      <c r="AN134" s="273"/>
      <c r="AO134" s="273"/>
    </row>
    <row r="135" spans="1:41" s="166" customFormat="1" ht="15">
      <c r="A135" s="1480"/>
      <c r="B135" s="270" t="s">
        <v>167</v>
      </c>
      <c r="C135" s="179" t="s">
        <v>413</v>
      </c>
      <c r="D135" s="594"/>
      <c r="E135" s="829"/>
      <c r="F135" s="595"/>
      <c r="G135" s="595"/>
      <c r="H135" s="823"/>
      <c r="I135" s="596"/>
      <c r="J135" s="595"/>
      <c r="K135" s="595"/>
      <c r="L135" s="595"/>
      <c r="M135" s="595"/>
      <c r="N135" s="595"/>
      <c r="O135" s="597"/>
      <c r="P135" s="826"/>
      <c r="Q135" s="594"/>
      <c r="R135" s="595"/>
      <c r="S135" s="595"/>
      <c r="T135" s="597"/>
      <c r="U135" s="597"/>
      <c r="V135" s="597"/>
      <c r="W135" s="597"/>
      <c r="X135" s="594"/>
      <c r="Y135" s="594"/>
      <c r="Z135" s="595"/>
      <c r="AA135" s="595"/>
      <c r="AB135" s="595"/>
      <c r="AC135" s="595"/>
      <c r="AD135" s="595"/>
      <c r="AE135" s="595"/>
      <c r="AF135" s="595"/>
      <c r="AG135" s="249"/>
      <c r="AH135" s="257"/>
      <c r="AI135" s="263"/>
      <c r="AJ135" s="249"/>
      <c r="AK135" s="249"/>
      <c r="AL135" s="276"/>
      <c r="AM135" s="273"/>
      <c r="AN135" s="273"/>
      <c r="AO135" s="272"/>
    </row>
    <row r="136" spans="1:41" s="166" customFormat="1" ht="15">
      <c r="A136" s="1480"/>
      <c r="B136" s="270" t="s">
        <v>412</v>
      </c>
      <c r="C136" s="179" t="s">
        <v>413</v>
      </c>
      <c r="D136" s="594"/>
      <c r="E136" s="829"/>
      <c r="F136" s="595"/>
      <c r="G136" s="595"/>
      <c r="H136" s="594"/>
      <c r="I136" s="596"/>
      <c r="J136" s="597"/>
      <c r="K136" s="597"/>
      <c r="L136" s="600"/>
      <c r="M136" s="600"/>
      <c r="N136" s="600"/>
      <c r="O136" s="600"/>
      <c r="P136" s="826"/>
      <c r="Q136" s="594"/>
      <c r="R136" s="597"/>
      <c r="S136" s="597"/>
      <c r="T136" s="600"/>
      <c r="U136" s="600"/>
      <c r="V136" s="600"/>
      <c r="W136" s="600"/>
      <c r="X136" s="594"/>
      <c r="Y136" s="594"/>
      <c r="Z136" s="600"/>
      <c r="AA136" s="600"/>
      <c r="AB136" s="600"/>
      <c r="AC136" s="600"/>
      <c r="AD136" s="600"/>
      <c r="AE136" s="600"/>
      <c r="AF136" s="600"/>
      <c r="AG136" s="153"/>
      <c r="AH136" s="176"/>
      <c r="AI136" s="169"/>
      <c r="AJ136" s="153"/>
      <c r="AK136" s="153"/>
      <c r="AL136" s="277"/>
      <c r="AM136" s="274"/>
      <c r="AN136" s="274"/>
      <c r="AO136" s="274"/>
    </row>
    <row r="137" spans="1:41" s="166" customFormat="1">
      <c r="A137" s="1480"/>
      <c r="B137" s="270"/>
      <c r="C137" s="179"/>
      <c r="D137" s="594"/>
      <c r="E137" s="829"/>
      <c r="F137" s="595"/>
      <c r="G137" s="595"/>
      <c r="H137" s="594"/>
      <c r="I137" s="596"/>
      <c r="J137" s="600"/>
      <c r="K137" s="600"/>
      <c r="L137" s="600"/>
      <c r="M137" s="600"/>
      <c r="N137" s="600"/>
      <c r="O137" s="600"/>
      <c r="P137" s="826"/>
      <c r="Q137" s="594"/>
      <c r="R137" s="600"/>
      <c r="S137" s="600"/>
      <c r="T137" s="600"/>
      <c r="U137" s="600"/>
      <c r="V137" s="600"/>
      <c r="W137" s="600"/>
      <c r="X137" s="594"/>
      <c r="Y137" s="594"/>
      <c r="Z137" s="600"/>
      <c r="AA137" s="600"/>
      <c r="AB137" s="600"/>
      <c r="AC137" s="600"/>
      <c r="AD137" s="600"/>
      <c r="AE137" s="600"/>
      <c r="AF137" s="600"/>
      <c r="AG137" s="153"/>
      <c r="AH137" s="176"/>
      <c r="AI137" s="169"/>
      <c r="AJ137" s="153"/>
      <c r="AK137" s="153"/>
      <c r="AL137" s="277"/>
      <c r="AM137" s="274"/>
      <c r="AN137" s="274"/>
      <c r="AO137" s="274"/>
    </row>
    <row r="138" spans="1:41" s="166" customFormat="1" ht="16.5" customHeight="1">
      <c r="A138" s="1480"/>
      <c r="B138" s="1592" t="s">
        <v>264</v>
      </c>
      <c r="C138" s="1512"/>
      <c r="D138" s="1555" t="s">
        <v>723</v>
      </c>
      <c r="E138" s="1544"/>
      <c r="F138" s="1544"/>
      <c r="G138" s="1544"/>
      <c r="H138" s="1543" t="s">
        <v>750</v>
      </c>
      <c r="I138" s="1544"/>
      <c r="J138" s="1544"/>
      <c r="K138" s="1544"/>
      <c r="L138" s="1544"/>
      <c r="M138" s="1544"/>
      <c r="N138" s="1544"/>
      <c r="O138" s="1544"/>
      <c r="P138" s="1544"/>
      <c r="Q138" s="1546" t="s">
        <v>751</v>
      </c>
      <c r="R138" s="1547"/>
      <c r="S138" s="1547"/>
      <c r="T138" s="1547"/>
      <c r="U138" s="1547"/>
      <c r="V138" s="2305"/>
      <c r="W138" s="1565" t="s">
        <v>752</v>
      </c>
      <c r="X138" s="1566"/>
      <c r="Y138" s="1566"/>
      <c r="Z138" s="1566"/>
      <c r="AA138" s="1566"/>
      <c r="AB138" s="1566"/>
      <c r="AC138" s="1566"/>
      <c r="AD138" s="1566"/>
      <c r="AE138" s="1566"/>
      <c r="AF138" s="1567"/>
      <c r="AG138" s="1555" t="s">
        <v>512</v>
      </c>
      <c r="AH138" s="1544"/>
      <c r="AI138" s="1544"/>
      <c r="AJ138" s="1544"/>
      <c r="AK138" s="1544"/>
      <c r="AL138" s="1556"/>
      <c r="AM138" s="602"/>
      <c r="AN138" s="188"/>
      <c r="AO138" s="188"/>
    </row>
    <row r="139" spans="1:41" s="166" customFormat="1" ht="63" customHeight="1">
      <c r="A139" s="1509"/>
      <c r="B139" s="1593"/>
      <c r="C139" s="1513"/>
      <c r="D139" s="1564"/>
      <c r="E139" s="1564"/>
      <c r="F139" s="1564"/>
      <c r="G139" s="1564"/>
      <c r="H139" s="1564"/>
      <c r="I139" s="1564"/>
      <c r="J139" s="1564"/>
      <c r="K139" s="1564"/>
      <c r="L139" s="1564"/>
      <c r="M139" s="1564"/>
      <c r="N139" s="1564"/>
      <c r="O139" s="1564"/>
      <c r="P139" s="1564"/>
      <c r="Q139" s="1559"/>
      <c r="R139" s="1560"/>
      <c r="S139" s="1560"/>
      <c r="T139" s="1560"/>
      <c r="U139" s="1560"/>
      <c r="V139" s="2306"/>
      <c r="W139" s="1568"/>
      <c r="X139" s="1569"/>
      <c r="Y139" s="1569"/>
      <c r="Z139" s="1569"/>
      <c r="AA139" s="1569"/>
      <c r="AB139" s="1569"/>
      <c r="AC139" s="1569"/>
      <c r="AD139" s="1569"/>
      <c r="AE139" s="1569"/>
      <c r="AF139" s="1570"/>
      <c r="AG139" s="1557"/>
      <c r="AH139" s="1557"/>
      <c r="AI139" s="1557"/>
      <c r="AJ139" s="1557"/>
      <c r="AK139" s="1557"/>
      <c r="AL139" s="1558"/>
      <c r="AM139" s="602"/>
      <c r="AN139" s="188"/>
      <c r="AO139" s="188"/>
    </row>
    <row r="140" spans="1:41" ht="15">
      <c r="A140" s="1537">
        <v>7</v>
      </c>
      <c r="B140" s="137" t="s">
        <v>40</v>
      </c>
      <c r="C140" s="138" t="s">
        <v>753</v>
      </c>
      <c r="D140" s="189" t="s">
        <v>42</v>
      </c>
      <c r="E140" s="244">
        <v>45839</v>
      </c>
      <c r="F140" s="244">
        <v>45839</v>
      </c>
      <c r="G140" s="244">
        <v>45839</v>
      </c>
      <c r="H140" s="139" t="s">
        <v>754</v>
      </c>
      <c r="I140" s="482"/>
      <c r="J140" s="252">
        <v>45869</v>
      </c>
      <c r="K140" s="243">
        <v>45938</v>
      </c>
      <c r="L140" s="252">
        <v>45875</v>
      </c>
      <c r="M140" s="252">
        <v>45910</v>
      </c>
      <c r="N140" s="252">
        <v>45960</v>
      </c>
      <c r="O140" s="252">
        <v>45961</v>
      </c>
      <c r="P140" s="397" t="s">
        <v>755</v>
      </c>
      <c r="Q140" s="140" t="s">
        <v>472</v>
      </c>
      <c r="R140" s="254">
        <v>46143</v>
      </c>
      <c r="S140" s="247"/>
      <c r="T140" s="247"/>
      <c r="U140" s="247"/>
      <c r="V140" s="140"/>
      <c r="W140" s="141" t="s">
        <v>756</v>
      </c>
      <c r="X140" s="184" t="s">
        <v>757</v>
      </c>
      <c r="Y140" s="247">
        <v>45933</v>
      </c>
      <c r="Z140" s="247">
        <v>46020</v>
      </c>
      <c r="AA140" s="247">
        <v>45960</v>
      </c>
      <c r="AB140" s="247"/>
      <c r="AC140" s="247"/>
      <c r="AD140" s="246">
        <v>46081</v>
      </c>
      <c r="AE140" s="246">
        <v>46193</v>
      </c>
      <c r="AF140" s="246"/>
      <c r="AG140" s="246">
        <v>46203</v>
      </c>
      <c r="AH140" s="246"/>
      <c r="AI140" s="246"/>
      <c r="AJ140" s="246">
        <v>46223</v>
      </c>
      <c r="AK140" s="246"/>
      <c r="AL140" s="389">
        <v>46149</v>
      </c>
      <c r="AM140" s="905" t="s">
        <v>758</v>
      </c>
    </row>
    <row r="141" spans="1:41" ht="17.25" customHeight="1">
      <c r="A141" s="1538"/>
      <c r="B141" s="142" t="s">
        <v>52</v>
      </c>
      <c r="C141" s="115" t="s">
        <v>757</v>
      </c>
      <c r="D141" s="190" t="s">
        <v>54</v>
      </c>
      <c r="E141" s="244">
        <v>45838</v>
      </c>
      <c r="F141" s="244">
        <v>45838</v>
      </c>
      <c r="G141" s="244">
        <v>45828</v>
      </c>
      <c r="H141" s="143" t="s">
        <v>759</v>
      </c>
      <c r="I141" s="481"/>
      <c r="J141" s="243">
        <v>45869</v>
      </c>
      <c r="K141" s="243">
        <v>45938</v>
      </c>
      <c r="L141" s="243">
        <v>45875</v>
      </c>
      <c r="M141" s="243">
        <v>45899</v>
      </c>
      <c r="N141" s="243">
        <v>45960</v>
      </c>
      <c r="O141" s="243">
        <v>45963</v>
      </c>
      <c r="P141" s="149" t="s">
        <v>760</v>
      </c>
      <c r="Q141" s="145"/>
      <c r="R141" s="248"/>
      <c r="S141" s="255"/>
      <c r="T141" s="248"/>
      <c r="U141" s="248"/>
      <c r="V141" s="145"/>
      <c r="W141" s="146"/>
      <c r="X141" s="185"/>
      <c r="Y141" s="248"/>
      <c r="Z141" s="248"/>
      <c r="AA141" s="248"/>
      <c r="AB141" s="248"/>
      <c r="AC141" s="248"/>
      <c r="AD141" s="244"/>
      <c r="AE141" s="244"/>
      <c r="AF141" s="244"/>
      <c r="AG141" s="244"/>
      <c r="AH141" s="244"/>
      <c r="AI141" s="244"/>
      <c r="AJ141" s="244"/>
      <c r="AK141" s="244"/>
      <c r="AL141" s="390"/>
    </row>
    <row r="142" spans="1:41" ht="15.75" customHeight="1">
      <c r="A142" s="1538"/>
      <c r="B142" s="142" t="s">
        <v>64</v>
      </c>
      <c r="C142" s="116">
        <v>5000107958</v>
      </c>
      <c r="D142" s="190" t="s">
        <v>65</v>
      </c>
      <c r="E142" s="244">
        <v>45869</v>
      </c>
      <c r="F142" s="245">
        <v>45938</v>
      </c>
      <c r="G142" s="245">
        <v>45902</v>
      </c>
      <c r="H142" s="143" t="s">
        <v>761</v>
      </c>
      <c r="I142" s="481"/>
      <c r="J142" s="243">
        <v>45869</v>
      </c>
      <c r="K142" s="243">
        <v>45938</v>
      </c>
      <c r="L142" s="243">
        <v>45879</v>
      </c>
      <c r="M142" s="243">
        <v>45919</v>
      </c>
      <c r="N142" s="243">
        <v>45960</v>
      </c>
      <c r="O142" s="243">
        <v>45940</v>
      </c>
      <c r="P142" s="149" t="s">
        <v>762</v>
      </c>
      <c r="Q142" s="145"/>
      <c r="R142" s="255"/>
      <c r="S142" s="248"/>
      <c r="T142" s="248"/>
      <c r="U142" s="248"/>
      <c r="V142" s="145"/>
      <c r="W142" s="146"/>
      <c r="X142" s="185"/>
      <c r="Y142" s="248"/>
      <c r="Z142" s="248"/>
      <c r="AA142" s="248"/>
      <c r="AB142" s="248"/>
      <c r="AC142" s="248"/>
      <c r="AD142" s="244"/>
      <c r="AE142" s="244"/>
      <c r="AF142" s="244"/>
      <c r="AG142" s="244"/>
      <c r="AH142" s="244"/>
      <c r="AI142" s="244"/>
      <c r="AJ142" s="244"/>
      <c r="AK142" s="244"/>
      <c r="AL142" s="390"/>
    </row>
    <row r="143" spans="1:41" ht="15.75" customHeight="1">
      <c r="A143" s="1538"/>
      <c r="B143" s="142" t="s">
        <v>74</v>
      </c>
      <c r="C143" s="116">
        <v>1</v>
      </c>
      <c r="D143" s="190" t="s">
        <v>75</v>
      </c>
      <c r="E143" s="244">
        <v>45912</v>
      </c>
      <c r="F143" s="245">
        <v>45968</v>
      </c>
      <c r="G143" s="245">
        <v>45974</v>
      </c>
      <c r="H143" s="143" t="s">
        <v>763</v>
      </c>
      <c r="I143" s="481"/>
      <c r="J143" s="243">
        <v>45869</v>
      </c>
      <c r="K143" s="243">
        <v>45938</v>
      </c>
      <c r="L143" s="243">
        <v>45847</v>
      </c>
      <c r="M143" s="243">
        <v>45940</v>
      </c>
      <c r="N143" s="243">
        <v>45916</v>
      </c>
      <c r="O143" s="243">
        <v>45916</v>
      </c>
      <c r="P143" s="398" t="s">
        <v>764</v>
      </c>
      <c r="Q143" s="145"/>
      <c r="R143" s="248"/>
      <c r="S143" s="248"/>
      <c r="T143" s="248"/>
      <c r="U143" s="248"/>
      <c r="V143" s="145"/>
      <c r="W143" s="146"/>
      <c r="X143" s="186"/>
      <c r="Y143" s="248"/>
      <c r="Z143" s="248"/>
      <c r="AA143" s="248"/>
      <c r="AB143" s="248"/>
      <c r="AC143" s="248"/>
      <c r="AD143" s="244"/>
      <c r="AE143" s="244"/>
      <c r="AF143" s="244"/>
      <c r="AG143" s="244"/>
      <c r="AH143" s="244"/>
      <c r="AI143" s="244"/>
      <c r="AJ143" s="244"/>
      <c r="AK143" s="244"/>
      <c r="AL143" s="390"/>
    </row>
    <row r="144" spans="1:41" ht="15.75" customHeight="1">
      <c r="A144" s="1538"/>
      <c r="B144" s="142" t="s">
        <v>83</v>
      </c>
      <c r="C144" s="116" t="s">
        <v>765</v>
      </c>
      <c r="D144" s="190" t="s">
        <v>715</v>
      </c>
      <c r="E144" s="244">
        <v>45933</v>
      </c>
      <c r="F144" s="244">
        <v>46020</v>
      </c>
      <c r="G144" s="244">
        <v>45960</v>
      </c>
      <c r="H144" s="143" t="s">
        <v>766</v>
      </c>
      <c r="I144" s="481"/>
      <c r="J144" s="243">
        <v>45869</v>
      </c>
      <c r="K144" s="243">
        <v>45938</v>
      </c>
      <c r="L144" s="243">
        <v>45847</v>
      </c>
      <c r="M144" s="243">
        <v>45940</v>
      </c>
      <c r="N144" s="243">
        <v>45960</v>
      </c>
      <c r="O144" s="243">
        <v>45961</v>
      </c>
      <c r="P144" s="398" t="s">
        <v>764</v>
      </c>
      <c r="Q144" s="145"/>
      <c r="R144" s="248"/>
      <c r="S144" s="248"/>
      <c r="T144" s="248"/>
      <c r="U144" s="248"/>
      <c r="V144" s="145"/>
      <c r="W144" s="146"/>
      <c r="X144" s="149"/>
      <c r="Y144" s="248"/>
      <c r="Z144" s="248"/>
      <c r="AA144" s="249"/>
      <c r="AB144" s="249"/>
      <c r="AC144" s="249"/>
      <c r="AD144" s="244"/>
      <c r="AE144" s="244"/>
      <c r="AF144" s="244"/>
      <c r="AG144" s="244"/>
      <c r="AH144" s="244"/>
      <c r="AI144" s="147"/>
      <c r="AJ144" s="144"/>
      <c r="AK144" s="144"/>
      <c r="AL144" s="148"/>
    </row>
    <row r="145" spans="1:38" ht="15.75" customHeight="1">
      <c r="A145" s="1538"/>
      <c r="B145" s="142" t="s">
        <v>95</v>
      </c>
      <c r="C145" s="151">
        <v>46081</v>
      </c>
      <c r="D145" s="190" t="s">
        <v>106</v>
      </c>
      <c r="E145" s="244">
        <v>46031</v>
      </c>
      <c r="F145" s="245">
        <v>46161</v>
      </c>
      <c r="G145" s="245"/>
      <c r="H145" s="143" t="s">
        <v>767</v>
      </c>
      <c r="I145" s="481"/>
      <c r="J145" s="243">
        <v>45869</v>
      </c>
      <c r="K145" s="243">
        <v>45938</v>
      </c>
      <c r="L145" s="243">
        <v>45882</v>
      </c>
      <c r="M145" s="243">
        <v>45948</v>
      </c>
      <c r="N145" s="243">
        <v>45960</v>
      </c>
      <c r="O145" s="243">
        <v>45948</v>
      </c>
      <c r="P145" s="149" t="s">
        <v>768</v>
      </c>
      <c r="Q145" s="145"/>
      <c r="R145" s="248"/>
      <c r="S145" s="248"/>
      <c r="T145" s="248"/>
      <c r="U145" s="248"/>
      <c r="V145" s="145"/>
      <c r="W145" s="146"/>
      <c r="X145" s="149"/>
      <c r="Y145" s="248"/>
      <c r="Z145" s="248"/>
      <c r="AA145" s="249"/>
      <c r="AB145" s="249"/>
      <c r="AC145" s="249"/>
      <c r="AD145" s="244"/>
      <c r="AE145" s="244"/>
      <c r="AF145" s="244"/>
      <c r="AG145" s="244"/>
      <c r="AH145" s="244"/>
      <c r="AI145" s="147"/>
      <c r="AJ145" s="144"/>
      <c r="AK145" s="144"/>
      <c r="AL145" s="148"/>
    </row>
    <row r="146" spans="1:38" ht="15.75" customHeight="1">
      <c r="A146" s="1538"/>
      <c r="B146" s="142" t="s">
        <v>104</v>
      </c>
      <c r="C146" s="152" t="s">
        <v>769</v>
      </c>
      <c r="D146" s="190" t="s">
        <v>119</v>
      </c>
      <c r="E146" s="244">
        <v>46066</v>
      </c>
      <c r="F146" s="245">
        <v>46183</v>
      </c>
      <c r="G146" s="245"/>
      <c r="H146" s="143" t="s">
        <v>770</v>
      </c>
      <c r="I146" s="481"/>
      <c r="J146" s="243">
        <v>45869</v>
      </c>
      <c r="K146" s="243">
        <v>45938</v>
      </c>
      <c r="L146" s="243">
        <v>45837</v>
      </c>
      <c r="M146" s="243">
        <v>45869</v>
      </c>
      <c r="N146" s="243">
        <v>45869</v>
      </c>
      <c r="O146" s="243">
        <v>45869</v>
      </c>
      <c r="P146" s="149" t="s">
        <v>771</v>
      </c>
      <c r="Q146" s="145"/>
      <c r="R146" s="248"/>
      <c r="S146" s="249"/>
      <c r="T146" s="248"/>
      <c r="U146" s="248"/>
      <c r="V146" s="145"/>
      <c r="W146" s="146"/>
      <c r="X146" s="149"/>
      <c r="Y146" s="249"/>
      <c r="Z146" s="249"/>
      <c r="AA146" s="249"/>
      <c r="AB146" s="249"/>
      <c r="AC146" s="249"/>
      <c r="AD146" s="244"/>
      <c r="AE146" s="244"/>
      <c r="AF146" s="244"/>
      <c r="AG146" s="244"/>
      <c r="AH146" s="244"/>
      <c r="AI146" s="147"/>
      <c r="AJ146" s="144"/>
      <c r="AK146" s="144"/>
      <c r="AL146" s="148"/>
    </row>
    <row r="147" spans="1:38" ht="15.75" customHeight="1">
      <c r="A147" s="1538"/>
      <c r="B147" s="142" t="s">
        <v>118</v>
      </c>
      <c r="C147" s="152" t="s">
        <v>772</v>
      </c>
      <c r="D147" s="190" t="s">
        <v>130</v>
      </c>
      <c r="E147" s="244">
        <v>46081</v>
      </c>
      <c r="F147" s="245">
        <v>46193</v>
      </c>
      <c r="G147" s="245"/>
      <c r="H147" s="143"/>
      <c r="I147" s="481"/>
      <c r="J147" s="244"/>
      <c r="K147" s="244"/>
      <c r="L147" s="244"/>
      <c r="M147" s="244"/>
      <c r="N147" s="244"/>
      <c r="O147" s="244"/>
      <c r="P147" s="116"/>
      <c r="Q147" s="153"/>
      <c r="R147" s="249"/>
      <c r="S147" s="249"/>
      <c r="T147" s="249"/>
      <c r="U147" s="249"/>
      <c r="V147" s="153"/>
      <c r="W147" s="146"/>
      <c r="X147" s="149"/>
      <c r="Y147" s="249"/>
      <c r="Z147" s="249"/>
      <c r="AA147" s="249"/>
      <c r="AB147" s="249"/>
      <c r="AC147" s="249"/>
      <c r="AD147" s="244"/>
      <c r="AE147" s="244"/>
      <c r="AF147" s="244"/>
      <c r="AG147" s="244"/>
      <c r="AH147" s="244"/>
      <c r="AI147" s="147"/>
      <c r="AJ147" s="144"/>
      <c r="AK147" s="144"/>
      <c r="AL147" s="148"/>
    </row>
    <row r="148" spans="1:38" ht="15.75" customHeight="1">
      <c r="A148" s="1538"/>
      <c r="B148" s="142" t="s">
        <v>129</v>
      </c>
      <c r="C148" s="116">
        <v>2</v>
      </c>
      <c r="D148" s="190"/>
      <c r="E148" s="244"/>
      <c r="F148" s="244"/>
      <c r="G148" s="244"/>
      <c r="H148" s="143"/>
      <c r="I148" s="481"/>
      <c r="J148" s="244"/>
      <c r="K148" s="244"/>
      <c r="L148" s="244"/>
      <c r="M148" s="244"/>
      <c r="N148" s="244"/>
      <c r="O148" s="244"/>
      <c r="P148" s="115"/>
      <c r="Q148" s="153"/>
      <c r="R148" s="249"/>
      <c r="S148" s="249"/>
      <c r="T148" s="249"/>
      <c r="U148" s="249"/>
      <c r="V148" s="153"/>
      <c r="W148" s="146"/>
      <c r="X148" s="149"/>
      <c r="Y148" s="249"/>
      <c r="Z148" s="249"/>
      <c r="AA148" s="249"/>
      <c r="AB148" s="249"/>
      <c r="AC148" s="249"/>
      <c r="AD148" s="244"/>
      <c r="AE148" s="244"/>
      <c r="AF148" s="244"/>
      <c r="AG148" s="244"/>
      <c r="AH148" s="244"/>
      <c r="AI148" s="147"/>
      <c r="AJ148" s="144"/>
      <c r="AK148" s="144"/>
      <c r="AL148" s="148"/>
    </row>
    <row r="149" spans="1:38" ht="15.75" customHeight="1">
      <c r="A149" s="1538"/>
      <c r="B149" s="142" t="s">
        <v>140</v>
      </c>
      <c r="C149" s="116" t="s">
        <v>773</v>
      </c>
      <c r="D149" s="143"/>
      <c r="E149" s="244"/>
      <c r="F149" s="244"/>
      <c r="G149" s="244"/>
      <c r="H149" s="143"/>
      <c r="I149" s="481"/>
      <c r="J149" s="244"/>
      <c r="K149" s="244"/>
      <c r="L149" s="244"/>
      <c r="M149" s="244"/>
      <c r="N149" s="244"/>
      <c r="O149" s="244"/>
      <c r="P149" s="116"/>
      <c r="Q149" s="145"/>
      <c r="R149" s="248"/>
      <c r="S149" s="249"/>
      <c r="T149" s="248"/>
      <c r="U149" s="248"/>
      <c r="V149" s="145"/>
      <c r="W149" s="146"/>
      <c r="X149" s="149"/>
      <c r="Y149" s="249"/>
      <c r="Z149" s="249"/>
      <c r="AA149" s="249"/>
      <c r="AB149" s="249"/>
      <c r="AC149" s="249"/>
      <c r="AD149" s="244"/>
      <c r="AE149" s="244"/>
      <c r="AF149" s="244"/>
      <c r="AG149" s="244"/>
      <c r="AH149" s="244"/>
      <c r="AI149" s="147"/>
      <c r="AJ149" s="144"/>
      <c r="AK149" s="144"/>
      <c r="AL149" s="148"/>
    </row>
    <row r="150" spans="1:38" ht="15.75" customHeight="1">
      <c r="A150" s="1538"/>
      <c r="B150" s="142" t="s">
        <v>152</v>
      </c>
      <c r="C150" s="116" t="s">
        <v>554</v>
      </c>
      <c r="D150" s="143"/>
      <c r="E150" s="244"/>
      <c r="F150" s="244"/>
      <c r="G150" s="244"/>
      <c r="H150" s="143"/>
      <c r="I150" s="481"/>
      <c r="J150" s="144"/>
      <c r="K150" s="144"/>
      <c r="L150" s="117"/>
      <c r="M150" s="144"/>
      <c r="N150" s="144"/>
      <c r="O150" s="144"/>
      <c r="P150" s="115"/>
      <c r="Q150" s="145"/>
      <c r="R150" s="248"/>
      <c r="S150" s="249"/>
      <c r="T150" s="249"/>
      <c r="U150" s="249"/>
      <c r="V150" s="153"/>
      <c r="W150" s="146"/>
      <c r="X150" s="149"/>
      <c r="Y150" s="249"/>
      <c r="Z150" s="249"/>
      <c r="AA150" s="249"/>
      <c r="AB150" s="249"/>
      <c r="AC150" s="249"/>
      <c r="AD150" s="244"/>
      <c r="AE150" s="244"/>
      <c r="AF150" s="244"/>
      <c r="AG150" s="244"/>
      <c r="AH150" s="244"/>
      <c r="AI150" s="147"/>
      <c r="AJ150" s="144"/>
      <c r="AK150" s="144"/>
      <c r="AL150" s="148"/>
    </row>
    <row r="151" spans="1:38" ht="15.75" customHeight="1">
      <c r="A151" s="1538"/>
      <c r="B151" s="142" t="s">
        <v>158</v>
      </c>
      <c r="C151" s="116" t="s">
        <v>722</v>
      </c>
      <c r="D151" s="143"/>
      <c r="E151" s="244"/>
      <c r="F151" s="244"/>
      <c r="G151" s="244"/>
      <c r="H151" s="143"/>
      <c r="I151" s="481"/>
      <c r="J151" s="144"/>
      <c r="K151" s="144"/>
      <c r="L151" s="117"/>
      <c r="M151" s="144"/>
      <c r="N151" s="144"/>
      <c r="O151" s="144"/>
      <c r="P151" s="115"/>
      <c r="Q151" s="145"/>
      <c r="R151" s="248"/>
      <c r="S151" s="249"/>
      <c r="T151" s="248"/>
      <c r="U151" s="248"/>
      <c r="V151" s="145"/>
      <c r="W151" s="146"/>
      <c r="X151" s="115"/>
      <c r="Y151" s="249"/>
      <c r="Z151" s="249"/>
      <c r="AA151" s="249"/>
      <c r="AB151" s="249"/>
      <c r="AC151" s="249"/>
      <c r="AD151" s="244"/>
      <c r="AE151" s="244"/>
      <c r="AF151" s="244"/>
      <c r="AG151" s="244"/>
      <c r="AH151" s="244"/>
      <c r="AI151" s="147"/>
      <c r="AJ151" s="144"/>
      <c r="AK151" s="144"/>
      <c r="AL151" s="148"/>
    </row>
    <row r="152" spans="1:38" ht="15.75" customHeight="1">
      <c r="A152" s="1538"/>
      <c r="B152" s="142" t="s">
        <v>167</v>
      </c>
      <c r="C152" s="116" t="s">
        <v>643</v>
      </c>
      <c r="D152" s="143"/>
      <c r="E152" s="154"/>
      <c r="F152" s="154"/>
      <c r="G152" s="154"/>
      <c r="H152" s="143"/>
      <c r="I152" s="481"/>
      <c r="J152" s="144"/>
      <c r="K152" s="144"/>
      <c r="L152" s="117"/>
      <c r="M152" s="144"/>
      <c r="N152" s="144"/>
      <c r="O152" s="144"/>
      <c r="P152" s="115"/>
      <c r="Q152" s="145"/>
      <c r="R152" s="248"/>
      <c r="S152" s="249"/>
      <c r="T152" s="249"/>
      <c r="U152" s="249"/>
      <c r="V152" s="153"/>
      <c r="W152" s="146"/>
      <c r="X152" s="115"/>
      <c r="Y152" s="153"/>
      <c r="Z152" s="153"/>
      <c r="AA152" s="153"/>
      <c r="AB152" s="153"/>
      <c r="AC152" s="153"/>
      <c r="AD152" s="144"/>
      <c r="AE152" s="144"/>
      <c r="AF152" s="144"/>
      <c r="AG152" s="144"/>
      <c r="AH152" s="144"/>
      <c r="AI152" s="147"/>
      <c r="AJ152" s="144"/>
      <c r="AK152" s="144"/>
      <c r="AL152" s="148"/>
    </row>
    <row r="153" spans="1:38" ht="15.75" customHeight="1">
      <c r="A153" s="1538"/>
      <c r="B153" s="142" t="s">
        <v>412</v>
      </c>
      <c r="C153" s="116" t="s">
        <v>643</v>
      </c>
      <c r="D153" s="143"/>
      <c r="E153" s="154"/>
      <c r="F153" s="154"/>
      <c r="G153" s="154"/>
      <c r="H153" s="143"/>
      <c r="I153" s="481"/>
      <c r="J153" s="144"/>
      <c r="K153" s="144"/>
      <c r="L153" s="117"/>
      <c r="M153" s="144"/>
      <c r="N153" s="144"/>
      <c r="O153" s="144"/>
      <c r="P153" s="115"/>
      <c r="Q153" s="153"/>
      <c r="R153" s="249"/>
      <c r="S153" s="249"/>
      <c r="T153" s="249"/>
      <c r="U153" s="249"/>
      <c r="V153" s="153"/>
      <c r="W153" s="146"/>
      <c r="X153" s="115"/>
      <c r="Y153" s="153"/>
      <c r="Z153" s="153"/>
      <c r="AA153" s="153"/>
      <c r="AB153" s="153"/>
      <c r="AC153" s="153"/>
      <c r="AD153" s="144"/>
      <c r="AE153" s="144"/>
      <c r="AF153" s="144"/>
      <c r="AG153" s="144"/>
      <c r="AH153" s="144"/>
      <c r="AI153" s="147"/>
      <c r="AJ153" s="144"/>
      <c r="AK153" s="144"/>
      <c r="AL153" s="148"/>
    </row>
    <row r="154" spans="1:38" ht="35.25" customHeight="1">
      <c r="A154" s="1538"/>
      <c r="B154" s="156"/>
      <c r="C154" s="157"/>
      <c r="D154" s="143"/>
      <c r="E154" s="154"/>
      <c r="F154" s="154"/>
      <c r="G154" s="154"/>
      <c r="H154" s="155"/>
      <c r="I154" s="481"/>
      <c r="J154" s="144"/>
      <c r="K154" s="144"/>
      <c r="L154" s="117"/>
      <c r="M154" s="144"/>
      <c r="N154" s="144"/>
      <c r="O154" s="144"/>
      <c r="P154" s="115"/>
      <c r="Q154" s="145"/>
      <c r="R154" s="145"/>
      <c r="S154" s="153"/>
      <c r="T154" s="153"/>
      <c r="U154" s="153"/>
      <c r="V154" s="153"/>
      <c r="W154" s="146"/>
      <c r="X154" s="115"/>
      <c r="Y154" s="115"/>
      <c r="Z154" s="115"/>
      <c r="AA154" s="115"/>
      <c r="AB154" s="115"/>
      <c r="AC154" s="115"/>
      <c r="AD154" s="144"/>
      <c r="AE154" s="144"/>
      <c r="AF154" s="144"/>
      <c r="AG154" s="144"/>
      <c r="AH154" s="144"/>
      <c r="AI154" s="147"/>
      <c r="AJ154" s="144"/>
      <c r="AK154" s="144"/>
      <c r="AL154" s="148"/>
    </row>
    <row r="155" spans="1:38" ht="15.75" customHeight="1">
      <c r="A155" s="1538"/>
      <c r="B155" s="156"/>
      <c r="C155" s="157"/>
      <c r="D155" s="143"/>
      <c r="E155" s="154"/>
      <c r="F155" s="154"/>
      <c r="G155" s="154"/>
      <c r="H155" s="143"/>
      <c r="I155" s="481"/>
      <c r="J155" s="154"/>
      <c r="K155" s="154"/>
      <c r="L155" s="158"/>
      <c r="M155" s="154"/>
      <c r="N155" s="154"/>
      <c r="O155" s="154"/>
      <c r="P155" s="115"/>
      <c r="Q155" s="145"/>
      <c r="R155" s="145"/>
      <c r="S155" s="150"/>
      <c r="T155" s="145"/>
      <c r="U155" s="145"/>
      <c r="V155" s="145"/>
      <c r="W155" s="146"/>
      <c r="X155" s="115"/>
      <c r="Y155" s="115"/>
      <c r="Z155" s="115"/>
      <c r="AA155" s="115"/>
      <c r="AB155" s="115"/>
      <c r="AC155" s="115"/>
      <c r="AD155" s="144"/>
      <c r="AE155" s="144"/>
      <c r="AF155" s="144"/>
      <c r="AG155" s="144"/>
      <c r="AH155" s="144"/>
      <c r="AI155" s="147"/>
      <c r="AJ155" s="144"/>
      <c r="AK155" s="144"/>
      <c r="AL155" s="148"/>
    </row>
    <row r="156" spans="1:38" ht="15.75" customHeight="1">
      <c r="A156" s="1538"/>
      <c r="B156" s="156"/>
      <c r="C156" s="157"/>
      <c r="D156" s="143"/>
      <c r="E156" s="154"/>
      <c r="F156" s="154"/>
      <c r="G156" s="154"/>
      <c r="H156" s="143"/>
      <c r="I156" s="481"/>
      <c r="J156" s="154"/>
      <c r="K156" s="154"/>
      <c r="L156" s="154"/>
      <c r="M156" s="154"/>
      <c r="N156" s="154"/>
      <c r="O156" s="154"/>
      <c r="P156" s="115"/>
      <c r="Q156" s="145"/>
      <c r="R156" s="145"/>
      <c r="S156" s="153"/>
      <c r="T156" s="153"/>
      <c r="U156" s="153"/>
      <c r="V156" s="153"/>
      <c r="W156" s="146"/>
      <c r="X156" s="115"/>
      <c r="Y156" s="153"/>
      <c r="Z156" s="153"/>
      <c r="AA156" s="153"/>
      <c r="AB156" s="153"/>
      <c r="AC156" s="153"/>
      <c r="AD156" s="144"/>
      <c r="AE156" s="144"/>
      <c r="AF156" s="144"/>
      <c r="AG156" s="144"/>
      <c r="AH156" s="144"/>
      <c r="AI156" s="147"/>
      <c r="AJ156" s="144"/>
      <c r="AK156" s="144"/>
      <c r="AL156" s="148"/>
    </row>
    <row r="157" spans="1:38" ht="15.75" customHeight="1">
      <c r="A157" s="1538"/>
      <c r="B157" s="156"/>
      <c r="C157" s="157"/>
      <c r="D157" s="143"/>
      <c r="E157" s="154"/>
      <c r="F157" s="154"/>
      <c r="G157" s="154"/>
      <c r="H157" s="143"/>
      <c r="I157" s="481"/>
      <c r="J157" s="154"/>
      <c r="K157" s="154"/>
      <c r="L157" s="154"/>
      <c r="M157" s="154"/>
      <c r="N157" s="154"/>
      <c r="O157" s="154"/>
      <c r="P157" s="115"/>
      <c r="Q157" s="145"/>
      <c r="R157" s="145"/>
      <c r="S157" s="145"/>
      <c r="T157" s="145"/>
      <c r="U157" s="145"/>
      <c r="V157" s="145"/>
      <c r="W157" s="146"/>
      <c r="X157" s="115"/>
      <c r="Y157" s="153"/>
      <c r="Z157" s="153"/>
      <c r="AA157" s="153"/>
      <c r="AB157" s="153"/>
      <c r="AC157" s="153"/>
      <c r="AD157" s="144"/>
      <c r="AE157" s="144"/>
      <c r="AF157" s="144"/>
      <c r="AG157" s="144"/>
      <c r="AH157" s="144"/>
      <c r="AI157" s="147"/>
      <c r="AJ157" s="144"/>
      <c r="AK157" s="144"/>
      <c r="AL157" s="148"/>
    </row>
    <row r="158" spans="1:38" ht="15.75" customHeight="1">
      <c r="A158" s="1538"/>
      <c r="B158" s="156"/>
      <c r="C158" s="157"/>
      <c r="D158" s="143"/>
      <c r="E158" s="154"/>
      <c r="F158" s="154"/>
      <c r="G158" s="154"/>
      <c r="H158" s="143"/>
      <c r="I158" s="481"/>
      <c r="J158" s="154"/>
      <c r="K158" s="154"/>
      <c r="L158" s="158"/>
      <c r="M158" s="154"/>
      <c r="N158" s="154"/>
      <c r="O158" s="154"/>
      <c r="P158" s="115"/>
      <c r="Q158" s="145"/>
      <c r="R158" s="145"/>
      <c r="S158" s="145"/>
      <c r="T158" s="145"/>
      <c r="U158" s="145"/>
      <c r="V158" s="145"/>
      <c r="W158" s="146"/>
      <c r="X158" s="115"/>
      <c r="Y158" s="153"/>
      <c r="Z158" s="153"/>
      <c r="AA158" s="153"/>
      <c r="AB158" s="153"/>
      <c r="AC158" s="153"/>
      <c r="AD158" s="144"/>
      <c r="AE158" s="144"/>
      <c r="AF158" s="144"/>
      <c r="AG158" s="144"/>
      <c r="AH158" s="144"/>
      <c r="AI158" s="147"/>
      <c r="AJ158" s="144"/>
      <c r="AK158" s="144"/>
      <c r="AL158" s="148"/>
    </row>
    <row r="159" spans="1:38" ht="15.75" customHeight="1">
      <c r="A159" s="1538"/>
      <c r="B159" s="156"/>
      <c r="C159" s="157"/>
      <c r="D159" s="143"/>
      <c r="E159" s="154"/>
      <c r="F159" s="154"/>
      <c r="G159" s="154"/>
      <c r="H159" s="143"/>
      <c r="I159" s="481"/>
      <c r="J159" s="154"/>
      <c r="K159" s="154"/>
      <c r="L159" s="158"/>
      <c r="M159" s="154"/>
      <c r="N159" s="154"/>
      <c r="O159" s="154"/>
      <c r="P159" s="115"/>
      <c r="Q159" s="145"/>
      <c r="R159" s="145"/>
      <c r="S159" s="150"/>
      <c r="T159" s="145"/>
      <c r="U159" s="145"/>
      <c r="V159" s="145"/>
      <c r="W159" s="146"/>
      <c r="X159" s="115"/>
      <c r="Y159" s="153"/>
      <c r="Z159" s="153"/>
      <c r="AA159" s="153"/>
      <c r="AB159" s="153"/>
      <c r="AC159" s="153"/>
      <c r="AD159" s="144"/>
      <c r="AE159" s="144"/>
      <c r="AF159" s="144"/>
      <c r="AG159" s="144"/>
      <c r="AH159" s="144"/>
      <c r="AI159" s="147"/>
      <c r="AJ159" s="144"/>
      <c r="AK159" s="144"/>
      <c r="AL159" s="148"/>
    </row>
    <row r="160" spans="1:38" ht="15.75" customHeight="1">
      <c r="A160" s="1538"/>
      <c r="B160" s="159"/>
      <c r="C160" s="160"/>
      <c r="D160" s="143"/>
      <c r="E160" s="154"/>
      <c r="F160" s="154"/>
      <c r="G160" s="154"/>
      <c r="H160" s="143"/>
      <c r="I160" s="481"/>
      <c r="J160" s="154"/>
      <c r="K160" s="154"/>
      <c r="L160" s="154"/>
      <c r="M160" s="154"/>
      <c r="N160" s="154"/>
      <c r="O160" s="154"/>
      <c r="P160" s="115"/>
      <c r="Q160" s="153"/>
      <c r="R160" s="153"/>
      <c r="S160" s="153"/>
      <c r="T160" s="153"/>
      <c r="U160" s="153"/>
      <c r="V160" s="153"/>
      <c r="W160" s="143"/>
      <c r="X160" s="115"/>
      <c r="Y160" s="115"/>
      <c r="Z160" s="115"/>
      <c r="AA160" s="115"/>
      <c r="AB160" s="115"/>
      <c r="AC160" s="115"/>
      <c r="AD160" s="144"/>
      <c r="AE160" s="144"/>
      <c r="AF160" s="144"/>
      <c r="AG160" s="144"/>
      <c r="AH160" s="144"/>
      <c r="AI160" s="147"/>
      <c r="AJ160" s="144"/>
      <c r="AK160" s="144"/>
      <c r="AL160" s="148"/>
    </row>
    <row r="161" spans="1:38" ht="31.5" customHeight="1">
      <c r="A161" s="1538"/>
      <c r="B161" s="1540"/>
      <c r="C161" s="1541"/>
      <c r="D161" s="1543" t="s">
        <v>723</v>
      </c>
      <c r="E161" s="1544"/>
      <c r="F161" s="1544"/>
      <c r="G161" s="1544"/>
      <c r="H161" s="1555" t="s">
        <v>774</v>
      </c>
      <c r="I161" s="1544"/>
      <c r="J161" s="1544"/>
      <c r="K161" s="1544"/>
      <c r="L161" s="1544"/>
      <c r="M161" s="1544"/>
      <c r="N161" s="1544"/>
      <c r="O161" s="1544"/>
      <c r="P161" s="1544"/>
      <c r="Q161" s="1546" t="s">
        <v>511</v>
      </c>
      <c r="R161" s="1547"/>
      <c r="S161" s="1547"/>
      <c r="T161" s="1547"/>
      <c r="U161" s="1547"/>
      <c r="V161" s="2305"/>
      <c r="W161" s="1565" t="s">
        <v>511</v>
      </c>
      <c r="X161" s="1566"/>
      <c r="Y161" s="1566"/>
      <c r="Z161" s="1566"/>
      <c r="AA161" s="1566"/>
      <c r="AB161" s="1566"/>
      <c r="AC161" s="1566"/>
      <c r="AD161" s="1566"/>
      <c r="AE161" s="1566"/>
      <c r="AF161" s="1567"/>
      <c r="AG161" s="1555" t="s">
        <v>512</v>
      </c>
      <c r="AH161" s="1544"/>
      <c r="AI161" s="1544"/>
      <c r="AJ161" s="1544"/>
      <c r="AK161" s="1544"/>
      <c r="AL161" s="1556"/>
    </row>
    <row r="162" spans="1:38" ht="31.5" customHeight="1">
      <c r="A162" s="1552"/>
      <c r="B162" s="1563"/>
      <c r="C162" s="1563"/>
      <c r="D162" s="1564"/>
      <c r="E162" s="1564"/>
      <c r="F162" s="1564"/>
      <c r="G162" s="1564"/>
      <c r="H162" s="1564"/>
      <c r="I162" s="1564"/>
      <c r="J162" s="1564"/>
      <c r="K162" s="1564"/>
      <c r="L162" s="1564"/>
      <c r="M162" s="1564"/>
      <c r="N162" s="1564"/>
      <c r="O162" s="1564"/>
      <c r="P162" s="1564"/>
      <c r="Q162" s="1559"/>
      <c r="R162" s="1560"/>
      <c r="S162" s="1560"/>
      <c r="T162" s="1560"/>
      <c r="U162" s="1560"/>
      <c r="V162" s="2306"/>
      <c r="W162" s="1568"/>
      <c r="X162" s="1569"/>
      <c r="Y162" s="1569"/>
      <c r="Z162" s="1569"/>
      <c r="AA162" s="1569"/>
      <c r="AB162" s="1569"/>
      <c r="AC162" s="1569"/>
      <c r="AD162" s="1569"/>
      <c r="AE162" s="1569"/>
      <c r="AF162" s="1570"/>
      <c r="AG162" s="1557"/>
      <c r="AH162" s="1557"/>
      <c r="AI162" s="1557"/>
      <c r="AJ162" s="1557"/>
      <c r="AK162" s="1557"/>
      <c r="AL162" s="1558"/>
    </row>
  </sheetData>
  <mergeCells count="78">
    <mergeCell ref="A140:A162"/>
    <mergeCell ref="B161:C162"/>
    <mergeCell ref="D161:G162"/>
    <mergeCell ref="H161:P162"/>
    <mergeCell ref="Q161:V162"/>
    <mergeCell ref="W161:AF162"/>
    <mergeCell ref="AG161:AL162"/>
    <mergeCell ref="AG138:AL139"/>
    <mergeCell ref="W138:AF139"/>
    <mergeCell ref="Q138:V139"/>
    <mergeCell ref="A123:A139"/>
    <mergeCell ref="B138:B139"/>
    <mergeCell ref="C138:C139"/>
    <mergeCell ref="D138:G139"/>
    <mergeCell ref="H138:P139"/>
    <mergeCell ref="W121:AF122"/>
    <mergeCell ref="AG121:AL122"/>
    <mergeCell ref="W58:AF59"/>
    <mergeCell ref="AG58:AL59"/>
    <mergeCell ref="W103:AF104"/>
    <mergeCell ref="AG103:AL104"/>
    <mergeCell ref="W86:AF87"/>
    <mergeCell ref="AG86:AL87"/>
    <mergeCell ref="A105:A122"/>
    <mergeCell ref="B121:C122"/>
    <mergeCell ref="D121:G122"/>
    <mergeCell ref="H121:P122"/>
    <mergeCell ref="Q121:V122"/>
    <mergeCell ref="Q31:V32"/>
    <mergeCell ref="Y2:AA2"/>
    <mergeCell ref="B31:C32"/>
    <mergeCell ref="D31:G32"/>
    <mergeCell ref="H31:P32"/>
    <mergeCell ref="W31:AF32"/>
    <mergeCell ref="T2:V2"/>
    <mergeCell ref="AG31:AL32"/>
    <mergeCell ref="AD2:AF2"/>
    <mergeCell ref="AG2:AH2"/>
    <mergeCell ref="AI2:AI3"/>
    <mergeCell ref="AJ2:AK2"/>
    <mergeCell ref="AL2:AL3"/>
    <mergeCell ref="AG1:AL1"/>
    <mergeCell ref="D2:D3"/>
    <mergeCell ref="E2:E3"/>
    <mergeCell ref="F2:F3"/>
    <mergeCell ref="G2:G3"/>
    <mergeCell ref="H2:H3"/>
    <mergeCell ref="I2:I3"/>
    <mergeCell ref="J2:L2"/>
    <mergeCell ref="M2:O2"/>
    <mergeCell ref="P2:P3"/>
    <mergeCell ref="W1:AF1"/>
    <mergeCell ref="W2:W3"/>
    <mergeCell ref="X2:X3"/>
    <mergeCell ref="Q1:V1"/>
    <mergeCell ref="Q2:S2"/>
    <mergeCell ref="A1:A3"/>
    <mergeCell ref="B1:C3"/>
    <mergeCell ref="D1:G1"/>
    <mergeCell ref="H1:P1"/>
    <mergeCell ref="A4:A32"/>
    <mergeCell ref="Q58:V59"/>
    <mergeCell ref="A60:A87"/>
    <mergeCell ref="B86:C87"/>
    <mergeCell ref="D86:G87"/>
    <mergeCell ref="H86:P87"/>
    <mergeCell ref="Q86:V87"/>
    <mergeCell ref="A33:A59"/>
    <mergeCell ref="B58:B59"/>
    <mergeCell ref="C58:C59"/>
    <mergeCell ref="D58:G59"/>
    <mergeCell ref="H58:P59"/>
    <mergeCell ref="Q103:V104"/>
    <mergeCell ref="A88:A104"/>
    <mergeCell ref="B103:B104"/>
    <mergeCell ref="C103:C104"/>
    <mergeCell ref="D103:G104"/>
    <mergeCell ref="H103:P104"/>
  </mergeCells>
  <phoneticPr fontId="5" type="noConversion"/>
  <pageMargins left="0" right="0" top="0" bottom="0" header="0.31496062992125984" footer="0.31496062992125984"/>
  <pageSetup paperSize="8" scale="37" fitToHeight="7" orientation="landscape"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074F9-C88F-45C3-B2E5-769CE10CCFDF}">
  <dimension ref="A2:AH60"/>
  <sheetViews>
    <sheetView zoomScaleNormal="100" workbookViewId="0" xr3:uid="{969C8535-AE1F-5CC8-B04D-8CBBE5CBD970}">
      <pane xSplit="3" ySplit="4" topLeftCell="D39" activePane="bottomRight" state="frozen"/>
      <selection pane="bottomRight" activeCell="W53" sqref="W53:W54"/>
      <selection pane="bottomLeft" activeCell="A5" sqref="A5"/>
      <selection pane="topRight" activeCell="E1" sqref="E1"/>
    </sheetView>
  </sheetViews>
  <sheetFormatPr defaultColWidth="9.140625" defaultRowHeight="12"/>
  <cols>
    <col min="1" max="1" width="12.42578125" style="51" customWidth="1"/>
    <col min="2" max="2" width="11.42578125" style="51" customWidth="1"/>
    <col min="3" max="3" width="9.140625" style="51"/>
    <col min="4" max="4" width="10.42578125" style="51" bestFit="1" customWidth="1"/>
    <col min="5" max="6" width="9.140625" style="51"/>
    <col min="7" max="7" width="11.42578125" style="87" bestFit="1" customWidth="1"/>
    <col min="8" max="8" width="2.42578125" style="51" customWidth="1"/>
    <col min="9" max="9" width="4" style="51" customWidth="1"/>
    <col min="10" max="10" width="8.140625" style="88" customWidth="1"/>
    <col min="11" max="12" width="8.140625" style="51" customWidth="1"/>
    <col min="13" max="13" width="6.42578125" style="51" customWidth="1"/>
    <col min="14" max="14" width="10.140625" style="51" customWidth="1"/>
    <col min="15" max="16" width="8.42578125" style="51" customWidth="1"/>
    <col min="17" max="17" width="11.140625" style="89" customWidth="1"/>
    <col min="18" max="18" width="13.140625" style="51" customWidth="1"/>
    <col min="19" max="19" width="20.140625" style="51" customWidth="1"/>
    <col min="20" max="21" width="8.42578125" style="51" customWidth="1"/>
    <col min="22" max="22" width="7.42578125" style="51" customWidth="1"/>
    <col min="23" max="23" width="9.140625" style="51"/>
    <col min="24" max="24" width="16" style="88" customWidth="1"/>
    <col min="25" max="25" width="9.140625" style="51"/>
    <col min="26" max="26" width="11.42578125" style="51" customWidth="1"/>
    <col min="27" max="27" width="12.28515625" style="51" customWidth="1"/>
    <col min="28" max="28" width="10.42578125" style="51" customWidth="1"/>
    <col min="29" max="30" width="8.42578125" style="51" customWidth="1"/>
    <col min="31" max="31" width="9.140625" style="51"/>
    <col min="32" max="32" width="28.85546875" style="51" customWidth="1"/>
    <col min="33" max="33" width="17" style="905" customWidth="1"/>
    <col min="34" max="16384" width="9.140625" style="51"/>
  </cols>
  <sheetData>
    <row r="2" spans="1:32">
      <c r="A2" s="1776"/>
      <c r="B2" s="1777"/>
      <c r="C2" s="1777"/>
      <c r="D2" s="1777"/>
      <c r="E2" s="1777"/>
      <c r="F2" s="1777"/>
      <c r="G2" s="1777"/>
      <c r="H2" s="1777"/>
      <c r="I2" s="1777"/>
      <c r="J2" s="1777"/>
      <c r="K2" s="1777"/>
      <c r="L2" s="1777"/>
      <c r="M2" s="1778"/>
      <c r="N2" s="1777" t="s">
        <v>775</v>
      </c>
      <c r="O2" s="1777"/>
      <c r="P2" s="1777"/>
      <c r="Q2" s="1776" t="s">
        <v>776</v>
      </c>
      <c r="R2" s="1777"/>
      <c r="S2" s="1777"/>
      <c r="T2" s="1777"/>
      <c r="U2" s="1777"/>
      <c r="V2" s="1777"/>
      <c r="W2" s="52"/>
      <c r="X2" s="1776" t="s">
        <v>777</v>
      </c>
      <c r="Y2" s="1777"/>
      <c r="Z2" s="1777"/>
      <c r="AA2" s="1777"/>
      <c r="AB2" s="1777"/>
      <c r="AC2" s="1777"/>
      <c r="AD2" s="1777"/>
      <c r="AE2" s="1778"/>
      <c r="AF2" s="1752"/>
    </row>
    <row r="3" spans="1:32">
      <c r="A3" s="1755" t="s">
        <v>778</v>
      </c>
      <c r="B3" s="1757" t="s">
        <v>779</v>
      </c>
      <c r="C3" s="1757" t="s">
        <v>780</v>
      </c>
      <c r="D3" s="1759" t="s">
        <v>781</v>
      </c>
      <c r="E3" s="1757" t="s">
        <v>782</v>
      </c>
      <c r="F3" s="1757" t="s">
        <v>783</v>
      </c>
      <c r="G3" s="1785" t="s">
        <v>784</v>
      </c>
      <c r="H3" s="1787" t="s">
        <v>785</v>
      </c>
      <c r="I3" s="1789" t="s">
        <v>786</v>
      </c>
      <c r="J3" s="1774" t="s">
        <v>787</v>
      </c>
      <c r="K3" s="1774" t="s">
        <v>788</v>
      </c>
      <c r="L3" s="1774" t="s">
        <v>789</v>
      </c>
      <c r="M3" s="1779" t="s">
        <v>790</v>
      </c>
      <c r="N3" s="1781" t="s">
        <v>786</v>
      </c>
      <c r="O3" s="1765" t="s">
        <v>791</v>
      </c>
      <c r="P3" s="1765"/>
      <c r="Q3" s="1783" t="s">
        <v>792</v>
      </c>
      <c r="R3" s="1763" t="s">
        <v>793</v>
      </c>
      <c r="S3" s="1763" t="s">
        <v>794</v>
      </c>
      <c r="T3" s="1765" t="s">
        <v>791</v>
      </c>
      <c r="U3" s="1765"/>
      <c r="V3" s="1768" t="s">
        <v>795</v>
      </c>
      <c r="W3" s="1770" t="s">
        <v>796</v>
      </c>
      <c r="X3" s="1772" t="s">
        <v>797</v>
      </c>
      <c r="Y3" s="1757" t="s">
        <v>798</v>
      </c>
      <c r="Z3" s="1761" t="s">
        <v>799</v>
      </c>
      <c r="AA3" s="1763" t="s">
        <v>800</v>
      </c>
      <c r="AB3" s="1763" t="s">
        <v>801</v>
      </c>
      <c r="AC3" s="1765" t="s">
        <v>791</v>
      </c>
      <c r="AD3" s="1765"/>
      <c r="AE3" s="1766" t="s">
        <v>802</v>
      </c>
      <c r="AF3" s="1753"/>
    </row>
    <row r="4" spans="1:32" ht="22.5">
      <c r="A4" s="1756"/>
      <c r="B4" s="1758"/>
      <c r="C4" s="1758"/>
      <c r="D4" s="1760"/>
      <c r="E4" s="1758"/>
      <c r="F4" s="1758"/>
      <c r="G4" s="1786"/>
      <c r="H4" s="1788"/>
      <c r="I4" s="1790"/>
      <c r="J4" s="1775"/>
      <c r="K4" s="1775"/>
      <c r="L4" s="1775"/>
      <c r="M4" s="1780"/>
      <c r="N4" s="1782"/>
      <c r="O4" s="53" t="s">
        <v>803</v>
      </c>
      <c r="P4" s="53" t="s">
        <v>804</v>
      </c>
      <c r="Q4" s="1784"/>
      <c r="R4" s="1764"/>
      <c r="S4" s="1764"/>
      <c r="T4" s="53" t="s">
        <v>803</v>
      </c>
      <c r="U4" s="53" t="s">
        <v>804</v>
      </c>
      <c r="V4" s="1769"/>
      <c r="W4" s="1771"/>
      <c r="X4" s="1773"/>
      <c r="Y4" s="1758"/>
      <c r="Z4" s="1762"/>
      <c r="AA4" s="1764"/>
      <c r="AB4" s="1764"/>
      <c r="AC4" s="53" t="s">
        <v>803</v>
      </c>
      <c r="AD4" s="53" t="s">
        <v>804</v>
      </c>
      <c r="AE4" s="1767"/>
      <c r="AF4" s="1754"/>
    </row>
    <row r="5" spans="1:32" ht="27" customHeight="1">
      <c r="A5" s="1643" t="s">
        <v>805</v>
      </c>
      <c r="B5" s="1646" t="s">
        <v>806</v>
      </c>
      <c r="C5" s="1649" t="s">
        <v>807</v>
      </c>
      <c r="D5" s="1834" t="s">
        <v>808</v>
      </c>
      <c r="E5" s="1819">
        <v>45981</v>
      </c>
      <c r="F5" s="1793">
        <v>46068</v>
      </c>
      <c r="G5" s="1067" t="s">
        <v>809</v>
      </c>
      <c r="H5" s="1068">
        <v>5</v>
      </c>
      <c r="I5" s="1807" t="s">
        <v>810</v>
      </c>
      <c r="J5" s="1808">
        <v>873.2</v>
      </c>
      <c r="K5" s="1809">
        <v>873.2</v>
      </c>
      <c r="L5" s="1810">
        <f>J5-K5</f>
        <v>0</v>
      </c>
      <c r="M5" s="1811">
        <f>K5/J5</f>
        <v>1</v>
      </c>
      <c r="N5" s="1823" t="s">
        <v>811</v>
      </c>
      <c r="O5" s="1069"/>
      <c r="P5" s="1070">
        <v>873.2</v>
      </c>
      <c r="Q5" s="1071" t="s">
        <v>812</v>
      </c>
      <c r="R5" s="1072" t="s">
        <v>813</v>
      </c>
      <c r="S5" s="1073" t="s">
        <v>814</v>
      </c>
      <c r="T5" s="1074"/>
      <c r="U5" s="1075">
        <v>873.2</v>
      </c>
      <c r="V5" s="1076">
        <f>SUM(T5:U5)</f>
        <v>873.2</v>
      </c>
      <c r="W5" s="1791">
        <f>J5-SUM(V5:V6)</f>
        <v>0</v>
      </c>
      <c r="X5" s="1098" t="s">
        <v>815</v>
      </c>
      <c r="Y5" s="1099"/>
      <c r="Z5" s="1100">
        <v>46095</v>
      </c>
      <c r="AA5" s="1100">
        <v>46095</v>
      </c>
      <c r="AB5" s="1100">
        <v>46096</v>
      </c>
      <c r="AC5" s="1101"/>
      <c r="AD5" s="1101">
        <v>873.2</v>
      </c>
      <c r="AE5" s="1102">
        <f t="shared" ref="AE5:AE8" si="0">SUM(AC5:AD5)</f>
        <v>873.2</v>
      </c>
      <c r="AF5" s="1614" t="s">
        <v>816</v>
      </c>
    </row>
    <row r="6" spans="1:32">
      <c r="A6" s="1644"/>
      <c r="B6" s="1647"/>
      <c r="C6" s="1650"/>
      <c r="D6" s="1835"/>
      <c r="E6" s="1820"/>
      <c r="F6" s="1794"/>
      <c r="G6" s="1077"/>
      <c r="H6" s="1078"/>
      <c r="I6" s="1796"/>
      <c r="J6" s="1798"/>
      <c r="K6" s="1800"/>
      <c r="L6" s="1802"/>
      <c r="M6" s="1804"/>
      <c r="N6" s="1806"/>
      <c r="O6" s="1079"/>
      <c r="P6" s="1080"/>
      <c r="Q6" s="1081"/>
      <c r="R6" s="1082"/>
      <c r="S6" s="1083" t="s">
        <v>817</v>
      </c>
      <c r="T6" s="1084"/>
      <c r="U6" s="1085"/>
      <c r="V6" s="1086">
        <f>SUM(T6:U6)</f>
        <v>0</v>
      </c>
      <c r="W6" s="1792"/>
      <c r="X6" s="1103"/>
      <c r="Y6" s="1104"/>
      <c r="Z6" s="1105"/>
      <c r="AA6" s="1106"/>
      <c r="AB6" s="1107"/>
      <c r="AC6" s="1108"/>
      <c r="AD6" s="1108"/>
      <c r="AE6" s="1109">
        <f t="shared" si="0"/>
        <v>0</v>
      </c>
      <c r="AF6" s="1615"/>
    </row>
    <row r="7" spans="1:32" ht="24">
      <c r="A7" s="1644"/>
      <c r="B7" s="1647"/>
      <c r="C7" s="1705"/>
      <c r="D7" s="1844" t="s">
        <v>808</v>
      </c>
      <c r="E7" s="1793">
        <v>45981</v>
      </c>
      <c r="F7" s="1793">
        <v>46068</v>
      </c>
      <c r="G7" s="1077" t="s">
        <v>818</v>
      </c>
      <c r="H7" s="1078">
        <v>1</v>
      </c>
      <c r="I7" s="1795" t="s">
        <v>810</v>
      </c>
      <c r="J7" s="1797">
        <v>24</v>
      </c>
      <c r="K7" s="1799">
        <v>24</v>
      </c>
      <c r="L7" s="1801">
        <f>J7-K7</f>
        <v>0</v>
      </c>
      <c r="M7" s="1803">
        <f>K7/J7</f>
        <v>1</v>
      </c>
      <c r="N7" s="1805" t="s">
        <v>811</v>
      </c>
      <c r="O7" s="1087"/>
      <c r="P7" s="1088">
        <v>24</v>
      </c>
      <c r="Q7" s="1089" t="s">
        <v>812</v>
      </c>
      <c r="R7" s="1090" t="s">
        <v>813</v>
      </c>
      <c r="S7" s="1091" t="s">
        <v>814</v>
      </c>
      <c r="T7" s="1084"/>
      <c r="U7" s="1085">
        <v>24</v>
      </c>
      <c r="V7" s="1086">
        <f t="shared" ref="V7:V8" si="1">SUM(T7:U7)</f>
        <v>24</v>
      </c>
      <c r="W7" s="1821">
        <f>J7-SUM(V7:V8)</f>
        <v>0</v>
      </c>
      <c r="X7" s="1110" t="s">
        <v>815</v>
      </c>
      <c r="Y7" s="1104"/>
      <c r="Z7" s="1105">
        <v>46095</v>
      </c>
      <c r="AA7" s="1106">
        <v>46095</v>
      </c>
      <c r="AB7" s="1105">
        <v>46096</v>
      </c>
      <c r="AC7" s="1108"/>
      <c r="AD7" s="1108">
        <v>24</v>
      </c>
      <c r="AE7" s="1109">
        <f t="shared" si="0"/>
        <v>24</v>
      </c>
      <c r="AF7" s="1615"/>
    </row>
    <row r="8" spans="1:32">
      <c r="A8" s="1644"/>
      <c r="B8" s="1647"/>
      <c r="C8" s="1705"/>
      <c r="D8" s="1844"/>
      <c r="E8" s="1794"/>
      <c r="F8" s="1794"/>
      <c r="G8" s="1077"/>
      <c r="H8" s="1078"/>
      <c r="I8" s="1796"/>
      <c r="J8" s="1798"/>
      <c r="K8" s="1800"/>
      <c r="L8" s="1802"/>
      <c r="M8" s="1804"/>
      <c r="N8" s="1806"/>
      <c r="O8" s="1087"/>
      <c r="P8" s="1088"/>
      <c r="Q8" s="1081"/>
      <c r="R8" s="1092"/>
      <c r="S8" s="1093"/>
      <c r="T8" s="1084"/>
      <c r="U8" s="1085"/>
      <c r="V8" s="1086">
        <f t="shared" si="1"/>
        <v>0</v>
      </c>
      <c r="W8" s="1822"/>
      <c r="X8" s="1103"/>
      <c r="Y8" s="1104"/>
      <c r="Z8" s="1111"/>
      <c r="AA8" s="1112"/>
      <c r="AB8" s="1107"/>
      <c r="AC8" s="1108"/>
      <c r="AD8" s="1113"/>
      <c r="AE8" s="1109">
        <f t="shared" si="0"/>
        <v>0</v>
      </c>
      <c r="AF8" s="1615"/>
    </row>
    <row r="9" spans="1:32" ht="22.5">
      <c r="A9" s="1644"/>
      <c r="B9" s="1647"/>
      <c r="C9" s="1705"/>
      <c r="D9" s="1844" t="s">
        <v>808</v>
      </c>
      <c r="E9" s="1793">
        <v>45981</v>
      </c>
      <c r="F9" s="1793">
        <v>46068</v>
      </c>
      <c r="G9" s="1077" t="s">
        <v>819</v>
      </c>
      <c r="H9" s="1078">
        <v>1</v>
      </c>
      <c r="I9" s="1795" t="s">
        <v>810</v>
      </c>
      <c r="J9" s="1797">
        <v>77.599999999999994</v>
      </c>
      <c r="K9" s="1799">
        <v>77.599999999999994</v>
      </c>
      <c r="L9" s="1801">
        <f>J9-K9</f>
        <v>0</v>
      </c>
      <c r="M9" s="1803">
        <f>K9/J9</f>
        <v>1</v>
      </c>
      <c r="N9" s="1805" t="s">
        <v>811</v>
      </c>
      <c r="O9" s="1087"/>
      <c r="P9" s="1088">
        <v>77.599999999999994</v>
      </c>
      <c r="Q9" s="1089" t="s">
        <v>812</v>
      </c>
      <c r="R9" s="1094" t="s">
        <v>820</v>
      </c>
      <c r="S9" s="1154" t="s">
        <v>821</v>
      </c>
      <c r="T9" s="1095"/>
      <c r="U9" s="1085">
        <v>77.599999999999994</v>
      </c>
      <c r="V9" s="1086">
        <f t="shared" ref="V9:V12" si="2">SUM(T9:U9)</f>
        <v>77.599999999999994</v>
      </c>
      <c r="W9" s="1821">
        <f>J9-SUM(V9:V10)</f>
        <v>0</v>
      </c>
      <c r="X9" s="1110" t="s">
        <v>822</v>
      </c>
      <c r="Y9" s="1104"/>
      <c r="Z9" s="1105">
        <v>46124</v>
      </c>
      <c r="AA9" s="1105">
        <v>46124</v>
      </c>
      <c r="AB9" s="1105">
        <v>46124</v>
      </c>
      <c r="AC9" s="1108"/>
      <c r="AD9" s="1108">
        <v>77.599999999999994</v>
      </c>
      <c r="AE9" s="1109">
        <f t="shared" ref="AE9:AE12" si="3">SUM(AC9:AD9)</f>
        <v>77.599999999999994</v>
      </c>
      <c r="AF9" s="1615"/>
    </row>
    <row r="10" spans="1:32">
      <c r="A10" s="1644"/>
      <c r="B10" s="1647"/>
      <c r="C10" s="1705"/>
      <c r="D10" s="1845"/>
      <c r="E10" s="1794"/>
      <c r="F10" s="1794"/>
      <c r="G10" s="1077"/>
      <c r="H10" s="1078"/>
      <c r="I10" s="1796"/>
      <c r="J10" s="1798"/>
      <c r="K10" s="1800"/>
      <c r="L10" s="1802"/>
      <c r="M10" s="1804"/>
      <c r="N10" s="1806"/>
      <c r="O10" s="1087"/>
      <c r="P10" s="1088"/>
      <c r="Q10" s="1081"/>
      <c r="R10" s="1096"/>
      <c r="S10" s="1097"/>
      <c r="T10" s="1095"/>
      <c r="U10" s="1085"/>
      <c r="V10" s="1086">
        <f t="shared" si="2"/>
        <v>0</v>
      </c>
      <c r="W10" s="1822"/>
      <c r="X10" s="1110"/>
      <c r="Y10" s="1104"/>
      <c r="Z10" s="1111"/>
      <c r="AA10" s="1111"/>
      <c r="AB10" s="1114"/>
      <c r="AC10" s="1108"/>
      <c r="AD10" s="1108"/>
      <c r="AE10" s="1109">
        <f t="shared" si="3"/>
        <v>0</v>
      </c>
      <c r="AF10" s="1615"/>
    </row>
    <row r="11" spans="1:32" ht="22.5">
      <c r="A11" s="1644"/>
      <c r="B11" s="1647"/>
      <c r="C11" s="1705"/>
      <c r="D11" s="1844" t="s">
        <v>823</v>
      </c>
      <c r="E11" s="1793">
        <v>45981</v>
      </c>
      <c r="F11" s="1793">
        <v>46068</v>
      </c>
      <c r="G11" s="1077" t="s">
        <v>824</v>
      </c>
      <c r="H11" s="1078">
        <v>2</v>
      </c>
      <c r="I11" s="1795" t="s">
        <v>810</v>
      </c>
      <c r="J11" s="1797">
        <v>352.8</v>
      </c>
      <c r="K11" s="1799">
        <v>352.8</v>
      </c>
      <c r="L11" s="1801">
        <f>J11-K11</f>
        <v>0</v>
      </c>
      <c r="M11" s="1803">
        <f>K11/J11</f>
        <v>1</v>
      </c>
      <c r="N11" s="1805" t="s">
        <v>811</v>
      </c>
      <c r="O11" s="1087"/>
      <c r="P11" s="1088">
        <v>352.8</v>
      </c>
      <c r="Q11" s="1089" t="s">
        <v>812</v>
      </c>
      <c r="R11" s="1094" t="s">
        <v>820</v>
      </c>
      <c r="S11" s="1154" t="s">
        <v>821</v>
      </c>
      <c r="T11" s="1095"/>
      <c r="U11" s="1085">
        <v>352.8</v>
      </c>
      <c r="V11" s="1086">
        <f t="shared" si="2"/>
        <v>352.8</v>
      </c>
      <c r="W11" s="1821">
        <f>J11-SUM(V11:V12)</f>
        <v>0</v>
      </c>
      <c r="X11" s="1110" t="s">
        <v>822</v>
      </c>
      <c r="Y11" s="1108"/>
      <c r="Z11" s="1105">
        <v>46124</v>
      </c>
      <c r="AA11" s="1105">
        <v>46124</v>
      </c>
      <c r="AB11" s="1105">
        <v>46124</v>
      </c>
      <c r="AC11" s="1108"/>
      <c r="AD11" s="1108">
        <v>352.8</v>
      </c>
      <c r="AE11" s="1109">
        <f t="shared" si="3"/>
        <v>352.8</v>
      </c>
      <c r="AF11" s="1615"/>
    </row>
    <row r="12" spans="1:32">
      <c r="A12" s="1644"/>
      <c r="B12" s="1647"/>
      <c r="C12" s="1705"/>
      <c r="D12" s="1844"/>
      <c r="E12" s="1794"/>
      <c r="F12" s="1794"/>
      <c r="G12" s="1077"/>
      <c r="H12" s="1078"/>
      <c r="I12" s="1796"/>
      <c r="J12" s="1798"/>
      <c r="K12" s="1800"/>
      <c r="L12" s="1802"/>
      <c r="M12" s="1804"/>
      <c r="N12" s="1806"/>
      <c r="O12" s="1087"/>
      <c r="P12" s="1088"/>
      <c r="Q12" s="1081"/>
      <c r="R12" s="1096"/>
      <c r="S12" s="1097"/>
      <c r="T12" s="1095"/>
      <c r="U12" s="1085"/>
      <c r="V12" s="1086">
        <f t="shared" si="2"/>
        <v>0</v>
      </c>
      <c r="W12" s="1822"/>
      <c r="X12" s="1103"/>
      <c r="Y12" s="1108"/>
      <c r="Z12" s="1114"/>
      <c r="AA12" s="1115"/>
      <c r="AB12" s="1114"/>
      <c r="AC12" s="1108"/>
      <c r="AD12" s="1108"/>
      <c r="AE12" s="1109">
        <f t="shared" si="3"/>
        <v>0</v>
      </c>
      <c r="AF12" s="1615"/>
    </row>
    <row r="13" spans="1:32" ht="22.5">
      <c r="A13" s="1644"/>
      <c r="B13" s="1647"/>
      <c r="C13" s="1705"/>
      <c r="D13" s="1848" t="s">
        <v>825</v>
      </c>
      <c r="E13" s="1849">
        <v>46142</v>
      </c>
      <c r="F13" s="1849">
        <v>46203</v>
      </c>
      <c r="G13" s="960"/>
      <c r="H13" s="1116"/>
      <c r="I13" s="1851" t="s">
        <v>810</v>
      </c>
      <c r="J13" s="1853">
        <v>30</v>
      </c>
      <c r="K13" s="1855"/>
      <c r="L13" s="1857">
        <f>J13-K13</f>
        <v>30</v>
      </c>
      <c r="M13" s="1859">
        <f>K13/J13</f>
        <v>0</v>
      </c>
      <c r="N13" s="1861" t="s">
        <v>811</v>
      </c>
      <c r="O13" s="961"/>
      <c r="P13" s="962">
        <v>30</v>
      </c>
      <c r="Q13" s="1117" t="s">
        <v>812</v>
      </c>
      <c r="R13" s="1118"/>
      <c r="S13" s="1155"/>
      <c r="T13" s="1013"/>
      <c r="U13" s="1014"/>
      <c r="V13" s="963">
        <f t="shared" ref="V13:V14" si="4">SUM(T13:U13)</f>
        <v>0</v>
      </c>
      <c r="W13" s="1846">
        <f>J13-SUM(V13:V14)</f>
        <v>30</v>
      </c>
      <c r="X13" s="1156"/>
      <c r="Y13" s="590"/>
      <c r="Z13" s="909"/>
      <c r="AA13" s="909"/>
      <c r="AB13" s="909"/>
      <c r="AC13" s="590"/>
      <c r="AD13" s="590"/>
      <c r="AE13" s="965">
        <f t="shared" ref="AE13:AE14" si="5">SUM(AC13:AD13)</f>
        <v>0</v>
      </c>
      <c r="AF13" s="1615"/>
    </row>
    <row r="14" spans="1:32">
      <c r="A14" s="1644"/>
      <c r="B14" s="1647"/>
      <c r="C14" s="1705"/>
      <c r="D14" s="1848"/>
      <c r="E14" s="1850"/>
      <c r="F14" s="1850"/>
      <c r="G14" s="960"/>
      <c r="H14" s="1116"/>
      <c r="I14" s="1852"/>
      <c r="J14" s="1854"/>
      <c r="K14" s="1856"/>
      <c r="L14" s="1858"/>
      <c r="M14" s="1860"/>
      <c r="N14" s="1862"/>
      <c r="O14" s="961"/>
      <c r="P14" s="962"/>
      <c r="Q14" s="1119"/>
      <c r="R14" s="571"/>
      <c r="S14" s="1120"/>
      <c r="T14" s="1013"/>
      <c r="U14" s="1014"/>
      <c r="V14" s="963">
        <f t="shared" si="4"/>
        <v>0</v>
      </c>
      <c r="W14" s="1847"/>
      <c r="X14" s="1121"/>
      <c r="Y14" s="590"/>
      <c r="Z14" s="1122"/>
      <c r="AA14" s="1123"/>
      <c r="AB14" s="1122"/>
      <c r="AC14" s="590"/>
      <c r="AD14" s="590"/>
      <c r="AE14" s="965">
        <f t="shared" si="5"/>
        <v>0</v>
      </c>
      <c r="AF14" s="1615"/>
    </row>
    <row r="15" spans="1:32">
      <c r="A15" s="1644"/>
      <c r="B15" s="1647"/>
      <c r="C15" s="1650"/>
      <c r="D15" s="1812"/>
      <c r="E15" s="1812"/>
      <c r="F15" s="1812"/>
      <c r="G15" s="1812"/>
      <c r="H15" s="1812"/>
      <c r="I15" s="1813"/>
      <c r="J15" s="1830">
        <f>SUM(J5:J12)</f>
        <v>1327.6000000000001</v>
      </c>
      <c r="K15" s="1831">
        <f>SUM(K5:K8)</f>
        <v>897.2</v>
      </c>
      <c r="L15" s="1831">
        <f>SUM(L5:L12)</f>
        <v>0</v>
      </c>
      <c r="M15" s="1832">
        <f>K15/J15</f>
        <v>0.67580596565230489</v>
      </c>
      <c r="N15" s="1833" t="s">
        <v>826</v>
      </c>
      <c r="O15" s="1814">
        <f>SUM(O5:O8)</f>
        <v>0</v>
      </c>
      <c r="P15" s="1814">
        <f>SUM(P5:P12)</f>
        <v>1327.6000000000001</v>
      </c>
      <c r="Q15" s="1816" t="s">
        <v>826</v>
      </c>
      <c r="R15" s="1817"/>
      <c r="S15" s="1818"/>
      <c r="T15" s="79">
        <f>SUM(T5:T8)</f>
        <v>0</v>
      </c>
      <c r="U15" s="79">
        <f>SUM(P5:P12)</f>
        <v>1327.6000000000001</v>
      </c>
      <c r="V15" s="79">
        <f>SUM(V5:V11)</f>
        <v>1327.6000000000001</v>
      </c>
      <c r="W15" s="79">
        <f>SUM(W5:W12)</f>
        <v>0</v>
      </c>
      <c r="X15" s="1635" t="s">
        <v>826</v>
      </c>
      <c r="Y15" s="1636"/>
      <c r="Z15" s="1636"/>
      <c r="AA15" s="1636"/>
      <c r="AB15" s="1637"/>
      <c r="AC15" s="80">
        <f>SUM(AC5:AC8)</f>
        <v>0</v>
      </c>
      <c r="AD15" s="80">
        <f>SUM(AD5:AD11)</f>
        <v>1327.6000000000001</v>
      </c>
      <c r="AE15" s="80">
        <f>SUM(AE5:AE11)</f>
        <v>1327.6000000000001</v>
      </c>
      <c r="AF15" s="1615"/>
    </row>
    <row r="16" spans="1:32" ht="23.25" customHeight="1">
      <c r="A16" s="1644"/>
      <c r="B16" s="1647"/>
      <c r="C16" s="1650"/>
      <c r="D16" s="1812"/>
      <c r="E16" s="1812"/>
      <c r="F16" s="1812"/>
      <c r="G16" s="1812"/>
      <c r="H16" s="1812"/>
      <c r="I16" s="1813"/>
      <c r="J16" s="1830"/>
      <c r="K16" s="1831"/>
      <c r="L16" s="1831"/>
      <c r="M16" s="1832"/>
      <c r="N16" s="1833"/>
      <c r="O16" s="1815"/>
      <c r="P16" s="1815"/>
      <c r="Q16" s="1824" t="s">
        <v>827</v>
      </c>
      <c r="R16" s="1825"/>
      <c r="S16" s="1826"/>
      <c r="T16" s="352">
        <f>O15-T15</f>
        <v>0</v>
      </c>
      <c r="U16" s="352">
        <f>P15-U15</f>
        <v>0</v>
      </c>
      <c r="V16" s="352"/>
      <c r="W16" s="353"/>
      <c r="X16" s="1827" t="s">
        <v>828</v>
      </c>
      <c r="Y16" s="1828"/>
      <c r="Z16" s="1828"/>
      <c r="AA16" s="1828"/>
      <c r="AB16" s="1829"/>
      <c r="AC16" s="354">
        <f>O15-AC15</f>
        <v>0</v>
      </c>
      <c r="AD16" s="354">
        <f>P15-AD15</f>
        <v>0</v>
      </c>
      <c r="AE16" s="355">
        <f>SUM(AC16:AD16)</f>
        <v>0</v>
      </c>
      <c r="AF16" s="1616"/>
    </row>
    <row r="17" spans="1:32" ht="22.5">
      <c r="A17" s="1745" t="s">
        <v>829</v>
      </c>
      <c r="B17" s="1748" t="s">
        <v>830</v>
      </c>
      <c r="C17" s="1748" t="s">
        <v>831</v>
      </c>
      <c r="D17" s="1751">
        <v>5000106211</v>
      </c>
      <c r="E17" s="1734">
        <v>45714</v>
      </c>
      <c r="F17" s="1734">
        <v>45868</v>
      </c>
      <c r="G17" s="356" t="s">
        <v>832</v>
      </c>
      <c r="H17" s="357">
        <v>0</v>
      </c>
      <c r="I17" s="1736" t="s">
        <v>810</v>
      </c>
      <c r="J17" s="1738">
        <v>151</v>
      </c>
      <c r="K17" s="1740">
        <f>SUM(AE17:AE18)</f>
        <v>151</v>
      </c>
      <c r="L17" s="1742">
        <v>0</v>
      </c>
      <c r="M17" s="1729">
        <f>K17/J17</f>
        <v>1</v>
      </c>
      <c r="N17" s="1731" t="s">
        <v>811</v>
      </c>
      <c r="O17" s="358"/>
      <c r="P17" s="423">
        <v>151</v>
      </c>
      <c r="Q17" s="527" t="s">
        <v>812</v>
      </c>
      <c r="R17" s="359">
        <v>45833</v>
      </c>
      <c r="S17" s="369" t="s">
        <v>833</v>
      </c>
      <c r="T17" s="360"/>
      <c r="U17" s="361">
        <v>151</v>
      </c>
      <c r="V17" s="360">
        <f>SUM(T17:U17)</f>
        <v>151</v>
      </c>
      <c r="W17" s="1732">
        <f>J17-SUM(V17:V18)</f>
        <v>0</v>
      </c>
      <c r="X17" s="1047" t="s">
        <v>834</v>
      </c>
      <c r="Y17" s="434"/>
      <c r="Z17" s="435">
        <v>45874</v>
      </c>
      <c r="AA17" s="435">
        <v>45934</v>
      </c>
      <c r="AB17" s="435">
        <v>45939</v>
      </c>
      <c r="AC17" s="436"/>
      <c r="AD17" s="436">
        <v>151</v>
      </c>
      <c r="AE17" s="437">
        <v>151</v>
      </c>
      <c r="AF17" s="1684" t="s">
        <v>835</v>
      </c>
    </row>
    <row r="18" spans="1:32">
      <c r="A18" s="1746"/>
      <c r="B18" s="1749"/>
      <c r="C18" s="1749"/>
      <c r="D18" s="1698"/>
      <c r="E18" s="1735"/>
      <c r="F18" s="1735"/>
      <c r="G18" s="362"/>
      <c r="H18" s="363"/>
      <c r="I18" s="1737"/>
      <c r="J18" s="1739"/>
      <c r="K18" s="1741"/>
      <c r="L18" s="1743"/>
      <c r="M18" s="1730"/>
      <c r="N18" s="1721"/>
      <c r="O18" s="364"/>
      <c r="P18" s="456"/>
      <c r="Q18" s="528"/>
      <c r="R18" s="365"/>
      <c r="S18" s="366"/>
      <c r="T18" s="367"/>
      <c r="U18" s="368"/>
      <c r="V18" s="367">
        <f>SUM(T18:U18)</f>
        <v>0</v>
      </c>
      <c r="W18" s="1733"/>
      <c r="X18" s="1048"/>
      <c r="Y18" s="438"/>
      <c r="Z18" s="439"/>
      <c r="AA18" s="439"/>
      <c r="AB18" s="439"/>
      <c r="AC18" s="438"/>
      <c r="AD18" s="438"/>
      <c r="AE18" s="440">
        <f t="shared" ref="AE18" si="6">SUM(AC18:AD18)</f>
        <v>0</v>
      </c>
      <c r="AF18" s="1658"/>
    </row>
    <row r="19" spans="1:32" ht="22.5">
      <c r="A19" s="1746"/>
      <c r="B19" s="1749"/>
      <c r="C19" s="1749"/>
      <c r="D19" s="1698" t="s">
        <v>836</v>
      </c>
      <c r="E19" s="1735">
        <v>45848</v>
      </c>
      <c r="F19" s="1735">
        <v>45930</v>
      </c>
      <c r="G19" s="362" t="s">
        <v>832</v>
      </c>
      <c r="H19" s="363">
        <v>0</v>
      </c>
      <c r="I19" s="1737" t="s">
        <v>810</v>
      </c>
      <c r="J19" s="1739">
        <v>5</v>
      </c>
      <c r="K19" s="1741">
        <v>5</v>
      </c>
      <c r="L19" s="1743">
        <v>0</v>
      </c>
      <c r="M19" s="1730">
        <f>K19/J19</f>
        <v>1</v>
      </c>
      <c r="N19" s="1721" t="s">
        <v>811</v>
      </c>
      <c r="O19" s="364"/>
      <c r="P19" s="456">
        <v>5</v>
      </c>
      <c r="Q19" s="529" t="s">
        <v>812</v>
      </c>
      <c r="R19" s="365"/>
      <c r="S19" s="410" t="s">
        <v>837</v>
      </c>
      <c r="T19" s="367"/>
      <c r="U19" s="368">
        <v>5</v>
      </c>
      <c r="V19" s="367">
        <v>5</v>
      </c>
      <c r="W19" s="1733">
        <f>J19-SUM(V19:V20)</f>
        <v>0</v>
      </c>
      <c r="X19" s="1049" t="s">
        <v>838</v>
      </c>
      <c r="Y19" s="505"/>
      <c r="Z19" s="506">
        <v>45937</v>
      </c>
      <c r="AA19" s="506">
        <v>45973</v>
      </c>
      <c r="AB19" s="506">
        <v>45974</v>
      </c>
      <c r="AC19" s="438"/>
      <c r="AD19" s="438">
        <v>5</v>
      </c>
      <c r="AE19" s="440">
        <f t="shared" ref="AE19:AE20" si="7">SUM(AC19:AD19)</f>
        <v>5</v>
      </c>
      <c r="AF19" s="1658"/>
    </row>
    <row r="20" spans="1:32">
      <c r="A20" s="1746"/>
      <c r="B20" s="1749"/>
      <c r="C20" s="1749"/>
      <c r="D20" s="1698"/>
      <c r="E20" s="1735"/>
      <c r="F20" s="1735"/>
      <c r="G20" s="362"/>
      <c r="H20" s="363"/>
      <c r="I20" s="1737"/>
      <c r="J20" s="1739"/>
      <c r="K20" s="1741"/>
      <c r="L20" s="1743"/>
      <c r="M20" s="1730"/>
      <c r="N20" s="1721"/>
      <c r="O20" s="364"/>
      <c r="P20" s="456"/>
      <c r="Q20" s="530"/>
      <c r="R20" s="411"/>
      <c r="S20" s="412"/>
      <c r="T20" s="413"/>
      <c r="U20" s="414"/>
      <c r="V20" s="413">
        <f>SUM(T20:U20)</f>
        <v>0</v>
      </c>
      <c r="W20" s="1744"/>
      <c r="X20" s="1048"/>
      <c r="Y20" s="438"/>
      <c r="Z20" s="1172"/>
      <c r="AA20" s="1172"/>
      <c r="AB20" s="503"/>
      <c r="AC20" s="502"/>
      <c r="AD20" s="502"/>
      <c r="AE20" s="445">
        <f t="shared" si="7"/>
        <v>0</v>
      </c>
      <c r="AF20" s="1658"/>
    </row>
    <row r="21" spans="1:32" ht="22.5">
      <c r="A21" s="1746"/>
      <c r="B21" s="1749"/>
      <c r="C21" s="1749"/>
      <c r="D21" s="1698" t="s">
        <v>839</v>
      </c>
      <c r="E21" s="1735">
        <v>46006</v>
      </c>
      <c r="F21" s="1735">
        <v>46112</v>
      </c>
      <c r="G21" s="362" t="s">
        <v>832</v>
      </c>
      <c r="H21" s="363">
        <v>0</v>
      </c>
      <c r="I21" s="1737" t="s">
        <v>810</v>
      </c>
      <c r="J21" s="1739">
        <v>29</v>
      </c>
      <c r="K21" s="1741">
        <v>29</v>
      </c>
      <c r="L21" s="1743">
        <v>0</v>
      </c>
      <c r="M21" s="1730">
        <f>K21/J21</f>
        <v>1</v>
      </c>
      <c r="N21" s="1721" t="s">
        <v>811</v>
      </c>
      <c r="O21" s="364"/>
      <c r="P21" s="456">
        <v>29</v>
      </c>
      <c r="Q21" s="529" t="s">
        <v>812</v>
      </c>
      <c r="R21" s="365">
        <v>46092</v>
      </c>
      <c r="S21" s="410" t="s">
        <v>840</v>
      </c>
      <c r="T21" s="367"/>
      <c r="U21" s="368">
        <v>29</v>
      </c>
      <c r="V21" s="367">
        <v>29</v>
      </c>
      <c r="W21" s="1733">
        <f>J21-SUM(V21:V22)</f>
        <v>0</v>
      </c>
      <c r="X21" s="1049" t="s">
        <v>841</v>
      </c>
      <c r="Y21" s="1260"/>
      <c r="Z21" s="479">
        <v>46138</v>
      </c>
      <c r="AA21" s="479">
        <v>46138</v>
      </c>
      <c r="AB21" s="1264">
        <v>46140</v>
      </c>
      <c r="AC21" s="438"/>
      <c r="AD21" s="438">
        <v>29</v>
      </c>
      <c r="AE21" s="440">
        <f t="shared" ref="AE21:AE22" si="8">SUM(AC21:AD21)</f>
        <v>29</v>
      </c>
      <c r="AF21" s="1658"/>
    </row>
    <row r="22" spans="1:32">
      <c r="A22" s="1746"/>
      <c r="B22" s="1749"/>
      <c r="C22" s="1749"/>
      <c r="D22" s="1698"/>
      <c r="E22" s="1735"/>
      <c r="F22" s="1735"/>
      <c r="G22" s="362"/>
      <c r="H22" s="363"/>
      <c r="I22" s="1737"/>
      <c r="J22" s="1739"/>
      <c r="K22" s="1741"/>
      <c r="L22" s="1743"/>
      <c r="M22" s="1730"/>
      <c r="N22" s="1721"/>
      <c r="O22" s="364"/>
      <c r="P22" s="456"/>
      <c r="Q22" s="530"/>
      <c r="R22" s="411"/>
      <c r="S22" s="412"/>
      <c r="T22" s="413"/>
      <c r="U22" s="414"/>
      <c r="V22" s="413">
        <f>SUM(T22:U22)</f>
        <v>0</v>
      </c>
      <c r="W22" s="1744"/>
      <c r="X22" s="1261"/>
      <c r="Y22" s="502"/>
      <c r="Z22" s="503"/>
      <c r="AA22" s="503"/>
      <c r="AB22" s="503"/>
      <c r="AC22" s="502"/>
      <c r="AD22" s="502"/>
      <c r="AE22" s="445">
        <f t="shared" si="8"/>
        <v>0</v>
      </c>
      <c r="AF22" s="1658"/>
    </row>
    <row r="23" spans="1:32">
      <c r="A23" s="1746"/>
      <c r="B23" s="1749"/>
      <c r="C23" s="1749"/>
      <c r="D23" s="1713"/>
      <c r="E23" s="1713"/>
      <c r="F23" s="1713"/>
      <c r="G23" s="1713"/>
      <c r="H23" s="1713"/>
      <c r="I23" s="1713"/>
      <c r="J23" s="1715">
        <f>J17+J19+J21</f>
        <v>185</v>
      </c>
      <c r="K23" s="1717">
        <v>156</v>
      </c>
      <c r="L23" s="1717">
        <f>L17+L19+L21</f>
        <v>0</v>
      </c>
      <c r="M23" s="1719">
        <f>K23/J23</f>
        <v>0.84324324324324329</v>
      </c>
      <c r="N23" s="1721" t="s">
        <v>826</v>
      </c>
      <c r="O23" s="1723">
        <f>SUM(O17:O18)</f>
        <v>0</v>
      </c>
      <c r="P23" s="1725">
        <f>P17+P19+P21</f>
        <v>185</v>
      </c>
      <c r="Q23" s="1727" t="s">
        <v>826</v>
      </c>
      <c r="R23" s="1727"/>
      <c r="S23" s="1728"/>
      <c r="T23" s="1262">
        <f>SUM(T17:T18)</f>
        <v>0</v>
      </c>
      <c r="U23" s="1262">
        <f>U17+U19+U21</f>
        <v>185</v>
      </c>
      <c r="V23" s="1262">
        <f>SUM(V17:V22)</f>
        <v>185</v>
      </c>
      <c r="W23" s="1262">
        <f>SUM(W17:W18)</f>
        <v>0</v>
      </c>
      <c r="X23" s="1662" t="s">
        <v>826</v>
      </c>
      <c r="Y23" s="1663"/>
      <c r="Z23" s="1663"/>
      <c r="AA23" s="1663"/>
      <c r="AB23" s="1664"/>
      <c r="AC23" s="441">
        <f>SUM(AC17:AC18)</f>
        <v>0</v>
      </c>
      <c r="AD23" s="441">
        <f>SUM(AD17:AD22)</f>
        <v>185</v>
      </c>
      <c r="AE23" s="507">
        <f>SUM(AE17:AE18)</f>
        <v>151</v>
      </c>
      <c r="AF23" s="1658"/>
    </row>
    <row r="24" spans="1:32" ht="28.5" customHeight="1">
      <c r="A24" s="1747"/>
      <c r="B24" s="1750"/>
      <c r="C24" s="1750"/>
      <c r="D24" s="1714"/>
      <c r="E24" s="1714"/>
      <c r="F24" s="1714"/>
      <c r="G24" s="1714"/>
      <c r="H24" s="1714"/>
      <c r="I24" s="1714"/>
      <c r="J24" s="1716"/>
      <c r="K24" s="1718"/>
      <c r="L24" s="1718"/>
      <c r="M24" s="1720"/>
      <c r="N24" s="1722"/>
      <c r="O24" s="1724"/>
      <c r="P24" s="1726"/>
      <c r="Q24" s="1708" t="s">
        <v>827</v>
      </c>
      <c r="R24" s="1708"/>
      <c r="S24" s="1709"/>
      <c r="T24" s="472">
        <f>O23-T23</f>
        <v>0</v>
      </c>
      <c r="U24" s="472">
        <f>P23-U23</f>
        <v>0</v>
      </c>
      <c r="V24" s="472"/>
      <c r="W24" s="473"/>
      <c r="X24" s="1668" t="s">
        <v>827</v>
      </c>
      <c r="Y24" s="1669"/>
      <c r="Z24" s="1669"/>
      <c r="AA24" s="1669"/>
      <c r="AB24" s="1670"/>
      <c r="AC24" s="474">
        <f>O23-AC23</f>
        <v>0</v>
      </c>
      <c r="AD24" s="474">
        <f>P23-AD23</f>
        <v>0</v>
      </c>
      <c r="AE24" s="1177">
        <f>SUM(AC24:AD24)</f>
        <v>0</v>
      </c>
      <c r="AF24" s="1659"/>
    </row>
    <row r="25" spans="1:32" ht="42.75" customHeight="1">
      <c r="A25" s="1671" t="s">
        <v>829</v>
      </c>
      <c r="B25" s="1674" t="s">
        <v>842</v>
      </c>
      <c r="C25" s="1710" t="s">
        <v>831</v>
      </c>
      <c r="D25" s="1596">
        <v>5000106254</v>
      </c>
      <c r="E25" s="1680">
        <v>45714</v>
      </c>
      <c r="F25" s="1680">
        <v>45868</v>
      </c>
      <c r="G25" s="418" t="s">
        <v>843</v>
      </c>
      <c r="H25" s="401">
        <v>0</v>
      </c>
      <c r="I25" s="1681" t="s">
        <v>844</v>
      </c>
      <c r="J25" s="1682">
        <v>781</v>
      </c>
      <c r="K25" s="1683">
        <f>SUM(AE25:AE26)</f>
        <v>781</v>
      </c>
      <c r="L25" s="1655">
        <v>69</v>
      </c>
      <c r="M25" s="1653">
        <f>K25/J25</f>
        <v>1</v>
      </c>
      <c r="N25" s="1654" t="s">
        <v>811</v>
      </c>
      <c r="O25" s="463">
        <v>781</v>
      </c>
      <c r="P25" s="464"/>
      <c r="Q25" s="424" t="s">
        <v>845</v>
      </c>
      <c r="R25" s="784" t="s">
        <v>846</v>
      </c>
      <c r="S25" s="813" t="s">
        <v>847</v>
      </c>
      <c r="T25" s="458">
        <v>781</v>
      </c>
      <c r="U25" s="459"/>
      <c r="V25" s="467">
        <v>781</v>
      </c>
      <c r="W25" s="1594">
        <f>O25-V25</f>
        <v>0</v>
      </c>
      <c r="X25" s="1063" t="s">
        <v>848</v>
      </c>
      <c r="Y25" s="468"/>
      <c r="Z25" s="449" t="s">
        <v>849</v>
      </c>
      <c r="AA25" s="449" t="s">
        <v>850</v>
      </c>
      <c r="AB25" s="449" t="s">
        <v>851</v>
      </c>
      <c r="AC25" s="453">
        <v>781</v>
      </c>
      <c r="AD25" s="453"/>
      <c r="AE25" s="469">
        <v>781</v>
      </c>
      <c r="AF25" s="1656" t="s">
        <v>852</v>
      </c>
    </row>
    <row r="26" spans="1:32">
      <c r="A26" s="1672"/>
      <c r="B26" s="1675"/>
      <c r="C26" s="1711"/>
      <c r="D26" s="1597"/>
      <c r="E26" s="1599"/>
      <c r="F26" s="1599"/>
      <c r="G26" s="782"/>
      <c r="H26" s="401"/>
      <c r="I26" s="1602"/>
      <c r="J26" s="1604"/>
      <c r="K26" s="1606"/>
      <c r="L26" s="1608"/>
      <c r="M26" s="1610"/>
      <c r="N26" s="1612"/>
      <c r="O26" s="364"/>
      <c r="P26" s="456"/>
      <c r="Q26" s="429"/>
      <c r="R26" s="559"/>
      <c r="S26" s="470"/>
      <c r="T26" s="458"/>
      <c r="U26" s="459"/>
      <c r="V26" s="367">
        <f>SUM(T26:U26)</f>
        <v>0</v>
      </c>
      <c r="W26" s="1595"/>
      <c r="X26" s="1064"/>
      <c r="Y26" s="453"/>
      <c r="Z26" s="476"/>
      <c r="AA26" s="477"/>
      <c r="AB26" s="476"/>
      <c r="AC26" s="453"/>
      <c r="AD26" s="453"/>
      <c r="AE26" s="440">
        <f t="shared" ref="AE26" si="9">SUM(AC26:AD26)</f>
        <v>0</v>
      </c>
      <c r="AF26" s="1657"/>
    </row>
    <row r="27" spans="1:32" ht="22.5">
      <c r="A27" s="1672"/>
      <c r="B27" s="1675"/>
      <c r="C27" s="1711"/>
      <c r="D27" s="1596" t="s">
        <v>853</v>
      </c>
      <c r="E27" s="1598">
        <v>45824</v>
      </c>
      <c r="F27" s="1600">
        <v>46006</v>
      </c>
      <c r="G27" s="362" t="s">
        <v>843</v>
      </c>
      <c r="H27" s="861">
        <v>0</v>
      </c>
      <c r="I27" s="1601" t="s">
        <v>844</v>
      </c>
      <c r="J27" s="1603">
        <v>559</v>
      </c>
      <c r="K27" s="1605">
        <v>559</v>
      </c>
      <c r="L27" s="1607">
        <v>559</v>
      </c>
      <c r="M27" s="1609">
        <f>K27/J27</f>
        <v>1</v>
      </c>
      <c r="N27" s="1611" t="s">
        <v>811</v>
      </c>
      <c r="O27" s="463">
        <v>220</v>
      </c>
      <c r="P27" s="464">
        <v>339</v>
      </c>
      <c r="Q27" s="424" t="s">
        <v>845</v>
      </c>
      <c r="R27" s="454">
        <v>45989</v>
      </c>
      <c r="S27" s="813" t="s">
        <v>854</v>
      </c>
      <c r="T27" s="458">
        <v>220</v>
      </c>
      <c r="U27" s="459">
        <v>339</v>
      </c>
      <c r="V27" s="467">
        <v>559</v>
      </c>
      <c r="W27" s="1594" t="s">
        <v>656</v>
      </c>
      <c r="X27" s="1063" t="s">
        <v>855</v>
      </c>
      <c r="Y27" s="468"/>
      <c r="Z27" s="479">
        <v>46033</v>
      </c>
      <c r="AA27" s="479">
        <v>46072</v>
      </c>
      <c r="AB27" s="479">
        <v>46076</v>
      </c>
      <c r="AC27" s="453">
        <v>220</v>
      </c>
      <c r="AD27" s="453">
        <v>312</v>
      </c>
      <c r="AE27" s="469">
        <v>559</v>
      </c>
      <c r="AF27" s="1657"/>
    </row>
    <row r="28" spans="1:32">
      <c r="A28" s="1672"/>
      <c r="B28" s="1675"/>
      <c r="C28" s="1711"/>
      <c r="D28" s="1597"/>
      <c r="E28" s="1599"/>
      <c r="F28" s="1843"/>
      <c r="G28" s="362"/>
      <c r="H28" s="862"/>
      <c r="I28" s="1602"/>
      <c r="J28" s="1604"/>
      <c r="K28" s="1606"/>
      <c r="L28" s="1608"/>
      <c r="M28" s="1610"/>
      <c r="N28" s="1612"/>
      <c r="O28" s="364"/>
      <c r="P28" s="456"/>
      <c r="Q28" s="429"/>
      <c r="R28" s="559"/>
      <c r="S28" s="470"/>
      <c r="T28" s="458"/>
      <c r="U28" s="459"/>
      <c r="V28" s="367">
        <f>SUM(T28:U28)</f>
        <v>0</v>
      </c>
      <c r="W28" s="1595"/>
      <c r="X28" s="1064"/>
      <c r="Y28" s="453"/>
      <c r="Z28" s="461"/>
      <c r="AA28" s="462"/>
      <c r="AB28" s="479"/>
      <c r="AC28" s="453"/>
      <c r="AD28" s="453"/>
      <c r="AE28" s="440">
        <f t="shared" ref="AE27:AE28" si="10">SUM(AC28:AD28)</f>
        <v>0</v>
      </c>
      <c r="AF28" s="1657"/>
    </row>
    <row r="29" spans="1:32" ht="22.5">
      <c r="A29" s="1672"/>
      <c r="B29" s="1675"/>
      <c r="C29" s="1711"/>
      <c r="D29" s="1596" t="s">
        <v>856</v>
      </c>
      <c r="E29" s="1598">
        <v>45902</v>
      </c>
      <c r="F29" s="1600">
        <v>46006</v>
      </c>
      <c r="G29" s="362" t="s">
        <v>843</v>
      </c>
      <c r="H29" s="861">
        <v>0</v>
      </c>
      <c r="I29" s="1601" t="s">
        <v>844</v>
      </c>
      <c r="J29" s="1603">
        <v>88</v>
      </c>
      <c r="K29" s="1605">
        <v>88</v>
      </c>
      <c r="L29" s="1607">
        <v>88</v>
      </c>
      <c r="M29" s="1609">
        <f>K29/J29</f>
        <v>1</v>
      </c>
      <c r="N29" s="1611" t="s">
        <v>811</v>
      </c>
      <c r="O29" s="463">
        <v>88</v>
      </c>
      <c r="P29" s="464"/>
      <c r="Q29" s="424" t="s">
        <v>845</v>
      </c>
      <c r="R29" s="454">
        <v>45989</v>
      </c>
      <c r="S29" s="813" t="s">
        <v>854</v>
      </c>
      <c r="T29" s="458">
        <v>88</v>
      </c>
      <c r="U29" s="459"/>
      <c r="V29" s="467">
        <v>88</v>
      </c>
      <c r="W29" s="1594" t="s">
        <v>656</v>
      </c>
      <c r="X29" s="478" t="s">
        <v>857</v>
      </c>
      <c r="Y29" s="468"/>
      <c r="Z29" s="479">
        <v>46033</v>
      </c>
      <c r="AA29" s="479">
        <v>46072</v>
      </c>
      <c r="AB29" s="479">
        <v>46076</v>
      </c>
      <c r="AC29" s="453">
        <v>88</v>
      </c>
      <c r="AD29" s="453"/>
      <c r="AE29" s="469">
        <f t="shared" ref="AE29:AE32" si="11">SUM(AC29:AD29)</f>
        <v>88</v>
      </c>
      <c r="AF29" s="1657"/>
    </row>
    <row r="30" spans="1:32">
      <c r="A30" s="1672"/>
      <c r="B30" s="1675"/>
      <c r="C30" s="1711"/>
      <c r="D30" s="1597"/>
      <c r="E30" s="1599"/>
      <c r="F30" s="1843"/>
      <c r="G30" s="362"/>
      <c r="H30" s="862"/>
      <c r="I30" s="1602"/>
      <c r="J30" s="1604"/>
      <c r="K30" s="1606"/>
      <c r="L30" s="1608"/>
      <c r="M30" s="1610"/>
      <c r="N30" s="1612"/>
      <c r="O30" s="364"/>
      <c r="P30" s="456"/>
      <c r="Q30" s="429"/>
      <c r="R30" s="559"/>
      <c r="S30" s="470"/>
      <c r="T30" s="458"/>
      <c r="U30" s="459"/>
      <c r="V30" s="367">
        <f>SUM(T30:U30)</f>
        <v>0</v>
      </c>
      <c r="W30" s="1595"/>
      <c r="X30" s="1064"/>
      <c r="Y30" s="453"/>
      <c r="Z30" s="461"/>
      <c r="AA30" s="462"/>
      <c r="AB30" s="461"/>
      <c r="AC30" s="453"/>
      <c r="AD30" s="453"/>
      <c r="AE30" s="440">
        <f t="shared" si="11"/>
        <v>0</v>
      </c>
      <c r="AF30" s="1657"/>
    </row>
    <row r="31" spans="1:32" ht="22.5">
      <c r="A31" s="1672"/>
      <c r="B31" s="1675"/>
      <c r="C31" s="1711"/>
      <c r="D31" s="1596" t="s">
        <v>858</v>
      </c>
      <c r="E31" s="1598">
        <v>45989</v>
      </c>
      <c r="F31" s="1600">
        <v>46113</v>
      </c>
      <c r="G31" s="362" t="s">
        <v>843</v>
      </c>
      <c r="H31" s="861">
        <v>0</v>
      </c>
      <c r="I31" s="1601" t="s">
        <v>844</v>
      </c>
      <c r="J31" s="1603">
        <v>20</v>
      </c>
      <c r="K31" s="1605">
        <v>20</v>
      </c>
      <c r="L31" s="1607">
        <v>20</v>
      </c>
      <c r="M31" s="1609">
        <f>K31/J31</f>
        <v>1</v>
      </c>
      <c r="N31" s="1611" t="s">
        <v>811</v>
      </c>
      <c r="O31" s="463">
        <v>19</v>
      </c>
      <c r="P31" s="464">
        <v>1</v>
      </c>
      <c r="Q31" s="424" t="s">
        <v>845</v>
      </c>
      <c r="R31" s="454">
        <v>46098</v>
      </c>
      <c r="S31" s="813" t="s">
        <v>859</v>
      </c>
      <c r="T31" s="458">
        <v>19</v>
      </c>
      <c r="U31" s="459">
        <v>1</v>
      </c>
      <c r="V31" s="467">
        <v>20</v>
      </c>
      <c r="W31" s="1594" t="s">
        <v>656</v>
      </c>
      <c r="X31" s="478" t="s">
        <v>860</v>
      </c>
      <c r="Y31" s="468"/>
      <c r="Z31" s="479">
        <v>46130</v>
      </c>
      <c r="AA31" s="479">
        <v>46130</v>
      </c>
      <c r="AB31" s="1264">
        <v>46133</v>
      </c>
      <c r="AC31" s="453">
        <v>19</v>
      </c>
      <c r="AD31" s="453">
        <v>1</v>
      </c>
      <c r="AE31" s="469">
        <f t="shared" si="11"/>
        <v>20</v>
      </c>
      <c r="AF31" s="1657"/>
    </row>
    <row r="32" spans="1:32">
      <c r="A32" s="1672"/>
      <c r="B32" s="1675"/>
      <c r="C32" s="1711"/>
      <c r="D32" s="1597"/>
      <c r="E32" s="1599"/>
      <c r="F32" s="1599"/>
      <c r="G32" s="418"/>
      <c r="H32" s="401"/>
      <c r="I32" s="1602"/>
      <c r="J32" s="1604"/>
      <c r="K32" s="1606"/>
      <c r="L32" s="1608"/>
      <c r="M32" s="1610"/>
      <c r="N32" s="1612"/>
      <c r="O32" s="364"/>
      <c r="P32" s="456"/>
      <c r="Q32" s="429"/>
      <c r="R32" s="559"/>
      <c r="S32" s="470"/>
      <c r="T32" s="458"/>
      <c r="U32" s="459"/>
      <c r="V32" s="367">
        <f>SUM(T32:U32)</f>
        <v>0</v>
      </c>
      <c r="W32" s="1595"/>
      <c r="X32" s="1064"/>
      <c r="Y32" s="453"/>
      <c r="Z32" s="461"/>
      <c r="AA32" s="462"/>
      <c r="AB32" s="461"/>
      <c r="AC32" s="453"/>
      <c r="AD32" s="453"/>
      <c r="AE32" s="440">
        <f t="shared" si="11"/>
        <v>0</v>
      </c>
      <c r="AF32" s="1657"/>
    </row>
    <row r="33" spans="1:34" ht="22.5">
      <c r="A33" s="1672"/>
      <c r="B33" s="1675"/>
      <c r="C33" s="1711"/>
      <c r="D33" s="1596" t="s">
        <v>861</v>
      </c>
      <c r="E33" s="1598">
        <v>46064</v>
      </c>
      <c r="F33" s="1600">
        <v>46113</v>
      </c>
      <c r="G33" s="362" t="s">
        <v>843</v>
      </c>
      <c r="H33" s="861">
        <v>0</v>
      </c>
      <c r="I33" s="1601" t="s">
        <v>844</v>
      </c>
      <c r="J33" s="1603">
        <v>9</v>
      </c>
      <c r="K33" s="1605">
        <v>9</v>
      </c>
      <c r="L33" s="1607">
        <v>9</v>
      </c>
      <c r="M33" s="1609">
        <f>K33/J33</f>
        <v>1</v>
      </c>
      <c r="N33" s="1611" t="s">
        <v>811</v>
      </c>
      <c r="O33" s="463">
        <v>9</v>
      </c>
      <c r="P33" s="464"/>
      <c r="Q33" s="424" t="s">
        <v>845</v>
      </c>
      <c r="R33" s="454">
        <v>46098</v>
      </c>
      <c r="S33" s="813" t="s">
        <v>859</v>
      </c>
      <c r="T33" s="458">
        <v>9</v>
      </c>
      <c r="U33" s="459"/>
      <c r="V33" s="467">
        <v>9</v>
      </c>
      <c r="W33" s="1594" t="s">
        <v>656</v>
      </c>
      <c r="X33" s="478" t="s">
        <v>862</v>
      </c>
      <c r="Y33" s="468"/>
      <c r="Z33" s="479">
        <v>46130</v>
      </c>
      <c r="AA33" s="479">
        <v>46130</v>
      </c>
      <c r="AB33" s="1264">
        <v>46133</v>
      </c>
      <c r="AC33" s="453">
        <v>9</v>
      </c>
      <c r="AD33" s="453"/>
      <c r="AE33" s="469">
        <f t="shared" ref="AE33:AE34" si="12">SUM(AC33:AD33)</f>
        <v>9</v>
      </c>
      <c r="AF33" s="1657"/>
    </row>
    <row r="34" spans="1:34">
      <c r="A34" s="1672"/>
      <c r="B34" s="1675"/>
      <c r="C34" s="1711"/>
      <c r="D34" s="1597"/>
      <c r="E34" s="1599"/>
      <c r="F34" s="1599"/>
      <c r="G34" s="418"/>
      <c r="H34" s="401"/>
      <c r="I34" s="1602"/>
      <c r="J34" s="1604"/>
      <c r="K34" s="1606"/>
      <c r="L34" s="1608"/>
      <c r="M34" s="1610"/>
      <c r="N34" s="1612"/>
      <c r="O34" s="364"/>
      <c r="P34" s="456"/>
      <c r="Q34" s="429"/>
      <c r="R34" s="559"/>
      <c r="S34" s="470"/>
      <c r="T34" s="458"/>
      <c r="U34" s="459"/>
      <c r="V34" s="367">
        <f>SUM(T34:U34)</f>
        <v>0</v>
      </c>
      <c r="W34" s="1595"/>
      <c r="X34" s="1064"/>
      <c r="Y34" s="453"/>
      <c r="Z34" s="461"/>
      <c r="AA34" s="462"/>
      <c r="AB34" s="461"/>
      <c r="AC34" s="453"/>
      <c r="AD34" s="453"/>
      <c r="AE34" s="440">
        <f t="shared" si="12"/>
        <v>0</v>
      </c>
      <c r="AF34" s="1657"/>
    </row>
    <row r="35" spans="1:34" ht="10.5" customHeight="1">
      <c r="A35" s="1672"/>
      <c r="B35" s="1675"/>
      <c r="C35" s="1711"/>
      <c r="D35" s="1617"/>
      <c r="E35" s="1617"/>
      <c r="F35" s="1617"/>
      <c r="G35" s="1617"/>
      <c r="H35" s="1617"/>
      <c r="I35" s="1618"/>
      <c r="J35" s="1629">
        <f>SUM(J25:J34)</f>
        <v>1457</v>
      </c>
      <c r="K35" s="1623">
        <f>SUM(K25:K34)</f>
        <v>1457</v>
      </c>
      <c r="L35" s="1623">
        <f>SUM(L25:L34)</f>
        <v>745</v>
      </c>
      <c r="M35" s="1625">
        <f>K35/J35</f>
        <v>1</v>
      </c>
      <c r="N35" s="1627" t="s">
        <v>826</v>
      </c>
      <c r="O35" s="1629">
        <v>1117</v>
      </c>
      <c r="P35" s="1629">
        <v>340</v>
      </c>
      <c r="Q35" s="1661" t="s">
        <v>826</v>
      </c>
      <c r="R35" s="1633"/>
      <c r="S35" s="1634"/>
      <c r="T35" s="471">
        <v>1117</v>
      </c>
      <c r="U35" s="471">
        <v>340</v>
      </c>
      <c r="V35" s="471">
        <f t="shared" ref="V35" si="13">V25+V27</f>
        <v>1340</v>
      </c>
      <c r="W35" s="471">
        <f>SUM(W25:W29)</f>
        <v>0</v>
      </c>
      <c r="X35" s="1662" t="s">
        <v>826</v>
      </c>
      <c r="Y35" s="1663"/>
      <c r="Z35" s="1663"/>
      <c r="AA35" s="1663"/>
      <c r="AB35" s="1664"/>
      <c r="AC35" s="441">
        <f>SUM(AC25:AC26)</f>
        <v>781</v>
      </c>
      <c r="AD35" s="441">
        <f>SUM(AD25:AD26)</f>
        <v>0</v>
      </c>
      <c r="AE35" s="441">
        <f>SUM(AE25:AE26)</f>
        <v>781</v>
      </c>
      <c r="AF35" s="1657"/>
    </row>
    <row r="36" spans="1:34" ht="37.5" customHeight="1">
      <c r="A36" s="1673"/>
      <c r="B36" s="1676"/>
      <c r="C36" s="1712"/>
      <c r="D36" s="1617"/>
      <c r="E36" s="1617"/>
      <c r="F36" s="1617"/>
      <c r="G36" s="1617"/>
      <c r="H36" s="1617"/>
      <c r="I36" s="1618"/>
      <c r="J36" s="1660"/>
      <c r="K36" s="1623"/>
      <c r="L36" s="1623"/>
      <c r="M36" s="1625"/>
      <c r="N36" s="1627"/>
      <c r="O36" s="1660"/>
      <c r="P36" s="1660"/>
      <c r="Q36" s="1689" t="s">
        <v>827</v>
      </c>
      <c r="R36" s="1638"/>
      <c r="S36" s="1639"/>
      <c r="T36" s="472"/>
      <c r="U36" s="472"/>
      <c r="V36" s="472"/>
      <c r="W36" s="473"/>
      <c r="X36" s="1668" t="s">
        <v>827</v>
      </c>
      <c r="Y36" s="1669"/>
      <c r="Z36" s="1669"/>
      <c r="AA36" s="1669"/>
      <c r="AB36" s="1670"/>
      <c r="AC36" s="474">
        <f>O35-AC35</f>
        <v>336</v>
      </c>
      <c r="AD36" s="474">
        <f>P35-AD35</f>
        <v>340</v>
      </c>
      <c r="AE36" s="475">
        <f>SUM(AC36:AD36)</f>
        <v>676</v>
      </c>
      <c r="AF36" s="1707"/>
    </row>
    <row r="37" spans="1:34" ht="24" customHeight="1">
      <c r="A37" s="1836" t="s">
        <v>863</v>
      </c>
      <c r="B37" s="1838" t="s">
        <v>864</v>
      </c>
      <c r="C37" s="1840" t="s">
        <v>831</v>
      </c>
      <c r="D37" s="1652">
        <v>5000107949</v>
      </c>
      <c r="E37" s="1598">
        <v>45825</v>
      </c>
      <c r="F37" s="1598">
        <v>45991</v>
      </c>
      <c r="G37" s="356" t="s">
        <v>865</v>
      </c>
      <c r="H37" s="357">
        <v>0</v>
      </c>
      <c r="I37" s="1601" t="s">
        <v>844</v>
      </c>
      <c r="J37" s="1603">
        <v>8</v>
      </c>
      <c r="K37" s="1605">
        <v>8</v>
      </c>
      <c r="L37" s="1607">
        <f>J37-K37</f>
        <v>0</v>
      </c>
      <c r="M37" s="1609">
        <f>K37/J37</f>
        <v>1</v>
      </c>
      <c r="N37" s="1611" t="s">
        <v>811</v>
      </c>
      <c r="O37" s="358"/>
      <c r="P37" s="423">
        <v>8</v>
      </c>
      <c r="Q37" s="424" t="s">
        <v>845</v>
      </c>
      <c r="R37" s="784" t="s">
        <v>866</v>
      </c>
      <c r="S37" s="369" t="s">
        <v>867</v>
      </c>
      <c r="T37" s="425"/>
      <c r="U37" s="426">
        <v>8</v>
      </c>
      <c r="V37" s="427">
        <f>SUM(T37:U37)</f>
        <v>8</v>
      </c>
      <c r="W37" s="1613">
        <f>J37-SUM(V37:V38)</f>
        <v>0</v>
      </c>
      <c r="X37" s="447" t="s">
        <v>868</v>
      </c>
      <c r="Y37" s="783"/>
      <c r="Z37" s="455">
        <v>46027</v>
      </c>
      <c r="AA37" s="435">
        <v>46061</v>
      </c>
      <c r="AB37" s="435">
        <v>46062</v>
      </c>
      <c r="AC37" s="442"/>
      <c r="AD37" s="442">
        <v>8</v>
      </c>
      <c r="AE37" s="443">
        <v>8</v>
      </c>
      <c r="AF37" s="1656" t="s">
        <v>869</v>
      </c>
    </row>
    <row r="38" spans="1:34" ht="15.95" customHeight="1">
      <c r="A38" s="1746"/>
      <c r="B38" s="1749"/>
      <c r="C38" s="1841"/>
      <c r="D38" s="1596"/>
      <c r="E38" s="1599"/>
      <c r="F38" s="1599"/>
      <c r="G38" s="362"/>
      <c r="H38" s="401"/>
      <c r="I38" s="1602"/>
      <c r="J38" s="1604"/>
      <c r="K38" s="1606"/>
      <c r="L38" s="1608"/>
      <c r="M38" s="1610"/>
      <c r="N38" s="1612"/>
      <c r="O38" s="364"/>
      <c r="P38" s="456"/>
      <c r="Q38" s="785"/>
      <c r="R38" s="559"/>
      <c r="S38" s="470"/>
      <c r="T38" s="458"/>
      <c r="U38" s="459"/>
      <c r="V38" s="367">
        <f>SUM(T38:U38)</f>
        <v>0</v>
      </c>
      <c r="W38" s="1595"/>
      <c r="X38" s="1064"/>
      <c r="Y38" s="453"/>
      <c r="Z38" s="461"/>
      <c r="AA38" s="462"/>
      <c r="AB38" s="461"/>
      <c r="AC38" s="453"/>
      <c r="AD38" s="453"/>
      <c r="AE38" s="440">
        <f t="shared" ref="AE38" si="14">SUM(AC38:AD38)</f>
        <v>0</v>
      </c>
      <c r="AF38" s="1657"/>
    </row>
    <row r="39" spans="1:34" ht="15.95" customHeight="1">
      <c r="A39" s="1746"/>
      <c r="B39" s="1749"/>
      <c r="C39" s="1841"/>
      <c r="D39" s="1617"/>
      <c r="E39" s="1617"/>
      <c r="F39" s="1617"/>
      <c r="G39" s="1617"/>
      <c r="H39" s="1617"/>
      <c r="I39" s="1618"/>
      <c r="J39" s="1621">
        <f>SUM(J37:J38)</f>
        <v>8</v>
      </c>
      <c r="K39" s="1623">
        <f>SUM(K37:K38)</f>
        <v>8</v>
      </c>
      <c r="L39" s="1623">
        <f>SUM(L37:L38)</f>
        <v>0</v>
      </c>
      <c r="M39" s="1625">
        <f>K39/J39</f>
        <v>1</v>
      </c>
      <c r="N39" s="1627" t="s">
        <v>826</v>
      </c>
      <c r="O39" s="1629">
        <f>SUM(O37:O38)</f>
        <v>0</v>
      </c>
      <c r="P39" s="1631">
        <f>SUM(P37:P38)</f>
        <v>8</v>
      </c>
      <c r="Q39" s="1633" t="s">
        <v>826</v>
      </c>
      <c r="R39" s="1633"/>
      <c r="S39" s="1634"/>
      <c r="T39" s="471">
        <f>SUM(T37:T38)</f>
        <v>0</v>
      </c>
      <c r="U39" s="471">
        <f>SUM(P37:P38)</f>
        <v>8</v>
      </c>
      <c r="V39" s="471">
        <f>SUM(V37:V38)</f>
        <v>8</v>
      </c>
      <c r="W39" s="471">
        <f>SUM(W37:W38)</f>
        <v>0</v>
      </c>
      <c r="X39" s="1662" t="s">
        <v>826</v>
      </c>
      <c r="Y39" s="1663"/>
      <c r="Z39" s="1663"/>
      <c r="AA39" s="1663"/>
      <c r="AB39" s="1664"/>
      <c r="AC39" s="441">
        <f>SUM(AC37:AC38)</f>
        <v>0</v>
      </c>
      <c r="AD39" s="441">
        <f>SUM(AD37:AD38)</f>
        <v>8</v>
      </c>
      <c r="AE39" s="441">
        <f>SUM(AE37:AE38)</f>
        <v>8</v>
      </c>
      <c r="AF39" s="1657"/>
    </row>
    <row r="40" spans="1:34" ht="42.75" customHeight="1">
      <c r="A40" s="1837"/>
      <c r="B40" s="1839"/>
      <c r="C40" s="1842"/>
      <c r="D40" s="1619"/>
      <c r="E40" s="1619"/>
      <c r="F40" s="1619"/>
      <c r="G40" s="1619"/>
      <c r="H40" s="1619"/>
      <c r="I40" s="1620"/>
      <c r="J40" s="1622"/>
      <c r="K40" s="1624"/>
      <c r="L40" s="1624"/>
      <c r="M40" s="1626"/>
      <c r="N40" s="1628"/>
      <c r="O40" s="1630"/>
      <c r="P40" s="1632"/>
      <c r="Q40" s="1666" t="s">
        <v>827</v>
      </c>
      <c r="R40" s="1666"/>
      <c r="S40" s="1667"/>
      <c r="T40" s="786">
        <f>O39-T39</f>
        <v>0</v>
      </c>
      <c r="U40" s="786">
        <f>P39-U39</f>
        <v>0</v>
      </c>
      <c r="V40" s="786"/>
      <c r="W40" s="787"/>
      <c r="X40" s="1668" t="s">
        <v>827</v>
      </c>
      <c r="Y40" s="1669"/>
      <c r="Z40" s="1669"/>
      <c r="AA40" s="1669"/>
      <c r="AB40" s="1670"/>
      <c r="AC40" s="474">
        <f>O39-AC39</f>
        <v>0</v>
      </c>
      <c r="AD40" s="474">
        <f>P39-AD39</f>
        <v>0</v>
      </c>
      <c r="AE40" s="475">
        <f>SUM(AC40:AD40)</f>
        <v>0</v>
      </c>
      <c r="AF40" s="1707"/>
    </row>
    <row r="41" spans="1:34" ht="24">
      <c r="A41" s="1644" t="s">
        <v>870</v>
      </c>
      <c r="B41" s="1647" t="s">
        <v>871</v>
      </c>
      <c r="C41" s="1705" t="s">
        <v>831</v>
      </c>
      <c r="D41" s="1697" t="s">
        <v>872</v>
      </c>
      <c r="E41" s="1680">
        <v>45813</v>
      </c>
      <c r="F41" s="1680">
        <v>45960</v>
      </c>
      <c r="G41" s="418" t="s">
        <v>873</v>
      </c>
      <c r="H41" s="401">
        <v>0</v>
      </c>
      <c r="I41" s="1681" t="s">
        <v>844</v>
      </c>
      <c r="J41" s="1682">
        <v>5</v>
      </c>
      <c r="K41" s="1683">
        <v>5</v>
      </c>
      <c r="L41" s="1655">
        <f>J41-K41</f>
        <v>0</v>
      </c>
      <c r="M41" s="1653">
        <f>K41/J41</f>
        <v>1</v>
      </c>
      <c r="N41" s="1654" t="s">
        <v>811</v>
      </c>
      <c r="O41" s="463"/>
      <c r="P41" s="464">
        <v>5</v>
      </c>
      <c r="Q41" s="527" t="s">
        <v>812</v>
      </c>
      <c r="R41" s="788">
        <v>45987</v>
      </c>
      <c r="S41" s="369" t="s">
        <v>874</v>
      </c>
      <c r="T41" s="425"/>
      <c r="U41" s="426">
        <v>5</v>
      </c>
      <c r="V41" s="427">
        <v>5</v>
      </c>
      <c r="W41" s="1613">
        <f>J41-SUM(V41:V42)</f>
        <v>0</v>
      </c>
      <c r="X41" s="1065" t="s">
        <v>875</v>
      </c>
      <c r="Y41" s="62"/>
      <c r="Z41" s="455">
        <v>46141</v>
      </c>
      <c r="AA41" s="1158">
        <v>46182</v>
      </c>
      <c r="AB41" s="1158" t="s">
        <v>876</v>
      </c>
      <c r="AC41" s="66"/>
      <c r="AD41" s="66"/>
      <c r="AE41" s="67">
        <f t="shared" ref="AE41:AE42" si="15">SUM(AC41:AD41)</f>
        <v>0</v>
      </c>
      <c r="AF41" s="1614" t="s">
        <v>877</v>
      </c>
      <c r="AG41" s="1004" t="s">
        <v>878</v>
      </c>
      <c r="AH41" s="905" t="s">
        <v>879</v>
      </c>
    </row>
    <row r="42" spans="1:34" ht="10.5" customHeight="1">
      <c r="A42" s="1644"/>
      <c r="B42" s="1647"/>
      <c r="C42" s="1705"/>
      <c r="D42" s="1704"/>
      <c r="E42" s="1599"/>
      <c r="F42" s="1599"/>
      <c r="G42" s="362" t="s">
        <v>880</v>
      </c>
      <c r="H42" s="401"/>
      <c r="I42" s="1602"/>
      <c r="J42" s="1604"/>
      <c r="K42" s="1606"/>
      <c r="L42" s="1608"/>
      <c r="M42" s="1610"/>
      <c r="N42" s="1612"/>
      <c r="O42" s="364"/>
      <c r="P42" s="456"/>
      <c r="Q42" s="785"/>
      <c r="R42" s="559"/>
      <c r="S42" s="470"/>
      <c r="T42" s="458"/>
      <c r="U42" s="459"/>
      <c r="V42" s="367">
        <f>SUM(T42:U42)</f>
        <v>0</v>
      </c>
      <c r="W42" s="1595"/>
      <c r="X42" s="1274"/>
      <c r="Y42" s="1275"/>
      <c r="Z42" s="451"/>
      <c r="AA42" s="1276"/>
      <c r="AB42" s="1276"/>
      <c r="AC42" s="1275"/>
      <c r="AD42" s="1275"/>
      <c r="AE42" s="1277">
        <f t="shared" si="15"/>
        <v>0</v>
      </c>
      <c r="AF42" s="1615"/>
      <c r="AH42" s="905"/>
    </row>
    <row r="43" spans="1:34" ht="22.5">
      <c r="A43" s="1644"/>
      <c r="B43" s="1647"/>
      <c r="C43" s="1705"/>
      <c r="D43" s="1697" t="s">
        <v>881</v>
      </c>
      <c r="E43" s="1598">
        <v>45880</v>
      </c>
      <c r="F43" s="1598">
        <v>46068</v>
      </c>
      <c r="G43" s="418" t="s">
        <v>873</v>
      </c>
      <c r="H43" s="363">
        <v>0</v>
      </c>
      <c r="I43" s="1601" t="s">
        <v>844</v>
      </c>
      <c r="J43" s="1603">
        <v>5</v>
      </c>
      <c r="K43" s="1683">
        <v>5</v>
      </c>
      <c r="L43" s="1655">
        <v>5</v>
      </c>
      <c r="M43" s="1653">
        <f>K43/J43</f>
        <v>1</v>
      </c>
      <c r="N43" s="1654" t="s">
        <v>811</v>
      </c>
      <c r="O43" s="463">
        <v>2</v>
      </c>
      <c r="P43" s="464">
        <v>3</v>
      </c>
      <c r="Q43" s="424" t="s">
        <v>812</v>
      </c>
      <c r="R43" s="454">
        <v>45687</v>
      </c>
      <c r="S43" s="813" t="s">
        <v>882</v>
      </c>
      <c r="T43" s="458">
        <v>2</v>
      </c>
      <c r="U43" s="459">
        <v>3</v>
      </c>
      <c r="V43" s="467"/>
      <c r="W43" s="1594">
        <f>J43-SUM(V43:V44)</f>
        <v>5</v>
      </c>
      <c r="X43" s="1268" t="s">
        <v>883</v>
      </c>
      <c r="Y43" s="1269"/>
      <c r="Z43" s="1270">
        <v>46141</v>
      </c>
      <c r="AA43" s="1271">
        <v>46182</v>
      </c>
      <c r="AB43" s="1271" t="s">
        <v>876</v>
      </c>
      <c r="AC43" s="1272"/>
      <c r="AD43" s="1272"/>
      <c r="AE43" s="1273">
        <f t="shared" ref="AE43:AE44" si="16">SUM(AC43:AD43)</f>
        <v>0</v>
      </c>
      <c r="AF43" s="1615"/>
      <c r="AG43" s="1005" t="s">
        <v>884</v>
      </c>
      <c r="AH43" s="905" t="s">
        <v>879</v>
      </c>
    </row>
    <row r="44" spans="1:34" ht="10.5" customHeight="1">
      <c r="A44" s="1644"/>
      <c r="B44" s="1647"/>
      <c r="C44" s="1705"/>
      <c r="D44" s="1704"/>
      <c r="E44" s="1599"/>
      <c r="F44" s="1599"/>
      <c r="G44" s="362" t="s">
        <v>885</v>
      </c>
      <c r="H44" s="401"/>
      <c r="I44" s="1602"/>
      <c r="J44" s="1604"/>
      <c r="K44" s="1606"/>
      <c r="L44" s="1608"/>
      <c r="M44" s="1610"/>
      <c r="N44" s="1612"/>
      <c r="O44" s="364"/>
      <c r="P44" s="456"/>
      <c r="Q44" s="785"/>
      <c r="R44" s="559"/>
      <c r="S44" s="470"/>
      <c r="T44" s="458"/>
      <c r="U44" s="459"/>
      <c r="V44" s="367">
        <f>SUM(T44:U44)</f>
        <v>0</v>
      </c>
      <c r="W44" s="1595"/>
      <c r="X44" s="1066"/>
      <c r="Y44" s="75"/>
      <c r="Z44" s="461"/>
      <c r="AA44" s="77"/>
      <c r="AB44" s="76"/>
      <c r="AC44" s="75"/>
      <c r="AD44" s="75"/>
      <c r="AE44" s="78">
        <f t="shared" si="16"/>
        <v>0</v>
      </c>
      <c r="AF44" s="1615"/>
    </row>
    <row r="45" spans="1:34">
      <c r="A45" s="1644"/>
      <c r="B45" s="1647"/>
      <c r="C45" s="1705"/>
      <c r="D45" s="1685"/>
      <c r="E45" s="1617"/>
      <c r="F45" s="1617"/>
      <c r="G45" s="1617"/>
      <c r="H45" s="1617"/>
      <c r="I45" s="1618"/>
      <c r="J45" s="1621">
        <f>SUM(J41:J44)</f>
        <v>10</v>
      </c>
      <c r="K45" s="1621">
        <f>SUM(K41:K44)</f>
        <v>10</v>
      </c>
      <c r="L45" s="1621">
        <f>SUM(L41:L44)</f>
        <v>5</v>
      </c>
      <c r="M45" s="1625">
        <f>K45/J45</f>
        <v>1</v>
      </c>
      <c r="N45" s="1627" t="s">
        <v>826</v>
      </c>
      <c r="O45" s="1621">
        <f>SUM(O41:O44)</f>
        <v>2</v>
      </c>
      <c r="P45" s="1702">
        <f>SUM(P41:P44)</f>
        <v>8</v>
      </c>
      <c r="Q45" s="1633" t="s">
        <v>826</v>
      </c>
      <c r="R45" s="1633"/>
      <c r="S45" s="1634"/>
      <c r="T45" s="471">
        <v>2</v>
      </c>
      <c r="U45" s="471">
        <v>8</v>
      </c>
      <c r="V45" s="471">
        <f>SUM(V41:V42)</f>
        <v>5</v>
      </c>
      <c r="W45" s="789">
        <f>SUM(W41:W42)</f>
        <v>0</v>
      </c>
      <c r="X45" s="1636" t="s">
        <v>826</v>
      </c>
      <c r="Y45" s="1636"/>
      <c r="Z45" s="1636"/>
      <c r="AA45" s="1636"/>
      <c r="AB45" s="1637"/>
      <c r="AC45" s="80">
        <f>SUM(AC41:AC42)</f>
        <v>0</v>
      </c>
      <c r="AD45" s="80">
        <f>SUM(AD41:AD42)</f>
        <v>0</v>
      </c>
      <c r="AE45" s="80">
        <f>SUM(AE41:AE42)</f>
        <v>0</v>
      </c>
      <c r="AF45" s="1615"/>
    </row>
    <row r="46" spans="1:34" ht="53.25" customHeight="1">
      <c r="A46" s="1645"/>
      <c r="B46" s="1648"/>
      <c r="C46" s="1706"/>
      <c r="D46" s="1701"/>
      <c r="E46" s="1619"/>
      <c r="F46" s="1619"/>
      <c r="G46" s="1619"/>
      <c r="H46" s="1619"/>
      <c r="I46" s="1620"/>
      <c r="J46" s="1622"/>
      <c r="K46" s="1622"/>
      <c r="L46" s="1622"/>
      <c r="M46" s="1626"/>
      <c r="N46" s="1628"/>
      <c r="O46" s="1622"/>
      <c r="P46" s="1703"/>
      <c r="Q46" s="1638" t="s">
        <v>827</v>
      </c>
      <c r="R46" s="1638"/>
      <c r="S46" s="1639"/>
      <c r="T46" s="472">
        <f>O45-T45</f>
        <v>0</v>
      </c>
      <c r="U46" s="472">
        <f>P45-U45</f>
        <v>0</v>
      </c>
      <c r="V46" s="472"/>
      <c r="W46" s="473"/>
      <c r="X46" s="1640" t="s">
        <v>828</v>
      </c>
      <c r="Y46" s="1641"/>
      <c r="Z46" s="1641"/>
      <c r="AA46" s="1641"/>
      <c r="AB46" s="1642"/>
      <c r="AC46" s="354">
        <f>O45-AC45</f>
        <v>2</v>
      </c>
      <c r="AD46" s="354">
        <f>P45-AD45</f>
        <v>8</v>
      </c>
      <c r="AE46" s="355">
        <f>SUM(AC46:AD46)</f>
        <v>10</v>
      </c>
      <c r="AF46" s="1616"/>
    </row>
    <row r="47" spans="1:34" ht="36">
      <c r="A47" s="1671" t="s">
        <v>886</v>
      </c>
      <c r="B47" s="1674" t="s">
        <v>887</v>
      </c>
      <c r="C47" s="1677" t="s">
        <v>831</v>
      </c>
      <c r="D47" s="1596">
        <v>5000109214</v>
      </c>
      <c r="E47" s="1680">
        <v>45884</v>
      </c>
      <c r="F47" s="1680">
        <v>45976</v>
      </c>
      <c r="G47" s="418" t="s">
        <v>888</v>
      </c>
      <c r="H47" s="401">
        <v>0</v>
      </c>
      <c r="I47" s="1681" t="s">
        <v>844</v>
      </c>
      <c r="J47" s="1682">
        <v>21</v>
      </c>
      <c r="K47" s="1683">
        <f>SUM(AE47:AE48)</f>
        <v>21</v>
      </c>
      <c r="L47" s="1655">
        <f>J47-K47</f>
        <v>0</v>
      </c>
      <c r="M47" s="1653">
        <f>K47/J47</f>
        <v>1</v>
      </c>
      <c r="N47" s="1654" t="s">
        <v>811</v>
      </c>
      <c r="O47" s="463"/>
      <c r="P47" s="464">
        <v>21</v>
      </c>
      <c r="Q47" s="424" t="s">
        <v>889</v>
      </c>
      <c r="R47" s="454" t="s">
        <v>418</v>
      </c>
      <c r="S47" s="369" t="s">
        <v>890</v>
      </c>
      <c r="T47" s="458"/>
      <c r="U47" s="459">
        <v>21</v>
      </c>
      <c r="V47" s="467">
        <f>SUM(T47:U47)</f>
        <v>21</v>
      </c>
      <c r="W47" s="1594">
        <f>J47-SUM(V47:V48)</f>
        <v>0</v>
      </c>
      <c r="X47" s="1173" t="s">
        <v>891</v>
      </c>
      <c r="Y47" s="1174"/>
      <c r="Z47" s="814">
        <v>46060</v>
      </c>
      <c r="AA47" s="435">
        <v>46132</v>
      </c>
      <c r="AB47" s="435">
        <v>46134</v>
      </c>
      <c r="AC47" s="442"/>
      <c r="AD47" s="442">
        <v>21</v>
      </c>
      <c r="AE47" s="443">
        <v>21</v>
      </c>
      <c r="AF47" s="1656" t="s">
        <v>892</v>
      </c>
      <c r="AG47" s="1004" t="s">
        <v>893</v>
      </c>
    </row>
    <row r="48" spans="1:34" ht="10.5" customHeight="1">
      <c r="A48" s="1672"/>
      <c r="B48" s="1675"/>
      <c r="C48" s="1678"/>
      <c r="D48" s="1597"/>
      <c r="E48" s="1599"/>
      <c r="F48" s="1599"/>
      <c r="G48" s="362"/>
      <c r="H48" s="401"/>
      <c r="I48" s="1602"/>
      <c r="J48" s="1604"/>
      <c r="K48" s="1606"/>
      <c r="L48" s="1608"/>
      <c r="M48" s="1610"/>
      <c r="N48" s="1612"/>
      <c r="O48" s="364"/>
      <c r="P48" s="456"/>
      <c r="Q48" s="429"/>
      <c r="R48" s="559"/>
      <c r="S48" s="470"/>
      <c r="T48" s="458"/>
      <c r="U48" s="459"/>
      <c r="V48" s="367">
        <f>SUM(T48:U48)</f>
        <v>0</v>
      </c>
      <c r="W48" s="1595"/>
      <c r="X48" s="1175"/>
      <c r="Y48" s="444"/>
      <c r="Z48" s="957"/>
      <c r="AA48" s="1176"/>
      <c r="AB48" s="957"/>
      <c r="AC48" s="444"/>
      <c r="AD48" s="444"/>
      <c r="AE48" s="445">
        <f t="shared" ref="AE48" si="17">SUM(AC48:AD48)</f>
        <v>0</v>
      </c>
      <c r="AF48" s="1657"/>
    </row>
    <row r="49" spans="1:33">
      <c r="A49" s="1672"/>
      <c r="B49" s="1675"/>
      <c r="C49" s="1678"/>
      <c r="D49" s="1617"/>
      <c r="E49" s="1617"/>
      <c r="F49" s="1617"/>
      <c r="G49" s="1617"/>
      <c r="H49" s="1617"/>
      <c r="I49" s="1618"/>
      <c r="J49" s="1621">
        <f>SUM(J47:J48)</f>
        <v>21</v>
      </c>
      <c r="K49" s="1623">
        <f>SUM(K47:K48)</f>
        <v>21</v>
      </c>
      <c r="L49" s="1623">
        <f>SUM(L47:L48)</f>
        <v>0</v>
      </c>
      <c r="M49" s="1625">
        <f>K49/J49</f>
        <v>1</v>
      </c>
      <c r="N49" s="1627" t="s">
        <v>826</v>
      </c>
      <c r="O49" s="1629">
        <f>SUM(O47:O48)</f>
        <v>0</v>
      </c>
      <c r="P49" s="1629">
        <f>SUM(P47:P48)</f>
        <v>21</v>
      </c>
      <c r="Q49" s="1661" t="s">
        <v>826</v>
      </c>
      <c r="R49" s="1633"/>
      <c r="S49" s="1634"/>
      <c r="T49" s="471">
        <f>SUM(T47:T48)</f>
        <v>0</v>
      </c>
      <c r="U49" s="471">
        <f>SUM(P47:P48)</f>
        <v>21</v>
      </c>
      <c r="V49" s="471">
        <f>SUM(V47:V48)</f>
        <v>21</v>
      </c>
      <c r="W49" s="790">
        <f>SUM(W47:W48)</f>
        <v>0</v>
      </c>
      <c r="X49" s="1662" t="s">
        <v>826</v>
      </c>
      <c r="Y49" s="1663"/>
      <c r="Z49" s="1663"/>
      <c r="AA49" s="1663"/>
      <c r="AB49" s="1664"/>
      <c r="AC49" s="441">
        <f>SUM(AC47:AC48)</f>
        <v>0</v>
      </c>
      <c r="AD49" s="441">
        <f>SUM(AD47:AD48)</f>
        <v>21</v>
      </c>
      <c r="AE49" s="507">
        <f>SUM(AE47:AE48)</f>
        <v>21</v>
      </c>
      <c r="AF49" s="1658"/>
    </row>
    <row r="50" spans="1:33" ht="55.5" customHeight="1">
      <c r="A50" s="1673"/>
      <c r="B50" s="1676"/>
      <c r="C50" s="1679"/>
      <c r="D50" s="1617"/>
      <c r="E50" s="1617"/>
      <c r="F50" s="1617"/>
      <c r="G50" s="1617"/>
      <c r="H50" s="1617"/>
      <c r="I50" s="1618"/>
      <c r="J50" s="1621"/>
      <c r="K50" s="1623"/>
      <c r="L50" s="1623"/>
      <c r="M50" s="1625"/>
      <c r="N50" s="1627"/>
      <c r="O50" s="1660"/>
      <c r="P50" s="1660"/>
      <c r="Q50" s="1665" t="s">
        <v>828</v>
      </c>
      <c r="R50" s="1666"/>
      <c r="S50" s="1667"/>
      <c r="T50" s="786">
        <f>O49-T49</f>
        <v>0</v>
      </c>
      <c r="U50" s="786">
        <f>P49-U49</f>
        <v>0</v>
      </c>
      <c r="V50" s="786"/>
      <c r="W50" s="791"/>
      <c r="X50" s="1668" t="s">
        <v>827</v>
      </c>
      <c r="Y50" s="1669"/>
      <c r="Z50" s="1669"/>
      <c r="AA50" s="1669"/>
      <c r="AB50" s="1670"/>
      <c r="AC50" s="474">
        <f>O49-AC49</f>
        <v>0</v>
      </c>
      <c r="AD50" s="474">
        <f>P49-AD49</f>
        <v>0</v>
      </c>
      <c r="AE50" s="1177">
        <f>SUM(AC50:AD50)</f>
        <v>0</v>
      </c>
      <c r="AF50" s="1659"/>
    </row>
    <row r="51" spans="1:33" ht="24">
      <c r="A51" s="1671" t="s">
        <v>894</v>
      </c>
      <c r="B51" s="1674" t="s">
        <v>895</v>
      </c>
      <c r="C51" s="1694" t="s">
        <v>831</v>
      </c>
      <c r="D51" s="1696">
        <v>5000108619</v>
      </c>
      <c r="E51" s="1598">
        <v>45860</v>
      </c>
      <c r="F51" s="1598">
        <v>45931</v>
      </c>
      <c r="G51" s="356" t="s">
        <v>896</v>
      </c>
      <c r="H51" s="357">
        <v>0</v>
      </c>
      <c r="I51" s="1601" t="s">
        <v>844</v>
      </c>
      <c r="J51" s="1603">
        <v>2</v>
      </c>
      <c r="K51" s="1605">
        <f>SUM(AE51:AE52)</f>
        <v>2</v>
      </c>
      <c r="L51" s="1607">
        <v>2</v>
      </c>
      <c r="M51" s="1609">
        <f>K51/J51</f>
        <v>1</v>
      </c>
      <c r="N51" s="1611" t="s">
        <v>811</v>
      </c>
      <c r="O51" s="358"/>
      <c r="P51" s="792">
        <v>2</v>
      </c>
      <c r="Q51" s="793" t="s">
        <v>889</v>
      </c>
      <c r="R51" s="788" t="s">
        <v>418</v>
      </c>
      <c r="S51" s="794" t="s">
        <v>897</v>
      </c>
      <c r="T51" s="795"/>
      <c r="U51" s="426">
        <v>2</v>
      </c>
      <c r="V51" s="427">
        <f>SUM(T51:U51)</f>
        <v>2</v>
      </c>
      <c r="W51" s="1613">
        <f>J51-SUM(V51:V52)</f>
        <v>0</v>
      </c>
      <c r="X51" s="1173" t="s">
        <v>898</v>
      </c>
      <c r="Y51" s="468"/>
      <c r="Z51" s="815">
        <v>46061</v>
      </c>
      <c r="AA51" s="435">
        <v>46148</v>
      </c>
      <c r="AB51" s="435">
        <v>46154</v>
      </c>
      <c r="AC51" s="453"/>
      <c r="AD51" s="453">
        <v>2</v>
      </c>
      <c r="AE51" s="1321">
        <f t="shared" ref="AE51:AE52" si="18">SUM(AC51:AD51)</f>
        <v>2</v>
      </c>
      <c r="AF51" s="1684" t="s">
        <v>899</v>
      </c>
      <c r="AG51" s="1004" t="s">
        <v>900</v>
      </c>
    </row>
    <row r="52" spans="1:33" ht="10.5" customHeight="1">
      <c r="A52" s="1672"/>
      <c r="B52" s="1675"/>
      <c r="C52" s="1695"/>
      <c r="D52" s="1697"/>
      <c r="E52" s="1599"/>
      <c r="F52" s="1599"/>
      <c r="G52" s="782"/>
      <c r="H52" s="781"/>
      <c r="I52" s="1602"/>
      <c r="J52" s="1604"/>
      <c r="K52" s="1606"/>
      <c r="L52" s="1608"/>
      <c r="M52" s="1610"/>
      <c r="N52" s="1612"/>
      <c r="O52" s="402"/>
      <c r="P52" s="403"/>
      <c r="Q52" s="796"/>
      <c r="R52" s="797"/>
      <c r="S52" s="798"/>
      <c r="T52" s="799"/>
      <c r="U52" s="800"/>
      <c r="V52" s="413">
        <f>SUM(T52:U52)</f>
        <v>0</v>
      </c>
      <c r="W52" s="1594"/>
      <c r="X52" s="1322"/>
      <c r="Y52" s="453"/>
      <c r="Z52" s="816"/>
      <c r="AA52" s="1323"/>
      <c r="AB52" s="957"/>
      <c r="AC52" s="453"/>
      <c r="AD52" s="453"/>
      <c r="AE52" s="440">
        <f t="shared" si="18"/>
        <v>0</v>
      </c>
      <c r="AF52" s="1658"/>
      <c r="AG52" s="1004"/>
    </row>
    <row r="53" spans="1:33" ht="18" customHeight="1">
      <c r="A53" s="1672"/>
      <c r="B53" s="1675"/>
      <c r="C53" s="1695"/>
      <c r="D53" s="1698" t="s">
        <v>901</v>
      </c>
      <c r="E53" s="1699">
        <v>45924</v>
      </c>
      <c r="F53" s="1598">
        <v>46021</v>
      </c>
      <c r="G53" s="362" t="s">
        <v>896</v>
      </c>
      <c r="H53" s="363">
        <v>0</v>
      </c>
      <c r="I53" s="1601" t="s">
        <v>844</v>
      </c>
      <c r="J53" s="1603">
        <v>3</v>
      </c>
      <c r="K53" s="1605">
        <f>SUM(AE53:AE54)</f>
        <v>3</v>
      </c>
      <c r="L53" s="1607">
        <v>3</v>
      </c>
      <c r="M53" s="1609">
        <f>K53/J53</f>
        <v>1</v>
      </c>
      <c r="N53" s="1611" t="s">
        <v>811</v>
      </c>
      <c r="O53" s="364"/>
      <c r="P53" s="532">
        <v>3</v>
      </c>
      <c r="Q53" s="419" t="s">
        <v>889</v>
      </c>
      <c r="R53" s="801" t="s">
        <v>418</v>
      </c>
      <c r="S53" s="802" t="s">
        <v>897</v>
      </c>
      <c r="T53" s="803"/>
      <c r="U53" s="804">
        <v>3</v>
      </c>
      <c r="V53" s="413">
        <f>SUM(T53:U53)</f>
        <v>3</v>
      </c>
      <c r="W53" s="1693">
        <f>J53-SUM(V53:V54)</f>
        <v>0</v>
      </c>
      <c r="X53" s="1173" t="s">
        <v>898</v>
      </c>
      <c r="Y53" s="1324"/>
      <c r="Z53" s="1292">
        <v>46061</v>
      </c>
      <c r="AA53" s="506">
        <v>46148</v>
      </c>
      <c r="AB53" s="506">
        <v>46154</v>
      </c>
      <c r="AC53" s="453"/>
      <c r="AD53" s="453">
        <v>3</v>
      </c>
      <c r="AE53" s="1321">
        <f t="shared" ref="AE53:AE54" si="19">SUM(AC53:AD53)</f>
        <v>3</v>
      </c>
      <c r="AF53" s="1658"/>
      <c r="AG53" s="1004" t="s">
        <v>900</v>
      </c>
    </row>
    <row r="54" spans="1:33" ht="10.5" customHeight="1">
      <c r="A54" s="1672"/>
      <c r="B54" s="1675"/>
      <c r="C54" s="1695"/>
      <c r="D54" s="1698"/>
      <c r="E54" s="1700"/>
      <c r="F54" s="1599"/>
      <c r="G54" s="362"/>
      <c r="H54" s="401"/>
      <c r="I54" s="1602"/>
      <c r="J54" s="1604"/>
      <c r="K54" s="1606"/>
      <c r="L54" s="1608"/>
      <c r="M54" s="1610"/>
      <c r="N54" s="1612"/>
      <c r="O54" s="364"/>
      <c r="P54" s="532"/>
      <c r="Q54" s="429"/>
      <c r="R54" s="559"/>
      <c r="S54" s="805"/>
      <c r="T54" s="466"/>
      <c r="U54" s="459"/>
      <c r="V54" s="367">
        <f>SUM(T54:U54)</f>
        <v>0</v>
      </c>
      <c r="W54" s="1595"/>
      <c r="X54" s="1322"/>
      <c r="Y54" s="453"/>
      <c r="Z54" s="476"/>
      <c r="AA54" s="477"/>
      <c r="AB54" s="461"/>
      <c r="AC54" s="453"/>
      <c r="AD54" s="453"/>
      <c r="AE54" s="440">
        <f t="shared" si="19"/>
        <v>0</v>
      </c>
      <c r="AF54" s="1658"/>
    </row>
    <row r="55" spans="1:33">
      <c r="A55" s="1672"/>
      <c r="B55" s="1675"/>
      <c r="C55" s="1695"/>
      <c r="D55" s="1685"/>
      <c r="E55" s="1617"/>
      <c r="F55" s="1617"/>
      <c r="G55" s="1617"/>
      <c r="H55" s="1617"/>
      <c r="I55" s="1618"/>
      <c r="J55" s="1621">
        <f>SUM(J51:J54)</f>
        <v>5</v>
      </c>
      <c r="K55" s="1623">
        <f>SUM(K51:K52)</f>
        <v>2</v>
      </c>
      <c r="L55" s="1623">
        <f>SUM(L51:L54)</f>
        <v>5</v>
      </c>
      <c r="M55" s="1625">
        <f>K55/J55</f>
        <v>0.4</v>
      </c>
      <c r="N55" s="1627" t="s">
        <v>826</v>
      </c>
      <c r="O55" s="1629">
        <f>SUM(O51:O52)</f>
        <v>0</v>
      </c>
      <c r="P55" s="1686">
        <f>SUM(P51:P54)</f>
        <v>5</v>
      </c>
      <c r="Q55" s="1661" t="s">
        <v>826</v>
      </c>
      <c r="R55" s="1633"/>
      <c r="S55" s="1688"/>
      <c r="T55" s="806">
        <f>SUM(T51:T52)</f>
        <v>0</v>
      </c>
      <c r="U55" s="471">
        <f>SUM(P51:P54)</f>
        <v>5</v>
      </c>
      <c r="V55" s="471">
        <f>SUM(V51:V52)</f>
        <v>2</v>
      </c>
      <c r="W55" s="789">
        <f>SUM(W51:W54)</f>
        <v>0</v>
      </c>
      <c r="X55" s="1663" t="s">
        <v>826</v>
      </c>
      <c r="Y55" s="1663"/>
      <c r="Z55" s="1663"/>
      <c r="AA55" s="1663"/>
      <c r="AB55" s="1664"/>
      <c r="AC55" s="441">
        <f>SUM(AC51:AC52)</f>
        <v>0</v>
      </c>
      <c r="AD55" s="441">
        <f>SUM(AD51:AD52)</f>
        <v>2</v>
      </c>
      <c r="AE55" s="507">
        <f>SUM(AE51:AE52)</f>
        <v>2</v>
      </c>
      <c r="AF55" s="1658"/>
    </row>
    <row r="56" spans="1:33" ht="36" customHeight="1">
      <c r="A56" s="1672"/>
      <c r="B56" s="1675"/>
      <c r="C56" s="1695"/>
      <c r="D56" s="1685"/>
      <c r="E56" s="1617"/>
      <c r="F56" s="1617"/>
      <c r="G56" s="1617"/>
      <c r="H56" s="1617"/>
      <c r="I56" s="1618"/>
      <c r="J56" s="1621"/>
      <c r="K56" s="1623"/>
      <c r="L56" s="1623"/>
      <c r="M56" s="1625"/>
      <c r="N56" s="1627"/>
      <c r="O56" s="1660"/>
      <c r="P56" s="1687"/>
      <c r="Q56" s="1689" t="s">
        <v>827</v>
      </c>
      <c r="R56" s="1638"/>
      <c r="S56" s="1690"/>
      <c r="T56" s="807">
        <f>O55-T55</f>
        <v>0</v>
      </c>
      <c r="U56" s="786">
        <f>P55-U55</f>
        <v>0</v>
      </c>
      <c r="V56" s="786"/>
      <c r="W56" s="787"/>
      <c r="X56" s="1691" t="s">
        <v>827</v>
      </c>
      <c r="Y56" s="1691"/>
      <c r="Z56" s="1691"/>
      <c r="AA56" s="1691"/>
      <c r="AB56" s="1692"/>
      <c r="AC56" s="1142">
        <f>O55-AC55</f>
        <v>0</v>
      </c>
      <c r="AD56" s="1142">
        <f>P55-AD55</f>
        <v>3</v>
      </c>
      <c r="AE56" s="1325">
        <f>SUM(AC56:AD56)</f>
        <v>3</v>
      </c>
      <c r="AF56" s="1658"/>
    </row>
    <row r="57" spans="1:33" ht="22.5">
      <c r="A57" s="1643" t="s">
        <v>902</v>
      </c>
      <c r="B57" s="1646" t="s">
        <v>903</v>
      </c>
      <c r="C57" s="1649" t="s">
        <v>831</v>
      </c>
      <c r="D57" s="1652">
        <v>5000109176</v>
      </c>
      <c r="E57" s="1598">
        <v>45882</v>
      </c>
      <c r="F57" s="1598">
        <v>46082</v>
      </c>
      <c r="G57" s="356" t="s">
        <v>904</v>
      </c>
      <c r="H57" s="357">
        <v>0</v>
      </c>
      <c r="I57" s="1601" t="s">
        <v>844</v>
      </c>
      <c r="J57" s="1603">
        <v>3</v>
      </c>
      <c r="K57" s="1605">
        <f>SUM(AE57:AE58)</f>
        <v>3</v>
      </c>
      <c r="L57" s="1607">
        <f>J57-K57</f>
        <v>0</v>
      </c>
      <c r="M57" s="1609">
        <f>K57/J57</f>
        <v>1</v>
      </c>
      <c r="N57" s="1611" t="s">
        <v>811</v>
      </c>
      <c r="O57" s="358"/>
      <c r="P57" s="423">
        <v>3</v>
      </c>
      <c r="Q57" s="424" t="s">
        <v>812</v>
      </c>
      <c r="R57" s="454">
        <v>46100</v>
      </c>
      <c r="S57" s="813" t="s">
        <v>905</v>
      </c>
      <c r="T57" s="425"/>
      <c r="U57" s="426">
        <v>3</v>
      </c>
      <c r="V57" s="427">
        <f>SUM(T57:U57)</f>
        <v>3</v>
      </c>
      <c r="W57" s="1613">
        <f>J57-SUM(V57:V58)</f>
        <v>0</v>
      </c>
      <c r="X57" s="1046" t="s">
        <v>906</v>
      </c>
      <c r="Y57" s="128"/>
      <c r="Z57" s="815">
        <v>46126</v>
      </c>
      <c r="AA57" s="1157">
        <v>46188</v>
      </c>
      <c r="AB57" s="77"/>
      <c r="AC57" s="66"/>
      <c r="AD57" s="66">
        <v>3</v>
      </c>
      <c r="AE57" s="67">
        <f t="shared" ref="AE57:AE58" si="20">SUM(AC57:AD57)</f>
        <v>3</v>
      </c>
      <c r="AF57" s="1614" t="s">
        <v>907</v>
      </c>
    </row>
    <row r="58" spans="1:33" ht="10.5" customHeight="1">
      <c r="A58" s="1644"/>
      <c r="B58" s="1647"/>
      <c r="C58" s="1650"/>
      <c r="D58" s="1597"/>
      <c r="E58" s="1599"/>
      <c r="F58" s="1599"/>
      <c r="G58" s="362"/>
      <c r="H58" s="401"/>
      <c r="I58" s="1602"/>
      <c r="J58" s="1604"/>
      <c r="K58" s="1606"/>
      <c r="L58" s="1608"/>
      <c r="M58" s="1610"/>
      <c r="N58" s="1612"/>
      <c r="O58" s="364"/>
      <c r="P58" s="456"/>
      <c r="Q58" s="785"/>
      <c r="R58" s="559"/>
      <c r="S58" s="470"/>
      <c r="T58" s="458"/>
      <c r="U58" s="459"/>
      <c r="V58" s="367">
        <f>SUM(T58:U58)</f>
        <v>0</v>
      </c>
      <c r="W58" s="1595"/>
      <c r="X58" s="1045"/>
      <c r="Y58" s="75"/>
      <c r="Z58" s="461"/>
      <c r="AA58" s="77"/>
      <c r="AB58" s="76"/>
      <c r="AC58" s="75"/>
      <c r="AD58" s="75"/>
      <c r="AE58" s="78">
        <f t="shared" si="20"/>
        <v>0</v>
      </c>
      <c r="AF58" s="1615"/>
    </row>
    <row r="59" spans="1:33">
      <c r="A59" s="1644"/>
      <c r="B59" s="1647"/>
      <c r="C59" s="1650"/>
      <c r="D59" s="1617"/>
      <c r="E59" s="1617"/>
      <c r="F59" s="1617"/>
      <c r="G59" s="1617"/>
      <c r="H59" s="1617"/>
      <c r="I59" s="1618"/>
      <c r="J59" s="1621">
        <f>SUM(J57:J58)</f>
        <v>3</v>
      </c>
      <c r="K59" s="1623">
        <f>SUM(K57:K58)</f>
        <v>3</v>
      </c>
      <c r="L59" s="1623">
        <f>SUM(L57:L58)</f>
        <v>0</v>
      </c>
      <c r="M59" s="1625">
        <f>K59/J59</f>
        <v>1</v>
      </c>
      <c r="N59" s="1627" t="s">
        <v>826</v>
      </c>
      <c r="O59" s="1629">
        <f>SUM(O57:O58)</f>
        <v>0</v>
      </c>
      <c r="P59" s="1631">
        <v>3</v>
      </c>
      <c r="Q59" s="1633" t="s">
        <v>826</v>
      </c>
      <c r="R59" s="1633"/>
      <c r="S59" s="1634"/>
      <c r="T59" s="471">
        <f>SUM(T57:T58)</f>
        <v>0</v>
      </c>
      <c r="U59" s="471">
        <f>SUM(P57:P58)</f>
        <v>3</v>
      </c>
      <c r="V59" s="471">
        <f>SUM(V57:V58)</f>
        <v>3</v>
      </c>
      <c r="W59" s="471">
        <f>SUM(W57:W58)</f>
        <v>0</v>
      </c>
      <c r="X59" s="1635" t="s">
        <v>826</v>
      </c>
      <c r="Y59" s="1636"/>
      <c r="Z59" s="1636"/>
      <c r="AA59" s="1636"/>
      <c r="AB59" s="1637"/>
      <c r="AC59" s="80">
        <f>SUM(AC57:AC58)</f>
        <v>0</v>
      </c>
      <c r="AD59" s="80">
        <f>SUM(AD57:AD58)</f>
        <v>3</v>
      </c>
      <c r="AE59" s="80">
        <f>SUM(AE57:AE58)</f>
        <v>3</v>
      </c>
      <c r="AF59" s="1615"/>
    </row>
    <row r="60" spans="1:33" ht="70.5" customHeight="1">
      <c r="A60" s="1645"/>
      <c r="B60" s="1648"/>
      <c r="C60" s="1651"/>
      <c r="D60" s="1619"/>
      <c r="E60" s="1619"/>
      <c r="F60" s="1619"/>
      <c r="G60" s="1619"/>
      <c r="H60" s="1619"/>
      <c r="I60" s="1620"/>
      <c r="J60" s="1622"/>
      <c r="K60" s="1624"/>
      <c r="L60" s="1624"/>
      <c r="M60" s="1626"/>
      <c r="N60" s="1628"/>
      <c r="O60" s="1630"/>
      <c r="P60" s="1632"/>
      <c r="Q60" s="1638" t="s">
        <v>827</v>
      </c>
      <c r="R60" s="1638"/>
      <c r="S60" s="1639"/>
      <c r="T60" s="472">
        <f>O59-T59</f>
        <v>0</v>
      </c>
      <c r="U60" s="472">
        <f>P59-U59</f>
        <v>0</v>
      </c>
      <c r="V60" s="472"/>
      <c r="W60" s="473"/>
      <c r="X60" s="1640" t="s">
        <v>827</v>
      </c>
      <c r="Y60" s="1641"/>
      <c r="Z60" s="1641"/>
      <c r="AA60" s="1641"/>
      <c r="AB60" s="1642"/>
      <c r="AC60" s="83">
        <f>O59-AC59</f>
        <v>0</v>
      </c>
      <c r="AD60" s="83">
        <f>P59-AD59</f>
        <v>0</v>
      </c>
      <c r="AE60" s="84">
        <f>SUM(AC60:AD60)</f>
        <v>0</v>
      </c>
      <c r="AF60" s="1616"/>
    </row>
  </sheetData>
  <mergeCells count="361">
    <mergeCell ref="W13:W14"/>
    <mergeCell ref="D13:D14"/>
    <mergeCell ref="E13:E14"/>
    <mergeCell ref="F13:F14"/>
    <mergeCell ref="I13:I14"/>
    <mergeCell ref="J13:J14"/>
    <mergeCell ref="K13:K14"/>
    <mergeCell ref="L13:L14"/>
    <mergeCell ref="M13:M14"/>
    <mergeCell ref="N13:N14"/>
    <mergeCell ref="D21:D22"/>
    <mergeCell ref="E21:E22"/>
    <mergeCell ref="F21:F22"/>
    <mergeCell ref="I21:I22"/>
    <mergeCell ref="J21:J22"/>
    <mergeCell ref="K21:K22"/>
    <mergeCell ref="L21:L22"/>
    <mergeCell ref="M21:M22"/>
    <mergeCell ref="N21:N22"/>
    <mergeCell ref="D7:D8"/>
    <mergeCell ref="D9:D10"/>
    <mergeCell ref="D11:D12"/>
    <mergeCell ref="W9:W10"/>
    <mergeCell ref="E11:E12"/>
    <mergeCell ref="F11:F12"/>
    <mergeCell ref="I11:I12"/>
    <mergeCell ref="J11:J12"/>
    <mergeCell ref="K11:K12"/>
    <mergeCell ref="L11:L12"/>
    <mergeCell ref="M11:M12"/>
    <mergeCell ref="N11:N12"/>
    <mergeCell ref="W11:W12"/>
    <mergeCell ref="W29:W30"/>
    <mergeCell ref="D29:D30"/>
    <mergeCell ref="E29:E30"/>
    <mergeCell ref="F29:F30"/>
    <mergeCell ref="I29:I30"/>
    <mergeCell ref="J29:J30"/>
    <mergeCell ref="K29:K30"/>
    <mergeCell ref="L29:L30"/>
    <mergeCell ref="M29:M30"/>
    <mergeCell ref="N29:N30"/>
    <mergeCell ref="D19:D20"/>
    <mergeCell ref="E19:E20"/>
    <mergeCell ref="F19:F20"/>
    <mergeCell ref="I19:I20"/>
    <mergeCell ref="J19:J20"/>
    <mergeCell ref="K19:K20"/>
    <mergeCell ref="L19:L20"/>
    <mergeCell ref="M19:M20"/>
    <mergeCell ref="N19:N20"/>
    <mergeCell ref="W27:W28"/>
    <mergeCell ref="D27:D28"/>
    <mergeCell ref="E27:E28"/>
    <mergeCell ref="F27:F28"/>
    <mergeCell ref="I27:I28"/>
    <mergeCell ref="J27:J28"/>
    <mergeCell ref="K27:K28"/>
    <mergeCell ref="L27:L28"/>
    <mergeCell ref="M27:M28"/>
    <mergeCell ref="N27:N28"/>
    <mergeCell ref="L37:L38"/>
    <mergeCell ref="M37:M38"/>
    <mergeCell ref="N37:N38"/>
    <mergeCell ref="W37:W38"/>
    <mergeCell ref="AF37:AF40"/>
    <mergeCell ref="D39:I40"/>
    <mergeCell ref="J39:J40"/>
    <mergeCell ref="K39:K40"/>
    <mergeCell ref="L39:L40"/>
    <mergeCell ref="M39:M40"/>
    <mergeCell ref="N39:N40"/>
    <mergeCell ref="O39:O40"/>
    <mergeCell ref="P39:P40"/>
    <mergeCell ref="Q39:S39"/>
    <mergeCell ref="X39:AB39"/>
    <mergeCell ref="Q40:S40"/>
    <mergeCell ref="X40:AB40"/>
    <mergeCell ref="A37:A40"/>
    <mergeCell ref="B37:B40"/>
    <mergeCell ref="C37:C40"/>
    <mergeCell ref="D37:D38"/>
    <mergeCell ref="E37:E38"/>
    <mergeCell ref="F37:F38"/>
    <mergeCell ref="I37:I38"/>
    <mergeCell ref="J37:J38"/>
    <mergeCell ref="K37:K38"/>
    <mergeCell ref="A5:A16"/>
    <mergeCell ref="B5:B16"/>
    <mergeCell ref="C5:C16"/>
    <mergeCell ref="E5:E6"/>
    <mergeCell ref="W7:W8"/>
    <mergeCell ref="N5:N6"/>
    <mergeCell ref="X15:AB15"/>
    <mergeCell ref="Q16:S16"/>
    <mergeCell ref="X16:AB16"/>
    <mergeCell ref="J15:J16"/>
    <mergeCell ref="K15:K16"/>
    <mergeCell ref="L15:L16"/>
    <mergeCell ref="M15:M16"/>
    <mergeCell ref="N15:N16"/>
    <mergeCell ref="O15:O16"/>
    <mergeCell ref="E9:E10"/>
    <mergeCell ref="F9:F10"/>
    <mergeCell ref="I9:I10"/>
    <mergeCell ref="J9:J10"/>
    <mergeCell ref="K9:K10"/>
    <mergeCell ref="L9:L10"/>
    <mergeCell ref="M9:M10"/>
    <mergeCell ref="N9:N10"/>
    <mergeCell ref="D5:D6"/>
    <mergeCell ref="F3:F4"/>
    <mergeCell ref="G3:G4"/>
    <mergeCell ref="H3:H4"/>
    <mergeCell ref="I3:I4"/>
    <mergeCell ref="J3:J4"/>
    <mergeCell ref="W5:W6"/>
    <mergeCell ref="AF5:AF16"/>
    <mergeCell ref="E7:E8"/>
    <mergeCell ref="F7:F8"/>
    <mergeCell ref="I7:I8"/>
    <mergeCell ref="J7:J8"/>
    <mergeCell ref="K7:K8"/>
    <mergeCell ref="L7:L8"/>
    <mergeCell ref="M7:M8"/>
    <mergeCell ref="N7:N8"/>
    <mergeCell ref="I5:I6"/>
    <mergeCell ref="J5:J6"/>
    <mergeCell ref="K5:K6"/>
    <mergeCell ref="L5:L6"/>
    <mergeCell ref="M5:M6"/>
    <mergeCell ref="F5:F6"/>
    <mergeCell ref="D15:I16"/>
    <mergeCell ref="P15:P16"/>
    <mergeCell ref="Q15:S15"/>
    <mergeCell ref="Q2:V2"/>
    <mergeCell ref="X2:AE2"/>
    <mergeCell ref="Y3:Y4"/>
    <mergeCell ref="L3:L4"/>
    <mergeCell ref="M3:M4"/>
    <mergeCell ref="N3:N4"/>
    <mergeCell ref="O3:P3"/>
    <mergeCell ref="Q3:Q4"/>
    <mergeCell ref="R3:R4"/>
    <mergeCell ref="A17:A24"/>
    <mergeCell ref="B17:B24"/>
    <mergeCell ref="C17:C24"/>
    <mergeCell ref="D17:D18"/>
    <mergeCell ref="E17:E18"/>
    <mergeCell ref="AF2:AF4"/>
    <mergeCell ref="A3:A4"/>
    <mergeCell ref="B3:B4"/>
    <mergeCell ref="C3:C4"/>
    <mergeCell ref="D3:D4"/>
    <mergeCell ref="E3:E4"/>
    <mergeCell ref="Z3:Z4"/>
    <mergeCell ref="AA3:AA4"/>
    <mergeCell ref="AB3:AB4"/>
    <mergeCell ref="AC3:AD3"/>
    <mergeCell ref="AE3:AE4"/>
    <mergeCell ref="S3:S4"/>
    <mergeCell ref="T3:U3"/>
    <mergeCell ref="V3:V4"/>
    <mergeCell ref="W3:W4"/>
    <mergeCell ref="X3:X4"/>
    <mergeCell ref="K3:K4"/>
    <mergeCell ref="A2:M2"/>
    <mergeCell ref="N2:P2"/>
    <mergeCell ref="P23:P24"/>
    <mergeCell ref="Q23:S23"/>
    <mergeCell ref="M17:M18"/>
    <mergeCell ref="N17:N18"/>
    <mergeCell ref="W17:W18"/>
    <mergeCell ref="AF17:AF24"/>
    <mergeCell ref="F17:F18"/>
    <mergeCell ref="I17:I18"/>
    <mergeCell ref="J17:J18"/>
    <mergeCell ref="K17:K18"/>
    <mergeCell ref="L17:L18"/>
    <mergeCell ref="W19:W20"/>
    <mergeCell ref="W21:W22"/>
    <mergeCell ref="AF25:AF36"/>
    <mergeCell ref="X23:AB23"/>
    <mergeCell ref="Q24:S24"/>
    <mergeCell ref="X24:AB24"/>
    <mergeCell ref="A25:A36"/>
    <mergeCell ref="B25:B36"/>
    <mergeCell ref="C25:C36"/>
    <mergeCell ref="D25:D26"/>
    <mergeCell ref="E25:E26"/>
    <mergeCell ref="F25:F26"/>
    <mergeCell ref="I25:I26"/>
    <mergeCell ref="J25:J26"/>
    <mergeCell ref="K25:K26"/>
    <mergeCell ref="L25:L26"/>
    <mergeCell ref="M25:M26"/>
    <mergeCell ref="N25:N26"/>
    <mergeCell ref="W25:W26"/>
    <mergeCell ref="D23:I24"/>
    <mergeCell ref="J23:J24"/>
    <mergeCell ref="K23:K24"/>
    <mergeCell ref="L23:L24"/>
    <mergeCell ref="M23:M24"/>
    <mergeCell ref="N23:N24"/>
    <mergeCell ref="O23:O24"/>
    <mergeCell ref="X35:AB35"/>
    <mergeCell ref="Q36:S36"/>
    <mergeCell ref="X36:AB36"/>
    <mergeCell ref="D35:I36"/>
    <mergeCell ref="J35:J36"/>
    <mergeCell ref="K35:K36"/>
    <mergeCell ref="L35:L36"/>
    <mergeCell ref="M35:M36"/>
    <mergeCell ref="N35:N36"/>
    <mergeCell ref="O35:O36"/>
    <mergeCell ref="P35:P36"/>
    <mergeCell ref="Q35:S35"/>
    <mergeCell ref="A41:A46"/>
    <mergeCell ref="B41:B46"/>
    <mergeCell ref="C41:C46"/>
    <mergeCell ref="D41:D42"/>
    <mergeCell ref="E41:E42"/>
    <mergeCell ref="F41:F42"/>
    <mergeCell ref="I41:I42"/>
    <mergeCell ref="J41:J42"/>
    <mergeCell ref="K41:K42"/>
    <mergeCell ref="L41:L42"/>
    <mergeCell ref="M41:M42"/>
    <mergeCell ref="N41:N42"/>
    <mergeCell ref="W41:W42"/>
    <mergeCell ref="AF41:AF46"/>
    <mergeCell ref="D45:I46"/>
    <mergeCell ref="J45:J46"/>
    <mergeCell ref="K45:K46"/>
    <mergeCell ref="L45:L46"/>
    <mergeCell ref="M45:M46"/>
    <mergeCell ref="N45:N46"/>
    <mergeCell ref="O45:O46"/>
    <mergeCell ref="P45:P46"/>
    <mergeCell ref="Q45:S45"/>
    <mergeCell ref="X45:AB45"/>
    <mergeCell ref="Q46:S46"/>
    <mergeCell ref="X46:AB46"/>
    <mergeCell ref="D43:D44"/>
    <mergeCell ref="E43:E44"/>
    <mergeCell ref="F43:F44"/>
    <mergeCell ref="I43:I44"/>
    <mergeCell ref="J43:J44"/>
    <mergeCell ref="K43:K44"/>
    <mergeCell ref="L43:L44"/>
    <mergeCell ref="A51:A56"/>
    <mergeCell ref="B51:B56"/>
    <mergeCell ref="C51:C56"/>
    <mergeCell ref="D51:D52"/>
    <mergeCell ref="E51:E52"/>
    <mergeCell ref="F51:F52"/>
    <mergeCell ref="I51:I52"/>
    <mergeCell ref="J51:J52"/>
    <mergeCell ref="K51:K52"/>
    <mergeCell ref="D53:D54"/>
    <mergeCell ref="E53:E54"/>
    <mergeCell ref="F53:F54"/>
    <mergeCell ref="I53:I54"/>
    <mergeCell ref="J53:J54"/>
    <mergeCell ref="K53:K54"/>
    <mergeCell ref="L51:L52"/>
    <mergeCell ref="M51:M52"/>
    <mergeCell ref="N51:N52"/>
    <mergeCell ref="W51:W52"/>
    <mergeCell ref="AF51:AF56"/>
    <mergeCell ref="D55:I56"/>
    <mergeCell ref="J55:J56"/>
    <mergeCell ref="K55:K56"/>
    <mergeCell ref="L55:L56"/>
    <mergeCell ref="M55:M56"/>
    <mergeCell ref="N55:N56"/>
    <mergeCell ref="O55:O56"/>
    <mergeCell ref="P55:P56"/>
    <mergeCell ref="Q55:S55"/>
    <mergeCell ref="X55:AB55"/>
    <mergeCell ref="Q56:S56"/>
    <mergeCell ref="X56:AB56"/>
    <mergeCell ref="L53:L54"/>
    <mergeCell ref="M53:M54"/>
    <mergeCell ref="N53:N54"/>
    <mergeCell ref="W53:W54"/>
    <mergeCell ref="A47:A50"/>
    <mergeCell ref="B47:B50"/>
    <mergeCell ref="C47:C50"/>
    <mergeCell ref="D47:D48"/>
    <mergeCell ref="E47:E48"/>
    <mergeCell ref="F47:F48"/>
    <mergeCell ref="I47:I48"/>
    <mergeCell ref="J47:J48"/>
    <mergeCell ref="K47:K48"/>
    <mergeCell ref="M43:M44"/>
    <mergeCell ref="N43:N44"/>
    <mergeCell ref="W43:W44"/>
    <mergeCell ref="L47:L48"/>
    <mergeCell ref="M47:M48"/>
    <mergeCell ref="N47:N48"/>
    <mergeCell ref="W47:W48"/>
    <mergeCell ref="AF47:AF50"/>
    <mergeCell ref="D49:I50"/>
    <mergeCell ref="J49:J50"/>
    <mergeCell ref="K49:K50"/>
    <mergeCell ref="L49:L50"/>
    <mergeCell ref="M49:M50"/>
    <mergeCell ref="N49:N50"/>
    <mergeCell ref="O49:O50"/>
    <mergeCell ref="P49:P50"/>
    <mergeCell ref="Q49:S49"/>
    <mergeCell ref="X49:AB49"/>
    <mergeCell ref="Q50:S50"/>
    <mergeCell ref="X50:AB50"/>
    <mergeCell ref="A57:A60"/>
    <mergeCell ref="B57:B60"/>
    <mergeCell ref="C57:C60"/>
    <mergeCell ref="D57:D58"/>
    <mergeCell ref="E57:E58"/>
    <mergeCell ref="F57:F58"/>
    <mergeCell ref="I57:I58"/>
    <mergeCell ref="J57:J58"/>
    <mergeCell ref="K57:K58"/>
    <mergeCell ref="L57:L58"/>
    <mergeCell ref="M57:M58"/>
    <mergeCell ref="N57:N58"/>
    <mergeCell ref="W57:W58"/>
    <mergeCell ref="AF57:AF60"/>
    <mergeCell ref="D59:I60"/>
    <mergeCell ref="J59:J60"/>
    <mergeCell ref="K59:K60"/>
    <mergeCell ref="L59:L60"/>
    <mergeCell ref="M59:M60"/>
    <mergeCell ref="N59:N60"/>
    <mergeCell ref="O59:O60"/>
    <mergeCell ref="P59:P60"/>
    <mergeCell ref="Q59:S59"/>
    <mergeCell ref="X59:AB59"/>
    <mergeCell ref="Q60:S60"/>
    <mergeCell ref="X60:AB60"/>
    <mergeCell ref="W33:W34"/>
    <mergeCell ref="D33:D34"/>
    <mergeCell ref="E33:E34"/>
    <mergeCell ref="F33:F34"/>
    <mergeCell ref="I33:I34"/>
    <mergeCell ref="J33:J34"/>
    <mergeCell ref="K33:K34"/>
    <mergeCell ref="L33:L34"/>
    <mergeCell ref="M33:M34"/>
    <mergeCell ref="N33:N34"/>
    <mergeCell ref="W31:W32"/>
    <mergeCell ref="D31:D32"/>
    <mergeCell ref="E31:E32"/>
    <mergeCell ref="F31:F32"/>
    <mergeCell ref="I31:I32"/>
    <mergeCell ref="J31:J32"/>
    <mergeCell ref="K31:K32"/>
    <mergeCell ref="L31:L32"/>
    <mergeCell ref="M31:M32"/>
    <mergeCell ref="N31:N32"/>
  </mergeCells>
  <phoneticPr fontId="5"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EFAA8-576D-433F-A312-FE8856AFD94C}">
  <dimension ref="A2:AG43"/>
  <sheetViews>
    <sheetView zoomScale="115" zoomScaleNormal="115" workbookViewId="0" xr3:uid="{DE3D0F75-1F40-5B41-B9BE-3A13F0555E5C}">
      <pane xSplit="3" ySplit="4" topLeftCell="O19" activePane="bottomRight" state="frozen"/>
      <selection pane="bottomRight" activeCell="O16" sqref="O16"/>
      <selection pane="bottomLeft" activeCell="A5" sqref="A5"/>
      <selection pane="topRight" activeCell="E1" sqref="E1"/>
    </sheetView>
  </sheetViews>
  <sheetFormatPr defaultColWidth="9.140625" defaultRowHeight="10.5"/>
  <cols>
    <col min="1" max="1" width="12.42578125" style="51" customWidth="1"/>
    <col min="2" max="2" width="11.42578125" style="51" customWidth="1"/>
    <col min="3" max="3" width="9.140625" style="51"/>
    <col min="4" max="4" width="10.42578125" style="51" bestFit="1" customWidth="1"/>
    <col min="5" max="6" width="9.140625" style="51"/>
    <col min="7" max="7" width="10.42578125" style="87" customWidth="1"/>
    <col min="8" max="8" width="5.42578125" style="51" customWidth="1"/>
    <col min="9" max="9" width="4" style="51" customWidth="1"/>
    <col min="10" max="10" width="8.140625" style="88" customWidth="1"/>
    <col min="11" max="12" width="8.140625" style="51" customWidth="1"/>
    <col min="13" max="13" width="6.42578125" style="51" customWidth="1"/>
    <col min="14" max="14" width="10.140625" style="51" customWidth="1"/>
    <col min="15" max="16" width="8.42578125" style="51" customWidth="1"/>
    <col min="17" max="17" width="11.140625" style="89" customWidth="1"/>
    <col min="18" max="18" width="14.140625" style="51" customWidth="1"/>
    <col min="19" max="19" width="20.140625" style="51" customWidth="1"/>
    <col min="20" max="21" width="8.42578125" style="51" customWidth="1"/>
    <col min="22" max="22" width="7.42578125" style="51" customWidth="1"/>
    <col min="23" max="23" width="9.140625" style="51"/>
    <col min="24" max="24" width="17.85546875" style="51" customWidth="1"/>
    <col min="25" max="25" width="9.140625" style="51"/>
    <col min="26" max="26" width="9.42578125" style="51" bestFit="1" customWidth="1"/>
    <col min="27" max="27" width="10.140625" style="51" customWidth="1"/>
    <col min="28" max="28" width="10" style="51" customWidth="1"/>
    <col min="29" max="30" width="8.42578125" style="51" customWidth="1"/>
    <col min="31" max="31" width="9.140625" style="51"/>
    <col min="32" max="32" width="31.42578125" style="51" customWidth="1"/>
    <col min="33" max="33" width="16.42578125" style="51" customWidth="1"/>
    <col min="34" max="16384" width="9.140625" style="51"/>
  </cols>
  <sheetData>
    <row r="2" spans="1:33" ht="11.25">
      <c r="A2" s="1776"/>
      <c r="B2" s="1777"/>
      <c r="C2" s="1777"/>
      <c r="D2" s="1777"/>
      <c r="E2" s="1777"/>
      <c r="F2" s="1777"/>
      <c r="G2" s="1777"/>
      <c r="H2" s="1777"/>
      <c r="I2" s="1777"/>
      <c r="J2" s="1777"/>
      <c r="K2" s="1777"/>
      <c r="L2" s="1777"/>
      <c r="M2" s="1777"/>
      <c r="N2" s="1776" t="s">
        <v>775</v>
      </c>
      <c r="O2" s="1777"/>
      <c r="P2" s="1778"/>
      <c r="Q2" s="1958" t="s">
        <v>776</v>
      </c>
      <c r="R2" s="1958"/>
      <c r="S2" s="1958"/>
      <c r="T2" s="1958"/>
      <c r="U2" s="1958"/>
      <c r="V2" s="1958"/>
      <c r="W2" s="557"/>
      <c r="X2" s="1777" t="s">
        <v>777</v>
      </c>
      <c r="Y2" s="1777"/>
      <c r="Z2" s="1777"/>
      <c r="AA2" s="1777"/>
      <c r="AB2" s="1777"/>
      <c r="AC2" s="1777"/>
      <c r="AD2" s="1777"/>
      <c r="AE2" s="1778"/>
      <c r="AF2" s="1752"/>
    </row>
    <row r="3" spans="1:33" ht="11.25">
      <c r="A3" s="1755" t="s">
        <v>778</v>
      </c>
      <c r="B3" s="1757" t="s">
        <v>779</v>
      </c>
      <c r="C3" s="1757" t="s">
        <v>780</v>
      </c>
      <c r="D3" s="1759" t="s">
        <v>781</v>
      </c>
      <c r="E3" s="1757" t="s">
        <v>782</v>
      </c>
      <c r="F3" s="1757" t="s">
        <v>783</v>
      </c>
      <c r="G3" s="1785" t="s">
        <v>784</v>
      </c>
      <c r="H3" s="1787" t="s">
        <v>785</v>
      </c>
      <c r="I3" s="1789" t="s">
        <v>786</v>
      </c>
      <c r="J3" s="1774" t="s">
        <v>787</v>
      </c>
      <c r="K3" s="1774" t="s">
        <v>788</v>
      </c>
      <c r="L3" s="1774" t="s">
        <v>789</v>
      </c>
      <c r="M3" s="1948" t="s">
        <v>790</v>
      </c>
      <c r="N3" s="1755" t="s">
        <v>786</v>
      </c>
      <c r="O3" s="1765" t="s">
        <v>791</v>
      </c>
      <c r="P3" s="1950"/>
      <c r="Q3" s="1951" t="s">
        <v>792</v>
      </c>
      <c r="R3" s="1763" t="s">
        <v>793</v>
      </c>
      <c r="S3" s="1763" t="s">
        <v>794</v>
      </c>
      <c r="T3" s="1955" t="s">
        <v>791</v>
      </c>
      <c r="U3" s="1955"/>
      <c r="V3" s="1956" t="s">
        <v>795</v>
      </c>
      <c r="W3" s="1957" t="s">
        <v>796</v>
      </c>
      <c r="X3" s="1772" t="s">
        <v>797</v>
      </c>
      <c r="Y3" s="1757" t="s">
        <v>798</v>
      </c>
      <c r="Z3" s="1761" t="s">
        <v>799</v>
      </c>
      <c r="AA3" s="1763" t="s">
        <v>800</v>
      </c>
      <c r="AB3" s="1763" t="s">
        <v>801</v>
      </c>
      <c r="AC3" s="1955" t="s">
        <v>791</v>
      </c>
      <c r="AD3" s="1955"/>
      <c r="AE3" s="1766" t="s">
        <v>802</v>
      </c>
      <c r="AF3" s="1953"/>
    </row>
    <row r="4" spans="1:33" ht="22.5">
      <c r="A4" s="1756"/>
      <c r="B4" s="1758"/>
      <c r="C4" s="1758"/>
      <c r="D4" s="1760"/>
      <c r="E4" s="1758"/>
      <c r="F4" s="1758"/>
      <c r="G4" s="1786"/>
      <c r="H4" s="1788"/>
      <c r="I4" s="1790"/>
      <c r="J4" s="1775"/>
      <c r="K4" s="1775"/>
      <c r="L4" s="1775"/>
      <c r="M4" s="1949"/>
      <c r="N4" s="1756"/>
      <c r="O4" s="53" t="s">
        <v>803</v>
      </c>
      <c r="P4" s="588" t="s">
        <v>804</v>
      </c>
      <c r="Q4" s="1952"/>
      <c r="R4" s="1764"/>
      <c r="S4" s="1764"/>
      <c r="T4" s="53" t="s">
        <v>803</v>
      </c>
      <c r="U4" s="53" t="s">
        <v>804</v>
      </c>
      <c r="V4" s="1769"/>
      <c r="W4" s="1771"/>
      <c r="X4" s="1773"/>
      <c r="Y4" s="1758"/>
      <c r="Z4" s="1762"/>
      <c r="AA4" s="1764"/>
      <c r="AB4" s="1764"/>
      <c r="AC4" s="53" t="s">
        <v>803</v>
      </c>
      <c r="AD4" s="53" t="s">
        <v>804</v>
      </c>
      <c r="AE4" s="1767"/>
      <c r="AF4" s="1954"/>
    </row>
    <row r="5" spans="1:33" ht="37.5" customHeight="1">
      <c r="A5" s="1916" t="s">
        <v>908</v>
      </c>
      <c r="B5" s="1919" t="s">
        <v>909</v>
      </c>
      <c r="C5" s="1922" t="s">
        <v>831</v>
      </c>
      <c r="D5" s="1652">
        <v>5000106212</v>
      </c>
      <c r="E5" s="1598">
        <v>45714</v>
      </c>
      <c r="F5" s="1598">
        <v>45839</v>
      </c>
      <c r="G5" s="356" t="s">
        <v>910</v>
      </c>
      <c r="H5" s="363">
        <v>0</v>
      </c>
      <c r="I5" s="1601" t="s">
        <v>911</v>
      </c>
      <c r="J5" s="1603">
        <v>3921.5</v>
      </c>
      <c r="K5" s="1605">
        <f>SUM(AE5:AE6)</f>
        <v>3921.5</v>
      </c>
      <c r="L5" s="1607">
        <f>J5-K5</f>
        <v>0</v>
      </c>
      <c r="M5" s="1609">
        <f>K5/J5</f>
        <v>1</v>
      </c>
      <c r="N5" s="1654" t="s">
        <v>912</v>
      </c>
      <c r="O5" s="463"/>
      <c r="P5" s="589">
        <v>3921.5</v>
      </c>
      <c r="Q5" s="558" t="s">
        <v>845</v>
      </c>
      <c r="R5" s="559">
        <v>45861</v>
      </c>
      <c r="S5" s="407" t="s">
        <v>913</v>
      </c>
      <c r="T5" s="560"/>
      <c r="U5" s="561">
        <v>3921.5</v>
      </c>
      <c r="V5" s="562">
        <f>SUM(T5:U5)</f>
        <v>3921.5</v>
      </c>
      <c r="W5" s="1941">
        <f>J5-SUM(V5:V6)</f>
        <v>0</v>
      </c>
      <c r="X5" s="1143" t="s">
        <v>914</v>
      </c>
      <c r="Y5" s="441"/>
      <c r="Z5" s="448" t="s">
        <v>915</v>
      </c>
      <c r="AA5" s="449" t="s">
        <v>916</v>
      </c>
      <c r="AB5" s="449" t="s">
        <v>917</v>
      </c>
      <c r="AC5" s="441"/>
      <c r="AD5" s="450">
        <v>3921.5</v>
      </c>
      <c r="AE5" s="1144">
        <f t="shared" ref="AE5:AE6" si="0">SUM(AC5:AD5)</f>
        <v>3921.5</v>
      </c>
      <c r="AF5" s="1942" t="s">
        <v>918</v>
      </c>
    </row>
    <row r="6" spans="1:33" ht="9.75" customHeight="1" thickBot="1">
      <c r="A6" s="1917"/>
      <c r="B6" s="1920"/>
      <c r="C6" s="1923"/>
      <c r="D6" s="1597"/>
      <c r="E6" s="1599"/>
      <c r="F6" s="1599"/>
      <c r="G6" s="362"/>
      <c r="H6" s="401"/>
      <c r="I6" s="1602"/>
      <c r="J6" s="1604"/>
      <c r="K6" s="1606"/>
      <c r="L6" s="1608"/>
      <c r="M6" s="1610"/>
      <c r="N6" s="1612"/>
      <c r="O6" s="402"/>
      <c r="P6" s="403"/>
      <c r="Q6" s="404"/>
      <c r="R6" s="405"/>
      <c r="S6" s="416"/>
      <c r="T6" s="367"/>
      <c r="U6" s="400"/>
      <c r="V6" s="406">
        <f>SUM(T6:U6)</f>
        <v>0</v>
      </c>
      <c r="W6" s="1863"/>
      <c r="X6" s="838"/>
      <c r="Y6" s="444"/>
      <c r="Z6" s="451"/>
      <c r="AA6" s="452"/>
      <c r="AB6" s="451"/>
      <c r="AC6" s="453"/>
      <c r="AD6" s="453"/>
      <c r="AE6" s="440">
        <f t="shared" si="0"/>
        <v>0</v>
      </c>
      <c r="AF6" s="1943"/>
    </row>
    <row r="7" spans="1:33" ht="23.25" customHeight="1">
      <c r="A7" s="1917"/>
      <c r="B7" s="1920"/>
      <c r="C7" s="1923"/>
      <c r="D7" s="1596" t="s">
        <v>919</v>
      </c>
      <c r="E7" s="1680">
        <v>45814</v>
      </c>
      <c r="F7" s="1680">
        <v>45955</v>
      </c>
      <c r="G7" s="418" t="s">
        <v>910</v>
      </c>
      <c r="H7" s="401">
        <v>0</v>
      </c>
      <c r="I7" s="1681" t="s">
        <v>911</v>
      </c>
      <c r="J7" s="1682">
        <v>11.5</v>
      </c>
      <c r="K7" s="1683">
        <f>SUM(AE7:AE8)</f>
        <v>11.5</v>
      </c>
      <c r="L7" s="1655">
        <v>0</v>
      </c>
      <c r="M7" s="1609">
        <f>K7/J7</f>
        <v>1</v>
      </c>
      <c r="N7" s="1864" t="s">
        <v>912</v>
      </c>
      <c r="O7" s="364"/>
      <c r="P7" s="532">
        <v>11.5</v>
      </c>
      <c r="Q7" s="419" t="s">
        <v>845</v>
      </c>
      <c r="R7" s="365">
        <v>45877</v>
      </c>
      <c r="S7" s="407" t="s">
        <v>920</v>
      </c>
      <c r="T7" s="367"/>
      <c r="U7" s="400">
        <v>11.5</v>
      </c>
      <c r="V7" s="406">
        <f>SUM(T7:U7)</f>
        <v>11.5</v>
      </c>
      <c r="W7" s="1863"/>
      <c r="X7" s="1145" t="s">
        <v>921</v>
      </c>
      <c r="Y7" s="438"/>
      <c r="Z7" s="439">
        <v>45918</v>
      </c>
      <c r="AA7" s="439">
        <v>45970</v>
      </c>
      <c r="AB7" s="439">
        <v>45973</v>
      </c>
      <c r="AC7" s="453"/>
      <c r="AD7" s="501">
        <v>11.5</v>
      </c>
      <c r="AE7" s="1146">
        <v>11.5</v>
      </c>
      <c r="AF7" s="1943"/>
    </row>
    <row r="8" spans="1:33" ht="9.75" customHeight="1" thickBot="1">
      <c r="A8" s="1917"/>
      <c r="B8" s="1920"/>
      <c r="C8" s="1923"/>
      <c r="D8" s="1597"/>
      <c r="E8" s="1599"/>
      <c r="F8" s="1599"/>
      <c r="G8" s="362"/>
      <c r="H8" s="401"/>
      <c r="I8" s="1602"/>
      <c r="J8" s="1604"/>
      <c r="K8" s="1606"/>
      <c r="L8" s="1608"/>
      <c r="M8" s="1610"/>
      <c r="N8" s="1865"/>
      <c r="O8" s="364"/>
      <c r="P8" s="532"/>
      <c r="Q8" s="404"/>
      <c r="R8" s="420"/>
      <c r="S8" s="421"/>
      <c r="T8" s="367"/>
      <c r="U8" s="368"/>
      <c r="V8" s="367"/>
      <c r="W8" s="1863"/>
      <c r="X8" s="1147"/>
      <c r="Y8" s="502"/>
      <c r="Z8" s="503"/>
      <c r="AA8" s="503"/>
      <c r="AB8" s="503"/>
      <c r="AC8" s="453"/>
      <c r="AD8" s="453"/>
      <c r="AE8" s="1178"/>
      <c r="AF8" s="1943"/>
    </row>
    <row r="9" spans="1:33" ht="23.25" customHeight="1">
      <c r="A9" s="1917"/>
      <c r="B9" s="1920"/>
      <c r="C9" s="1923"/>
      <c r="D9" s="1596" t="s">
        <v>922</v>
      </c>
      <c r="E9" s="1680">
        <v>46108</v>
      </c>
      <c r="F9" s="1680">
        <v>46142</v>
      </c>
      <c r="G9" s="418" t="s">
        <v>910</v>
      </c>
      <c r="H9" s="401">
        <v>0</v>
      </c>
      <c r="I9" s="1681" t="s">
        <v>911</v>
      </c>
      <c r="J9" s="1682">
        <v>24</v>
      </c>
      <c r="K9" s="1683">
        <f>SUM(AE9:AE10)</f>
        <v>24</v>
      </c>
      <c r="L9" s="1655">
        <v>0</v>
      </c>
      <c r="M9" s="1609">
        <f>K9/J9</f>
        <v>1</v>
      </c>
      <c r="N9" s="1864" t="s">
        <v>912</v>
      </c>
      <c r="O9" s="364"/>
      <c r="P9" s="532">
        <v>24</v>
      </c>
      <c r="Q9" s="419" t="s">
        <v>845</v>
      </c>
      <c r="R9" s="365">
        <v>46135</v>
      </c>
      <c r="S9" s="407" t="s">
        <v>923</v>
      </c>
      <c r="T9" s="367"/>
      <c r="U9" s="400">
        <v>24</v>
      </c>
      <c r="V9" s="406">
        <f>SUM(T9:U9)</f>
        <v>24</v>
      </c>
      <c r="W9" s="1595"/>
      <c r="X9" s="1291" t="s">
        <v>924</v>
      </c>
      <c r="Y9" s="964"/>
      <c r="Z9" s="1294">
        <v>46165</v>
      </c>
      <c r="AA9" s="1294">
        <v>46204</v>
      </c>
      <c r="AB9" s="1294"/>
      <c r="AC9" s="590"/>
      <c r="AD9" s="1140">
        <v>24</v>
      </c>
      <c r="AE9" s="1148">
        <v>24</v>
      </c>
      <c r="AF9" s="1943"/>
      <c r="AG9" s="51" t="s">
        <v>925</v>
      </c>
    </row>
    <row r="10" spans="1:33" ht="9.75" customHeight="1" thickBot="1">
      <c r="A10" s="1917"/>
      <c r="B10" s="1920"/>
      <c r="C10" s="1923"/>
      <c r="D10" s="1597"/>
      <c r="E10" s="1599"/>
      <c r="F10" s="1599"/>
      <c r="G10" s="362"/>
      <c r="H10" s="401"/>
      <c r="I10" s="1602"/>
      <c r="J10" s="1604"/>
      <c r="K10" s="1606"/>
      <c r="L10" s="1608"/>
      <c r="M10" s="1610"/>
      <c r="N10" s="1865"/>
      <c r="O10" s="364"/>
      <c r="P10" s="532"/>
      <c r="Q10" s="404"/>
      <c r="R10" s="420"/>
      <c r="S10" s="421"/>
      <c r="T10" s="367"/>
      <c r="U10" s="368"/>
      <c r="V10" s="367"/>
      <c r="W10" s="1863"/>
      <c r="X10" s="1149"/>
      <c r="Y10" s="966"/>
      <c r="Z10" s="967"/>
      <c r="AA10" s="967"/>
      <c r="AB10" s="967"/>
      <c r="AC10" s="1141"/>
      <c r="AD10" s="1141"/>
      <c r="AE10" s="1150"/>
      <c r="AF10" s="1943"/>
    </row>
    <row r="11" spans="1:33" ht="11.25">
      <c r="A11" s="1917"/>
      <c r="B11" s="1920"/>
      <c r="C11" s="1923"/>
      <c r="D11" s="1617"/>
      <c r="E11" s="1617"/>
      <c r="F11" s="1617"/>
      <c r="G11" s="1617"/>
      <c r="H11" s="1617"/>
      <c r="I11" s="1618"/>
      <c r="J11" s="1621">
        <f>SUM(J5:J9)</f>
        <v>3957</v>
      </c>
      <c r="K11" s="1623">
        <f>SUM(K5:K9)</f>
        <v>3957</v>
      </c>
      <c r="L11" s="1623">
        <f>SUM(L5:L8)</f>
        <v>0</v>
      </c>
      <c r="M11" s="1625">
        <f>K11/J11</f>
        <v>1</v>
      </c>
      <c r="N11" s="1627" t="s">
        <v>826</v>
      </c>
      <c r="O11" s="1629">
        <f>SUM(O5:O6)</f>
        <v>0</v>
      </c>
      <c r="P11" s="1686">
        <f>SUM(P5:P9)</f>
        <v>3957</v>
      </c>
      <c r="Q11" s="1946" t="s">
        <v>826</v>
      </c>
      <c r="R11" s="1713"/>
      <c r="S11" s="1713"/>
      <c r="T11" s="508">
        <f>SUM(T5:T6)</f>
        <v>0</v>
      </c>
      <c r="U11" s="508">
        <f>SUM(U5:U9)</f>
        <v>3957</v>
      </c>
      <c r="V11" s="508">
        <f>SUM(V5:V9)</f>
        <v>3957</v>
      </c>
      <c r="W11" s="509">
        <f>SUM(W5:W8)</f>
        <v>0</v>
      </c>
      <c r="X11" s="1662" t="s">
        <v>826</v>
      </c>
      <c r="Y11" s="1663"/>
      <c r="Z11" s="1663"/>
      <c r="AA11" s="1663"/>
      <c r="AB11" s="1664"/>
      <c r="AC11" s="441">
        <f>SUM(AC5:AC6)</f>
        <v>0</v>
      </c>
      <c r="AD11" s="441">
        <f>SUM(AD5:AD6)</f>
        <v>3921.5</v>
      </c>
      <c r="AE11" s="507">
        <f>SUM(AE5:AE6)</f>
        <v>3921.5</v>
      </c>
      <c r="AF11" s="1943"/>
    </row>
    <row r="12" spans="1:33" ht="36.75" customHeight="1" thickBot="1">
      <c r="A12" s="1918"/>
      <c r="B12" s="1921"/>
      <c r="C12" s="1924"/>
      <c r="D12" s="1619"/>
      <c r="E12" s="1619"/>
      <c r="F12" s="1619"/>
      <c r="G12" s="1619"/>
      <c r="H12" s="1619"/>
      <c r="I12" s="1620"/>
      <c r="J12" s="1622"/>
      <c r="K12" s="1624"/>
      <c r="L12" s="1624"/>
      <c r="M12" s="1626"/>
      <c r="N12" s="1628"/>
      <c r="O12" s="1630"/>
      <c r="P12" s="1945"/>
      <c r="Q12" s="1947" t="s">
        <v>827</v>
      </c>
      <c r="R12" s="1714"/>
      <c r="S12" s="1714"/>
      <c r="T12" s="510">
        <f>O11-T11</f>
        <v>0</v>
      </c>
      <c r="U12" s="510">
        <f>P11-U11</f>
        <v>0</v>
      </c>
      <c r="V12" s="510"/>
      <c r="W12" s="511"/>
      <c r="X12" s="1668" t="s">
        <v>827</v>
      </c>
      <c r="Y12" s="1669"/>
      <c r="Z12" s="1669"/>
      <c r="AA12" s="1669"/>
      <c r="AB12" s="1670"/>
      <c r="AC12" s="474">
        <f>O11-AC11</f>
        <v>0</v>
      </c>
      <c r="AD12" s="512">
        <f>P11-AD11</f>
        <v>35.5</v>
      </c>
      <c r="AE12" s="513">
        <f>SUM(AC12:AD12)</f>
        <v>35.5</v>
      </c>
      <c r="AF12" s="1944"/>
    </row>
    <row r="13" spans="1:33" ht="27.6" customHeight="1">
      <c r="A13" s="1643" t="s">
        <v>926</v>
      </c>
      <c r="B13" s="1646" t="s">
        <v>927</v>
      </c>
      <c r="C13" s="1649" t="s">
        <v>831</v>
      </c>
      <c r="D13" s="1939">
        <v>5000106249</v>
      </c>
      <c r="E13" s="1929">
        <v>45714</v>
      </c>
      <c r="F13" s="1929">
        <v>46021</v>
      </c>
      <c r="G13" s="953" t="s">
        <v>928</v>
      </c>
      <c r="H13" s="954">
        <v>0</v>
      </c>
      <c r="I13" s="1931" t="s">
        <v>844</v>
      </c>
      <c r="J13" s="1933">
        <v>2</v>
      </c>
      <c r="K13" s="1935">
        <f>SUM(AE13:AE14)</f>
        <v>0</v>
      </c>
      <c r="L13" s="1937">
        <f>J13-K13</f>
        <v>2</v>
      </c>
      <c r="M13" s="1925">
        <f>K13/J13</f>
        <v>0</v>
      </c>
      <c r="N13" s="1927" t="s">
        <v>929</v>
      </c>
      <c r="O13" s="931"/>
      <c r="P13" s="932">
        <v>2</v>
      </c>
      <c r="Q13" s="933" t="s">
        <v>845</v>
      </c>
      <c r="R13" s="934" t="s">
        <v>930</v>
      </c>
      <c r="S13" s="935" t="s">
        <v>931</v>
      </c>
      <c r="T13" s="936"/>
      <c r="U13" s="937"/>
      <c r="V13" s="938">
        <f>SUM(T13:U13)</f>
        <v>0</v>
      </c>
      <c r="W13" s="1909">
        <f>J13-SUM(V13:V14)</f>
        <v>2</v>
      </c>
      <c r="X13" s="939" t="s">
        <v>932</v>
      </c>
      <c r="Y13" s="940"/>
      <c r="Z13" s="815">
        <v>46043</v>
      </c>
      <c r="AA13" s="815">
        <v>46076</v>
      </c>
      <c r="AB13" s="815">
        <v>46081</v>
      </c>
      <c r="AC13" s="941"/>
      <c r="AD13" s="941"/>
      <c r="AE13" s="942">
        <f t="shared" ref="AE13:AE14" si="1">SUM(AC13:AD13)</f>
        <v>0</v>
      </c>
      <c r="AF13" s="1614" t="s">
        <v>933</v>
      </c>
    </row>
    <row r="14" spans="1:33" ht="27.6" customHeight="1">
      <c r="A14" s="1644"/>
      <c r="B14" s="1647"/>
      <c r="C14" s="1650"/>
      <c r="D14" s="1940"/>
      <c r="E14" s="1930"/>
      <c r="F14" s="1930"/>
      <c r="G14" s="955"/>
      <c r="H14" s="956"/>
      <c r="I14" s="1932"/>
      <c r="J14" s="1934"/>
      <c r="K14" s="1936"/>
      <c r="L14" s="1938"/>
      <c r="M14" s="1926"/>
      <c r="N14" s="1928"/>
      <c r="O14" s="943"/>
      <c r="P14" s="944"/>
      <c r="Q14" s="945"/>
      <c r="R14" s="946"/>
      <c r="S14" s="947"/>
      <c r="T14" s="936"/>
      <c r="U14" s="937"/>
      <c r="V14" s="948">
        <f>SUM(T14:U14)</f>
        <v>0</v>
      </c>
      <c r="W14" s="1910"/>
      <c r="X14" s="949"/>
      <c r="Y14" s="941"/>
      <c r="Z14" s="950"/>
      <c r="AA14" s="951"/>
      <c r="AB14" s="950"/>
      <c r="AC14" s="941"/>
      <c r="AD14" s="941"/>
      <c r="AE14" s="952">
        <f t="shared" si="1"/>
        <v>0</v>
      </c>
      <c r="AF14" s="1615"/>
      <c r="AG14" s="89"/>
    </row>
    <row r="15" spans="1:33" ht="27.6" customHeight="1">
      <c r="A15" s="1644"/>
      <c r="B15" s="1647"/>
      <c r="C15" s="1650"/>
      <c r="D15" s="1866">
        <v>5000106249</v>
      </c>
      <c r="E15" s="1868">
        <v>45714</v>
      </c>
      <c r="F15" s="1868">
        <v>46162</v>
      </c>
      <c r="G15" s="122" t="s">
        <v>934</v>
      </c>
      <c r="H15" s="48">
        <v>0</v>
      </c>
      <c r="I15" s="1870" t="s">
        <v>844</v>
      </c>
      <c r="J15" s="1872">
        <v>20</v>
      </c>
      <c r="K15" s="1874">
        <f>SUM(AE15:AE16)</f>
        <v>0</v>
      </c>
      <c r="L15" s="1876">
        <f>J15-K15</f>
        <v>20</v>
      </c>
      <c r="M15" s="1878">
        <f>K15/J15</f>
        <v>0</v>
      </c>
      <c r="N15" s="1880" t="s">
        <v>811</v>
      </c>
      <c r="O15" s="123"/>
      <c r="P15" s="124">
        <v>20</v>
      </c>
      <c r="Q15" s="343" t="s">
        <v>845</v>
      </c>
      <c r="R15" s="1252" t="s">
        <v>935</v>
      </c>
      <c r="S15" s="125"/>
      <c r="T15" s="71"/>
      <c r="U15" s="72"/>
      <c r="V15" s="126">
        <f>SUM(T15:U15)</f>
        <v>0</v>
      </c>
      <c r="W15" s="1914">
        <f>J15-SUM(V15:V16)</f>
        <v>20</v>
      </c>
      <c r="X15" s="127"/>
      <c r="Y15" s="128"/>
      <c r="Z15" s="1253" t="s">
        <v>936</v>
      </c>
      <c r="AA15" s="129"/>
      <c r="AB15" s="77"/>
      <c r="AC15" s="75"/>
      <c r="AD15" s="75"/>
      <c r="AE15" s="130">
        <f t="shared" ref="AE15:AE16" si="2">SUM(AC15:AD15)</f>
        <v>0</v>
      </c>
      <c r="AF15" s="1615"/>
      <c r="AG15" s="89"/>
    </row>
    <row r="16" spans="1:33" ht="27.6" customHeight="1">
      <c r="A16" s="1644"/>
      <c r="B16" s="1647"/>
      <c r="C16" s="1650"/>
      <c r="D16" s="1867"/>
      <c r="E16" s="1869"/>
      <c r="F16" s="1869"/>
      <c r="G16" s="49"/>
      <c r="H16" s="50"/>
      <c r="I16" s="1871"/>
      <c r="J16" s="1873"/>
      <c r="K16" s="1875"/>
      <c r="L16" s="1877"/>
      <c r="M16" s="1879"/>
      <c r="N16" s="1881"/>
      <c r="O16" s="85"/>
      <c r="P16" s="86"/>
      <c r="Q16" s="68"/>
      <c r="R16" s="350"/>
      <c r="S16" s="70"/>
      <c r="T16" s="71"/>
      <c r="U16" s="72"/>
      <c r="V16" s="73">
        <f>SUM(T16:U16)</f>
        <v>0</v>
      </c>
      <c r="W16" s="1915"/>
      <c r="X16" s="74"/>
      <c r="Y16" s="75"/>
      <c r="Z16" s="76"/>
      <c r="AA16" s="77"/>
      <c r="AB16" s="76"/>
      <c r="AC16" s="75"/>
      <c r="AD16" s="75"/>
      <c r="AE16" s="78">
        <f t="shared" si="2"/>
        <v>0</v>
      </c>
      <c r="AF16" s="1615"/>
    </row>
    <row r="17" spans="1:33" ht="27.6" customHeight="1">
      <c r="A17" s="1644"/>
      <c r="B17" s="1647"/>
      <c r="C17" s="1650"/>
      <c r="D17" s="1812"/>
      <c r="E17" s="1812"/>
      <c r="F17" s="1812"/>
      <c r="G17" s="1812"/>
      <c r="H17" s="1812"/>
      <c r="I17" s="1813"/>
      <c r="J17" s="1830">
        <f>SUM(J13:J14)</f>
        <v>2</v>
      </c>
      <c r="K17" s="1831">
        <f>SUM(K13:K14)</f>
        <v>0</v>
      </c>
      <c r="L17" s="1831">
        <f>SUM(L13:L14)</f>
        <v>2</v>
      </c>
      <c r="M17" s="1832">
        <f>K17/J17</f>
        <v>0</v>
      </c>
      <c r="N17" s="1833" t="s">
        <v>826</v>
      </c>
      <c r="O17" s="1814">
        <f>SUM(O13:O14)</f>
        <v>0</v>
      </c>
      <c r="P17" s="1814">
        <f>SUM(P13:P14)</f>
        <v>2</v>
      </c>
      <c r="Q17" s="1816" t="s">
        <v>826</v>
      </c>
      <c r="R17" s="1817"/>
      <c r="S17" s="1818"/>
      <c r="T17" s="79">
        <f>SUM(T13:T14)</f>
        <v>0</v>
      </c>
      <c r="U17" s="79"/>
      <c r="V17" s="79">
        <f>SUM(V13:V14)</f>
        <v>0</v>
      </c>
      <c r="W17" s="79">
        <f>SUM(W13:W14)</f>
        <v>2</v>
      </c>
      <c r="X17" s="1635" t="s">
        <v>826</v>
      </c>
      <c r="Y17" s="1636"/>
      <c r="Z17" s="1636"/>
      <c r="AA17" s="1636"/>
      <c r="AB17" s="1637"/>
      <c r="AC17" s="80">
        <f>SUM(AC13:AC14)</f>
        <v>0</v>
      </c>
      <c r="AD17" s="80">
        <f>SUM(AD13:AD14)</f>
        <v>0</v>
      </c>
      <c r="AE17" s="80">
        <f>SUM(AE13:AE14)</f>
        <v>0</v>
      </c>
      <c r="AF17" s="1615"/>
    </row>
    <row r="18" spans="1:33" ht="27.6" customHeight="1" thickBot="1">
      <c r="A18" s="1645"/>
      <c r="B18" s="1648"/>
      <c r="C18" s="1651"/>
      <c r="D18" s="1902"/>
      <c r="E18" s="1902"/>
      <c r="F18" s="1902"/>
      <c r="G18" s="1902"/>
      <c r="H18" s="1902"/>
      <c r="I18" s="1903"/>
      <c r="J18" s="1904"/>
      <c r="K18" s="1905"/>
      <c r="L18" s="1905"/>
      <c r="M18" s="1907"/>
      <c r="N18" s="1908"/>
      <c r="O18" s="1906"/>
      <c r="P18" s="1906"/>
      <c r="Q18" s="1911" t="s">
        <v>827</v>
      </c>
      <c r="R18" s="1912"/>
      <c r="S18" s="1913"/>
      <c r="T18" s="81">
        <f>O17-T17</f>
        <v>0</v>
      </c>
      <c r="U18" s="81">
        <f>P17-U17</f>
        <v>2</v>
      </c>
      <c r="V18" s="81"/>
      <c r="W18" s="82"/>
      <c r="X18" s="1640" t="s">
        <v>827</v>
      </c>
      <c r="Y18" s="1641"/>
      <c r="Z18" s="1641"/>
      <c r="AA18" s="1641"/>
      <c r="AB18" s="1642"/>
      <c r="AC18" s="83">
        <f>O17-AC17</f>
        <v>0</v>
      </c>
      <c r="AD18" s="83">
        <f>P17-AD17</f>
        <v>2</v>
      </c>
      <c r="AE18" s="84">
        <f>SUM(AC18:AD18)</f>
        <v>2</v>
      </c>
      <c r="AF18" s="1616"/>
    </row>
    <row r="19" spans="1:33" ht="22.5">
      <c r="A19" s="1671" t="s">
        <v>937</v>
      </c>
      <c r="B19" s="1674" t="s">
        <v>938</v>
      </c>
      <c r="C19" s="1677" t="s">
        <v>831</v>
      </c>
      <c r="D19" s="1652">
        <v>5000106445</v>
      </c>
      <c r="E19" s="1598">
        <v>45728</v>
      </c>
      <c r="F19" s="1598">
        <v>45838</v>
      </c>
      <c r="G19" s="356" t="s">
        <v>939</v>
      </c>
      <c r="H19" s="363">
        <v>0</v>
      </c>
      <c r="I19" s="1601" t="s">
        <v>844</v>
      </c>
      <c r="J19" s="1603">
        <v>4</v>
      </c>
      <c r="K19" s="1605">
        <f>SUM(AE19:AE20)</f>
        <v>2</v>
      </c>
      <c r="L19" s="1607">
        <f>J19-K19</f>
        <v>2</v>
      </c>
      <c r="M19" s="1609">
        <f>K19/J19</f>
        <v>0.5</v>
      </c>
      <c r="N19" s="1611" t="s">
        <v>811</v>
      </c>
      <c r="O19" s="358"/>
      <c r="P19" s="423">
        <v>4</v>
      </c>
      <c r="Q19" s="424" t="s">
        <v>845</v>
      </c>
      <c r="R19" s="454">
        <v>45887</v>
      </c>
      <c r="S19" s="1304" t="s">
        <v>940</v>
      </c>
      <c r="T19" s="425"/>
      <c r="U19" s="426">
        <v>2</v>
      </c>
      <c r="V19" s="427">
        <v>2</v>
      </c>
      <c r="W19" s="1305">
        <f>J19-SUM(V19:V20)</f>
        <v>0</v>
      </c>
      <c r="X19" s="1143" t="s">
        <v>941</v>
      </c>
      <c r="Y19" s="441"/>
      <c r="Z19" s="455">
        <v>46148</v>
      </c>
      <c r="AA19" s="455">
        <v>46153</v>
      </c>
      <c r="AB19" s="455">
        <v>46154</v>
      </c>
      <c r="AC19" s="442"/>
      <c r="AD19" s="442"/>
      <c r="AE19" s="437"/>
      <c r="AF19" s="1656" t="s">
        <v>942</v>
      </c>
    </row>
    <row r="20" spans="1:33" ht="22.5">
      <c r="A20" s="1672"/>
      <c r="B20" s="1675"/>
      <c r="C20" s="1678"/>
      <c r="D20" s="1597"/>
      <c r="E20" s="1599"/>
      <c r="F20" s="1599"/>
      <c r="G20" s="362"/>
      <c r="H20" s="401"/>
      <c r="I20" s="1602"/>
      <c r="J20" s="1604"/>
      <c r="K20" s="1606"/>
      <c r="L20" s="1608"/>
      <c r="M20" s="1610"/>
      <c r="N20" s="1612"/>
      <c r="O20" s="364"/>
      <c r="P20" s="456"/>
      <c r="Q20" s="424" t="s">
        <v>845</v>
      </c>
      <c r="R20" s="454">
        <v>46076</v>
      </c>
      <c r="S20" s="410" t="s">
        <v>943</v>
      </c>
      <c r="T20" s="458"/>
      <c r="U20" s="459">
        <v>2</v>
      </c>
      <c r="V20" s="367">
        <v>2</v>
      </c>
      <c r="W20" s="1306">
        <v>0</v>
      </c>
      <c r="X20" s="1063" t="s">
        <v>944</v>
      </c>
      <c r="Y20" s="1142"/>
      <c r="Z20" s="1159">
        <v>46127</v>
      </c>
      <c r="AA20" s="1159">
        <v>46127</v>
      </c>
      <c r="AB20" s="1159">
        <v>46128</v>
      </c>
      <c r="AC20" s="453"/>
      <c r="AD20" s="453">
        <v>2</v>
      </c>
      <c r="AE20" s="1251">
        <f t="shared" ref="AE20" si="3">SUM(AC20:AD20)</f>
        <v>2</v>
      </c>
      <c r="AF20" s="1657"/>
    </row>
    <row r="21" spans="1:33" ht="11.25">
      <c r="A21" s="1672"/>
      <c r="B21" s="1675"/>
      <c r="C21" s="1678"/>
      <c r="D21" s="1307"/>
      <c r="E21" s="1308"/>
      <c r="F21" s="1308"/>
      <c r="G21" s="1309"/>
      <c r="H21" s="1310"/>
      <c r="I21" s="1311"/>
      <c r="J21" s="1297"/>
      <c r="K21" s="1298"/>
      <c r="L21" s="1296"/>
      <c r="M21" s="1312"/>
      <c r="N21" s="1295"/>
      <c r="O21" s="1313"/>
      <c r="P21" s="1314"/>
      <c r="Q21" s="1315"/>
      <c r="R21" s="1316"/>
      <c r="S21" s="1317"/>
      <c r="T21" s="458"/>
      <c r="U21" s="459"/>
      <c r="V21" s="560"/>
      <c r="W21" s="1318"/>
      <c r="X21" s="1319"/>
      <c r="Y21" s="438"/>
      <c r="Z21" s="1172"/>
      <c r="AA21" s="1172"/>
      <c r="AB21" s="1172"/>
      <c r="AC21" s="453"/>
      <c r="AD21" s="453"/>
      <c r="AE21" s="1320"/>
      <c r="AF21" s="1657"/>
    </row>
    <row r="22" spans="1:33" ht="27" customHeight="1">
      <c r="A22" s="1672"/>
      <c r="B22" s="1675"/>
      <c r="C22" s="1678"/>
      <c r="D22" s="1617"/>
      <c r="E22" s="1617"/>
      <c r="F22" s="1617"/>
      <c r="G22" s="1617"/>
      <c r="H22" s="1617"/>
      <c r="I22" s="1618"/>
      <c r="J22" s="1621">
        <f>SUM(J19:J20)</f>
        <v>4</v>
      </c>
      <c r="K22" s="1623">
        <f>SUM(K19:K20)</f>
        <v>2</v>
      </c>
      <c r="L22" s="1623">
        <f>SUM(L19:L20)</f>
        <v>2</v>
      </c>
      <c r="M22" s="1625">
        <f>K22/J22</f>
        <v>0.5</v>
      </c>
      <c r="N22" s="1627" t="s">
        <v>826</v>
      </c>
      <c r="O22" s="1629">
        <f>SUM(O19:O20)</f>
        <v>0</v>
      </c>
      <c r="P22" s="1629">
        <f>SUM(P19:P20)</f>
        <v>4</v>
      </c>
      <c r="Q22" s="1661" t="s">
        <v>826</v>
      </c>
      <c r="R22" s="1633"/>
      <c r="S22" s="1634"/>
      <c r="T22" s="471">
        <f>SUM(T19:T20)</f>
        <v>0</v>
      </c>
      <c r="U22" s="471"/>
      <c r="V22" s="471">
        <f>SUM(V19:V20)</f>
        <v>4</v>
      </c>
      <c r="W22" s="471">
        <f>SUM(W19:W20)</f>
        <v>0</v>
      </c>
      <c r="X22" s="1662" t="s">
        <v>826</v>
      </c>
      <c r="Y22" s="1663"/>
      <c r="Z22" s="1663"/>
      <c r="AA22" s="1663"/>
      <c r="AB22" s="1664"/>
      <c r="AC22" s="441">
        <f>SUM(AC19:AC20)</f>
        <v>0</v>
      </c>
      <c r="AD22" s="441">
        <f>SUM(AD19:AD20)</f>
        <v>2</v>
      </c>
      <c r="AE22" s="441">
        <f>SUM(AE19:AE20)</f>
        <v>2</v>
      </c>
      <c r="AF22" s="1657"/>
    </row>
    <row r="23" spans="1:33" ht="83.45" customHeight="1" thickBot="1">
      <c r="A23" s="1673"/>
      <c r="B23" s="1676"/>
      <c r="C23" s="1679"/>
      <c r="D23" s="1619"/>
      <c r="E23" s="1619"/>
      <c r="F23" s="1619"/>
      <c r="G23" s="1619"/>
      <c r="H23" s="1619"/>
      <c r="I23" s="1620"/>
      <c r="J23" s="1622"/>
      <c r="K23" s="1624"/>
      <c r="L23" s="1624"/>
      <c r="M23" s="1626"/>
      <c r="N23" s="1628"/>
      <c r="O23" s="1630"/>
      <c r="P23" s="1630"/>
      <c r="Q23" s="1689" t="s">
        <v>827</v>
      </c>
      <c r="R23" s="1638"/>
      <c r="S23" s="1639"/>
      <c r="T23" s="472">
        <f>O22-T22</f>
        <v>0</v>
      </c>
      <c r="U23" s="472">
        <f>P22-U22</f>
        <v>4</v>
      </c>
      <c r="V23" s="472"/>
      <c r="W23" s="473"/>
      <c r="X23" s="1668" t="s">
        <v>828</v>
      </c>
      <c r="Y23" s="1669"/>
      <c r="Z23" s="1669"/>
      <c r="AA23" s="1669"/>
      <c r="AB23" s="1670"/>
      <c r="AC23" s="474">
        <f>O22-AC22</f>
        <v>0</v>
      </c>
      <c r="AD23" s="474">
        <f>P22-AD22</f>
        <v>2</v>
      </c>
      <c r="AE23" s="475">
        <f>SUM(AC23:AD23)</f>
        <v>2</v>
      </c>
      <c r="AF23" s="1707"/>
    </row>
    <row r="24" spans="1:33" ht="20.25" customHeight="1">
      <c r="A24" s="1671" t="s">
        <v>945</v>
      </c>
      <c r="B24" s="1674" t="s">
        <v>946</v>
      </c>
      <c r="C24" s="1677" t="s">
        <v>831</v>
      </c>
      <c r="D24" s="1652">
        <v>5000106918</v>
      </c>
      <c r="E24" s="1598">
        <v>45728</v>
      </c>
      <c r="F24" s="1598">
        <v>45884</v>
      </c>
      <c r="G24" s="356" t="s">
        <v>947</v>
      </c>
      <c r="H24" s="363">
        <v>0</v>
      </c>
      <c r="I24" s="1601" t="s">
        <v>844</v>
      </c>
      <c r="J24" s="1603">
        <v>6</v>
      </c>
      <c r="K24" s="1605">
        <f>SUM(AE24:AE25)</f>
        <v>6</v>
      </c>
      <c r="L24" s="1607">
        <f>J24-K24</f>
        <v>0</v>
      </c>
      <c r="M24" s="1609">
        <f>K24/J24</f>
        <v>1</v>
      </c>
      <c r="N24" s="1611" t="s">
        <v>811</v>
      </c>
      <c r="O24" s="358"/>
      <c r="P24" s="423">
        <v>6</v>
      </c>
      <c r="Q24" s="424" t="s">
        <v>845</v>
      </c>
      <c r="R24" s="454">
        <v>45889</v>
      </c>
      <c r="S24" s="369" t="s">
        <v>948</v>
      </c>
      <c r="T24" s="425"/>
      <c r="U24" s="426">
        <v>6</v>
      </c>
      <c r="V24" s="427">
        <f>SUM(T24:U24)</f>
        <v>6</v>
      </c>
      <c r="W24" s="1613">
        <f>J24-SUM(V24:V25)</f>
        <v>0</v>
      </c>
      <c r="X24" s="447" t="s">
        <v>949</v>
      </c>
      <c r="Y24" s="441"/>
      <c r="Z24" s="455">
        <v>45918</v>
      </c>
      <c r="AA24" s="435">
        <v>45956</v>
      </c>
      <c r="AB24" s="435">
        <v>45959</v>
      </c>
      <c r="AC24" s="442"/>
      <c r="AD24" s="442">
        <v>6</v>
      </c>
      <c r="AE24" s="443">
        <v>6</v>
      </c>
      <c r="AF24" s="1656" t="s">
        <v>950</v>
      </c>
    </row>
    <row r="25" spans="1:33" ht="20.25" customHeight="1">
      <c r="A25" s="1672"/>
      <c r="B25" s="1675"/>
      <c r="C25" s="1678"/>
      <c r="D25" s="1597"/>
      <c r="E25" s="1599"/>
      <c r="F25" s="1599"/>
      <c r="G25" s="362"/>
      <c r="H25" s="401"/>
      <c r="I25" s="1602"/>
      <c r="J25" s="1604"/>
      <c r="K25" s="1606"/>
      <c r="L25" s="1608"/>
      <c r="M25" s="1610"/>
      <c r="N25" s="1612"/>
      <c r="O25" s="364"/>
      <c r="P25" s="456"/>
      <c r="Q25" s="429"/>
      <c r="R25" s="457"/>
      <c r="S25" s="430"/>
      <c r="T25" s="458"/>
      <c r="U25" s="459"/>
      <c r="V25" s="367">
        <f>SUM(T25:U25)</f>
        <v>0</v>
      </c>
      <c r="W25" s="1595"/>
      <c r="X25" s="460"/>
      <c r="Y25" s="453"/>
      <c r="Z25" s="476"/>
      <c r="AA25" s="477"/>
      <c r="AB25" s="476"/>
      <c r="AC25" s="453"/>
      <c r="AD25" s="453"/>
      <c r="AE25" s="440">
        <f t="shared" ref="AE25" si="4">SUM(AC25:AD25)</f>
        <v>0</v>
      </c>
      <c r="AF25" s="1657"/>
    </row>
    <row r="26" spans="1:33" ht="20.25" customHeight="1">
      <c r="A26" s="1672"/>
      <c r="B26" s="1675"/>
      <c r="C26" s="1678"/>
      <c r="D26" s="1596" t="s">
        <v>951</v>
      </c>
      <c r="E26" s="1598">
        <v>45880</v>
      </c>
      <c r="F26" s="1598">
        <v>45960</v>
      </c>
      <c r="G26" s="418" t="s">
        <v>947</v>
      </c>
      <c r="H26" s="363">
        <v>0</v>
      </c>
      <c r="I26" s="1601" t="s">
        <v>844</v>
      </c>
      <c r="J26" s="1603">
        <v>1</v>
      </c>
      <c r="K26" s="1605">
        <f>SUM(AE26:AE27)</f>
        <v>1</v>
      </c>
      <c r="L26" s="1607">
        <f>J26-K26</f>
        <v>0</v>
      </c>
      <c r="M26" s="1609">
        <f>K26/J26</f>
        <v>1</v>
      </c>
      <c r="N26" s="1611" t="s">
        <v>811</v>
      </c>
      <c r="O26" s="463"/>
      <c r="P26" s="464">
        <v>1</v>
      </c>
      <c r="Q26" s="424" t="s">
        <v>845</v>
      </c>
      <c r="R26" s="465">
        <v>45930</v>
      </c>
      <c r="S26" s="410" t="s">
        <v>952</v>
      </c>
      <c r="T26" s="466"/>
      <c r="U26" s="459">
        <v>1</v>
      </c>
      <c r="V26" s="467">
        <f>SUM(T26:U26)</f>
        <v>1</v>
      </c>
      <c r="W26" s="1594">
        <f>J26-SUM(V26:V27)</f>
        <v>0</v>
      </c>
      <c r="X26" s="478" t="s">
        <v>953</v>
      </c>
      <c r="Y26" s="468"/>
      <c r="Z26" s="479">
        <v>45954</v>
      </c>
      <c r="AA26" s="480">
        <v>45955</v>
      </c>
      <c r="AB26" s="480">
        <v>45956</v>
      </c>
      <c r="AC26" s="453"/>
      <c r="AD26" s="453">
        <v>1</v>
      </c>
      <c r="AE26" s="469">
        <v>1</v>
      </c>
      <c r="AF26" s="1657"/>
    </row>
    <row r="27" spans="1:33" ht="20.25" customHeight="1">
      <c r="A27" s="1672"/>
      <c r="B27" s="1675"/>
      <c r="C27" s="1678"/>
      <c r="D27" s="1597"/>
      <c r="E27" s="1599"/>
      <c r="F27" s="1599"/>
      <c r="G27" s="362"/>
      <c r="H27" s="401"/>
      <c r="I27" s="1602"/>
      <c r="J27" s="1604"/>
      <c r="K27" s="1606"/>
      <c r="L27" s="1608"/>
      <c r="M27" s="1610"/>
      <c r="N27" s="1612"/>
      <c r="O27" s="402"/>
      <c r="P27" s="428"/>
      <c r="Q27" s="429"/>
      <c r="R27" s="457"/>
      <c r="S27" s="470"/>
      <c r="T27" s="458"/>
      <c r="U27" s="459"/>
      <c r="V27" s="367">
        <f>SUM(T27:U27)</f>
        <v>0</v>
      </c>
      <c r="W27" s="1594"/>
      <c r="X27" s="460"/>
      <c r="Y27" s="453"/>
      <c r="Z27" s="461"/>
      <c r="AA27" s="462"/>
      <c r="AB27" s="461"/>
      <c r="AC27" s="453"/>
      <c r="AD27" s="453"/>
      <c r="AE27" s="440">
        <f t="shared" ref="AE27" si="5">SUM(AC27:AD27)</f>
        <v>0</v>
      </c>
      <c r="AF27" s="1657"/>
    </row>
    <row r="28" spans="1:33" ht="20.25" customHeight="1">
      <c r="A28" s="1672"/>
      <c r="B28" s="1675"/>
      <c r="C28" s="1678"/>
      <c r="D28" s="1617"/>
      <c r="E28" s="1617"/>
      <c r="F28" s="1617"/>
      <c r="G28" s="1617"/>
      <c r="H28" s="1617"/>
      <c r="I28" s="1618"/>
      <c r="J28" s="1621">
        <f>SUM(J24:J27)</f>
        <v>7</v>
      </c>
      <c r="K28" s="1623">
        <f>SUM(K24:K25)</f>
        <v>6</v>
      </c>
      <c r="L28" s="1621">
        <f>SUM(L24:L27)</f>
        <v>0</v>
      </c>
      <c r="M28" s="1625">
        <f>K28/J28</f>
        <v>0.8571428571428571</v>
      </c>
      <c r="N28" s="1627" t="s">
        <v>826</v>
      </c>
      <c r="O28" s="1629">
        <f>SUM(O24:O25)</f>
        <v>0</v>
      </c>
      <c r="P28" s="1621">
        <f>SUM(P24:P27)</f>
        <v>7</v>
      </c>
      <c r="Q28" s="1661" t="s">
        <v>826</v>
      </c>
      <c r="R28" s="1633"/>
      <c r="S28" s="1634"/>
      <c r="T28" s="471">
        <f>SUM(T24:T25)</f>
        <v>0</v>
      </c>
      <c r="U28" s="471">
        <v>7</v>
      </c>
      <c r="V28" s="471">
        <f>SUM(V24:V27)</f>
        <v>7</v>
      </c>
      <c r="W28" s="471">
        <f>SUM(W24:W27)</f>
        <v>0</v>
      </c>
      <c r="X28" s="1662" t="s">
        <v>826</v>
      </c>
      <c r="Y28" s="1663"/>
      <c r="Z28" s="1663"/>
      <c r="AA28" s="1663"/>
      <c r="AB28" s="1664"/>
      <c r="AC28" s="441">
        <f>SUM(AC24:AC25)</f>
        <v>0</v>
      </c>
      <c r="AD28" s="441">
        <v>7</v>
      </c>
      <c r="AE28" s="441">
        <v>7</v>
      </c>
      <c r="AF28" s="1657"/>
    </row>
    <row r="29" spans="1:33" ht="41.25" customHeight="1">
      <c r="A29" s="1673"/>
      <c r="B29" s="1676"/>
      <c r="C29" s="1679"/>
      <c r="D29" s="1619"/>
      <c r="E29" s="1619"/>
      <c r="F29" s="1619"/>
      <c r="G29" s="1619"/>
      <c r="H29" s="1619"/>
      <c r="I29" s="1620"/>
      <c r="J29" s="1622"/>
      <c r="K29" s="1624"/>
      <c r="L29" s="1622"/>
      <c r="M29" s="1626"/>
      <c r="N29" s="1628"/>
      <c r="O29" s="1630"/>
      <c r="P29" s="1622"/>
      <c r="Q29" s="1689" t="s">
        <v>827</v>
      </c>
      <c r="R29" s="1638"/>
      <c r="S29" s="1639"/>
      <c r="T29" s="472">
        <f>O28-T28</f>
        <v>0</v>
      </c>
      <c r="U29" s="472">
        <f>P28-U28</f>
        <v>0</v>
      </c>
      <c r="V29" s="472"/>
      <c r="W29" s="473"/>
      <c r="X29" s="1668" t="s">
        <v>827</v>
      </c>
      <c r="Y29" s="1669"/>
      <c r="Z29" s="1669"/>
      <c r="AA29" s="1669"/>
      <c r="AB29" s="1670"/>
      <c r="AC29" s="474">
        <f>O28-AC28</f>
        <v>0</v>
      </c>
      <c r="AD29" s="474">
        <f>P28-AD28</f>
        <v>0</v>
      </c>
      <c r="AE29" s="475">
        <f>SUM(AC29:AD29)</f>
        <v>0</v>
      </c>
      <c r="AF29" s="1707"/>
    </row>
    <row r="30" spans="1:33" ht="22.5">
      <c r="A30" s="1643" t="s">
        <v>954</v>
      </c>
      <c r="B30" s="1646" t="s">
        <v>955</v>
      </c>
      <c r="C30" s="1649" t="s">
        <v>831</v>
      </c>
      <c r="D30" s="1901">
        <v>5000107304</v>
      </c>
      <c r="E30" s="1868">
        <v>45776</v>
      </c>
      <c r="F30" s="1868">
        <v>46112</v>
      </c>
      <c r="G30" s="47" t="s">
        <v>956</v>
      </c>
      <c r="H30" s="48">
        <v>0</v>
      </c>
      <c r="I30" s="1870" t="s">
        <v>844</v>
      </c>
      <c r="J30" s="1872">
        <v>9</v>
      </c>
      <c r="K30" s="1874">
        <f>SUM(AE30:AE31)</f>
        <v>0</v>
      </c>
      <c r="L30" s="1876">
        <f>J30-K30</f>
        <v>9</v>
      </c>
      <c r="M30" s="1878">
        <f>K30/J30</f>
        <v>0</v>
      </c>
      <c r="N30" s="1880" t="s">
        <v>811</v>
      </c>
      <c r="O30" s="54"/>
      <c r="P30" s="55">
        <v>9</v>
      </c>
      <c r="Q30" s="343" t="s">
        <v>812</v>
      </c>
      <c r="R30" s="56"/>
      <c r="S30" s="57"/>
      <c r="T30" s="58"/>
      <c r="U30" s="59"/>
      <c r="V30" s="60">
        <f>SUM(T30:U30)</f>
        <v>0</v>
      </c>
      <c r="W30" s="1959">
        <f>J30-SUM(V30:V31)</f>
        <v>9</v>
      </c>
      <c r="X30" s="61"/>
      <c r="Y30" s="62"/>
      <c r="Z30" s="63"/>
      <c r="AA30" s="64"/>
      <c r="AB30" s="65"/>
      <c r="AC30" s="66"/>
      <c r="AD30" s="66"/>
      <c r="AE30" s="67">
        <f t="shared" ref="AE30:AE31" si="6">SUM(AC30:AD30)</f>
        <v>0</v>
      </c>
      <c r="AF30" s="1960" t="s">
        <v>957</v>
      </c>
      <c r="AG30" s="51" t="s">
        <v>958</v>
      </c>
    </row>
    <row r="31" spans="1:33" ht="11.25">
      <c r="A31" s="1644"/>
      <c r="B31" s="1647"/>
      <c r="C31" s="1650"/>
      <c r="D31" s="1866"/>
      <c r="E31" s="1869"/>
      <c r="F31" s="1869"/>
      <c r="G31" s="49"/>
      <c r="H31" s="50"/>
      <c r="I31" s="1871"/>
      <c r="J31" s="1873"/>
      <c r="K31" s="1875"/>
      <c r="L31" s="1877"/>
      <c r="M31" s="1879"/>
      <c r="N31" s="1881"/>
      <c r="O31" s="85"/>
      <c r="P31" s="86"/>
      <c r="Q31" s="68"/>
      <c r="R31" s="69"/>
      <c r="S31" s="70"/>
      <c r="T31" s="71"/>
      <c r="U31" s="72"/>
      <c r="V31" s="73">
        <f>SUM(T31:U31)</f>
        <v>0</v>
      </c>
      <c r="W31" s="1915"/>
      <c r="X31" s="74"/>
      <c r="Y31" s="75"/>
      <c r="Z31" s="76"/>
      <c r="AA31" s="77"/>
      <c r="AB31" s="76"/>
      <c r="AC31" s="75"/>
      <c r="AD31" s="75"/>
      <c r="AE31" s="78">
        <f t="shared" si="6"/>
        <v>0</v>
      </c>
      <c r="AF31" s="1961"/>
    </row>
    <row r="32" spans="1:33" ht="33" customHeight="1">
      <c r="A32" s="1644"/>
      <c r="B32" s="1647"/>
      <c r="C32" s="1650"/>
      <c r="D32" s="1812"/>
      <c r="E32" s="1812"/>
      <c r="F32" s="1812"/>
      <c r="G32" s="1812"/>
      <c r="H32" s="1812"/>
      <c r="I32" s="1813"/>
      <c r="J32" s="1830">
        <f>SUM(J30:J31)</f>
        <v>9</v>
      </c>
      <c r="K32" s="1831">
        <f>SUM(K30:K31)</f>
        <v>0</v>
      </c>
      <c r="L32" s="1831">
        <f>SUM(L30:L31)</f>
        <v>9</v>
      </c>
      <c r="M32" s="1832">
        <f>K32/J32</f>
        <v>0</v>
      </c>
      <c r="N32" s="1833" t="s">
        <v>826</v>
      </c>
      <c r="O32" s="1814">
        <f>SUM(O30:O31)</f>
        <v>0</v>
      </c>
      <c r="P32" s="1814">
        <f>SUM(P30:P31)</f>
        <v>9</v>
      </c>
      <c r="Q32" s="1816" t="s">
        <v>826</v>
      </c>
      <c r="R32" s="1817"/>
      <c r="S32" s="1818"/>
      <c r="T32" s="79">
        <f>SUM(T30:T31)</f>
        <v>0</v>
      </c>
      <c r="U32" s="79"/>
      <c r="V32" s="79">
        <f>SUM(V30:V31)</f>
        <v>0</v>
      </c>
      <c r="W32" s="79">
        <f>SUM(W30:W31)</f>
        <v>9</v>
      </c>
      <c r="X32" s="1635" t="s">
        <v>826</v>
      </c>
      <c r="Y32" s="1636"/>
      <c r="Z32" s="1636"/>
      <c r="AA32" s="1636"/>
      <c r="AB32" s="1637"/>
      <c r="AC32" s="80">
        <f>SUM(AC30:AC31)</f>
        <v>0</v>
      </c>
      <c r="AD32" s="80">
        <f>SUM(AD30:AD31)</f>
        <v>0</v>
      </c>
      <c r="AE32" s="80">
        <f>SUM(AE30:AE31)</f>
        <v>0</v>
      </c>
      <c r="AF32" s="1961"/>
    </row>
    <row r="33" spans="1:32" ht="136.5" customHeight="1">
      <c r="A33" s="1645"/>
      <c r="B33" s="1648"/>
      <c r="C33" s="1651"/>
      <c r="D33" s="1902"/>
      <c r="E33" s="1902"/>
      <c r="F33" s="1902"/>
      <c r="G33" s="1902"/>
      <c r="H33" s="1902"/>
      <c r="I33" s="1903"/>
      <c r="J33" s="1904"/>
      <c r="K33" s="1905"/>
      <c r="L33" s="1905"/>
      <c r="M33" s="1907"/>
      <c r="N33" s="1908"/>
      <c r="O33" s="1906"/>
      <c r="P33" s="1906"/>
      <c r="Q33" s="1911" t="s">
        <v>827</v>
      </c>
      <c r="R33" s="1912"/>
      <c r="S33" s="1913"/>
      <c r="T33" s="81">
        <f>O32-T32</f>
        <v>0</v>
      </c>
      <c r="U33" s="81">
        <f>P32-U32</f>
        <v>9</v>
      </c>
      <c r="V33" s="81"/>
      <c r="W33" s="82"/>
      <c r="X33" s="1640" t="s">
        <v>827</v>
      </c>
      <c r="Y33" s="1641"/>
      <c r="Z33" s="1641"/>
      <c r="AA33" s="1641"/>
      <c r="AB33" s="1642"/>
      <c r="AC33" s="83">
        <f>O32-AC32</f>
        <v>0</v>
      </c>
      <c r="AD33" s="83">
        <f>P32-AD32</f>
        <v>9</v>
      </c>
      <c r="AE33" s="84">
        <f>SUM(AC33:AD33)</f>
        <v>9</v>
      </c>
      <c r="AF33" s="1962"/>
    </row>
    <row r="34" spans="1:32" ht="31.5" customHeight="1">
      <c r="A34" s="1671" t="s">
        <v>959</v>
      </c>
      <c r="B34" s="1674" t="s">
        <v>960</v>
      </c>
      <c r="C34" s="1898" t="s">
        <v>831</v>
      </c>
      <c r="D34" s="1652">
        <v>5000107328</v>
      </c>
      <c r="E34" s="1598">
        <v>45776</v>
      </c>
      <c r="F34" s="1598">
        <v>45922</v>
      </c>
      <c r="G34" s="356" t="s">
        <v>961</v>
      </c>
      <c r="H34" s="363">
        <v>0</v>
      </c>
      <c r="I34" s="1601" t="s">
        <v>844</v>
      </c>
      <c r="J34" s="1603">
        <v>1</v>
      </c>
      <c r="K34" s="1605">
        <f>SUM(AE34:AE35)</f>
        <v>1</v>
      </c>
      <c r="L34" s="1607">
        <f>J34-K34</f>
        <v>0</v>
      </c>
      <c r="M34" s="1609">
        <f>K34/J34</f>
        <v>1</v>
      </c>
      <c r="N34" s="1611" t="s">
        <v>811</v>
      </c>
      <c r="O34" s="358"/>
      <c r="P34" s="423">
        <v>1</v>
      </c>
      <c r="Q34" s="424" t="s">
        <v>812</v>
      </c>
      <c r="R34" s="784" t="s">
        <v>962</v>
      </c>
      <c r="S34" s="369" t="s">
        <v>963</v>
      </c>
      <c r="T34" s="425"/>
      <c r="U34" s="426">
        <v>1</v>
      </c>
      <c r="V34" s="427">
        <f t="shared" ref="V34:V41" si="7">SUM(T34:U34)</f>
        <v>1</v>
      </c>
      <c r="W34" s="1894">
        <f>J34-SUM(V34:V35)</f>
        <v>0</v>
      </c>
      <c r="X34" s="447" t="s">
        <v>964</v>
      </c>
      <c r="Y34" s="441"/>
      <c r="Z34" s="455">
        <v>45935</v>
      </c>
      <c r="AA34" s="455">
        <v>45936</v>
      </c>
      <c r="AB34" s="455">
        <v>45936</v>
      </c>
      <c r="AC34" s="442"/>
      <c r="AD34" s="442">
        <v>1</v>
      </c>
      <c r="AE34" s="443">
        <v>1</v>
      </c>
      <c r="AF34" s="1656" t="s">
        <v>965</v>
      </c>
    </row>
    <row r="35" spans="1:32" ht="15" customHeight="1">
      <c r="A35" s="1672"/>
      <c r="B35" s="1675"/>
      <c r="C35" s="1899"/>
      <c r="D35" s="1597"/>
      <c r="E35" s="1599"/>
      <c r="F35" s="1599"/>
      <c r="G35" s="362" t="s">
        <v>966</v>
      </c>
      <c r="H35" s="401"/>
      <c r="I35" s="1602"/>
      <c r="J35" s="1604"/>
      <c r="K35" s="1606"/>
      <c r="L35" s="1608"/>
      <c r="M35" s="1610"/>
      <c r="N35" s="1612"/>
      <c r="O35" s="364"/>
      <c r="P35" s="456"/>
      <c r="Q35" s="429"/>
      <c r="R35" s="797"/>
      <c r="S35" s="430"/>
      <c r="T35" s="837"/>
      <c r="U35" s="800"/>
      <c r="V35" s="413">
        <f t="shared" si="7"/>
        <v>0</v>
      </c>
      <c r="W35" s="1895"/>
      <c r="X35" s="838"/>
      <c r="Y35" s="444"/>
      <c r="Z35" s="451"/>
      <c r="AA35" s="452"/>
      <c r="AB35" s="451"/>
      <c r="AC35" s="444"/>
      <c r="AD35" s="444"/>
      <c r="AE35" s="445">
        <f t="shared" ref="AE35" si="8">SUM(AC35:AD35)</f>
        <v>0</v>
      </c>
      <c r="AF35" s="1657"/>
    </row>
    <row r="36" spans="1:32" ht="33" customHeight="1">
      <c r="A36" s="1672"/>
      <c r="B36" s="1675"/>
      <c r="C36" s="1899"/>
      <c r="D36" s="1896" t="s">
        <v>967</v>
      </c>
      <c r="E36" s="1888" t="s">
        <v>968</v>
      </c>
      <c r="F36" s="1680">
        <v>45991</v>
      </c>
      <c r="G36" s="959" t="s">
        <v>961</v>
      </c>
      <c r="H36" s="958">
        <v>0</v>
      </c>
      <c r="I36" s="1890" t="s">
        <v>844</v>
      </c>
      <c r="J36" s="1892">
        <v>25</v>
      </c>
      <c r="K36" s="1963">
        <f>SUM(AE36:AE37)</f>
        <v>25</v>
      </c>
      <c r="L36" s="1882"/>
      <c r="M36" s="1884">
        <f>K36/J36</f>
        <v>1</v>
      </c>
      <c r="N36" s="1886" t="s">
        <v>811</v>
      </c>
      <c r="O36" s="841"/>
      <c r="P36" s="842">
        <v>25</v>
      </c>
      <c r="Q36" s="424" t="s">
        <v>812</v>
      </c>
      <c r="R36" s="843" t="s">
        <v>969</v>
      </c>
      <c r="S36" s="844" t="s">
        <v>970</v>
      </c>
      <c r="T36" s="845"/>
      <c r="U36" s="846">
        <v>25</v>
      </c>
      <c r="V36" s="847">
        <v>25</v>
      </c>
      <c r="W36" s="1894">
        <f>J36-SUM(V36:V37)</f>
        <v>0</v>
      </c>
      <c r="X36" s="848" t="s">
        <v>971</v>
      </c>
      <c r="Y36" s="849"/>
      <c r="Z36" s="644">
        <v>46041</v>
      </c>
      <c r="AA36" s="901">
        <v>46070</v>
      </c>
      <c r="AB36" s="901">
        <v>46076</v>
      </c>
      <c r="AC36" s="850"/>
      <c r="AD36" s="850">
        <v>25</v>
      </c>
      <c r="AE36" s="851">
        <f t="shared" ref="AE36:AE39" si="9">SUM(AC36:AD36)</f>
        <v>25</v>
      </c>
      <c r="AF36" s="1657"/>
    </row>
    <row r="37" spans="1:32" ht="15" customHeight="1">
      <c r="A37" s="1672"/>
      <c r="B37" s="1675"/>
      <c r="C37" s="1899"/>
      <c r="D37" s="1897"/>
      <c r="E37" s="1889"/>
      <c r="F37" s="1599"/>
      <c r="G37" s="839"/>
      <c r="H37" s="840"/>
      <c r="I37" s="1891"/>
      <c r="J37" s="1893"/>
      <c r="K37" s="1964"/>
      <c r="L37" s="1883"/>
      <c r="M37" s="1885"/>
      <c r="N37" s="1887"/>
      <c r="O37" s="852"/>
      <c r="P37" s="853"/>
      <c r="Q37" s="854"/>
      <c r="R37" s="855"/>
      <c r="S37" s="856"/>
      <c r="T37" s="845"/>
      <c r="U37" s="846"/>
      <c r="V37" s="847">
        <f t="shared" si="7"/>
        <v>0</v>
      </c>
      <c r="W37" s="1895"/>
      <c r="X37" s="857"/>
      <c r="Y37" s="850"/>
      <c r="Z37" s="645"/>
      <c r="AA37" s="902"/>
      <c r="AB37" s="645"/>
      <c r="AC37" s="850"/>
      <c r="AD37" s="850"/>
      <c r="AE37" s="851">
        <f t="shared" si="9"/>
        <v>0</v>
      </c>
      <c r="AF37" s="1657"/>
    </row>
    <row r="38" spans="1:32" ht="30" customHeight="1">
      <c r="A38" s="1672"/>
      <c r="B38" s="1675"/>
      <c r="C38" s="1899"/>
      <c r="D38" s="1896" t="s">
        <v>967</v>
      </c>
      <c r="E38" s="1888" t="s">
        <v>968</v>
      </c>
      <c r="F38" s="1680">
        <v>45991</v>
      </c>
      <c r="G38" s="418" t="s">
        <v>961</v>
      </c>
      <c r="H38" s="401">
        <v>0</v>
      </c>
      <c r="I38" s="1681" t="s">
        <v>844</v>
      </c>
      <c r="J38" s="1682">
        <v>13</v>
      </c>
      <c r="K38" s="1683">
        <f>SUM(AE38:AE39)</f>
        <v>13</v>
      </c>
      <c r="L38" s="1655"/>
      <c r="M38" s="1653">
        <f>K38/J38</f>
        <v>1</v>
      </c>
      <c r="N38" s="1654" t="s">
        <v>811</v>
      </c>
      <c r="O38" s="463"/>
      <c r="P38" s="464">
        <v>13</v>
      </c>
      <c r="Q38" s="858" t="s">
        <v>812</v>
      </c>
      <c r="R38" s="843" t="s">
        <v>969</v>
      </c>
      <c r="S38" s="844" t="s">
        <v>970</v>
      </c>
      <c r="T38" s="458"/>
      <c r="U38" s="459">
        <v>13</v>
      </c>
      <c r="V38" s="467">
        <v>13</v>
      </c>
      <c r="W38" s="1594">
        <f>J38-SUM(V38:V39)</f>
        <v>0</v>
      </c>
      <c r="X38" s="478" t="s">
        <v>971</v>
      </c>
      <c r="Y38" s="468"/>
      <c r="Z38" s="644">
        <v>46041</v>
      </c>
      <c r="AA38" s="901">
        <v>46070</v>
      </c>
      <c r="AB38" s="901">
        <v>46076</v>
      </c>
      <c r="AC38" s="453"/>
      <c r="AD38" s="453">
        <v>13</v>
      </c>
      <c r="AE38" s="469">
        <f t="shared" si="9"/>
        <v>13</v>
      </c>
      <c r="AF38" s="1657"/>
    </row>
    <row r="39" spans="1:32" ht="15" customHeight="1">
      <c r="A39" s="1672"/>
      <c r="B39" s="1675"/>
      <c r="C39" s="1899"/>
      <c r="D39" s="1897"/>
      <c r="E39" s="1889"/>
      <c r="F39" s="1599"/>
      <c r="G39" s="362"/>
      <c r="H39" s="401"/>
      <c r="I39" s="1602"/>
      <c r="J39" s="1604"/>
      <c r="K39" s="1606"/>
      <c r="L39" s="1608"/>
      <c r="M39" s="1610"/>
      <c r="N39" s="1612"/>
      <c r="O39" s="364"/>
      <c r="P39" s="456"/>
      <c r="Q39" s="859"/>
      <c r="R39" s="860"/>
      <c r="S39" s="470"/>
      <c r="T39" s="458"/>
      <c r="U39" s="459"/>
      <c r="V39" s="367">
        <f t="shared" ref="V39" si="10">SUM(T39:U39)</f>
        <v>0</v>
      </c>
      <c r="W39" s="1595"/>
      <c r="X39" s="460"/>
      <c r="Y39" s="453"/>
      <c r="Z39" s="476"/>
      <c r="AA39" s="477"/>
      <c r="AB39" s="476"/>
      <c r="AC39" s="453"/>
      <c r="AD39" s="453"/>
      <c r="AE39" s="440">
        <f t="shared" si="9"/>
        <v>0</v>
      </c>
      <c r="AF39" s="1657"/>
    </row>
    <row r="40" spans="1:32" ht="27" customHeight="1">
      <c r="A40" s="1672"/>
      <c r="B40" s="1675"/>
      <c r="C40" s="1899"/>
      <c r="D40" s="1896" t="s">
        <v>967</v>
      </c>
      <c r="E40" s="1888" t="s">
        <v>968</v>
      </c>
      <c r="F40" s="1680">
        <v>45991</v>
      </c>
      <c r="G40" s="418" t="s">
        <v>961</v>
      </c>
      <c r="H40" s="401">
        <v>0</v>
      </c>
      <c r="I40" s="1681" t="s">
        <v>844</v>
      </c>
      <c r="J40" s="1682">
        <v>8</v>
      </c>
      <c r="K40" s="1683">
        <f>SUM(AE40:AE41)</f>
        <v>8</v>
      </c>
      <c r="L40" s="1655"/>
      <c r="M40" s="1653">
        <f>K40/J40</f>
        <v>1</v>
      </c>
      <c r="N40" s="1654" t="s">
        <v>811</v>
      </c>
      <c r="O40" s="463"/>
      <c r="P40" s="464">
        <v>8</v>
      </c>
      <c r="Q40" s="424" t="s">
        <v>812</v>
      </c>
      <c r="R40" s="843" t="s">
        <v>972</v>
      </c>
      <c r="S40" s="844" t="s">
        <v>973</v>
      </c>
      <c r="T40" s="458"/>
      <c r="U40" s="459">
        <v>8</v>
      </c>
      <c r="V40" s="467">
        <v>8</v>
      </c>
      <c r="W40" s="1594">
        <f>J40-SUM(V40:V41)</f>
        <v>0</v>
      </c>
      <c r="X40" s="478" t="s">
        <v>971</v>
      </c>
      <c r="Y40" s="468"/>
      <c r="Z40" s="644">
        <v>46041</v>
      </c>
      <c r="AA40" s="901">
        <v>46070</v>
      </c>
      <c r="AB40" s="901">
        <v>46076</v>
      </c>
      <c r="AC40" s="453"/>
      <c r="AD40" s="453">
        <v>8</v>
      </c>
      <c r="AE40" s="469">
        <f t="shared" ref="AE40:AE41" si="11">SUM(AC40:AD40)</f>
        <v>8</v>
      </c>
      <c r="AF40" s="1657"/>
    </row>
    <row r="41" spans="1:32" ht="15" customHeight="1">
      <c r="A41" s="1672"/>
      <c r="B41" s="1675"/>
      <c r="C41" s="1899"/>
      <c r="D41" s="1897"/>
      <c r="E41" s="1889"/>
      <c r="F41" s="1599"/>
      <c r="G41" s="362"/>
      <c r="H41" s="401"/>
      <c r="I41" s="1602"/>
      <c r="J41" s="1604"/>
      <c r="K41" s="1606"/>
      <c r="L41" s="1608"/>
      <c r="M41" s="1610"/>
      <c r="N41" s="1612"/>
      <c r="O41" s="364"/>
      <c r="P41" s="456"/>
      <c r="Q41" s="429"/>
      <c r="R41" s="559"/>
      <c r="S41" s="470"/>
      <c r="T41" s="458"/>
      <c r="U41" s="459"/>
      <c r="V41" s="367">
        <f t="shared" si="7"/>
        <v>0</v>
      </c>
      <c r="W41" s="1595"/>
      <c r="X41" s="460"/>
      <c r="Y41" s="453"/>
      <c r="Z41" s="476"/>
      <c r="AA41" s="477"/>
      <c r="AB41" s="476"/>
      <c r="AC41" s="453"/>
      <c r="AD41" s="453"/>
      <c r="AE41" s="440">
        <f t="shared" si="11"/>
        <v>0</v>
      </c>
      <c r="AF41" s="1657"/>
    </row>
    <row r="42" spans="1:32" ht="23.25" customHeight="1">
      <c r="A42" s="1672"/>
      <c r="B42" s="1675"/>
      <c r="C42" s="1899"/>
      <c r="D42" s="1617"/>
      <c r="E42" s="1617"/>
      <c r="F42" s="1617"/>
      <c r="G42" s="1617"/>
      <c r="H42" s="1617"/>
      <c r="I42" s="1618"/>
      <c r="J42" s="1623">
        <f>SUM(J34:J41)</f>
        <v>47</v>
      </c>
      <c r="K42" s="1623">
        <f>SUM(K36:K37)</f>
        <v>25</v>
      </c>
      <c r="L42" s="1623">
        <f>SUM(L34:L41)</f>
        <v>0</v>
      </c>
      <c r="M42" s="1625">
        <f>K42/J42</f>
        <v>0.53191489361702127</v>
      </c>
      <c r="N42" s="1627" t="s">
        <v>826</v>
      </c>
      <c r="O42" s="1629">
        <f>SUM(O36:O37)</f>
        <v>0</v>
      </c>
      <c r="P42" s="1629">
        <f>SUM(P34:P41)</f>
        <v>47</v>
      </c>
      <c r="Q42" s="1661" t="s">
        <v>826</v>
      </c>
      <c r="R42" s="1633"/>
      <c r="S42" s="1634"/>
      <c r="T42" s="471">
        <f>SUM(T36:T37)</f>
        <v>0</v>
      </c>
      <c r="U42" s="471"/>
      <c r="V42" s="471">
        <f>SUM(V34:V41)</f>
        <v>47</v>
      </c>
      <c r="W42" s="471">
        <f>SUM(W34:W41)</f>
        <v>0</v>
      </c>
      <c r="X42" s="1662" t="s">
        <v>826</v>
      </c>
      <c r="Y42" s="1663"/>
      <c r="Z42" s="1663"/>
      <c r="AA42" s="1663"/>
      <c r="AB42" s="1664"/>
      <c r="AC42" s="441">
        <f>SUM(AC36:AC37)</f>
        <v>0</v>
      </c>
      <c r="AD42" s="441">
        <v>1</v>
      </c>
      <c r="AE42" s="441">
        <v>1</v>
      </c>
      <c r="AF42" s="1657"/>
    </row>
    <row r="43" spans="1:32" ht="23.25" customHeight="1">
      <c r="A43" s="1673"/>
      <c r="B43" s="1676"/>
      <c r="C43" s="1900"/>
      <c r="D43" s="1619"/>
      <c r="E43" s="1619"/>
      <c r="F43" s="1619"/>
      <c r="G43" s="1619"/>
      <c r="H43" s="1619"/>
      <c r="I43" s="1620"/>
      <c r="J43" s="1624"/>
      <c r="K43" s="1624"/>
      <c r="L43" s="1624"/>
      <c r="M43" s="1626"/>
      <c r="N43" s="1628"/>
      <c r="O43" s="1630"/>
      <c r="P43" s="1630"/>
      <c r="Q43" s="1689" t="s">
        <v>827</v>
      </c>
      <c r="R43" s="1638"/>
      <c r="S43" s="1639"/>
      <c r="T43" s="472">
        <f>O42-T42</f>
        <v>0</v>
      </c>
      <c r="U43" s="472">
        <f>P42-U42</f>
        <v>47</v>
      </c>
      <c r="V43" s="472"/>
      <c r="W43" s="473"/>
      <c r="X43" s="1668" t="s">
        <v>827</v>
      </c>
      <c r="Y43" s="1669"/>
      <c r="Z43" s="1669"/>
      <c r="AA43" s="1669"/>
      <c r="AB43" s="1670"/>
      <c r="AC43" s="474">
        <f>O42-AC42</f>
        <v>0</v>
      </c>
      <c r="AD43" s="474">
        <f>P42-AD42</f>
        <v>46</v>
      </c>
      <c r="AE43" s="475">
        <f>SUM(AC43:AD43)</f>
        <v>46</v>
      </c>
      <c r="AF43" s="1707"/>
    </row>
  </sheetData>
  <mergeCells count="258">
    <mergeCell ref="AF34:AF43"/>
    <mergeCell ref="W34:W35"/>
    <mergeCell ref="D40:D41"/>
    <mergeCell ref="E40:E41"/>
    <mergeCell ref="X42:AB42"/>
    <mergeCell ref="Q43:S43"/>
    <mergeCell ref="X43:AB43"/>
    <mergeCell ref="D36:D37"/>
    <mergeCell ref="N30:N31"/>
    <mergeCell ref="W30:W31"/>
    <mergeCell ref="AF30:AF33"/>
    <mergeCell ref="D32:I33"/>
    <mergeCell ref="J32:J33"/>
    <mergeCell ref="K32:K33"/>
    <mergeCell ref="L32:L33"/>
    <mergeCell ref="M32:M33"/>
    <mergeCell ref="N32:N33"/>
    <mergeCell ref="O32:O33"/>
    <mergeCell ref="P32:P33"/>
    <mergeCell ref="Q32:S32"/>
    <mergeCell ref="X32:AB32"/>
    <mergeCell ref="Q33:S33"/>
    <mergeCell ref="X33:AB33"/>
    <mergeCell ref="K36:K37"/>
    <mergeCell ref="AF2:AF4"/>
    <mergeCell ref="A3:A4"/>
    <mergeCell ref="B3:B4"/>
    <mergeCell ref="C3:C4"/>
    <mergeCell ref="D3:D4"/>
    <mergeCell ref="E3:E4"/>
    <mergeCell ref="Z3:Z4"/>
    <mergeCell ref="AA3:AA4"/>
    <mergeCell ref="AB3:AB4"/>
    <mergeCell ref="AC3:AD3"/>
    <mergeCell ref="AE3:AE4"/>
    <mergeCell ref="S3:S4"/>
    <mergeCell ref="T3:U3"/>
    <mergeCell ref="V3:V4"/>
    <mergeCell ref="W3:W4"/>
    <mergeCell ref="X3:X4"/>
    <mergeCell ref="Y3:Y4"/>
    <mergeCell ref="A2:M2"/>
    <mergeCell ref="N2:P2"/>
    <mergeCell ref="Q2:V2"/>
    <mergeCell ref="X2:AE2"/>
    <mergeCell ref="R3:R4"/>
    <mergeCell ref="F3:F4"/>
    <mergeCell ref="G3:G4"/>
    <mergeCell ref="H3:H4"/>
    <mergeCell ref="I3:I4"/>
    <mergeCell ref="J3:J4"/>
    <mergeCell ref="K3:K4"/>
    <mergeCell ref="L3:L4"/>
    <mergeCell ref="M3:M4"/>
    <mergeCell ref="N3:N4"/>
    <mergeCell ref="O3:P3"/>
    <mergeCell ref="Q3:Q4"/>
    <mergeCell ref="W5:W6"/>
    <mergeCell ref="AF5:AF12"/>
    <mergeCell ref="I5:I6"/>
    <mergeCell ref="J5:J6"/>
    <mergeCell ref="K5:K6"/>
    <mergeCell ref="L5:L6"/>
    <mergeCell ref="M5:M6"/>
    <mergeCell ref="N5:N6"/>
    <mergeCell ref="F5:F6"/>
    <mergeCell ref="D11:I12"/>
    <mergeCell ref="P11:P12"/>
    <mergeCell ref="Q11:S11"/>
    <mergeCell ref="X11:AB11"/>
    <mergeCell ref="Q12:S12"/>
    <mergeCell ref="X12:AB12"/>
    <mergeCell ref="J11:J12"/>
    <mergeCell ref="K11:K12"/>
    <mergeCell ref="L11:L12"/>
    <mergeCell ref="M11:M12"/>
    <mergeCell ref="N11:N12"/>
    <mergeCell ref="O11:O12"/>
    <mergeCell ref="M7:M8"/>
    <mergeCell ref="N7:N8"/>
    <mergeCell ref="W7:W8"/>
    <mergeCell ref="A5:A12"/>
    <mergeCell ref="B5:B12"/>
    <mergeCell ref="C5:C12"/>
    <mergeCell ref="D5:D6"/>
    <mergeCell ref="E5:E6"/>
    <mergeCell ref="M13:M14"/>
    <mergeCell ref="N13:N14"/>
    <mergeCell ref="F13:F14"/>
    <mergeCell ref="I13:I14"/>
    <mergeCell ref="J13:J14"/>
    <mergeCell ref="K13:K14"/>
    <mergeCell ref="L13:L14"/>
    <mergeCell ref="A13:A18"/>
    <mergeCell ref="B13:B18"/>
    <mergeCell ref="C13:C18"/>
    <mergeCell ref="D13:D14"/>
    <mergeCell ref="E13:E14"/>
    <mergeCell ref="D7:D8"/>
    <mergeCell ref="E7:E8"/>
    <mergeCell ref="F7:F8"/>
    <mergeCell ref="I7:I8"/>
    <mergeCell ref="J7:J8"/>
    <mergeCell ref="K7:K8"/>
    <mergeCell ref="L7:L8"/>
    <mergeCell ref="W13:W14"/>
    <mergeCell ref="AF13:AF18"/>
    <mergeCell ref="O22:O23"/>
    <mergeCell ref="P22:P23"/>
    <mergeCell ref="Q22:S22"/>
    <mergeCell ref="AF19:AF23"/>
    <mergeCell ref="X17:AB17"/>
    <mergeCell ref="Q18:S18"/>
    <mergeCell ref="X18:AB18"/>
    <mergeCell ref="O17:O18"/>
    <mergeCell ref="W15:W16"/>
    <mergeCell ref="W26:W27"/>
    <mergeCell ref="A19:A23"/>
    <mergeCell ref="B19:B23"/>
    <mergeCell ref="C19:C23"/>
    <mergeCell ref="D19:D20"/>
    <mergeCell ref="E19:E20"/>
    <mergeCell ref="F19:F20"/>
    <mergeCell ref="I19:I20"/>
    <mergeCell ref="J19:J20"/>
    <mergeCell ref="K19:K20"/>
    <mergeCell ref="L19:L20"/>
    <mergeCell ref="M19:M20"/>
    <mergeCell ref="N19:N20"/>
    <mergeCell ref="D17:I18"/>
    <mergeCell ref="J17:J18"/>
    <mergeCell ref="K17:K18"/>
    <mergeCell ref="L17:L18"/>
    <mergeCell ref="Q28:S28"/>
    <mergeCell ref="P17:P18"/>
    <mergeCell ref="Q17:S17"/>
    <mergeCell ref="M17:M18"/>
    <mergeCell ref="N17:N18"/>
    <mergeCell ref="D26:D27"/>
    <mergeCell ref="E26:E27"/>
    <mergeCell ref="F26:F27"/>
    <mergeCell ref="I26:I27"/>
    <mergeCell ref="J26:J27"/>
    <mergeCell ref="K26:K27"/>
    <mergeCell ref="L26:L27"/>
    <mergeCell ref="M26:M27"/>
    <mergeCell ref="N26:N27"/>
    <mergeCell ref="AF24:AF29"/>
    <mergeCell ref="X22:AB22"/>
    <mergeCell ref="Q23:S23"/>
    <mergeCell ref="X23:AB23"/>
    <mergeCell ref="A24:A29"/>
    <mergeCell ref="B24:B29"/>
    <mergeCell ref="C24:C29"/>
    <mergeCell ref="D24:D25"/>
    <mergeCell ref="E24:E25"/>
    <mergeCell ref="F24:F25"/>
    <mergeCell ref="I24:I25"/>
    <mergeCell ref="J24:J25"/>
    <mergeCell ref="K24:K25"/>
    <mergeCell ref="L24:L25"/>
    <mergeCell ref="M24:M25"/>
    <mergeCell ref="N24:N25"/>
    <mergeCell ref="W24:W25"/>
    <mergeCell ref="D22:I23"/>
    <mergeCell ref="J22:J23"/>
    <mergeCell ref="K22:K23"/>
    <mergeCell ref="L22:L23"/>
    <mergeCell ref="M22:M23"/>
    <mergeCell ref="N22:N23"/>
    <mergeCell ref="X28:AB28"/>
    <mergeCell ref="A34:A43"/>
    <mergeCell ref="B34:B43"/>
    <mergeCell ref="C34:C43"/>
    <mergeCell ref="Q29:S29"/>
    <mergeCell ref="X29:AB29"/>
    <mergeCell ref="D28:I29"/>
    <mergeCell ref="J28:J29"/>
    <mergeCell ref="K28:K29"/>
    <mergeCell ref="L28:L29"/>
    <mergeCell ref="M28:M29"/>
    <mergeCell ref="N28:N29"/>
    <mergeCell ref="O28:O29"/>
    <mergeCell ref="P28:P29"/>
    <mergeCell ref="A30:A33"/>
    <mergeCell ref="B30:B33"/>
    <mergeCell ref="C30:C33"/>
    <mergeCell ref="D30:D31"/>
    <mergeCell ref="E30:E31"/>
    <mergeCell ref="F30:F31"/>
    <mergeCell ref="I30:I31"/>
    <mergeCell ref="J30:J31"/>
    <mergeCell ref="K30:K31"/>
    <mergeCell ref="L30:L31"/>
    <mergeCell ref="M30:M31"/>
    <mergeCell ref="W36:W37"/>
    <mergeCell ref="D42:I43"/>
    <mergeCell ref="J42:J43"/>
    <mergeCell ref="K42:K43"/>
    <mergeCell ref="L42:L43"/>
    <mergeCell ref="M42:M43"/>
    <mergeCell ref="N42:N43"/>
    <mergeCell ref="O42:O43"/>
    <mergeCell ref="P42:P43"/>
    <mergeCell ref="Q42:S42"/>
    <mergeCell ref="D38:D39"/>
    <mergeCell ref="E38:E39"/>
    <mergeCell ref="F38:F39"/>
    <mergeCell ref="I38:I39"/>
    <mergeCell ref="J38:J39"/>
    <mergeCell ref="F40:F41"/>
    <mergeCell ref="I40:I41"/>
    <mergeCell ref="J40:J41"/>
    <mergeCell ref="K40:K41"/>
    <mergeCell ref="W38:W39"/>
    <mergeCell ref="L40:L41"/>
    <mergeCell ref="M40:M41"/>
    <mergeCell ref="N40:N41"/>
    <mergeCell ref="W40:W41"/>
    <mergeCell ref="D34:D35"/>
    <mergeCell ref="E34:E35"/>
    <mergeCell ref="F34:F35"/>
    <mergeCell ref="I34:I35"/>
    <mergeCell ref="J34:J35"/>
    <mergeCell ref="K34:K35"/>
    <mergeCell ref="L34:L35"/>
    <mergeCell ref="M34:M35"/>
    <mergeCell ref="N34:N35"/>
    <mergeCell ref="L36:L37"/>
    <mergeCell ref="M36:M37"/>
    <mergeCell ref="N36:N37"/>
    <mergeCell ref="K38:K39"/>
    <mergeCell ref="L38:L39"/>
    <mergeCell ref="M38:M39"/>
    <mergeCell ref="N38:N39"/>
    <mergeCell ref="E36:E37"/>
    <mergeCell ref="F36:F37"/>
    <mergeCell ref="I36:I37"/>
    <mergeCell ref="J36:J37"/>
    <mergeCell ref="D15:D16"/>
    <mergeCell ref="E15:E16"/>
    <mergeCell ref="F15:F16"/>
    <mergeCell ref="I15:I16"/>
    <mergeCell ref="J15:J16"/>
    <mergeCell ref="K15:K16"/>
    <mergeCell ref="L15:L16"/>
    <mergeCell ref="M15:M16"/>
    <mergeCell ref="N15:N16"/>
    <mergeCell ref="W9:W10"/>
    <mergeCell ref="D9:D10"/>
    <mergeCell ref="E9:E10"/>
    <mergeCell ref="F9:F10"/>
    <mergeCell ref="I9:I10"/>
    <mergeCell ref="J9:J10"/>
    <mergeCell ref="K9:K10"/>
    <mergeCell ref="L9:L10"/>
    <mergeCell ref="M9:M10"/>
    <mergeCell ref="N9:N10"/>
  </mergeCells>
  <phoneticPr fontId="5"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F2E3C-2BF5-4183-A0D8-1B8F8070A28B}">
  <dimension ref="A1:BI104"/>
  <sheetViews>
    <sheetView zoomScale="85" zoomScaleNormal="85" workbookViewId="0" xr3:uid="{28286114-0163-5147-BBD6-295018597AB6}">
      <pane xSplit="5" ySplit="3" topLeftCell="R64" activePane="bottomRight" state="frozen"/>
      <selection pane="bottomRight" activeCell="E88" sqref="E88:E95"/>
      <selection pane="bottomLeft" activeCell="A4" sqref="A4"/>
      <selection pane="topRight" activeCell="F1" sqref="F1"/>
    </sheetView>
  </sheetViews>
  <sheetFormatPr defaultColWidth="9" defaultRowHeight="14.85" customHeight="1"/>
  <cols>
    <col min="1" max="1" width="9.85546875" style="1" customWidth="1"/>
    <col min="2" max="2" width="11.42578125" style="1" bestFit="1" customWidth="1"/>
    <col min="3" max="3" width="4" style="1" bestFit="1" customWidth="1"/>
    <col min="4" max="4" width="14.140625" style="1" bestFit="1" customWidth="1"/>
    <col min="5" max="5" width="21.85546875" style="1" bestFit="1" customWidth="1"/>
    <col min="6" max="6" width="9.140625" style="1" customWidth="1"/>
    <col min="7" max="7" width="10.85546875" style="1" bestFit="1" customWidth="1"/>
    <col min="8" max="8" width="4.140625" style="1" bestFit="1" customWidth="1"/>
    <col min="9" max="9" width="29.42578125" style="1" customWidth="1"/>
    <col min="10" max="10" width="8.85546875" style="1" customWidth="1"/>
    <col min="11" max="11" width="12" style="1" customWidth="1"/>
    <col min="12" max="13" width="14.140625" style="1" customWidth="1"/>
    <col min="14" max="16" width="13.42578125" style="1" customWidth="1"/>
    <col min="17" max="17" width="4.85546875" style="1" bestFit="1" customWidth="1"/>
    <col min="18" max="18" width="12.140625" style="1" customWidth="1"/>
    <col min="19" max="19" width="14.140625" style="1" customWidth="1"/>
    <col min="20" max="20" width="11.85546875" style="1" customWidth="1"/>
    <col min="21" max="21" width="34.42578125" style="1" customWidth="1"/>
    <col min="22" max="24" width="11" style="1" customWidth="1"/>
    <col min="25" max="25" width="23.42578125" style="1" customWidth="1"/>
    <col min="26" max="26" width="6" style="1" customWidth="1"/>
    <col min="27" max="30" width="10.85546875" style="1" customWidth="1"/>
    <col min="31" max="31" width="4.85546875" style="1" bestFit="1" customWidth="1"/>
    <col min="32" max="32" width="16.85546875" style="1" customWidth="1"/>
    <col min="33" max="33" width="45.140625" style="1" customWidth="1"/>
    <col min="34" max="34" width="17" style="1" customWidth="1"/>
    <col min="35" max="40" width="10.42578125" style="99" customWidth="1"/>
    <col min="41" max="41" width="17.85546875" style="1" customWidth="1"/>
    <col min="42" max="42" width="8.140625" style="1" customWidth="1"/>
    <col min="43" max="43" width="6.140625" style="1" customWidth="1"/>
    <col min="44" max="44" width="8.140625" style="1" bestFit="1" customWidth="1"/>
    <col min="45" max="45" width="39.42578125" style="1" customWidth="1"/>
    <col min="46" max="46" width="9.42578125" style="1" customWidth="1"/>
    <col min="47" max="47" width="7.140625" style="1" customWidth="1"/>
    <col min="48" max="53" width="10.42578125" style="1" customWidth="1"/>
    <col min="54" max="55" width="25.85546875" style="1" customWidth="1"/>
    <col min="56" max="56" width="12.140625" style="1" bestFit="1" customWidth="1"/>
    <col min="57" max="57" width="15" style="1" bestFit="1" customWidth="1"/>
    <col min="58" max="58" width="25.42578125" style="1" customWidth="1"/>
    <col min="59" max="59" width="42.85546875" style="1" bestFit="1" customWidth="1"/>
    <col min="60" max="60" width="28.140625" style="1" bestFit="1" customWidth="1"/>
    <col min="61" max="61" width="46.85546875" style="1" customWidth="1"/>
    <col min="62" max="267" width="9" style="1"/>
    <col min="268" max="315" width="9" style="1" customWidth="1"/>
    <col min="316" max="523" width="9" style="1"/>
    <col min="524" max="571" width="9" style="1" customWidth="1"/>
    <col min="572" max="779" width="9" style="1"/>
    <col min="780" max="827" width="9" style="1" customWidth="1"/>
    <col min="828" max="1035" width="9" style="1"/>
    <col min="1036" max="1083" width="9" style="1" customWidth="1"/>
    <col min="1084" max="1291" width="9" style="1"/>
    <col min="1292" max="1339" width="9" style="1" customWidth="1"/>
    <col min="1340" max="1547" width="9" style="1"/>
    <col min="1548" max="1595" width="9" style="1" customWidth="1"/>
    <col min="1596" max="1803" width="9" style="1"/>
    <col min="1804" max="1851" width="9" style="1" customWidth="1"/>
    <col min="1852" max="2059" width="9" style="1"/>
    <col min="2060" max="2107" width="9" style="1" customWidth="1"/>
    <col min="2108" max="2315" width="9" style="1"/>
    <col min="2316" max="2363" width="9" style="1" customWidth="1"/>
    <col min="2364" max="2571" width="9" style="1"/>
    <col min="2572" max="2619" width="9" style="1" customWidth="1"/>
    <col min="2620" max="2827" width="9" style="1"/>
    <col min="2828" max="2875" width="9" style="1" customWidth="1"/>
    <col min="2876" max="3083" width="9" style="1"/>
    <col min="3084" max="3131" width="9" style="1" customWidth="1"/>
    <col min="3132" max="3339" width="9" style="1"/>
    <col min="3340" max="3387" width="9" style="1" customWidth="1"/>
    <col min="3388" max="3595" width="9" style="1"/>
    <col min="3596" max="3643" width="9" style="1" customWidth="1"/>
    <col min="3644" max="3851" width="9" style="1"/>
    <col min="3852" max="3899" width="9" style="1" customWidth="1"/>
    <col min="3900" max="4107" width="9" style="1"/>
    <col min="4108" max="4155" width="9" style="1" customWidth="1"/>
    <col min="4156" max="4363" width="9" style="1"/>
    <col min="4364" max="4411" width="9" style="1" customWidth="1"/>
    <col min="4412" max="4619" width="9" style="1"/>
    <col min="4620" max="4667" width="9" style="1" customWidth="1"/>
    <col min="4668" max="4875" width="9" style="1"/>
    <col min="4876" max="4923" width="9" style="1" customWidth="1"/>
    <col min="4924" max="5131" width="9" style="1"/>
    <col min="5132" max="5179" width="9" style="1" customWidth="1"/>
    <col min="5180" max="5387" width="9" style="1"/>
    <col min="5388" max="5435" width="9" style="1" customWidth="1"/>
    <col min="5436" max="5643" width="9" style="1"/>
    <col min="5644" max="5691" width="9" style="1" customWidth="1"/>
    <col min="5692" max="5899" width="9" style="1"/>
    <col min="5900" max="5947" width="9" style="1" customWidth="1"/>
    <col min="5948" max="6155" width="9" style="1"/>
    <col min="6156" max="6203" width="9" style="1" customWidth="1"/>
    <col min="6204" max="6411" width="9" style="1"/>
    <col min="6412" max="6459" width="9" style="1" customWidth="1"/>
    <col min="6460" max="6667" width="9" style="1"/>
    <col min="6668" max="6715" width="9" style="1" customWidth="1"/>
    <col min="6716" max="6923" width="9" style="1"/>
    <col min="6924" max="6971" width="9" style="1" customWidth="1"/>
    <col min="6972" max="7179" width="9" style="1"/>
    <col min="7180" max="7227" width="9" style="1" customWidth="1"/>
    <col min="7228" max="7435" width="9" style="1"/>
    <col min="7436" max="7483" width="9" style="1" customWidth="1"/>
    <col min="7484" max="7691" width="9" style="1"/>
    <col min="7692" max="7739" width="9" style="1" customWidth="1"/>
    <col min="7740" max="7947" width="9" style="1"/>
    <col min="7948" max="7995" width="9" style="1" customWidth="1"/>
    <col min="7996" max="8203" width="9" style="1"/>
    <col min="8204" max="8251" width="9" style="1" customWidth="1"/>
    <col min="8252" max="8459" width="9" style="1"/>
    <col min="8460" max="8507" width="9" style="1" customWidth="1"/>
    <col min="8508" max="8715" width="9" style="1"/>
    <col min="8716" max="8763" width="9" style="1" customWidth="1"/>
    <col min="8764" max="8971" width="9" style="1"/>
    <col min="8972" max="9019" width="9" style="1" customWidth="1"/>
    <col min="9020" max="9227" width="9" style="1"/>
    <col min="9228" max="9275" width="9" style="1" customWidth="1"/>
    <col min="9276" max="9483" width="9" style="1"/>
    <col min="9484" max="9531" width="9" style="1" customWidth="1"/>
    <col min="9532" max="9739" width="9" style="1"/>
    <col min="9740" max="9787" width="9" style="1" customWidth="1"/>
    <col min="9788" max="9995" width="9" style="1"/>
    <col min="9996" max="10043" width="9" style="1" customWidth="1"/>
    <col min="10044" max="10251" width="9" style="1"/>
    <col min="10252" max="10299" width="9" style="1" customWidth="1"/>
    <col min="10300" max="10507" width="9" style="1"/>
    <col min="10508" max="10555" width="9" style="1" customWidth="1"/>
    <col min="10556" max="10763" width="9" style="1"/>
    <col min="10764" max="10811" width="9" style="1" customWidth="1"/>
    <col min="10812" max="11019" width="9" style="1"/>
    <col min="11020" max="11067" width="9" style="1" customWidth="1"/>
    <col min="11068" max="11275" width="9" style="1"/>
    <col min="11276" max="11323" width="9" style="1" customWidth="1"/>
    <col min="11324" max="11531" width="9" style="1"/>
    <col min="11532" max="11579" width="9" style="1" customWidth="1"/>
    <col min="11580" max="11787" width="9" style="1"/>
    <col min="11788" max="11835" width="9" style="1" customWidth="1"/>
    <col min="11836" max="12043" width="9" style="1"/>
    <col min="12044" max="12091" width="9" style="1" customWidth="1"/>
    <col min="12092" max="12299" width="9" style="1"/>
    <col min="12300" max="12347" width="9" style="1" customWidth="1"/>
    <col min="12348" max="12555" width="9" style="1"/>
    <col min="12556" max="12603" width="9" style="1" customWidth="1"/>
    <col min="12604" max="12811" width="9" style="1"/>
    <col min="12812" max="12859" width="9" style="1" customWidth="1"/>
    <col min="12860" max="13067" width="9" style="1"/>
    <col min="13068" max="13115" width="9" style="1" customWidth="1"/>
    <col min="13116" max="13323" width="9" style="1"/>
    <col min="13324" max="13371" width="9" style="1" customWidth="1"/>
    <col min="13372" max="13579" width="9" style="1"/>
    <col min="13580" max="13627" width="9" style="1" customWidth="1"/>
    <col min="13628" max="13835" width="9" style="1"/>
    <col min="13836" max="13883" width="9" style="1" customWidth="1"/>
    <col min="13884" max="14091" width="9" style="1"/>
    <col min="14092" max="14139" width="9" style="1" customWidth="1"/>
    <col min="14140" max="14347" width="9" style="1"/>
    <col min="14348" max="14395" width="9" style="1" customWidth="1"/>
    <col min="14396" max="14603" width="9" style="1"/>
    <col min="14604" max="14651" width="9" style="1" customWidth="1"/>
    <col min="14652" max="14859" width="9" style="1"/>
    <col min="14860" max="14907" width="9" style="1" customWidth="1"/>
    <col min="14908" max="15115" width="9" style="1"/>
    <col min="15116" max="15163" width="9" style="1" customWidth="1"/>
    <col min="15164" max="15371" width="9" style="1"/>
    <col min="15372" max="15419" width="9" style="1" customWidth="1"/>
    <col min="15420" max="15627" width="9" style="1"/>
    <col min="15628" max="15675" width="9" style="1" customWidth="1"/>
    <col min="15676" max="15883" width="9" style="1"/>
    <col min="15884" max="15931" width="9" style="1" customWidth="1"/>
    <col min="15932" max="16139" width="9" style="1"/>
    <col min="16140" max="16187" width="9" style="1" customWidth="1"/>
    <col min="16188" max="16384" width="9" style="1"/>
  </cols>
  <sheetData>
    <row r="1" spans="1:61" ht="15.75">
      <c r="A1" s="35" t="s">
        <v>974</v>
      </c>
      <c r="B1" s="36" t="s">
        <v>974</v>
      </c>
      <c r="C1" s="2107" t="s">
        <v>0</v>
      </c>
      <c r="D1" s="2098" t="s">
        <v>975</v>
      </c>
      <c r="E1" s="2098"/>
      <c r="F1" s="2098"/>
      <c r="G1" s="2098" t="s">
        <v>976</v>
      </c>
      <c r="H1" s="2098"/>
      <c r="I1" s="2098"/>
      <c r="J1" s="2098"/>
      <c r="K1" s="2098"/>
      <c r="L1" s="2098"/>
      <c r="M1" s="2098"/>
      <c r="N1" s="2098"/>
      <c r="O1" s="2098"/>
      <c r="P1" s="2098" t="s">
        <v>977</v>
      </c>
      <c r="Q1" s="2098"/>
      <c r="R1" s="2098"/>
      <c r="S1" s="2098"/>
      <c r="T1" s="2098"/>
      <c r="U1" s="2098" t="s">
        <v>2</v>
      </c>
      <c r="V1" s="2098"/>
      <c r="W1" s="2098"/>
      <c r="X1" s="2098"/>
      <c r="Y1" s="2098" t="s">
        <v>3</v>
      </c>
      <c r="Z1" s="2098"/>
      <c r="AA1" s="2098"/>
      <c r="AB1" s="2098"/>
      <c r="AC1" s="2098"/>
      <c r="AD1" s="2098"/>
      <c r="AE1" s="2098"/>
      <c r="AF1" s="2098"/>
      <c r="AG1" s="2098" t="s">
        <v>978</v>
      </c>
      <c r="AH1" s="2098"/>
      <c r="AI1" s="2098"/>
      <c r="AJ1" s="2098"/>
      <c r="AK1" s="2098"/>
      <c r="AL1" s="2098"/>
      <c r="AM1" s="2098"/>
      <c r="AN1" s="2098"/>
      <c r="AO1" s="2098"/>
      <c r="AP1" s="2098"/>
      <c r="AQ1" s="2098"/>
      <c r="AR1" s="2101" t="s">
        <v>6</v>
      </c>
      <c r="AS1" s="2102"/>
      <c r="AT1" s="2102"/>
      <c r="AU1" s="2102"/>
      <c r="AV1" s="2102"/>
      <c r="AW1" s="2102"/>
      <c r="AX1" s="2102"/>
      <c r="AY1" s="2102"/>
      <c r="AZ1" s="2102"/>
      <c r="BA1" s="2102"/>
      <c r="BB1" s="2102"/>
      <c r="BC1" s="2103"/>
      <c r="BD1" s="2098" t="s">
        <v>979</v>
      </c>
      <c r="BE1" s="2098"/>
      <c r="BF1" s="2098"/>
      <c r="BG1" s="2098" t="s">
        <v>980</v>
      </c>
      <c r="BH1" s="2101"/>
      <c r="BI1" s="2105" t="s">
        <v>981</v>
      </c>
    </row>
    <row r="2" spans="1:61" ht="12" customHeight="1">
      <c r="A2" s="37"/>
      <c r="B2" s="26"/>
      <c r="C2" s="2108"/>
      <c r="D2" s="2083" t="s">
        <v>40</v>
      </c>
      <c r="E2" s="2081" t="s">
        <v>52</v>
      </c>
      <c r="F2" s="2110" t="s">
        <v>982</v>
      </c>
      <c r="G2" s="2081" t="s">
        <v>64</v>
      </c>
      <c r="H2" s="2081" t="s">
        <v>983</v>
      </c>
      <c r="I2" s="2081" t="s">
        <v>83</v>
      </c>
      <c r="J2" s="2081" t="s">
        <v>984</v>
      </c>
      <c r="K2" s="2110" t="s">
        <v>985</v>
      </c>
      <c r="L2" s="2081" t="s">
        <v>986</v>
      </c>
      <c r="M2" s="2081" t="s">
        <v>987</v>
      </c>
      <c r="N2" s="2081" t="s">
        <v>988</v>
      </c>
      <c r="O2" s="2081" t="s">
        <v>989</v>
      </c>
      <c r="P2" s="2081" t="s">
        <v>990</v>
      </c>
      <c r="Q2" s="2081" t="s">
        <v>991</v>
      </c>
      <c r="R2" s="2081" t="s">
        <v>992</v>
      </c>
      <c r="S2" s="2081" t="s">
        <v>993</v>
      </c>
      <c r="T2" s="2081" t="s">
        <v>994</v>
      </c>
      <c r="U2" s="2081" t="s">
        <v>7</v>
      </c>
      <c r="V2" s="2081" t="s">
        <v>8</v>
      </c>
      <c r="W2" s="2081" t="s">
        <v>9</v>
      </c>
      <c r="X2" s="2081" t="s">
        <v>10</v>
      </c>
      <c r="Y2" s="2081" t="s">
        <v>11</v>
      </c>
      <c r="Z2" s="2081" t="s">
        <v>12</v>
      </c>
      <c r="AA2" s="2081" t="s">
        <v>13</v>
      </c>
      <c r="AB2" s="2081"/>
      <c r="AC2" s="2081" t="s">
        <v>14</v>
      </c>
      <c r="AD2" s="2081"/>
      <c r="AE2" s="2081"/>
      <c r="AF2" s="2081" t="s">
        <v>15</v>
      </c>
      <c r="AG2" s="2081" t="s">
        <v>995</v>
      </c>
      <c r="AH2" s="2081" t="s">
        <v>996</v>
      </c>
      <c r="AI2" s="2095" t="s">
        <v>997</v>
      </c>
      <c r="AJ2" s="2096"/>
      <c r="AK2" s="2096"/>
      <c r="AL2" s="2096"/>
      <c r="AM2" s="2096"/>
      <c r="AN2" s="2097"/>
      <c r="AO2" s="2081" t="s">
        <v>998</v>
      </c>
      <c r="AP2" s="2081"/>
      <c r="AQ2" s="2081"/>
      <c r="AR2" s="2081" t="s">
        <v>999</v>
      </c>
      <c r="AS2" s="2081" t="s">
        <v>1000</v>
      </c>
      <c r="AT2" s="2081" t="s">
        <v>1001</v>
      </c>
      <c r="AU2" s="2081"/>
      <c r="AV2" s="2081" t="s">
        <v>26</v>
      </c>
      <c r="AW2" s="2081"/>
      <c r="AX2" s="2104" t="s">
        <v>1002</v>
      </c>
      <c r="AY2" s="2104"/>
      <c r="AZ2" s="2081" t="s">
        <v>1003</v>
      </c>
      <c r="BA2" s="2081"/>
      <c r="BB2" s="27" t="s">
        <v>1004</v>
      </c>
      <c r="BC2" s="27" t="s">
        <v>1004</v>
      </c>
      <c r="BD2" s="2082"/>
      <c r="BE2" s="2082"/>
      <c r="BF2" s="2082"/>
      <c r="BG2" s="2081" t="s">
        <v>1005</v>
      </c>
      <c r="BH2" s="2099" t="s">
        <v>1006</v>
      </c>
      <c r="BI2" s="2106"/>
    </row>
    <row r="3" spans="1:61" ht="15.75">
      <c r="A3" s="37" t="s">
        <v>1007</v>
      </c>
      <c r="B3" s="26" t="s">
        <v>1008</v>
      </c>
      <c r="C3" s="2109"/>
      <c r="D3" s="2084"/>
      <c r="E3" s="2082"/>
      <c r="F3" s="2082"/>
      <c r="G3" s="2082"/>
      <c r="H3" s="2082"/>
      <c r="I3" s="2082"/>
      <c r="J3" s="2082"/>
      <c r="K3" s="2111"/>
      <c r="L3" s="2082"/>
      <c r="M3" s="2082"/>
      <c r="N3" s="2082"/>
      <c r="O3" s="2082"/>
      <c r="P3" s="2082"/>
      <c r="Q3" s="2082"/>
      <c r="R3" s="2082"/>
      <c r="S3" s="2082"/>
      <c r="T3" s="2082"/>
      <c r="U3" s="2082"/>
      <c r="V3" s="2082"/>
      <c r="W3" s="2082"/>
      <c r="X3" s="2082"/>
      <c r="Y3" s="2082"/>
      <c r="Z3" s="2082"/>
      <c r="AA3" s="32" t="s">
        <v>9</v>
      </c>
      <c r="AB3" s="32" t="s">
        <v>10</v>
      </c>
      <c r="AC3" s="32" t="s">
        <v>9</v>
      </c>
      <c r="AD3" s="32" t="s">
        <v>10</v>
      </c>
      <c r="AE3" s="32" t="s">
        <v>12</v>
      </c>
      <c r="AF3" s="2082"/>
      <c r="AG3" s="2082"/>
      <c r="AH3" s="2082"/>
      <c r="AI3" s="97" t="s">
        <v>1009</v>
      </c>
      <c r="AJ3" s="98" t="s">
        <v>9</v>
      </c>
      <c r="AK3" s="97" t="s">
        <v>10</v>
      </c>
      <c r="AL3" s="98" t="s">
        <v>10</v>
      </c>
      <c r="AM3" s="98" t="s">
        <v>1010</v>
      </c>
      <c r="AN3" s="98" t="s">
        <v>1011</v>
      </c>
      <c r="AO3" s="32" t="s">
        <v>1012</v>
      </c>
      <c r="AP3" s="32" t="s">
        <v>12</v>
      </c>
      <c r="AQ3" s="32" t="s">
        <v>991</v>
      </c>
      <c r="AR3" s="2082"/>
      <c r="AS3" s="2082"/>
      <c r="AT3" s="32" t="s">
        <v>12</v>
      </c>
      <c r="AU3" s="32" t="s">
        <v>991</v>
      </c>
      <c r="AV3" s="32" t="s">
        <v>36</v>
      </c>
      <c r="AW3" s="32" t="s">
        <v>37</v>
      </c>
      <c r="AX3" s="34" t="s">
        <v>38</v>
      </c>
      <c r="AY3" s="34" t="s">
        <v>39</v>
      </c>
      <c r="AZ3" s="32" t="s">
        <v>38</v>
      </c>
      <c r="BA3" s="32" t="s">
        <v>39</v>
      </c>
      <c r="BB3" s="34" t="s">
        <v>1013</v>
      </c>
      <c r="BC3" s="34" t="s">
        <v>1014</v>
      </c>
      <c r="BD3" s="40" t="s">
        <v>1015</v>
      </c>
      <c r="BE3" s="41" t="s">
        <v>1016</v>
      </c>
      <c r="BF3" s="41" t="s">
        <v>1017</v>
      </c>
      <c r="BG3" s="2082"/>
      <c r="BH3" s="2100"/>
      <c r="BI3" s="2106"/>
    </row>
    <row r="4" spans="1:61" s="92" customFormat="1" ht="14.25" customHeight="1">
      <c r="A4" s="2069" t="s">
        <v>1018</v>
      </c>
      <c r="B4" s="2072" t="s">
        <v>1019</v>
      </c>
      <c r="C4" s="2007">
        <v>1</v>
      </c>
      <c r="D4" s="2007" t="s">
        <v>1020</v>
      </c>
      <c r="E4" s="2092" t="s">
        <v>1021</v>
      </c>
      <c r="F4" s="2001">
        <v>1</v>
      </c>
      <c r="G4" s="2001">
        <v>5000105899</v>
      </c>
      <c r="H4" s="2001">
        <v>0</v>
      </c>
      <c r="I4" s="2063" t="s">
        <v>1022</v>
      </c>
      <c r="J4" s="2001" t="s">
        <v>1023</v>
      </c>
      <c r="K4" s="2001" t="s">
        <v>1024</v>
      </c>
      <c r="L4" s="702">
        <v>45666</v>
      </c>
      <c r="M4" s="2078" t="s">
        <v>1025</v>
      </c>
      <c r="N4" s="2001" t="s">
        <v>105</v>
      </c>
      <c r="O4" s="703" t="s">
        <v>1026</v>
      </c>
      <c r="P4" s="704">
        <v>1584</v>
      </c>
      <c r="Q4" s="703" t="s">
        <v>1027</v>
      </c>
      <c r="R4" s="704">
        <v>1168</v>
      </c>
      <c r="S4" s="704">
        <v>416</v>
      </c>
      <c r="T4" s="2001">
        <f>R4/P4%</f>
        <v>73.737373737373744</v>
      </c>
      <c r="U4" s="705" t="s">
        <v>42</v>
      </c>
      <c r="V4" s="702">
        <v>45708</v>
      </c>
      <c r="W4" s="702">
        <v>45708</v>
      </c>
      <c r="X4" s="702">
        <v>45708</v>
      </c>
      <c r="Y4" s="705" t="s">
        <v>1028</v>
      </c>
      <c r="Z4" s="706">
        <v>1</v>
      </c>
      <c r="AA4" s="702">
        <v>45931</v>
      </c>
      <c r="AB4" s="702">
        <v>45670</v>
      </c>
      <c r="AC4" s="702">
        <v>45810</v>
      </c>
      <c r="AD4" s="702">
        <v>45779</v>
      </c>
      <c r="AE4" s="704">
        <v>1</v>
      </c>
      <c r="AF4" s="705"/>
      <c r="AG4" s="2062" t="s">
        <v>1029</v>
      </c>
      <c r="AH4" s="1188" t="s">
        <v>1030</v>
      </c>
      <c r="AI4" s="1169">
        <v>45740</v>
      </c>
      <c r="AJ4" s="1169">
        <v>45740</v>
      </c>
      <c r="AK4" s="1169">
        <v>45740</v>
      </c>
      <c r="AL4" s="1169">
        <v>45740</v>
      </c>
      <c r="AM4" s="1169" t="s">
        <v>418</v>
      </c>
      <c r="AN4" s="1169"/>
      <c r="AO4" s="617" t="s">
        <v>1031</v>
      </c>
      <c r="AP4" s="2089">
        <v>20</v>
      </c>
      <c r="AQ4" s="2091" t="s">
        <v>1032</v>
      </c>
      <c r="AR4" s="2091">
        <v>1</v>
      </c>
      <c r="AS4" s="2035" t="s">
        <v>1033</v>
      </c>
      <c r="AT4" s="2085">
        <v>10</v>
      </c>
      <c r="AU4" s="2087" t="s">
        <v>1034</v>
      </c>
      <c r="AV4" s="1169">
        <v>45765</v>
      </c>
      <c r="AW4" s="1169">
        <v>45765</v>
      </c>
      <c r="AX4" s="1169">
        <v>45806</v>
      </c>
      <c r="AY4" s="1169">
        <v>45806</v>
      </c>
      <c r="AZ4" s="1169">
        <v>45811</v>
      </c>
      <c r="BA4" s="1169">
        <v>45809</v>
      </c>
      <c r="BB4" s="1182" t="s">
        <v>1035</v>
      </c>
      <c r="BC4" s="1182" t="s">
        <v>1036</v>
      </c>
      <c r="BD4" s="90" t="s">
        <v>1037</v>
      </c>
      <c r="BE4" s="91" t="s">
        <v>1038</v>
      </c>
      <c r="BF4" s="91" t="s">
        <v>1039</v>
      </c>
      <c r="BG4" s="2040" t="s">
        <v>1040</v>
      </c>
      <c r="BH4" s="2043"/>
      <c r="BI4" s="2046"/>
    </row>
    <row r="5" spans="1:61" s="92" customFormat="1" ht="14.25" customHeight="1">
      <c r="A5" s="2070"/>
      <c r="B5" s="2073"/>
      <c r="C5" s="2008"/>
      <c r="D5" s="2008"/>
      <c r="E5" s="2093"/>
      <c r="F5" s="2002"/>
      <c r="G5" s="2002"/>
      <c r="H5" s="2002"/>
      <c r="I5" s="2064"/>
      <c r="J5" s="2002"/>
      <c r="K5" s="2002"/>
      <c r="L5" s="709"/>
      <c r="M5" s="2079"/>
      <c r="N5" s="2002"/>
      <c r="O5" s="690"/>
      <c r="P5" s="710"/>
      <c r="Q5" s="690"/>
      <c r="R5" s="710">
        <v>0</v>
      </c>
      <c r="S5" s="710">
        <v>0</v>
      </c>
      <c r="T5" s="2002"/>
      <c r="U5" s="698" t="s">
        <v>1041</v>
      </c>
      <c r="V5" s="694">
        <v>45712</v>
      </c>
      <c r="W5" s="694">
        <v>45712</v>
      </c>
      <c r="X5" s="694">
        <v>45712</v>
      </c>
      <c r="Y5" s="698" t="s">
        <v>1042</v>
      </c>
      <c r="Z5" s="711">
        <v>1</v>
      </c>
      <c r="AA5" s="694">
        <v>45931</v>
      </c>
      <c r="AB5" s="694">
        <v>45670</v>
      </c>
      <c r="AC5" s="694">
        <v>45810</v>
      </c>
      <c r="AD5" s="694">
        <v>45779</v>
      </c>
      <c r="AE5" s="710">
        <v>1</v>
      </c>
      <c r="AF5" s="698"/>
      <c r="AG5" s="2033"/>
      <c r="AH5" s="1189" t="s">
        <v>1043</v>
      </c>
      <c r="AI5" s="535">
        <v>45741</v>
      </c>
      <c r="AJ5" s="535">
        <v>45741</v>
      </c>
      <c r="AK5" s="535">
        <v>45741</v>
      </c>
      <c r="AL5" s="535">
        <v>45741</v>
      </c>
      <c r="AM5" s="535" t="s">
        <v>418</v>
      </c>
      <c r="AN5" s="535"/>
      <c r="AO5" s="534" t="s">
        <v>1044</v>
      </c>
      <c r="AP5" s="2090"/>
      <c r="AQ5" s="2065"/>
      <c r="AR5" s="2065"/>
      <c r="AS5" s="2036"/>
      <c r="AT5" s="2086"/>
      <c r="AU5" s="2088"/>
      <c r="AV5" s="535">
        <v>45760</v>
      </c>
      <c r="AW5" s="535">
        <v>45762</v>
      </c>
      <c r="AX5" s="535">
        <v>45788</v>
      </c>
      <c r="AY5" s="535">
        <v>45791</v>
      </c>
      <c r="AZ5" s="983">
        <v>45797</v>
      </c>
      <c r="BA5" s="983">
        <v>45797</v>
      </c>
      <c r="BB5" s="1183" t="s">
        <v>1045</v>
      </c>
      <c r="BC5" s="1183" t="s">
        <v>1046</v>
      </c>
      <c r="BD5" s="93" t="s">
        <v>1047</v>
      </c>
      <c r="BE5" s="94"/>
      <c r="BF5" s="94" t="s">
        <v>1048</v>
      </c>
      <c r="BG5" s="2041"/>
      <c r="BH5" s="2044"/>
      <c r="BI5" s="2047"/>
    </row>
    <row r="6" spans="1:61" s="92" customFormat="1" ht="14.25" customHeight="1">
      <c r="A6" s="2070"/>
      <c r="B6" s="2073"/>
      <c r="C6" s="2008"/>
      <c r="D6" s="2008"/>
      <c r="E6" s="2093"/>
      <c r="F6" s="2002"/>
      <c r="G6" s="2002"/>
      <c r="H6" s="2002"/>
      <c r="I6" s="2064"/>
      <c r="J6" s="2002"/>
      <c r="K6" s="2002"/>
      <c r="L6" s="709"/>
      <c r="M6" s="2079"/>
      <c r="N6" s="2002"/>
      <c r="O6" s="690"/>
      <c r="P6" s="710"/>
      <c r="Q6" s="690"/>
      <c r="R6" s="710">
        <v>0</v>
      </c>
      <c r="S6" s="710">
        <v>0</v>
      </c>
      <c r="T6" s="2002"/>
      <c r="U6" s="698" t="s">
        <v>1049</v>
      </c>
      <c r="V6" s="694">
        <v>45712</v>
      </c>
      <c r="W6" s="694">
        <v>45712</v>
      </c>
      <c r="X6" s="694">
        <v>45712</v>
      </c>
      <c r="Y6" s="698" t="s">
        <v>1050</v>
      </c>
      <c r="Z6" s="711">
        <v>123</v>
      </c>
      <c r="AA6" s="694">
        <v>45931</v>
      </c>
      <c r="AB6" s="694">
        <v>45670</v>
      </c>
      <c r="AC6" s="694">
        <v>45780</v>
      </c>
      <c r="AD6" s="694">
        <v>45780</v>
      </c>
      <c r="AE6" s="710"/>
      <c r="AF6" s="698" t="s">
        <v>1051</v>
      </c>
      <c r="AG6" s="543" t="s">
        <v>1052</v>
      </c>
      <c r="AH6" s="1189" t="s">
        <v>1053</v>
      </c>
      <c r="AI6" s="535">
        <v>45862</v>
      </c>
      <c r="AJ6" s="535">
        <v>45862</v>
      </c>
      <c r="AK6" s="535">
        <v>45862</v>
      </c>
      <c r="AL6" s="535">
        <v>45862</v>
      </c>
      <c r="AM6" s="535" t="s">
        <v>418</v>
      </c>
      <c r="AN6" s="535"/>
      <c r="AO6" s="534" t="s">
        <v>1054</v>
      </c>
      <c r="AP6" s="1235">
        <v>1</v>
      </c>
      <c r="AQ6" s="542" t="s">
        <v>1055</v>
      </c>
      <c r="AR6" s="534">
        <v>2</v>
      </c>
      <c r="AS6" s="973" t="s">
        <v>1056</v>
      </c>
      <c r="AT6" s="1234">
        <v>4</v>
      </c>
      <c r="AU6" s="534" t="s">
        <v>1057</v>
      </c>
      <c r="AV6" s="983">
        <v>45886</v>
      </c>
      <c r="AW6" s="983">
        <v>45887</v>
      </c>
      <c r="AX6" s="535">
        <v>45919</v>
      </c>
      <c r="AY6" s="535">
        <v>45918</v>
      </c>
      <c r="AZ6" s="983">
        <v>45920</v>
      </c>
      <c r="BA6" s="983">
        <v>45920</v>
      </c>
      <c r="BB6" s="1183" t="s">
        <v>1058</v>
      </c>
      <c r="BC6" s="1183" t="s">
        <v>1059</v>
      </c>
      <c r="BD6" s="93"/>
      <c r="BE6" s="94"/>
      <c r="BF6" s="94" t="s">
        <v>1060</v>
      </c>
      <c r="BG6" s="2041"/>
      <c r="BH6" s="2044"/>
      <c r="BI6" s="2047"/>
    </row>
    <row r="7" spans="1:61" ht="30" customHeight="1">
      <c r="A7" s="2070"/>
      <c r="B7" s="2073"/>
      <c r="C7" s="2008"/>
      <c r="D7" s="2008"/>
      <c r="E7" s="2093"/>
      <c r="F7" s="2002"/>
      <c r="G7" s="2002"/>
      <c r="H7" s="2002"/>
      <c r="I7" s="2064"/>
      <c r="J7" s="2002"/>
      <c r="K7" s="2002"/>
      <c r="L7" s="712"/>
      <c r="M7" s="2079"/>
      <c r="N7" s="2002"/>
      <c r="O7" s="690"/>
      <c r="P7" s="710"/>
      <c r="Q7" s="690"/>
      <c r="R7" s="710">
        <v>0</v>
      </c>
      <c r="S7" s="710">
        <v>0</v>
      </c>
      <c r="T7" s="2002"/>
      <c r="U7" s="696" t="s">
        <v>65</v>
      </c>
      <c r="V7" s="693">
        <v>45667</v>
      </c>
      <c r="W7" s="693">
        <v>45667</v>
      </c>
      <c r="X7" s="693">
        <v>45670</v>
      </c>
      <c r="Y7" s="696"/>
      <c r="Z7" s="697"/>
      <c r="AA7" s="713"/>
      <c r="AB7" s="714"/>
      <c r="AC7" s="693"/>
      <c r="AD7" s="693"/>
      <c r="AE7" s="696"/>
      <c r="AF7" s="696" t="s">
        <v>1051</v>
      </c>
      <c r="AG7" s="538" t="s">
        <v>1061</v>
      </c>
      <c r="AH7" s="541" t="s">
        <v>1062</v>
      </c>
      <c r="AI7" s="536">
        <v>45905</v>
      </c>
      <c r="AJ7" s="536">
        <v>45905</v>
      </c>
      <c r="AK7" s="536">
        <v>45905</v>
      </c>
      <c r="AL7" s="536">
        <v>45905</v>
      </c>
      <c r="AM7" s="536" t="s">
        <v>418</v>
      </c>
      <c r="AN7" s="535"/>
      <c r="AO7" s="1190" t="s">
        <v>1063</v>
      </c>
      <c r="AP7" s="1235">
        <v>8</v>
      </c>
      <c r="AQ7" s="542" t="s">
        <v>1027</v>
      </c>
      <c r="AR7" s="542">
        <v>3</v>
      </c>
      <c r="AS7" s="977" t="s">
        <v>1064</v>
      </c>
      <c r="AT7" s="1237">
        <v>4</v>
      </c>
      <c r="AU7" s="542" t="s">
        <v>1057</v>
      </c>
      <c r="AV7" s="982">
        <v>45921</v>
      </c>
      <c r="AW7" s="982">
        <v>45924</v>
      </c>
      <c r="AX7" s="536">
        <v>45955</v>
      </c>
      <c r="AY7" s="536">
        <v>45957</v>
      </c>
      <c r="AZ7" s="982">
        <v>45960</v>
      </c>
      <c r="BA7" s="982">
        <v>45960</v>
      </c>
      <c r="BB7" s="544" t="s">
        <v>1065</v>
      </c>
      <c r="BC7" s="544" t="s">
        <v>1066</v>
      </c>
      <c r="BD7" s="31"/>
      <c r="BE7" s="30"/>
      <c r="BF7" s="30"/>
      <c r="BG7" s="2041"/>
      <c r="BH7" s="2044"/>
      <c r="BI7" s="2047"/>
    </row>
    <row r="8" spans="1:61" ht="28.35" customHeight="1">
      <c r="A8" s="2070"/>
      <c r="B8" s="2073"/>
      <c r="C8" s="2008"/>
      <c r="D8" s="2008"/>
      <c r="E8" s="2093"/>
      <c r="F8" s="2002"/>
      <c r="G8" s="2002"/>
      <c r="H8" s="2002"/>
      <c r="I8" s="2064"/>
      <c r="J8" s="2002"/>
      <c r="K8" s="2002"/>
      <c r="L8" s="712"/>
      <c r="M8" s="2079"/>
      <c r="N8" s="2002"/>
      <c r="O8" s="690"/>
      <c r="P8" s="710"/>
      <c r="Q8" s="690"/>
      <c r="R8" s="710">
        <v>0</v>
      </c>
      <c r="S8" s="710">
        <v>0</v>
      </c>
      <c r="T8" s="2002"/>
      <c r="U8" s="696" t="s">
        <v>75</v>
      </c>
      <c r="V8" s="693">
        <v>45694</v>
      </c>
      <c r="W8" s="693">
        <v>45693</v>
      </c>
      <c r="X8" s="693">
        <v>45693</v>
      </c>
      <c r="Y8" s="696"/>
      <c r="Z8" s="697"/>
      <c r="AA8" s="713"/>
      <c r="AB8" s="693"/>
      <c r="AC8" s="693"/>
      <c r="AD8" s="693"/>
      <c r="AE8" s="696"/>
      <c r="AF8" s="696" t="s">
        <v>1051</v>
      </c>
      <c r="AG8" s="538" t="s">
        <v>1067</v>
      </c>
      <c r="AH8" s="541" t="s">
        <v>1068</v>
      </c>
      <c r="AI8" s="983" t="s">
        <v>1069</v>
      </c>
      <c r="AJ8" s="983" t="s">
        <v>1070</v>
      </c>
      <c r="AK8" s="983" t="s">
        <v>1070</v>
      </c>
      <c r="AL8" s="983" t="s">
        <v>1070</v>
      </c>
      <c r="AM8" s="536" t="s">
        <v>418</v>
      </c>
      <c r="AN8" s="535"/>
      <c r="AO8" s="1190" t="s">
        <v>1071</v>
      </c>
      <c r="AP8" s="1235">
        <v>1140</v>
      </c>
      <c r="AQ8" s="542" t="s">
        <v>1072</v>
      </c>
      <c r="AR8" s="542">
        <v>4</v>
      </c>
      <c r="AS8" s="538" t="s">
        <v>1073</v>
      </c>
      <c r="AT8" s="1235">
        <v>921</v>
      </c>
      <c r="AU8" s="542" t="s">
        <v>1072</v>
      </c>
      <c r="AV8" s="536">
        <v>46004</v>
      </c>
      <c r="AW8" s="536">
        <v>46005</v>
      </c>
      <c r="AX8" s="536">
        <v>46036</v>
      </c>
      <c r="AY8" s="536">
        <v>46035</v>
      </c>
      <c r="AZ8" s="536">
        <v>46043</v>
      </c>
      <c r="BA8" s="536">
        <v>46040</v>
      </c>
      <c r="BB8" s="544" t="s">
        <v>1074</v>
      </c>
      <c r="BC8" s="544" t="s">
        <v>1075</v>
      </c>
      <c r="BD8" s="31"/>
      <c r="BE8" s="30"/>
      <c r="BF8" s="30"/>
      <c r="BG8" s="2041"/>
      <c r="BH8" s="2044"/>
      <c r="BI8" s="2047"/>
    </row>
    <row r="9" spans="1:61" ht="14.25" customHeight="1">
      <c r="A9" s="2070"/>
      <c r="B9" s="2073"/>
      <c r="C9" s="2008"/>
      <c r="D9" s="2008"/>
      <c r="E9" s="2093"/>
      <c r="F9" s="2002"/>
      <c r="G9" s="2002"/>
      <c r="H9" s="2002"/>
      <c r="I9" s="2064"/>
      <c r="J9" s="2002"/>
      <c r="K9" s="2002"/>
      <c r="L9" s="712"/>
      <c r="M9" s="2079"/>
      <c r="N9" s="2002"/>
      <c r="O9" s="690"/>
      <c r="P9" s="710"/>
      <c r="Q9" s="690"/>
      <c r="R9" s="710">
        <v>0</v>
      </c>
      <c r="S9" s="710">
        <v>0</v>
      </c>
      <c r="T9" s="2002"/>
      <c r="U9" s="696" t="s">
        <v>96</v>
      </c>
      <c r="V9" s="693">
        <v>45667</v>
      </c>
      <c r="W9" s="693">
        <v>45667</v>
      </c>
      <c r="X9" s="693">
        <v>45667</v>
      </c>
      <c r="Y9" s="696"/>
      <c r="Z9" s="697"/>
      <c r="AA9" s="713"/>
      <c r="AB9" s="693"/>
      <c r="AC9" s="693"/>
      <c r="AD9" s="693"/>
      <c r="AE9" s="696"/>
      <c r="AF9" s="696"/>
      <c r="AG9" s="538" t="s">
        <v>1076</v>
      </c>
      <c r="AH9" s="538" t="s">
        <v>1077</v>
      </c>
      <c r="AI9" s="535">
        <v>46097</v>
      </c>
      <c r="AJ9" s="535">
        <v>46097</v>
      </c>
      <c r="AK9" s="535">
        <v>46097</v>
      </c>
      <c r="AL9" s="535">
        <v>46097</v>
      </c>
      <c r="AM9" s="535" t="s">
        <v>418</v>
      </c>
      <c r="AN9" s="535"/>
      <c r="AO9" s="542" t="s">
        <v>1078</v>
      </c>
      <c r="AP9" s="1235">
        <v>1</v>
      </c>
      <c r="AQ9" s="542" t="s">
        <v>1055</v>
      </c>
      <c r="AR9" s="542">
        <v>5</v>
      </c>
      <c r="AS9" s="538" t="s">
        <v>1079</v>
      </c>
      <c r="AT9" s="1235">
        <v>216</v>
      </c>
      <c r="AU9" s="542" t="s">
        <v>1072</v>
      </c>
      <c r="AV9" s="536">
        <v>46012</v>
      </c>
      <c r="AW9" s="536">
        <v>46011</v>
      </c>
      <c r="AX9" s="536">
        <v>46042</v>
      </c>
      <c r="AY9" s="536">
        <v>46043</v>
      </c>
      <c r="AZ9" s="536">
        <v>46049</v>
      </c>
      <c r="BA9" s="536">
        <v>46044</v>
      </c>
      <c r="BB9" s="544" t="s">
        <v>656</v>
      </c>
      <c r="BC9" s="544" t="s">
        <v>1080</v>
      </c>
      <c r="BD9" s="31"/>
      <c r="BE9" s="30"/>
      <c r="BF9" s="30"/>
      <c r="BG9" s="2041"/>
      <c r="BH9" s="2044"/>
      <c r="BI9" s="2047"/>
    </row>
    <row r="10" spans="1:61" ht="22.5" customHeight="1">
      <c r="A10" s="2070"/>
      <c r="B10" s="2073"/>
      <c r="C10" s="2008"/>
      <c r="D10" s="2008"/>
      <c r="E10" s="2093"/>
      <c r="F10" s="2002"/>
      <c r="G10" s="2002"/>
      <c r="H10" s="2002"/>
      <c r="I10" s="2064"/>
      <c r="J10" s="2002"/>
      <c r="K10" s="2002"/>
      <c r="L10" s="712"/>
      <c r="M10" s="2079"/>
      <c r="N10" s="2002"/>
      <c r="O10" s="690"/>
      <c r="P10" s="710"/>
      <c r="Q10" s="690"/>
      <c r="R10" s="710"/>
      <c r="S10" s="710"/>
      <c r="T10" s="2002"/>
      <c r="U10" s="696" t="s">
        <v>1081</v>
      </c>
      <c r="V10" s="693">
        <v>45747</v>
      </c>
      <c r="W10" s="693">
        <v>45758</v>
      </c>
      <c r="X10" s="693">
        <v>45762</v>
      </c>
      <c r="Y10" s="696"/>
      <c r="Z10" s="697"/>
      <c r="AA10" s="713"/>
      <c r="AB10" s="693"/>
      <c r="AC10" s="693"/>
      <c r="AD10" s="693"/>
      <c r="AE10" s="696"/>
      <c r="AF10" s="696"/>
      <c r="AG10" s="696" t="s">
        <v>1082</v>
      </c>
      <c r="AH10" s="696" t="s">
        <v>1083</v>
      </c>
      <c r="AI10" s="692" t="s">
        <v>1084</v>
      </c>
      <c r="AJ10" s="526" t="s">
        <v>1084</v>
      </c>
      <c r="AK10" s="409" t="s">
        <v>1085</v>
      </c>
      <c r="AL10" s="1124" t="s">
        <v>1085</v>
      </c>
      <c r="AM10" s="234" t="s">
        <v>418</v>
      </c>
      <c r="AN10" s="233"/>
      <c r="AO10" s="241" t="s">
        <v>1086</v>
      </c>
      <c r="AP10" s="1236">
        <v>416</v>
      </c>
      <c r="AQ10" s="241" t="s">
        <v>1072</v>
      </c>
      <c r="AR10" s="542">
        <v>6</v>
      </c>
      <c r="AS10" s="538" t="s">
        <v>1087</v>
      </c>
      <c r="AT10" s="1235">
        <v>28</v>
      </c>
      <c r="AU10" s="542" t="s">
        <v>1072</v>
      </c>
      <c r="AV10" s="536">
        <v>46111</v>
      </c>
      <c r="AW10" s="536">
        <v>46111</v>
      </c>
      <c r="AX10" s="536">
        <v>46111</v>
      </c>
      <c r="AY10" s="536">
        <v>46111</v>
      </c>
      <c r="AZ10" s="536">
        <v>46112</v>
      </c>
      <c r="BA10" s="536">
        <v>46113</v>
      </c>
      <c r="BB10" s="544" t="s">
        <v>656</v>
      </c>
      <c r="BC10" s="544" t="s">
        <v>1088</v>
      </c>
      <c r="BD10" s="31"/>
      <c r="BE10" s="30"/>
      <c r="BF10" s="30"/>
      <c r="BG10" s="2041"/>
      <c r="BH10" s="2044"/>
      <c r="BI10" s="2047"/>
    </row>
    <row r="11" spans="1:61" ht="14.25" customHeight="1">
      <c r="A11" s="2070"/>
      <c r="B11" s="2073"/>
      <c r="C11" s="2008"/>
      <c r="D11" s="2008"/>
      <c r="E11" s="2093"/>
      <c r="F11" s="2002"/>
      <c r="G11" s="2002"/>
      <c r="H11" s="2002"/>
      <c r="I11" s="2064"/>
      <c r="J11" s="2002"/>
      <c r="K11" s="2002"/>
      <c r="L11" s="715"/>
      <c r="M11" s="2079"/>
      <c r="N11" s="2002"/>
      <c r="O11" s="691"/>
      <c r="P11" s="716"/>
      <c r="Q11" s="691"/>
      <c r="R11" s="716"/>
      <c r="S11" s="716"/>
      <c r="T11" s="2002"/>
      <c r="U11" s="699" t="s">
        <v>1089</v>
      </c>
      <c r="V11" s="701">
        <v>45884</v>
      </c>
      <c r="W11" s="701">
        <v>45886</v>
      </c>
      <c r="X11" s="701">
        <v>45887</v>
      </c>
      <c r="Y11" s="717"/>
      <c r="Z11" s="700"/>
      <c r="AA11" s="718"/>
      <c r="AB11" s="701"/>
      <c r="AC11" s="701"/>
      <c r="AD11" s="701"/>
      <c r="AE11" s="699"/>
      <c r="AF11" s="699"/>
      <c r="AG11" s="699"/>
      <c r="AH11" s="699"/>
      <c r="AI11" s="695"/>
      <c r="AJ11" s="238"/>
      <c r="AK11" s="237"/>
      <c r="AL11" s="238"/>
      <c r="AM11" s="238"/>
      <c r="AN11" s="238"/>
      <c r="AO11" s="104"/>
      <c r="AP11" s="1054"/>
      <c r="AQ11" s="104"/>
      <c r="AR11" s="242">
        <v>7</v>
      </c>
      <c r="AS11" s="31" t="s">
        <v>1090</v>
      </c>
      <c r="AT11" s="1236">
        <v>416</v>
      </c>
      <c r="AU11" s="241" t="s">
        <v>1072</v>
      </c>
      <c r="AV11" s="210">
        <v>46159</v>
      </c>
      <c r="AW11" s="1387">
        <v>46161</v>
      </c>
      <c r="AX11" s="235">
        <v>46200</v>
      </c>
      <c r="AY11" s="235"/>
      <c r="AZ11" s="211">
        <v>46207</v>
      </c>
      <c r="BA11" s="211"/>
      <c r="BB11" s="106" t="s">
        <v>1091</v>
      </c>
      <c r="BC11" s="106" t="s">
        <v>1092</v>
      </c>
      <c r="BD11" s="104"/>
      <c r="BE11" s="107"/>
      <c r="BF11" s="107"/>
      <c r="BG11" s="2041"/>
      <c r="BH11" s="2044"/>
      <c r="BI11" s="2047"/>
    </row>
    <row r="12" spans="1:61" ht="14.25" customHeight="1">
      <c r="A12" s="2070"/>
      <c r="B12" s="2073"/>
      <c r="C12" s="2008"/>
      <c r="D12" s="2008"/>
      <c r="E12" s="2093"/>
      <c r="F12" s="2002"/>
      <c r="G12" s="2002"/>
      <c r="H12" s="707"/>
      <c r="I12" s="708"/>
      <c r="J12" s="707"/>
      <c r="K12" s="707"/>
      <c r="L12" s="715"/>
      <c r="M12" s="2079"/>
      <c r="N12" s="707"/>
      <c r="O12" s="691"/>
      <c r="P12" s="716"/>
      <c r="Q12" s="691"/>
      <c r="R12" s="716"/>
      <c r="S12" s="716"/>
      <c r="T12" s="2002"/>
      <c r="U12" s="699" t="s">
        <v>1093</v>
      </c>
      <c r="V12" s="701">
        <v>45930</v>
      </c>
      <c r="W12" s="701">
        <v>45921</v>
      </c>
      <c r="X12" s="701">
        <v>45924</v>
      </c>
      <c r="Y12" s="717"/>
      <c r="Z12" s="700"/>
      <c r="AA12" s="718"/>
      <c r="AB12" s="701"/>
      <c r="AC12" s="701"/>
      <c r="AD12" s="701"/>
      <c r="AE12" s="699"/>
      <c r="AF12" s="699"/>
      <c r="AG12" s="699"/>
      <c r="AH12" s="699"/>
      <c r="AI12" s="695"/>
      <c r="AJ12" s="238"/>
      <c r="AK12" s="237"/>
      <c r="AL12" s="238"/>
      <c r="AM12" s="238"/>
      <c r="AN12" s="238"/>
      <c r="AO12" s="104"/>
      <c r="AP12" s="1054"/>
      <c r="AQ12" s="104"/>
      <c r="AR12" s="242"/>
      <c r="AS12" s="104"/>
      <c r="AT12" s="1246"/>
      <c r="AU12" s="104"/>
      <c r="AV12" s="211"/>
      <c r="AW12" s="211"/>
      <c r="AX12" s="235"/>
      <c r="AY12" s="235"/>
      <c r="AZ12" s="211"/>
      <c r="BA12" s="211"/>
      <c r="BB12" s="106"/>
      <c r="BC12" s="106"/>
      <c r="BD12" s="104"/>
      <c r="BE12" s="107"/>
      <c r="BF12" s="107"/>
      <c r="BG12" s="2041"/>
      <c r="BH12" s="2044"/>
      <c r="BI12" s="2047"/>
    </row>
    <row r="13" spans="1:61" ht="14.25" customHeight="1">
      <c r="A13" s="2070"/>
      <c r="B13" s="2073"/>
      <c r="C13" s="2008"/>
      <c r="D13" s="2008"/>
      <c r="E13" s="2093"/>
      <c r="F13" s="2002"/>
      <c r="G13" s="2002"/>
      <c r="H13" s="707"/>
      <c r="I13" s="708"/>
      <c r="J13" s="707"/>
      <c r="K13" s="707"/>
      <c r="L13" s="715"/>
      <c r="M13" s="2079"/>
      <c r="N13" s="707"/>
      <c r="O13" s="691"/>
      <c r="P13" s="716"/>
      <c r="Q13" s="691"/>
      <c r="R13" s="716"/>
      <c r="S13" s="716"/>
      <c r="T13" s="2002"/>
      <c r="U13" s="699" t="s">
        <v>1094</v>
      </c>
      <c r="V13" s="701">
        <v>45986</v>
      </c>
      <c r="W13" s="701">
        <v>45999</v>
      </c>
      <c r="X13" s="701">
        <v>46005</v>
      </c>
      <c r="Y13" s="717"/>
      <c r="Z13" s="700"/>
      <c r="AA13" s="718"/>
      <c r="AB13" s="701"/>
      <c r="AC13" s="701"/>
      <c r="AD13" s="701"/>
      <c r="AE13" s="699"/>
      <c r="AF13" s="699"/>
      <c r="AG13" s="699"/>
      <c r="AH13" s="699"/>
      <c r="AI13" s="695"/>
      <c r="AJ13" s="238"/>
      <c r="AK13" s="237"/>
      <c r="AL13" s="238"/>
      <c r="AM13" s="238"/>
      <c r="AN13" s="238"/>
      <c r="AO13" s="104"/>
      <c r="AP13" s="1054"/>
      <c r="AQ13" s="104"/>
      <c r="AR13" s="242"/>
      <c r="AS13" s="104"/>
      <c r="AT13" s="1246"/>
      <c r="AU13" s="104"/>
      <c r="AV13" s="211"/>
      <c r="AW13" s="211"/>
      <c r="AX13" s="235"/>
      <c r="AY13" s="235"/>
      <c r="AZ13" s="211"/>
      <c r="BA13" s="211"/>
      <c r="BB13" s="106"/>
      <c r="BC13" s="106"/>
      <c r="BD13" s="104"/>
      <c r="BE13" s="107"/>
      <c r="BF13" s="107"/>
      <c r="BG13" s="2041"/>
      <c r="BH13" s="2044"/>
      <c r="BI13" s="2047"/>
    </row>
    <row r="14" spans="1:61" ht="14.25" customHeight="1">
      <c r="A14" s="2070"/>
      <c r="B14" s="2073"/>
      <c r="C14" s="2008"/>
      <c r="D14" s="2008"/>
      <c r="E14" s="2093"/>
      <c r="F14" s="2002"/>
      <c r="G14" s="2002"/>
      <c r="H14" s="707"/>
      <c r="I14" s="708"/>
      <c r="J14" s="707"/>
      <c r="K14" s="707"/>
      <c r="L14" s="715"/>
      <c r="M14" s="2079"/>
      <c r="N14" s="707"/>
      <c r="O14" s="691"/>
      <c r="P14" s="716"/>
      <c r="Q14" s="691"/>
      <c r="R14" s="716"/>
      <c r="S14" s="716"/>
      <c r="T14" s="2002"/>
      <c r="U14" s="699" t="s">
        <v>1095</v>
      </c>
      <c r="V14" s="701">
        <v>46081</v>
      </c>
      <c r="W14" s="701">
        <v>46111</v>
      </c>
      <c r="X14" s="701">
        <v>46111</v>
      </c>
      <c r="Y14" s="717"/>
      <c r="Z14" s="700"/>
      <c r="AA14" s="718"/>
      <c r="AB14" s="701"/>
      <c r="AC14" s="701"/>
      <c r="AD14" s="701"/>
      <c r="AE14" s="699"/>
      <c r="AF14" s="699"/>
      <c r="AG14" s="699"/>
      <c r="AH14" s="699"/>
      <c r="AI14" s="695"/>
      <c r="AJ14" s="238"/>
      <c r="AK14" s="237"/>
      <c r="AL14" s="238"/>
      <c r="AM14" s="238"/>
      <c r="AN14" s="238"/>
      <c r="AO14" s="104"/>
      <c r="AP14" s="1054"/>
      <c r="AQ14" s="104"/>
      <c r="AR14" s="242"/>
      <c r="AS14" s="104"/>
      <c r="AT14" s="1246"/>
      <c r="AU14" s="104"/>
      <c r="AV14" s="211"/>
      <c r="AW14" s="211"/>
      <c r="AX14" s="235"/>
      <c r="AY14" s="235"/>
      <c r="AZ14" s="211"/>
      <c r="BA14" s="211"/>
      <c r="BB14" s="106"/>
      <c r="BC14" s="106"/>
      <c r="BD14" s="104"/>
      <c r="BE14" s="107"/>
      <c r="BF14" s="107"/>
      <c r="BG14" s="2041"/>
      <c r="BH14" s="2044"/>
      <c r="BI14" s="2047"/>
    </row>
    <row r="15" spans="1:61" ht="14.25" customHeight="1">
      <c r="A15" s="2071"/>
      <c r="B15" s="2074"/>
      <c r="C15" s="2009"/>
      <c r="D15" s="2009"/>
      <c r="E15" s="2094"/>
      <c r="F15" s="2003"/>
      <c r="G15" s="2003"/>
      <c r="H15" s="719"/>
      <c r="I15" s="720"/>
      <c r="J15" s="719"/>
      <c r="K15" s="719"/>
      <c r="L15" s="721"/>
      <c r="M15" s="2080"/>
      <c r="N15" s="719"/>
      <c r="O15" s="722"/>
      <c r="P15" s="723"/>
      <c r="Q15" s="722"/>
      <c r="R15" s="723"/>
      <c r="S15" s="723"/>
      <c r="T15" s="2003"/>
      <c r="U15" s="724" t="s">
        <v>1096</v>
      </c>
      <c r="V15" s="725">
        <v>46122</v>
      </c>
      <c r="W15" s="725">
        <v>46159</v>
      </c>
      <c r="X15" s="1419">
        <v>46161</v>
      </c>
      <c r="Y15" s="699"/>
      <c r="Z15" s="726"/>
      <c r="AA15" s="727"/>
      <c r="AB15" s="725"/>
      <c r="AC15" s="725"/>
      <c r="AD15" s="725"/>
      <c r="AE15" s="724"/>
      <c r="AF15" s="724"/>
      <c r="AG15" s="724"/>
      <c r="AH15" s="724"/>
      <c r="AI15" s="728"/>
      <c r="AJ15" s="240"/>
      <c r="AK15" s="239"/>
      <c r="AL15" s="240"/>
      <c r="AM15" s="240"/>
      <c r="AN15" s="240"/>
      <c r="AO15" s="43"/>
      <c r="AP15" s="1055"/>
      <c r="AQ15" s="43"/>
      <c r="AR15" s="344"/>
      <c r="AS15" s="43"/>
      <c r="AT15" s="1247"/>
      <c r="AU15" s="43"/>
      <c r="AV15" s="213"/>
      <c r="AW15" s="213"/>
      <c r="AX15" s="236"/>
      <c r="AY15" s="236"/>
      <c r="AZ15" s="213"/>
      <c r="BA15" s="213"/>
      <c r="BB15" s="45"/>
      <c r="BC15" s="45"/>
      <c r="BD15" s="43"/>
      <c r="BE15" s="46"/>
      <c r="BF15" s="46"/>
      <c r="BG15" s="2042"/>
      <c r="BH15" s="2045"/>
      <c r="BI15" s="2048"/>
    </row>
    <row r="16" spans="1:61" ht="14.25" customHeight="1">
      <c r="A16" s="2065" t="s">
        <v>1097</v>
      </c>
      <c r="B16" s="2065" t="s">
        <v>1098</v>
      </c>
      <c r="C16" s="2065">
        <v>2</v>
      </c>
      <c r="D16" s="2065" t="s">
        <v>1099</v>
      </c>
      <c r="E16" s="2037" t="s">
        <v>1100</v>
      </c>
      <c r="F16" s="2065">
        <v>1</v>
      </c>
      <c r="G16" s="2068" t="s">
        <v>1101</v>
      </c>
      <c r="H16" s="2065">
        <v>1</v>
      </c>
      <c r="I16" s="2037" t="s">
        <v>1102</v>
      </c>
      <c r="J16" s="2065"/>
      <c r="K16" s="2065" t="s">
        <v>1024</v>
      </c>
      <c r="L16" s="2075"/>
      <c r="M16" s="970">
        <v>45825</v>
      </c>
      <c r="N16" s="2065" t="s">
        <v>629</v>
      </c>
      <c r="O16" s="968" t="s">
        <v>1026</v>
      </c>
      <c r="P16" s="971"/>
      <c r="Q16" s="968"/>
      <c r="R16" s="971"/>
      <c r="S16" s="972"/>
      <c r="T16" s="973"/>
      <c r="U16" s="974" t="s">
        <v>42</v>
      </c>
      <c r="V16" s="970">
        <v>45706</v>
      </c>
      <c r="W16" s="970">
        <v>45706</v>
      </c>
      <c r="X16" s="970">
        <v>45706</v>
      </c>
      <c r="Y16" s="533"/>
      <c r="Z16" s="975"/>
      <c r="AA16" s="976"/>
      <c r="AB16" s="976"/>
      <c r="AC16" s="976"/>
      <c r="AD16" s="976"/>
      <c r="AE16" s="975"/>
      <c r="AF16" s="977"/>
      <c r="AG16" s="977" t="s">
        <v>1103</v>
      </c>
      <c r="AH16" s="978" t="s">
        <v>1104</v>
      </c>
      <c r="AI16" s="970">
        <v>45887</v>
      </c>
      <c r="AJ16" s="970">
        <v>45887</v>
      </c>
      <c r="AK16" s="970">
        <v>45887</v>
      </c>
      <c r="AL16" s="970">
        <v>45887</v>
      </c>
      <c r="AM16" s="970" t="s">
        <v>418</v>
      </c>
      <c r="AN16" s="969"/>
      <c r="AO16" s="979" t="s">
        <v>1105</v>
      </c>
      <c r="AP16" s="1237">
        <v>1</v>
      </c>
      <c r="AQ16" s="979" t="s">
        <v>1055</v>
      </c>
      <c r="AR16" s="979">
        <v>1</v>
      </c>
      <c r="AS16" s="977" t="s">
        <v>1106</v>
      </c>
      <c r="AT16" s="1237">
        <v>1</v>
      </c>
      <c r="AU16" s="979" t="s">
        <v>1055</v>
      </c>
      <c r="AV16" s="970">
        <v>45928</v>
      </c>
      <c r="AW16" s="970">
        <v>45928</v>
      </c>
      <c r="AX16" s="970">
        <v>45928</v>
      </c>
      <c r="AY16" s="970">
        <v>45928</v>
      </c>
      <c r="AZ16" s="970">
        <v>45928</v>
      </c>
      <c r="BA16" s="970">
        <v>45928</v>
      </c>
      <c r="BB16" s="980" t="s">
        <v>656</v>
      </c>
      <c r="BC16" s="981" t="s">
        <v>1107</v>
      </c>
      <c r="BD16" s="977"/>
      <c r="BE16" s="977"/>
      <c r="BF16" s="977"/>
      <c r="BG16" s="2032" t="s">
        <v>1108</v>
      </c>
      <c r="BH16" s="2037"/>
      <c r="BI16" s="2029"/>
    </row>
    <row r="17" spans="1:61" ht="26.25" customHeight="1">
      <c r="A17" s="2066"/>
      <c r="B17" s="2066"/>
      <c r="C17" s="2066"/>
      <c r="D17" s="2066"/>
      <c r="E17" s="2038"/>
      <c r="F17" s="2066"/>
      <c r="G17" s="2066"/>
      <c r="H17" s="2066"/>
      <c r="I17" s="2038"/>
      <c r="J17" s="2066"/>
      <c r="K17" s="2066"/>
      <c r="L17" s="2076"/>
      <c r="M17" s="536">
        <v>45868</v>
      </c>
      <c r="N17" s="2066"/>
      <c r="O17" s="534"/>
      <c r="P17" s="537"/>
      <c r="Q17" s="534"/>
      <c r="R17" s="537">
        <v>0</v>
      </c>
      <c r="S17" s="537">
        <v>0</v>
      </c>
      <c r="T17" s="968"/>
      <c r="U17" s="538" t="s">
        <v>1041</v>
      </c>
      <c r="V17" s="536">
        <v>45707</v>
      </c>
      <c r="W17" s="536">
        <v>45707</v>
      </c>
      <c r="X17" s="536">
        <v>45707</v>
      </c>
      <c r="Y17" s="538"/>
      <c r="Z17" s="539"/>
      <c r="AA17" s="540"/>
      <c r="AB17" s="540"/>
      <c r="AC17" s="540"/>
      <c r="AD17" s="540"/>
      <c r="AE17" s="539"/>
      <c r="AF17" s="538"/>
      <c r="AG17" s="538" t="s">
        <v>1109</v>
      </c>
      <c r="AH17" s="541" t="s">
        <v>1110</v>
      </c>
      <c r="AI17" s="982" t="s">
        <v>1111</v>
      </c>
      <c r="AJ17" s="983" t="s">
        <v>1112</v>
      </c>
      <c r="AK17" s="983" t="s">
        <v>1112</v>
      </c>
      <c r="AL17" s="983" t="s">
        <v>1112</v>
      </c>
      <c r="AM17" s="536" t="s">
        <v>418</v>
      </c>
      <c r="AN17" s="535"/>
      <c r="AO17" s="542" t="s">
        <v>1113</v>
      </c>
      <c r="AP17" s="1235">
        <v>1</v>
      </c>
      <c r="AQ17" s="542" t="s">
        <v>1055</v>
      </c>
      <c r="AR17" s="542">
        <v>2</v>
      </c>
      <c r="AS17" s="538" t="s">
        <v>1114</v>
      </c>
      <c r="AT17" s="1235">
        <v>1</v>
      </c>
      <c r="AU17" s="542" t="s">
        <v>1055</v>
      </c>
      <c r="AV17" s="536">
        <v>45950</v>
      </c>
      <c r="AW17" s="536">
        <v>45950</v>
      </c>
      <c r="AX17" s="536">
        <v>45950</v>
      </c>
      <c r="AY17" s="536">
        <v>45950</v>
      </c>
      <c r="AZ17" s="536">
        <v>45950</v>
      </c>
      <c r="BA17" s="536">
        <v>45950</v>
      </c>
      <c r="BB17" s="2051" t="s">
        <v>656</v>
      </c>
      <c r="BC17" s="2049" t="s">
        <v>1115</v>
      </c>
      <c r="BD17" s="538"/>
      <c r="BE17" s="538"/>
      <c r="BF17" s="538"/>
      <c r="BG17" s="2033"/>
      <c r="BH17" s="2038"/>
      <c r="BI17" s="2030"/>
    </row>
    <row r="18" spans="1:61" ht="14.25" customHeight="1">
      <c r="A18" s="2066"/>
      <c r="B18" s="2066"/>
      <c r="C18" s="2066"/>
      <c r="D18" s="2066"/>
      <c r="E18" s="2038"/>
      <c r="F18" s="2066"/>
      <c r="G18" s="2066"/>
      <c r="H18" s="2066"/>
      <c r="I18" s="2038"/>
      <c r="J18" s="2066"/>
      <c r="K18" s="2066"/>
      <c r="L18" s="2076"/>
      <c r="M18" s="536">
        <v>46073</v>
      </c>
      <c r="N18" s="2066"/>
      <c r="O18" s="534"/>
      <c r="P18" s="537"/>
      <c r="Q18" s="534"/>
      <c r="R18" s="537">
        <v>0</v>
      </c>
      <c r="S18" s="537">
        <v>0</v>
      </c>
      <c r="T18" s="534"/>
      <c r="U18" s="538" t="s">
        <v>1049</v>
      </c>
      <c r="V18" s="536">
        <v>45717</v>
      </c>
      <c r="W18" s="536">
        <v>45774</v>
      </c>
      <c r="X18" s="536">
        <v>45745</v>
      </c>
      <c r="Y18" s="538"/>
      <c r="Z18" s="539"/>
      <c r="AA18" s="540"/>
      <c r="AB18" s="540"/>
      <c r="AC18" s="540"/>
      <c r="AD18" s="540"/>
      <c r="AE18" s="539"/>
      <c r="AF18" s="538"/>
      <c r="AG18" s="538" t="s">
        <v>1116</v>
      </c>
      <c r="AH18" s="538" t="s">
        <v>1117</v>
      </c>
      <c r="AI18" s="536">
        <v>45915</v>
      </c>
      <c r="AJ18" s="983">
        <v>45915</v>
      </c>
      <c r="AK18" s="536">
        <v>45915</v>
      </c>
      <c r="AL18" s="983">
        <v>45915</v>
      </c>
      <c r="AM18" s="535" t="s">
        <v>418</v>
      </c>
      <c r="AN18" s="535"/>
      <c r="AO18" s="542" t="s">
        <v>1118</v>
      </c>
      <c r="AP18" s="1235">
        <v>1</v>
      </c>
      <c r="AQ18" s="542" t="s">
        <v>1055</v>
      </c>
      <c r="AR18" s="542">
        <v>3</v>
      </c>
      <c r="AS18" s="538" t="s">
        <v>1119</v>
      </c>
      <c r="AT18" s="1235">
        <v>1</v>
      </c>
      <c r="AU18" s="542" t="s">
        <v>1055</v>
      </c>
      <c r="AV18" s="536">
        <v>45950</v>
      </c>
      <c r="AW18" s="536">
        <v>45950</v>
      </c>
      <c r="AX18" s="536">
        <v>45950</v>
      </c>
      <c r="AY18" s="536">
        <v>45950</v>
      </c>
      <c r="AZ18" s="536">
        <v>45950</v>
      </c>
      <c r="BA18" s="536">
        <v>45950</v>
      </c>
      <c r="BB18" s="2050"/>
      <c r="BC18" s="2050"/>
      <c r="BD18" s="538"/>
      <c r="BE18" s="538"/>
      <c r="BF18" s="538"/>
      <c r="BG18" s="2033"/>
      <c r="BH18" s="2038"/>
      <c r="BI18" s="2030"/>
    </row>
    <row r="19" spans="1:61" ht="14.25" customHeight="1">
      <c r="A19" s="2066"/>
      <c r="B19" s="2066"/>
      <c r="C19" s="2066"/>
      <c r="D19" s="2066"/>
      <c r="E19" s="2038"/>
      <c r="F19" s="2066"/>
      <c r="G19" s="2066"/>
      <c r="H19" s="2066"/>
      <c r="I19" s="2038"/>
      <c r="J19" s="2066"/>
      <c r="K19" s="2066"/>
      <c r="L19" s="2076"/>
      <c r="M19" s="536"/>
      <c r="N19" s="2066"/>
      <c r="O19" s="534"/>
      <c r="P19" s="537"/>
      <c r="Q19" s="534"/>
      <c r="R19" s="537">
        <v>0</v>
      </c>
      <c r="S19" s="537">
        <v>0</v>
      </c>
      <c r="T19" s="534"/>
      <c r="U19" s="538" t="s">
        <v>65</v>
      </c>
      <c r="V19" s="536">
        <v>45740</v>
      </c>
      <c r="W19" s="536">
        <v>45797</v>
      </c>
      <c r="X19" s="536">
        <v>45797</v>
      </c>
      <c r="Y19" s="538"/>
      <c r="Z19" s="539"/>
      <c r="AA19" s="540"/>
      <c r="AB19" s="536"/>
      <c r="AC19" s="536"/>
      <c r="AD19" s="536"/>
      <c r="AE19" s="538"/>
      <c r="AF19" s="538"/>
      <c r="AG19" s="538" t="s">
        <v>1120</v>
      </c>
      <c r="AH19" s="538" t="s">
        <v>1121</v>
      </c>
      <c r="AI19" s="535">
        <v>46070</v>
      </c>
      <c r="AJ19" s="535">
        <v>46069</v>
      </c>
      <c r="AK19" s="535">
        <v>46069</v>
      </c>
      <c r="AL19" s="535">
        <v>46069</v>
      </c>
      <c r="AM19" s="535" t="s">
        <v>418</v>
      </c>
      <c r="AN19" s="535"/>
      <c r="AO19" s="542" t="s">
        <v>1122</v>
      </c>
      <c r="AP19" s="1235">
        <v>1</v>
      </c>
      <c r="AQ19" s="542" t="s">
        <v>1055</v>
      </c>
      <c r="AR19" s="542">
        <v>4</v>
      </c>
      <c r="AS19" s="538" t="s">
        <v>1123</v>
      </c>
      <c r="AT19" s="1235">
        <v>1</v>
      </c>
      <c r="AU19" s="542" t="s">
        <v>1055</v>
      </c>
      <c r="AV19" s="982">
        <v>46094</v>
      </c>
      <c r="AW19" s="982">
        <v>46092</v>
      </c>
      <c r="AX19" s="536">
        <v>46094</v>
      </c>
      <c r="AY19" s="536">
        <v>46092</v>
      </c>
      <c r="AZ19" s="982">
        <v>46094</v>
      </c>
      <c r="BA19" s="982">
        <v>46092</v>
      </c>
      <c r="BB19" s="985" t="s">
        <v>656</v>
      </c>
      <c r="BC19" s="544" t="s">
        <v>1124</v>
      </c>
      <c r="BD19" s="538"/>
      <c r="BE19" s="538"/>
      <c r="BF19" s="538"/>
      <c r="BG19" s="2033"/>
      <c r="BH19" s="2038"/>
      <c r="BI19" s="2030"/>
    </row>
    <row r="20" spans="1:61" ht="14.25" customHeight="1">
      <c r="A20" s="2066"/>
      <c r="B20" s="2066"/>
      <c r="C20" s="2066"/>
      <c r="D20" s="2066"/>
      <c r="E20" s="2038"/>
      <c r="F20" s="2066"/>
      <c r="G20" s="2066"/>
      <c r="H20" s="2066"/>
      <c r="I20" s="2038"/>
      <c r="J20" s="2066"/>
      <c r="K20" s="2066"/>
      <c r="L20" s="2076"/>
      <c r="M20" s="536"/>
      <c r="N20" s="2066"/>
      <c r="O20" s="534"/>
      <c r="P20" s="537"/>
      <c r="Q20" s="534"/>
      <c r="R20" s="537">
        <v>0</v>
      </c>
      <c r="S20" s="537">
        <v>0</v>
      </c>
      <c r="T20" s="534"/>
      <c r="U20" s="538" t="s">
        <v>75</v>
      </c>
      <c r="V20" s="536">
        <v>45747</v>
      </c>
      <c r="W20" s="536">
        <v>45805</v>
      </c>
      <c r="X20" s="536">
        <v>45805</v>
      </c>
      <c r="Y20" s="538"/>
      <c r="Z20" s="539"/>
      <c r="AA20" s="540"/>
      <c r="AB20" s="536"/>
      <c r="AC20" s="536"/>
      <c r="AD20" s="536"/>
      <c r="AE20" s="538"/>
      <c r="AF20" s="538" t="s">
        <v>1051</v>
      </c>
      <c r="AG20" s="986"/>
      <c r="AH20" s="538"/>
      <c r="AI20" s="538"/>
      <c r="AJ20" s="535"/>
      <c r="AK20" s="535"/>
      <c r="AL20" s="535"/>
      <c r="AM20" s="535"/>
      <c r="AN20" s="535"/>
      <c r="AO20" s="538"/>
      <c r="AP20" s="1238"/>
      <c r="AQ20" s="538"/>
      <c r="AR20" s="542"/>
      <c r="AS20" s="538"/>
      <c r="AT20" s="1061"/>
      <c r="AU20" s="542"/>
      <c r="AV20" s="536"/>
      <c r="AW20" s="536"/>
      <c r="AX20" s="536"/>
      <c r="AY20" s="536"/>
      <c r="AZ20" s="536"/>
      <c r="BA20" s="536"/>
      <c r="BB20" s="544"/>
      <c r="BC20" s="544"/>
      <c r="BD20" s="538"/>
      <c r="BE20" s="538"/>
      <c r="BF20" s="538"/>
      <c r="BG20" s="2033"/>
      <c r="BH20" s="2038"/>
      <c r="BI20" s="2030"/>
    </row>
    <row r="21" spans="1:61" ht="14.25" customHeight="1">
      <c r="A21" s="2066"/>
      <c r="B21" s="2066"/>
      <c r="C21" s="2066"/>
      <c r="D21" s="2066"/>
      <c r="E21" s="2038"/>
      <c r="F21" s="2066"/>
      <c r="G21" s="2066"/>
      <c r="H21" s="2066"/>
      <c r="I21" s="2038"/>
      <c r="J21" s="2066"/>
      <c r="K21" s="2066"/>
      <c r="L21" s="2076"/>
      <c r="M21" s="536"/>
      <c r="N21" s="2066"/>
      <c r="O21" s="534"/>
      <c r="P21" s="537"/>
      <c r="Q21" s="534"/>
      <c r="R21" s="537">
        <v>0</v>
      </c>
      <c r="S21" s="537">
        <v>0</v>
      </c>
      <c r="T21" s="534"/>
      <c r="U21" s="538" t="s">
        <v>96</v>
      </c>
      <c r="V21" s="536">
        <v>45747</v>
      </c>
      <c r="W21" s="536">
        <v>45806</v>
      </c>
      <c r="X21" s="536">
        <v>45806</v>
      </c>
      <c r="Y21" s="538"/>
      <c r="Z21" s="539"/>
      <c r="AA21" s="540"/>
      <c r="AB21" s="536"/>
      <c r="AC21" s="536"/>
      <c r="AD21" s="536"/>
      <c r="AE21" s="538"/>
      <c r="AF21" s="538"/>
      <c r="AG21" s="538"/>
      <c r="AH21" s="538"/>
      <c r="AI21" s="535"/>
      <c r="AJ21" s="535"/>
      <c r="AK21" s="535"/>
      <c r="AL21" s="535"/>
      <c r="AM21" s="535"/>
      <c r="AN21" s="535"/>
      <c r="AO21" s="538"/>
      <c r="AP21" s="1238"/>
      <c r="AQ21" s="538"/>
      <c r="AR21" s="542"/>
      <c r="AS21" s="538"/>
      <c r="AT21" s="1061"/>
      <c r="AU21" s="542"/>
      <c r="AV21" s="536"/>
      <c r="AW21" s="536"/>
      <c r="AX21" s="536"/>
      <c r="AY21" s="536"/>
      <c r="AZ21" s="536"/>
      <c r="BA21" s="536"/>
      <c r="BB21" s="544"/>
      <c r="BC21" s="544"/>
      <c r="BD21" s="538"/>
      <c r="BE21" s="538"/>
      <c r="BF21" s="538"/>
      <c r="BG21" s="2033"/>
      <c r="BH21" s="2038"/>
      <c r="BI21" s="2030"/>
    </row>
    <row r="22" spans="1:61" ht="14.25" customHeight="1">
      <c r="A22" s="2066"/>
      <c r="B22" s="2066"/>
      <c r="C22" s="2066"/>
      <c r="D22" s="2066"/>
      <c r="E22" s="2038"/>
      <c r="F22" s="2066"/>
      <c r="G22" s="2066"/>
      <c r="H22" s="2066"/>
      <c r="I22" s="2038"/>
      <c r="J22" s="2066"/>
      <c r="K22" s="2066"/>
      <c r="L22" s="2076"/>
      <c r="M22" s="536"/>
      <c r="N22" s="2066"/>
      <c r="O22" s="534"/>
      <c r="P22" s="537"/>
      <c r="Q22" s="534"/>
      <c r="R22" s="537"/>
      <c r="S22" s="537"/>
      <c r="T22" s="534"/>
      <c r="U22" s="538" t="s">
        <v>1125</v>
      </c>
      <c r="V22" s="536">
        <v>45825</v>
      </c>
      <c r="W22" s="536">
        <v>45930</v>
      </c>
      <c r="X22" s="536">
        <v>45928</v>
      </c>
      <c r="Y22" s="538"/>
      <c r="Z22" s="539"/>
      <c r="AA22" s="540"/>
      <c r="AB22" s="536"/>
      <c r="AC22" s="536"/>
      <c r="AD22" s="536"/>
      <c r="AE22" s="538"/>
      <c r="AF22" s="538"/>
      <c r="AG22" s="538"/>
      <c r="AH22" s="538"/>
      <c r="AI22" s="535"/>
      <c r="AJ22" s="535"/>
      <c r="AK22" s="535"/>
      <c r="AL22" s="535"/>
      <c r="AM22" s="535"/>
      <c r="AN22" s="535"/>
      <c r="AO22" s="538"/>
      <c r="AP22" s="1239"/>
      <c r="AQ22" s="538"/>
      <c r="AR22" s="542"/>
      <c r="AS22" s="538"/>
      <c r="AT22" s="1061"/>
      <c r="AU22" s="542"/>
      <c r="AV22" s="536"/>
      <c r="AW22" s="536"/>
      <c r="AX22" s="536"/>
      <c r="AY22" s="536"/>
      <c r="AZ22" s="536"/>
      <c r="BA22" s="536"/>
      <c r="BB22" s="544"/>
      <c r="BC22" s="544"/>
      <c r="BD22" s="538"/>
      <c r="BE22" s="538"/>
      <c r="BF22" s="538"/>
      <c r="BG22" s="2033"/>
      <c r="BH22" s="2038"/>
      <c r="BI22" s="2030"/>
    </row>
    <row r="23" spans="1:61" ht="14.25" customHeight="1">
      <c r="A23" s="2067"/>
      <c r="B23" s="2067"/>
      <c r="C23" s="2067"/>
      <c r="D23" s="2067"/>
      <c r="E23" s="2039"/>
      <c r="F23" s="2067"/>
      <c r="G23" s="2067"/>
      <c r="H23" s="2067"/>
      <c r="I23" s="2039"/>
      <c r="J23" s="2067"/>
      <c r="K23" s="2067"/>
      <c r="L23" s="2077"/>
      <c r="M23" s="989"/>
      <c r="N23" s="2067"/>
      <c r="O23" s="987"/>
      <c r="P23" s="990"/>
      <c r="Q23" s="987"/>
      <c r="R23" s="990"/>
      <c r="S23" s="990"/>
      <c r="T23" s="987"/>
      <c r="U23" s="991" t="s">
        <v>1126</v>
      </c>
      <c r="V23" s="989">
        <v>45868</v>
      </c>
      <c r="W23" s="989">
        <v>45960</v>
      </c>
      <c r="X23" s="989">
        <v>45950</v>
      </c>
      <c r="Y23" s="991"/>
      <c r="Z23" s="992"/>
      <c r="AA23" s="993"/>
      <c r="AB23" s="989"/>
      <c r="AC23" s="989"/>
      <c r="AD23" s="989"/>
      <c r="AE23" s="991"/>
      <c r="AF23" s="991"/>
      <c r="AG23" s="991"/>
      <c r="AH23" s="991"/>
      <c r="AI23" s="988"/>
      <c r="AJ23" s="988"/>
      <c r="AK23" s="988"/>
      <c r="AL23" s="988"/>
      <c r="AM23" s="988"/>
      <c r="AN23" s="988"/>
      <c r="AO23" s="991"/>
      <c r="AP23" s="1240"/>
      <c r="AQ23" s="991"/>
      <c r="AR23" s="994"/>
      <c r="AS23" s="991"/>
      <c r="AT23" s="1248"/>
      <c r="AU23" s="994"/>
      <c r="AV23" s="989"/>
      <c r="AW23" s="989"/>
      <c r="AX23" s="989"/>
      <c r="AY23" s="989"/>
      <c r="AZ23" s="989"/>
      <c r="BA23" s="989"/>
      <c r="BB23" s="984"/>
      <c r="BC23" s="984"/>
      <c r="BD23" s="991"/>
      <c r="BE23" s="991"/>
      <c r="BF23" s="991"/>
      <c r="BG23" s="2034"/>
      <c r="BH23" s="2039"/>
      <c r="BI23" s="2031"/>
    </row>
    <row r="24" spans="1:61" ht="13.7" customHeight="1">
      <c r="A24" s="2067"/>
      <c r="B24" s="2067"/>
      <c r="C24" s="2067"/>
      <c r="D24" s="2067"/>
      <c r="E24" s="2039"/>
      <c r="F24" s="2067"/>
      <c r="G24" s="2067"/>
      <c r="H24" s="2067"/>
      <c r="I24" s="2039"/>
      <c r="J24" s="2067"/>
      <c r="K24" s="2067"/>
      <c r="L24" s="2077"/>
      <c r="M24" s="989"/>
      <c r="N24" s="2067"/>
      <c r="O24" s="987"/>
      <c r="P24" s="990"/>
      <c r="Q24" s="987"/>
      <c r="R24" s="990"/>
      <c r="S24" s="990"/>
      <c r="T24" s="987"/>
      <c r="U24" s="991" t="s">
        <v>1127</v>
      </c>
      <c r="V24" s="989">
        <v>46073</v>
      </c>
      <c r="W24" s="989">
        <v>46094</v>
      </c>
      <c r="X24" s="989">
        <v>46092</v>
      </c>
      <c r="Y24" s="991"/>
      <c r="Z24" s="992"/>
      <c r="AA24" s="993"/>
      <c r="AB24" s="989"/>
      <c r="AC24" s="989"/>
      <c r="AD24" s="989"/>
      <c r="AE24" s="991"/>
      <c r="AF24" s="991"/>
      <c r="AG24" s="991"/>
      <c r="AH24" s="991"/>
      <c r="AI24" s="988"/>
      <c r="AJ24" s="988"/>
      <c r="AK24" s="988"/>
      <c r="AL24" s="988"/>
      <c r="AM24" s="988"/>
      <c r="AN24" s="988"/>
      <c r="AO24" s="991"/>
      <c r="AP24" s="1241"/>
      <c r="AQ24" s="991"/>
      <c r="AR24" s="994"/>
      <c r="AS24" s="991"/>
      <c r="AT24" s="1060"/>
      <c r="AU24" s="994"/>
      <c r="AV24" s="989"/>
      <c r="AW24" s="989"/>
      <c r="AX24" s="989"/>
      <c r="AY24" s="989"/>
      <c r="AZ24" s="989"/>
      <c r="BA24" s="989"/>
      <c r="BB24" s="984"/>
      <c r="BC24" s="984"/>
      <c r="BD24" s="991"/>
      <c r="BE24" s="991"/>
      <c r="BF24" s="991"/>
      <c r="BG24" s="2034"/>
      <c r="BH24" s="2039"/>
      <c r="BI24" s="2031"/>
    </row>
    <row r="25" spans="1:61" s="500" customFormat="1" ht="14.25" customHeight="1">
      <c r="A25" s="2019" t="s">
        <v>1097</v>
      </c>
      <c r="B25" s="2022" t="s">
        <v>1019</v>
      </c>
      <c r="C25" s="2004">
        <v>3</v>
      </c>
      <c r="D25" s="2004" t="s">
        <v>1128</v>
      </c>
      <c r="E25" s="2026" t="s">
        <v>1129</v>
      </c>
      <c r="F25" s="2004">
        <v>1</v>
      </c>
      <c r="G25" s="2004">
        <v>5000107367</v>
      </c>
      <c r="H25" s="2004">
        <v>3</v>
      </c>
      <c r="I25" s="2026" t="s">
        <v>1130</v>
      </c>
      <c r="J25" s="2004" t="s">
        <v>1023</v>
      </c>
      <c r="K25" s="2007" t="s">
        <v>1024</v>
      </c>
      <c r="L25" s="2053">
        <v>45726</v>
      </c>
      <c r="M25" s="333">
        <v>45823</v>
      </c>
      <c r="N25" s="2004" t="s">
        <v>105</v>
      </c>
      <c r="O25" s="101" t="s">
        <v>1131</v>
      </c>
      <c r="P25" s="95">
        <v>930</v>
      </c>
      <c r="Q25" s="101" t="s">
        <v>1132</v>
      </c>
      <c r="R25" s="95">
        <v>930</v>
      </c>
      <c r="S25" s="95">
        <v>0</v>
      </c>
      <c r="T25" s="101">
        <v>100</v>
      </c>
      <c r="U25" s="42" t="s">
        <v>42</v>
      </c>
      <c r="V25" s="212" t="s">
        <v>418</v>
      </c>
      <c r="W25" s="212" t="s">
        <v>418</v>
      </c>
      <c r="X25" s="212" t="s">
        <v>418</v>
      </c>
      <c r="Y25" s="42"/>
      <c r="Z25" s="334"/>
      <c r="AA25" s="335"/>
      <c r="AB25" s="335"/>
      <c r="AC25" s="335"/>
      <c r="AD25" s="335"/>
      <c r="AE25" s="334"/>
      <c r="AF25" s="42"/>
      <c r="AG25" s="533" t="s">
        <v>1133</v>
      </c>
      <c r="AH25" s="622" t="s">
        <v>1134</v>
      </c>
      <c r="AI25" s="618">
        <v>45820</v>
      </c>
      <c r="AJ25" s="618">
        <v>45820</v>
      </c>
      <c r="AK25" s="618">
        <v>45820</v>
      </c>
      <c r="AL25" s="618">
        <v>45820</v>
      </c>
      <c r="AM25" s="618" t="s">
        <v>418</v>
      </c>
      <c r="AN25" s="618" t="s">
        <v>418</v>
      </c>
      <c r="AO25" s="624" t="s">
        <v>1135</v>
      </c>
      <c r="AP25" s="1180">
        <v>930</v>
      </c>
      <c r="AQ25" s="624" t="s">
        <v>1136</v>
      </c>
      <c r="AR25" s="624">
        <v>1</v>
      </c>
      <c r="AS25" s="533" t="s">
        <v>1137</v>
      </c>
      <c r="AT25" s="1180">
        <v>930</v>
      </c>
      <c r="AU25" s="624" t="s">
        <v>1138</v>
      </c>
      <c r="AV25" s="618">
        <v>45844</v>
      </c>
      <c r="AW25" s="618">
        <v>45844</v>
      </c>
      <c r="AX25" s="618">
        <v>45863</v>
      </c>
      <c r="AY25" s="618">
        <v>45863</v>
      </c>
      <c r="AZ25" s="618">
        <v>45865</v>
      </c>
      <c r="BA25" s="618">
        <v>45865</v>
      </c>
      <c r="BB25" s="626" t="s">
        <v>656</v>
      </c>
      <c r="BC25" s="627" t="s">
        <v>1139</v>
      </c>
      <c r="BD25" s="533"/>
      <c r="BE25" s="533"/>
      <c r="BF25" s="533"/>
      <c r="BG25" s="1976" t="s">
        <v>1140</v>
      </c>
      <c r="BH25" s="2013"/>
      <c r="BI25" s="2016"/>
    </row>
    <row r="26" spans="1:61" s="500" customFormat="1" ht="14.25" customHeight="1">
      <c r="A26" s="2020"/>
      <c r="B26" s="2023"/>
      <c r="C26" s="2005"/>
      <c r="D26" s="2005"/>
      <c r="E26" s="2027"/>
      <c r="F26" s="2005"/>
      <c r="G26" s="2005"/>
      <c r="H26" s="2005"/>
      <c r="I26" s="2027"/>
      <c r="J26" s="2005"/>
      <c r="K26" s="2008"/>
      <c r="L26" s="2011"/>
      <c r="M26" s="229">
        <v>45881</v>
      </c>
      <c r="N26" s="2005"/>
      <c r="O26" s="103" t="s">
        <v>1131</v>
      </c>
      <c r="P26" s="96">
        <v>5778</v>
      </c>
      <c r="Q26" s="103" t="s">
        <v>1132</v>
      </c>
      <c r="R26" s="96">
        <v>5778</v>
      </c>
      <c r="S26" s="96">
        <v>0</v>
      </c>
      <c r="T26" s="103">
        <v>100</v>
      </c>
      <c r="U26" s="31" t="s">
        <v>1041</v>
      </c>
      <c r="V26" s="210">
        <v>45789</v>
      </c>
      <c r="W26" s="210">
        <v>45789</v>
      </c>
      <c r="X26" s="210">
        <v>45789</v>
      </c>
      <c r="Y26" s="31"/>
      <c r="Z26" s="38"/>
      <c r="AA26" s="216"/>
      <c r="AB26" s="216"/>
      <c r="AC26" s="216"/>
      <c r="AD26" s="216"/>
      <c r="AE26" s="38"/>
      <c r="AF26" s="31"/>
      <c r="AG26" s="538" t="s">
        <v>1141</v>
      </c>
      <c r="AH26" s="541" t="s">
        <v>1142</v>
      </c>
      <c r="AI26" s="535">
        <v>45883</v>
      </c>
      <c r="AJ26" s="535">
        <v>45883</v>
      </c>
      <c r="AK26" s="535">
        <v>45883</v>
      </c>
      <c r="AL26" s="535">
        <v>45883</v>
      </c>
      <c r="AM26" s="535" t="s">
        <v>418</v>
      </c>
      <c r="AN26" s="535" t="s">
        <v>418</v>
      </c>
      <c r="AO26" s="542" t="s">
        <v>1143</v>
      </c>
      <c r="AP26" s="1184">
        <v>5778</v>
      </c>
      <c r="AQ26" s="542" t="s">
        <v>1136</v>
      </c>
      <c r="AR26" s="542">
        <v>2</v>
      </c>
      <c r="AS26" s="538" t="s">
        <v>1144</v>
      </c>
      <c r="AT26" s="1181">
        <v>5778</v>
      </c>
      <c r="AU26" s="542" t="s">
        <v>1138</v>
      </c>
      <c r="AV26" s="536">
        <v>45910</v>
      </c>
      <c r="AW26" s="536">
        <v>45910</v>
      </c>
      <c r="AX26" s="536">
        <v>45934</v>
      </c>
      <c r="AY26" s="536">
        <v>45932</v>
      </c>
      <c r="AZ26" s="982">
        <v>45935</v>
      </c>
      <c r="BA26" s="982">
        <v>45935</v>
      </c>
      <c r="BB26" s="544" t="s">
        <v>1145</v>
      </c>
      <c r="BC26" s="985" t="s">
        <v>656</v>
      </c>
      <c r="BD26" s="538"/>
      <c r="BE26" s="538"/>
      <c r="BF26" s="538"/>
      <c r="BG26" s="1977"/>
      <c r="BH26" s="2014"/>
      <c r="BI26" s="2017"/>
    </row>
    <row r="27" spans="1:61" s="500" customFormat="1" ht="14.25" customHeight="1">
      <c r="A27" s="2020"/>
      <c r="B27" s="2023"/>
      <c r="C27" s="2005"/>
      <c r="D27" s="2005"/>
      <c r="E27" s="2027"/>
      <c r="F27" s="2005"/>
      <c r="G27" s="2005"/>
      <c r="H27" s="2005"/>
      <c r="I27" s="2027"/>
      <c r="J27" s="2005"/>
      <c r="K27" s="2008"/>
      <c r="L27" s="2011"/>
      <c r="M27" s="229">
        <v>45992</v>
      </c>
      <c r="N27" s="2005"/>
      <c r="O27" s="103" t="s">
        <v>1131</v>
      </c>
      <c r="P27" s="96">
        <v>1199</v>
      </c>
      <c r="Q27" s="103" t="s">
        <v>1132</v>
      </c>
      <c r="R27" s="96">
        <v>1199</v>
      </c>
      <c r="S27" s="96">
        <v>0</v>
      </c>
      <c r="T27" s="103">
        <v>100</v>
      </c>
      <c r="U27" s="31" t="s">
        <v>1049</v>
      </c>
      <c r="V27" s="210">
        <v>45789</v>
      </c>
      <c r="W27" s="210">
        <v>45789</v>
      </c>
      <c r="X27" s="210">
        <v>45789</v>
      </c>
      <c r="Y27" s="31"/>
      <c r="Z27" s="38"/>
      <c r="AA27" s="216"/>
      <c r="AB27" s="216"/>
      <c r="AC27" s="216"/>
      <c r="AD27" s="216"/>
      <c r="AE27" s="38"/>
      <c r="AF27" s="31"/>
      <c r="AG27" s="31" t="s">
        <v>1146</v>
      </c>
      <c r="AH27" s="33" t="s">
        <v>1147</v>
      </c>
      <c r="AI27" s="209">
        <v>45987</v>
      </c>
      <c r="AJ27" s="233">
        <v>45987</v>
      </c>
      <c r="AK27" s="209">
        <v>45987</v>
      </c>
      <c r="AL27" s="233">
        <v>45987</v>
      </c>
      <c r="AM27" s="233" t="s">
        <v>418</v>
      </c>
      <c r="AN27" s="233" t="s">
        <v>418</v>
      </c>
      <c r="AO27" s="241" t="s">
        <v>1148</v>
      </c>
      <c r="AP27" s="1058">
        <v>1199</v>
      </c>
      <c r="AQ27" s="241" t="s">
        <v>1136</v>
      </c>
      <c r="AR27" s="542">
        <v>3</v>
      </c>
      <c r="AS27" s="538" t="s">
        <v>1149</v>
      </c>
      <c r="AT27" s="1060">
        <v>1199</v>
      </c>
      <c r="AU27" s="994" t="s">
        <v>1138</v>
      </c>
      <c r="AV27" s="982">
        <v>45999</v>
      </c>
      <c r="AW27" s="982">
        <v>45999</v>
      </c>
      <c r="AX27" s="536">
        <v>46031</v>
      </c>
      <c r="AY27" s="536">
        <v>46030</v>
      </c>
      <c r="AZ27" s="982">
        <v>46038</v>
      </c>
      <c r="BA27" s="982">
        <v>46033</v>
      </c>
      <c r="BB27" s="544" t="s">
        <v>1150</v>
      </c>
      <c r="BC27" s="544" t="s">
        <v>1151</v>
      </c>
      <c r="BD27" s="538"/>
      <c r="BE27" s="538"/>
      <c r="BF27" s="538"/>
      <c r="BG27" s="1977"/>
      <c r="BH27" s="2014"/>
      <c r="BI27" s="2017"/>
    </row>
    <row r="28" spans="1:61" s="500" customFormat="1" ht="14.25" customHeight="1">
      <c r="A28" s="2020"/>
      <c r="B28" s="2023"/>
      <c r="C28" s="2005"/>
      <c r="D28" s="2005"/>
      <c r="E28" s="2027"/>
      <c r="F28" s="2005"/>
      <c r="G28" s="2005"/>
      <c r="H28" s="2005"/>
      <c r="I28" s="2027"/>
      <c r="J28" s="2005"/>
      <c r="K28" s="2008"/>
      <c r="L28" s="2011"/>
      <c r="M28" s="229" t="s">
        <v>1152</v>
      </c>
      <c r="N28" s="2005"/>
      <c r="O28" s="103" t="s">
        <v>1131</v>
      </c>
      <c r="P28" s="96">
        <v>2940</v>
      </c>
      <c r="Q28" s="103" t="s">
        <v>1132</v>
      </c>
      <c r="R28" s="96">
        <v>0</v>
      </c>
      <c r="S28" s="96">
        <v>2940</v>
      </c>
      <c r="T28" s="96">
        <v>0</v>
      </c>
      <c r="U28" s="31" t="s">
        <v>65</v>
      </c>
      <c r="V28" s="210">
        <v>45762</v>
      </c>
      <c r="W28" s="210">
        <v>45768</v>
      </c>
      <c r="X28" s="210">
        <v>45768</v>
      </c>
      <c r="Y28" s="31"/>
      <c r="Z28" s="38"/>
      <c r="AA28" s="216"/>
      <c r="AB28" s="210"/>
      <c r="AC28" s="210"/>
      <c r="AD28" s="210"/>
      <c r="AE28" s="31"/>
      <c r="AF28" s="31"/>
      <c r="AG28" s="31" t="s">
        <v>1153</v>
      </c>
      <c r="AH28" s="31" t="s">
        <v>1154</v>
      </c>
      <c r="AI28" s="209">
        <v>46052</v>
      </c>
      <c r="AJ28" s="233">
        <v>46052</v>
      </c>
      <c r="AK28" s="209">
        <v>46052</v>
      </c>
      <c r="AL28" s="233">
        <v>46052</v>
      </c>
      <c r="AM28" s="233" t="s">
        <v>418</v>
      </c>
      <c r="AN28" s="233" t="s">
        <v>418</v>
      </c>
      <c r="AO28" s="241" t="s">
        <v>1155</v>
      </c>
      <c r="AP28" s="1059">
        <v>2940</v>
      </c>
      <c r="AQ28" s="241" t="s">
        <v>1138</v>
      </c>
      <c r="AR28" s="241">
        <v>4</v>
      </c>
      <c r="AS28" s="1332" t="s">
        <v>1156</v>
      </c>
      <c r="AT28" s="2058">
        <v>2940</v>
      </c>
      <c r="AU28" s="2059" t="s">
        <v>1138</v>
      </c>
      <c r="AV28" s="1333">
        <v>46068</v>
      </c>
      <c r="AW28" s="409">
        <v>46071</v>
      </c>
      <c r="AX28" s="234">
        <v>46149</v>
      </c>
      <c r="AY28" s="234">
        <v>46154</v>
      </c>
      <c r="AZ28" s="409">
        <v>46172</v>
      </c>
      <c r="BA28" s="409"/>
      <c r="BB28" s="29" t="s">
        <v>1157</v>
      </c>
      <c r="BC28" s="499" t="s">
        <v>656</v>
      </c>
      <c r="BD28" s="31"/>
      <c r="BE28" s="30"/>
      <c r="BF28" s="30"/>
      <c r="BG28" s="1977"/>
      <c r="BH28" s="2014"/>
      <c r="BI28" s="2017"/>
    </row>
    <row r="29" spans="1:61" s="500" customFormat="1" ht="14.25" customHeight="1">
      <c r="A29" s="2020"/>
      <c r="B29" s="2023"/>
      <c r="C29" s="2005"/>
      <c r="D29" s="2005"/>
      <c r="E29" s="2027"/>
      <c r="F29" s="2005"/>
      <c r="G29" s="2005"/>
      <c r="H29" s="2005"/>
      <c r="I29" s="2027"/>
      <c r="J29" s="2005"/>
      <c r="K29" s="2008"/>
      <c r="L29" s="2011"/>
      <c r="M29" s="28"/>
      <c r="N29" s="2005"/>
      <c r="O29" s="31"/>
      <c r="P29" s="38"/>
      <c r="Q29" s="31"/>
      <c r="R29" s="38">
        <v>0</v>
      </c>
      <c r="S29" s="38">
        <v>0</v>
      </c>
      <c r="T29" s="31"/>
      <c r="U29" s="31" t="s">
        <v>75</v>
      </c>
      <c r="V29" s="210">
        <v>45772</v>
      </c>
      <c r="W29" s="210">
        <v>45772</v>
      </c>
      <c r="X29" s="210">
        <v>45772</v>
      </c>
      <c r="Y29" s="31"/>
      <c r="Z29" s="38"/>
      <c r="AA29" s="216"/>
      <c r="AB29" s="210"/>
      <c r="AC29" s="210"/>
      <c r="AD29" s="210"/>
      <c r="AE29" s="31"/>
      <c r="AF29" s="31" t="s">
        <v>1051</v>
      </c>
      <c r="AG29" s="31"/>
      <c r="AH29" s="31"/>
      <c r="AI29" s="209"/>
      <c r="AJ29" s="233"/>
      <c r="AK29" s="209"/>
      <c r="AL29" s="233"/>
      <c r="AM29" s="233"/>
      <c r="AN29" s="233"/>
      <c r="AO29" s="31"/>
      <c r="AP29" s="38"/>
      <c r="AQ29" s="31"/>
      <c r="AR29" s="241">
        <v>5</v>
      </c>
      <c r="AS29" s="1332" t="s">
        <v>1158</v>
      </c>
      <c r="AT29" s="2058"/>
      <c r="AU29" s="2059"/>
      <c r="AV29" s="1333">
        <v>46137</v>
      </c>
      <c r="AW29" s="409">
        <v>46141</v>
      </c>
      <c r="AX29" s="1395">
        <v>46182</v>
      </c>
      <c r="AY29" s="234"/>
      <c r="AZ29" s="409">
        <v>46188</v>
      </c>
      <c r="BA29" s="214"/>
      <c r="BB29" s="499" t="s">
        <v>656</v>
      </c>
      <c r="BC29" s="29" t="s">
        <v>1159</v>
      </c>
      <c r="BD29" s="31"/>
      <c r="BE29" s="30"/>
      <c r="BF29" s="30"/>
      <c r="BG29" s="1977"/>
      <c r="BH29" s="2014"/>
      <c r="BI29" s="2017"/>
    </row>
    <row r="30" spans="1:61" s="500" customFormat="1" ht="14.25" customHeight="1">
      <c r="A30" s="2020"/>
      <c r="B30" s="2023"/>
      <c r="C30" s="2005"/>
      <c r="D30" s="2005"/>
      <c r="E30" s="2027"/>
      <c r="F30" s="2005"/>
      <c r="G30" s="2005"/>
      <c r="H30" s="2005"/>
      <c r="I30" s="2027"/>
      <c r="J30" s="2005"/>
      <c r="K30" s="2008"/>
      <c r="L30" s="2011"/>
      <c r="M30" s="28"/>
      <c r="N30" s="2005"/>
      <c r="O30" s="31"/>
      <c r="P30" s="38"/>
      <c r="Q30" s="31"/>
      <c r="R30" s="38">
        <v>0</v>
      </c>
      <c r="S30" s="38">
        <v>0</v>
      </c>
      <c r="T30" s="31"/>
      <c r="U30" s="31" t="s">
        <v>96</v>
      </c>
      <c r="V30" s="210">
        <v>45772</v>
      </c>
      <c r="W30" s="210">
        <v>45772</v>
      </c>
      <c r="X30" s="210">
        <v>45772</v>
      </c>
      <c r="Y30" s="31"/>
      <c r="Z30" s="38"/>
      <c r="AA30" s="216"/>
      <c r="AB30" s="210"/>
      <c r="AC30" s="210"/>
      <c r="AD30" s="210"/>
      <c r="AE30" s="31"/>
      <c r="AF30" s="31"/>
      <c r="AG30" s="31"/>
      <c r="AH30" s="31"/>
      <c r="AI30" s="209"/>
      <c r="AJ30" s="233"/>
      <c r="AK30" s="209"/>
      <c r="AL30" s="233"/>
      <c r="AM30" s="233"/>
      <c r="AN30" s="233"/>
      <c r="AO30" s="31"/>
      <c r="AP30" s="38"/>
      <c r="AQ30" s="31"/>
      <c r="AR30" s="31"/>
      <c r="AS30" s="31"/>
      <c r="AT30" s="1334"/>
      <c r="AU30" s="380"/>
      <c r="AV30" s="31"/>
      <c r="AW30" s="31"/>
      <c r="AX30" s="234"/>
      <c r="AY30" s="234"/>
      <c r="AZ30" s="214"/>
      <c r="BA30" s="214"/>
      <c r="BB30" s="29"/>
      <c r="BC30" s="29"/>
      <c r="BD30" s="31"/>
      <c r="BE30" s="30"/>
      <c r="BF30" s="30"/>
      <c r="BG30" s="1977"/>
      <c r="BH30" s="2014"/>
      <c r="BI30" s="2017"/>
    </row>
    <row r="31" spans="1:61" s="500" customFormat="1" ht="14.25" customHeight="1">
      <c r="A31" s="2020"/>
      <c r="B31" s="2023"/>
      <c r="C31" s="2005"/>
      <c r="D31" s="2005"/>
      <c r="E31" s="2027"/>
      <c r="F31" s="2005"/>
      <c r="G31" s="2005"/>
      <c r="H31" s="2005"/>
      <c r="I31" s="2027"/>
      <c r="J31" s="2005"/>
      <c r="K31" s="2008"/>
      <c r="L31" s="2011"/>
      <c r="M31" s="28"/>
      <c r="N31" s="2005"/>
      <c r="O31" s="31"/>
      <c r="P31" s="38"/>
      <c r="Q31" s="31"/>
      <c r="R31" s="38"/>
      <c r="S31" s="38"/>
      <c r="T31" s="31"/>
      <c r="U31" s="31" t="s">
        <v>1160</v>
      </c>
      <c r="V31" s="210">
        <v>45823</v>
      </c>
      <c r="W31" s="210">
        <v>45823</v>
      </c>
      <c r="X31" s="210">
        <v>45823</v>
      </c>
      <c r="Y31" s="31"/>
      <c r="Z31" s="38"/>
      <c r="AA31" s="216"/>
      <c r="AB31" s="210"/>
      <c r="AC31" s="210"/>
      <c r="AD31" s="210"/>
      <c r="AE31" s="31"/>
      <c r="AF31" s="31"/>
      <c r="AG31" s="31"/>
      <c r="AH31" s="31"/>
      <c r="AI31" s="209"/>
      <c r="AJ31" s="233"/>
      <c r="AK31" s="209"/>
      <c r="AL31" s="233"/>
      <c r="AM31" s="233"/>
      <c r="AN31" s="233"/>
      <c r="AO31" s="31"/>
      <c r="AP31" s="39"/>
      <c r="AQ31" s="31"/>
      <c r="AR31" s="31"/>
      <c r="AS31" s="31"/>
      <c r="AT31" s="1053"/>
      <c r="AU31" s="241"/>
      <c r="AV31" s="31"/>
      <c r="AW31" s="214"/>
      <c r="AX31" s="234"/>
      <c r="AY31" s="234"/>
      <c r="AZ31" s="214"/>
      <c r="BA31" s="214"/>
      <c r="BB31" s="29"/>
      <c r="BC31" s="29"/>
      <c r="BD31" s="31"/>
      <c r="BE31" s="30"/>
      <c r="BF31" s="30"/>
      <c r="BG31" s="1977"/>
      <c r="BH31" s="2014"/>
      <c r="BI31" s="2017"/>
    </row>
    <row r="32" spans="1:61" s="500" customFormat="1" ht="14.25" customHeight="1">
      <c r="A32" s="2060"/>
      <c r="B32" s="2061"/>
      <c r="C32" s="2055"/>
      <c r="D32" s="2055"/>
      <c r="E32" s="2057"/>
      <c r="F32" s="2055"/>
      <c r="G32" s="2055"/>
      <c r="H32" s="2055"/>
      <c r="I32" s="2057"/>
      <c r="J32" s="2055"/>
      <c r="K32" s="2008"/>
      <c r="L32" s="2054"/>
      <c r="M32" s="446"/>
      <c r="N32" s="2055"/>
      <c r="O32" s="104"/>
      <c r="P32" s="105"/>
      <c r="Q32" s="104"/>
      <c r="R32" s="105"/>
      <c r="S32" s="105"/>
      <c r="T32" s="104"/>
      <c r="U32" s="104" t="s">
        <v>1161</v>
      </c>
      <c r="V32" s="211">
        <v>45881</v>
      </c>
      <c r="W32" s="211">
        <v>45910</v>
      </c>
      <c r="X32" s="211">
        <v>45910</v>
      </c>
      <c r="Y32" s="104"/>
      <c r="Z32" s="105"/>
      <c r="AA32" s="217"/>
      <c r="AB32" s="211"/>
      <c r="AC32" s="211"/>
      <c r="AD32" s="211"/>
      <c r="AE32" s="104"/>
      <c r="AF32" s="104"/>
      <c r="AG32" s="104"/>
      <c r="AH32" s="104"/>
      <c r="AI32" s="237"/>
      <c r="AJ32" s="238"/>
      <c r="AK32" s="237"/>
      <c r="AL32" s="238"/>
      <c r="AM32" s="238"/>
      <c r="AN32" s="238"/>
      <c r="AO32" s="104"/>
      <c r="AP32" s="39"/>
      <c r="AQ32" s="104"/>
      <c r="AR32" s="104"/>
      <c r="AS32" s="104"/>
      <c r="AT32" s="1054"/>
      <c r="AU32" s="242"/>
      <c r="AV32" s="215"/>
      <c r="AW32" s="215"/>
      <c r="AX32" s="235"/>
      <c r="AY32" s="235"/>
      <c r="AZ32" s="215"/>
      <c r="BA32" s="215"/>
      <c r="BB32" s="106"/>
      <c r="BC32" s="106"/>
      <c r="BD32" s="104"/>
      <c r="BE32" s="107"/>
      <c r="BF32" s="107"/>
      <c r="BG32" s="1978"/>
      <c r="BH32" s="2056"/>
      <c r="BI32" s="2052"/>
    </row>
    <row r="33" spans="1:61" s="500" customFormat="1" ht="14.25" customHeight="1">
      <c r="A33" s="2060"/>
      <c r="B33" s="2061"/>
      <c r="C33" s="2055"/>
      <c r="D33" s="2055"/>
      <c r="E33" s="2057"/>
      <c r="F33" s="2055"/>
      <c r="G33" s="2055"/>
      <c r="H33" s="2055"/>
      <c r="I33" s="2057"/>
      <c r="J33" s="2055"/>
      <c r="K33" s="2008"/>
      <c r="L33" s="2054"/>
      <c r="M33" s="446"/>
      <c r="N33" s="2055"/>
      <c r="O33" s="104"/>
      <c r="P33" s="105"/>
      <c r="Q33" s="104"/>
      <c r="R33" s="105"/>
      <c r="S33" s="105"/>
      <c r="T33" s="104"/>
      <c r="U33" s="104" t="s">
        <v>1162</v>
      </c>
      <c r="V33" s="211">
        <v>45992</v>
      </c>
      <c r="W33" s="211">
        <v>46000</v>
      </c>
      <c r="X33" s="211">
        <v>45999</v>
      </c>
      <c r="Y33" s="104"/>
      <c r="Z33" s="105"/>
      <c r="AA33" s="217"/>
      <c r="AB33" s="211"/>
      <c r="AC33" s="211"/>
      <c r="AD33" s="211"/>
      <c r="AE33" s="104"/>
      <c r="AF33" s="104"/>
      <c r="AG33" s="104"/>
      <c r="AH33" s="104"/>
      <c r="AI33" s="237"/>
      <c r="AJ33" s="238"/>
      <c r="AK33" s="237"/>
      <c r="AL33" s="238"/>
      <c r="AM33" s="238"/>
      <c r="AN33" s="238"/>
      <c r="AO33" s="104"/>
      <c r="AP33" s="563"/>
      <c r="AQ33" s="104"/>
      <c r="AR33" s="104"/>
      <c r="AS33" s="104"/>
      <c r="AT33" s="1054"/>
      <c r="AU33" s="242"/>
      <c r="AV33" s="215"/>
      <c r="AW33" s="215"/>
      <c r="AX33" s="235"/>
      <c r="AY33" s="235"/>
      <c r="AZ33" s="215"/>
      <c r="BA33" s="215"/>
      <c r="BB33" s="106"/>
      <c r="BC33" s="106"/>
      <c r="BD33" s="104"/>
      <c r="BE33" s="107"/>
      <c r="BF33" s="107"/>
      <c r="BG33" s="1978"/>
      <c r="BH33" s="2056"/>
      <c r="BI33" s="2052"/>
    </row>
    <row r="34" spans="1:61" s="500" customFormat="1" ht="33.75" customHeight="1">
      <c r="A34" s="2060"/>
      <c r="B34" s="2061"/>
      <c r="C34" s="2055"/>
      <c r="D34" s="2055"/>
      <c r="E34" s="2057"/>
      <c r="F34" s="2055"/>
      <c r="G34" s="2055"/>
      <c r="H34" s="2055"/>
      <c r="I34" s="2057"/>
      <c r="J34" s="2055"/>
      <c r="K34" s="2008"/>
      <c r="L34" s="2054"/>
      <c r="M34" s="446"/>
      <c r="N34" s="2055"/>
      <c r="O34" s="104"/>
      <c r="P34" s="105"/>
      <c r="Q34" s="104"/>
      <c r="R34" s="105"/>
      <c r="S34" s="105"/>
      <c r="T34" s="104"/>
      <c r="U34" s="104" t="s">
        <v>1163</v>
      </c>
      <c r="V34" s="211">
        <v>46091</v>
      </c>
      <c r="W34" s="211">
        <v>46068</v>
      </c>
      <c r="X34" s="211">
        <v>46071</v>
      </c>
      <c r="Y34" s="104"/>
      <c r="Z34" s="105"/>
      <c r="AA34" s="217"/>
      <c r="AB34" s="211"/>
      <c r="AC34" s="211"/>
      <c r="AD34" s="211"/>
      <c r="AE34" s="104"/>
      <c r="AF34" s="104"/>
      <c r="AG34" s="104"/>
      <c r="AH34" s="104"/>
      <c r="AI34" s="237"/>
      <c r="AJ34" s="238"/>
      <c r="AK34" s="237"/>
      <c r="AL34" s="238"/>
      <c r="AM34" s="238"/>
      <c r="AN34" s="238"/>
      <c r="AO34" s="104"/>
      <c r="AP34" s="563"/>
      <c r="AQ34" s="104"/>
      <c r="AR34" s="104"/>
      <c r="AS34" s="104"/>
      <c r="AT34" s="1054"/>
      <c r="AU34" s="242"/>
      <c r="AV34" s="215"/>
      <c r="AW34" s="215"/>
      <c r="AX34" s="235"/>
      <c r="AY34" s="235"/>
      <c r="AZ34" s="215"/>
      <c r="BA34" s="215"/>
      <c r="BB34" s="106"/>
      <c r="BC34" s="106"/>
      <c r="BD34" s="104"/>
      <c r="BE34" s="107"/>
      <c r="BF34" s="107"/>
      <c r="BG34" s="1978"/>
      <c r="BH34" s="2056"/>
      <c r="BI34" s="2018"/>
    </row>
    <row r="35" spans="1:61" ht="27" customHeight="1">
      <c r="A35" s="2019" t="s">
        <v>1097</v>
      </c>
      <c r="B35" s="2022" t="s">
        <v>1019</v>
      </c>
      <c r="C35" s="2004">
        <v>4</v>
      </c>
      <c r="D35" s="2004" t="s">
        <v>1164</v>
      </c>
      <c r="E35" s="2026" t="s">
        <v>1165</v>
      </c>
      <c r="F35" s="2004">
        <v>1</v>
      </c>
      <c r="G35" s="2004">
        <v>5000108773</v>
      </c>
      <c r="H35" s="2004">
        <v>5</v>
      </c>
      <c r="I35" s="2026" t="s">
        <v>1166</v>
      </c>
      <c r="J35" s="2004" t="s">
        <v>1167</v>
      </c>
      <c r="K35" s="2112" t="s">
        <v>1024</v>
      </c>
      <c r="L35" s="2010" t="s">
        <v>1168</v>
      </c>
      <c r="M35" s="333">
        <v>46023</v>
      </c>
      <c r="N35" s="2004" t="s">
        <v>629</v>
      </c>
      <c r="O35" s="101" t="s">
        <v>1026</v>
      </c>
      <c r="P35" s="95">
        <v>32880</v>
      </c>
      <c r="Q35" s="101" t="s">
        <v>1132</v>
      </c>
      <c r="R35" s="95">
        <v>32880</v>
      </c>
      <c r="S35" s="95"/>
      <c r="T35" s="101">
        <v>100</v>
      </c>
      <c r="U35" s="42" t="s">
        <v>42</v>
      </c>
      <c r="V35" s="212" t="s">
        <v>418</v>
      </c>
      <c r="W35" s="212" t="s">
        <v>418</v>
      </c>
      <c r="X35" s="212" t="s">
        <v>418</v>
      </c>
      <c r="Y35" s="42"/>
      <c r="Z35" s="334"/>
      <c r="AA35" s="335"/>
      <c r="AB35" s="335"/>
      <c r="AC35" s="335"/>
      <c r="AD35" s="335"/>
      <c r="AE35" s="334"/>
      <c r="AF35" s="42"/>
      <c r="AG35" s="533" t="s">
        <v>1169</v>
      </c>
      <c r="AH35" s="622" t="s">
        <v>1170</v>
      </c>
      <c r="AI35" s="623" t="s">
        <v>1171</v>
      </c>
      <c r="AJ35" s="623" t="s">
        <v>1172</v>
      </c>
      <c r="AK35" s="623" t="s">
        <v>1172</v>
      </c>
      <c r="AL35" s="623" t="s">
        <v>1172</v>
      </c>
      <c r="AM35" s="1191" t="s">
        <v>418</v>
      </c>
      <c r="AN35" s="1191" t="s">
        <v>418</v>
      </c>
      <c r="AO35" s="1192" t="s">
        <v>1173</v>
      </c>
      <c r="AP35" s="1242">
        <v>32880</v>
      </c>
      <c r="AQ35" s="533" t="s">
        <v>1136</v>
      </c>
      <c r="AR35" s="624">
        <v>1</v>
      </c>
      <c r="AS35" s="533" t="s">
        <v>1174</v>
      </c>
      <c r="AT35" s="1180">
        <v>32880</v>
      </c>
      <c r="AU35" s="624" t="s">
        <v>1138</v>
      </c>
      <c r="AV35" s="623" t="s">
        <v>1175</v>
      </c>
      <c r="AW35" s="618">
        <v>46023</v>
      </c>
      <c r="AX35" s="623" t="s">
        <v>1176</v>
      </c>
      <c r="AY35" s="618">
        <v>46023</v>
      </c>
      <c r="AZ35" s="623" t="s">
        <v>1176</v>
      </c>
      <c r="BA35" s="618">
        <v>46030</v>
      </c>
      <c r="BB35" s="626" t="s">
        <v>656</v>
      </c>
      <c r="BC35" s="627" t="s">
        <v>1177</v>
      </c>
      <c r="BD35" s="42"/>
      <c r="BE35" s="342"/>
      <c r="BF35" s="342"/>
      <c r="BG35" s="2116" t="s">
        <v>1178</v>
      </c>
      <c r="BH35" s="2016"/>
      <c r="BI35" s="2123"/>
    </row>
    <row r="36" spans="1:61" ht="28.5" customHeight="1">
      <c r="A36" s="2020"/>
      <c r="B36" s="2023"/>
      <c r="C36" s="2005"/>
      <c r="D36" s="2005"/>
      <c r="E36" s="2027"/>
      <c r="F36" s="2005"/>
      <c r="G36" s="2005"/>
      <c r="H36" s="2005"/>
      <c r="I36" s="2027"/>
      <c r="J36" s="2005"/>
      <c r="K36" s="2113"/>
      <c r="L36" s="2011"/>
      <c r="M36" s="229">
        <v>46096</v>
      </c>
      <c r="N36" s="2005"/>
      <c r="O36" s="241" t="s">
        <v>1131</v>
      </c>
      <c r="P36" s="96">
        <v>20757</v>
      </c>
      <c r="Q36" s="103" t="s">
        <v>1132</v>
      </c>
      <c r="R36" s="96">
        <v>20757</v>
      </c>
      <c r="S36" s="96"/>
      <c r="T36" s="103">
        <v>100</v>
      </c>
      <c r="U36" s="31" t="s">
        <v>1041</v>
      </c>
      <c r="V36" s="210">
        <v>45852</v>
      </c>
      <c r="W36" s="210">
        <v>45852</v>
      </c>
      <c r="X36" s="210">
        <v>45852</v>
      </c>
      <c r="Y36" s="31"/>
      <c r="Z36" s="38"/>
      <c r="AA36" s="216"/>
      <c r="AB36" s="216"/>
      <c r="AC36" s="216"/>
      <c r="AD36" s="216"/>
      <c r="AE36" s="38"/>
      <c r="AF36" s="31"/>
      <c r="AG36" s="538" t="s">
        <v>1179</v>
      </c>
      <c r="AH36" s="541" t="s">
        <v>1180</v>
      </c>
      <c r="AI36" s="983" t="s">
        <v>1181</v>
      </c>
      <c r="AJ36" s="983" t="s">
        <v>1181</v>
      </c>
      <c r="AK36" s="983" t="s">
        <v>1182</v>
      </c>
      <c r="AL36" s="1193" t="s">
        <v>1182</v>
      </c>
      <c r="AM36" s="536" t="s">
        <v>418</v>
      </c>
      <c r="AN36" s="536" t="s">
        <v>418</v>
      </c>
      <c r="AO36" s="1190" t="s">
        <v>1183</v>
      </c>
      <c r="AP36" s="1243" t="s">
        <v>1184</v>
      </c>
      <c r="AQ36" s="1194" t="s">
        <v>1136</v>
      </c>
      <c r="AR36" s="542">
        <v>2</v>
      </c>
      <c r="AS36" s="538" t="s">
        <v>1185</v>
      </c>
      <c r="AT36" s="1184">
        <v>6702</v>
      </c>
      <c r="AU36" s="1185" t="s">
        <v>1138</v>
      </c>
      <c r="AV36" s="536">
        <v>46050</v>
      </c>
      <c r="AW36" s="982">
        <v>46050</v>
      </c>
      <c r="AX36" s="536">
        <v>46050</v>
      </c>
      <c r="AY36" s="536">
        <v>46050</v>
      </c>
      <c r="AZ36" s="982">
        <v>46050</v>
      </c>
      <c r="BA36" s="982">
        <v>46050</v>
      </c>
      <c r="BB36" s="544" t="s">
        <v>1186</v>
      </c>
      <c r="BC36" s="544" t="s">
        <v>1187</v>
      </c>
      <c r="BD36" s="31"/>
      <c r="BE36" s="30"/>
      <c r="BF36" s="30"/>
      <c r="BG36" s="2117"/>
      <c r="BH36" s="2120"/>
      <c r="BI36" s="2124"/>
    </row>
    <row r="37" spans="1:61" ht="24">
      <c r="A37" s="2020"/>
      <c r="B37" s="2023"/>
      <c r="C37" s="2005"/>
      <c r="D37" s="2005"/>
      <c r="E37" s="2027"/>
      <c r="F37" s="2005"/>
      <c r="G37" s="2005"/>
      <c r="H37" s="2005"/>
      <c r="I37" s="2027"/>
      <c r="J37" s="2005"/>
      <c r="K37" s="2113"/>
      <c r="L37" s="2011"/>
      <c r="M37" s="230" t="s">
        <v>1188</v>
      </c>
      <c r="N37" s="2005"/>
      <c r="O37" s="241" t="s">
        <v>1131</v>
      </c>
      <c r="P37" s="96">
        <v>107101</v>
      </c>
      <c r="Q37" s="103" t="s">
        <v>1132</v>
      </c>
      <c r="R37" s="96">
        <v>107101</v>
      </c>
      <c r="S37" s="96"/>
      <c r="T37" s="103">
        <v>100</v>
      </c>
      <c r="U37" s="31" t="s">
        <v>1049</v>
      </c>
      <c r="V37" s="210">
        <v>45863</v>
      </c>
      <c r="W37" s="210">
        <v>45863</v>
      </c>
      <c r="X37" s="210">
        <v>45869</v>
      </c>
      <c r="Y37" s="31"/>
      <c r="Z37" s="38"/>
      <c r="AA37" s="216"/>
      <c r="AB37" s="216"/>
      <c r="AC37" s="216"/>
      <c r="AD37" s="216"/>
      <c r="AE37" s="38"/>
      <c r="AF37" s="31"/>
      <c r="AG37" s="538" t="s">
        <v>1189</v>
      </c>
      <c r="AH37" s="538" t="s">
        <v>1190</v>
      </c>
      <c r="AI37" s="983" t="s">
        <v>1191</v>
      </c>
      <c r="AJ37" s="983" t="s">
        <v>1192</v>
      </c>
      <c r="AK37" s="983" t="s">
        <v>1192</v>
      </c>
      <c r="AL37" s="983" t="s">
        <v>1192</v>
      </c>
      <c r="AM37" s="536" t="s">
        <v>418</v>
      </c>
      <c r="AN37" s="536" t="s">
        <v>418</v>
      </c>
      <c r="AO37" s="979" t="s">
        <v>1193</v>
      </c>
      <c r="AP37" s="1237">
        <v>9830</v>
      </c>
      <c r="AQ37" s="1194" t="s">
        <v>1136</v>
      </c>
      <c r="AR37" s="542">
        <v>3</v>
      </c>
      <c r="AS37" s="538" t="s">
        <v>1194</v>
      </c>
      <c r="AT37" s="1184">
        <v>14200</v>
      </c>
      <c r="AU37" s="1185" t="s">
        <v>1138</v>
      </c>
      <c r="AV37" s="982">
        <v>46094</v>
      </c>
      <c r="AW37" s="982">
        <v>46090</v>
      </c>
      <c r="AX37" s="536">
        <v>46094</v>
      </c>
      <c r="AY37" s="536">
        <v>46090</v>
      </c>
      <c r="AZ37" s="982">
        <v>46094</v>
      </c>
      <c r="BA37" s="982">
        <v>46090</v>
      </c>
      <c r="BB37" s="985" t="s">
        <v>1195</v>
      </c>
      <c r="BC37" s="544" t="s">
        <v>1196</v>
      </c>
      <c r="BD37" s="31"/>
      <c r="BE37" s="30"/>
      <c r="BF37" s="30"/>
      <c r="BG37" s="2117"/>
      <c r="BH37" s="2120"/>
      <c r="BI37" s="2124"/>
    </row>
    <row r="38" spans="1:61" ht="24">
      <c r="A38" s="2020"/>
      <c r="B38" s="2023"/>
      <c r="C38" s="2005"/>
      <c r="D38" s="2005"/>
      <c r="E38" s="2027"/>
      <c r="F38" s="2005"/>
      <c r="G38" s="2005"/>
      <c r="H38" s="2005"/>
      <c r="I38" s="2027"/>
      <c r="J38" s="2005"/>
      <c r="K38" s="2113"/>
      <c r="L38" s="2011"/>
      <c r="M38" s="230" t="s">
        <v>1197</v>
      </c>
      <c r="N38" s="2005"/>
      <c r="O38" s="241" t="s">
        <v>1131</v>
      </c>
      <c r="P38" s="96">
        <v>15500</v>
      </c>
      <c r="Q38" s="103" t="s">
        <v>1132</v>
      </c>
      <c r="R38" s="96">
        <v>15500</v>
      </c>
      <c r="S38" s="96"/>
      <c r="T38" s="103">
        <v>100</v>
      </c>
      <c r="U38" s="31" t="s">
        <v>65</v>
      </c>
      <c r="V38" s="210">
        <v>45868</v>
      </c>
      <c r="W38" s="210">
        <v>45844</v>
      </c>
      <c r="X38" s="210">
        <v>45844</v>
      </c>
      <c r="Y38" s="31"/>
      <c r="Z38" s="38"/>
      <c r="AA38" s="216"/>
      <c r="AB38" s="210"/>
      <c r="AC38" s="210"/>
      <c r="AD38" s="210"/>
      <c r="AE38" s="31"/>
      <c r="AF38" s="31"/>
      <c r="AG38" s="538" t="s">
        <v>1198</v>
      </c>
      <c r="AH38" s="538" t="s">
        <v>1199</v>
      </c>
      <c r="AI38" s="983" t="s">
        <v>1200</v>
      </c>
      <c r="AJ38" s="983" t="s">
        <v>1201</v>
      </c>
      <c r="AK38" s="983" t="s">
        <v>1201</v>
      </c>
      <c r="AL38" s="983" t="s">
        <v>1201</v>
      </c>
      <c r="AM38" s="536" t="s">
        <v>418</v>
      </c>
      <c r="AN38" s="536" t="s">
        <v>418</v>
      </c>
      <c r="AO38" s="542" t="s">
        <v>1202</v>
      </c>
      <c r="AP38" s="1235">
        <v>113740</v>
      </c>
      <c r="AQ38" s="1194" t="s">
        <v>1136</v>
      </c>
      <c r="AR38" s="542">
        <v>4</v>
      </c>
      <c r="AS38" s="538" t="s">
        <v>1203</v>
      </c>
      <c r="AT38" s="1184">
        <v>3541</v>
      </c>
      <c r="AU38" s="1185" t="s">
        <v>1138</v>
      </c>
      <c r="AV38" s="982">
        <v>46094</v>
      </c>
      <c r="AW38" s="982">
        <v>46090</v>
      </c>
      <c r="AX38" s="536">
        <v>46094</v>
      </c>
      <c r="AY38" s="536">
        <v>46090</v>
      </c>
      <c r="AZ38" s="982">
        <v>46094</v>
      </c>
      <c r="BA38" s="982">
        <v>46090</v>
      </c>
      <c r="BB38" s="985" t="s">
        <v>656</v>
      </c>
      <c r="BC38" s="544" t="s">
        <v>1204</v>
      </c>
      <c r="BD38" s="31"/>
      <c r="BE38" s="30"/>
      <c r="BF38" s="30"/>
      <c r="BG38" s="2117"/>
      <c r="BH38" s="2120"/>
      <c r="BI38" s="2124"/>
    </row>
    <row r="39" spans="1:61" ht="24">
      <c r="A39" s="2020"/>
      <c r="B39" s="2023"/>
      <c r="C39" s="2005"/>
      <c r="D39" s="2005"/>
      <c r="E39" s="2027"/>
      <c r="F39" s="2005"/>
      <c r="G39" s="2005"/>
      <c r="H39" s="2005"/>
      <c r="I39" s="2027"/>
      <c r="J39" s="2005"/>
      <c r="K39" s="2113"/>
      <c r="L39" s="2011"/>
      <c r="M39" s="1331">
        <v>46112</v>
      </c>
      <c r="N39" s="2005"/>
      <c r="O39" s="241" t="s">
        <v>1131</v>
      </c>
      <c r="P39" s="1330">
        <v>4519</v>
      </c>
      <c r="Q39" s="103" t="s">
        <v>1132</v>
      </c>
      <c r="R39" s="1330">
        <v>4519</v>
      </c>
      <c r="S39" s="1330">
        <v>0</v>
      </c>
      <c r="T39" s="241">
        <v>100</v>
      </c>
      <c r="U39" s="31" t="s">
        <v>75</v>
      </c>
      <c r="V39" s="210">
        <v>45868</v>
      </c>
      <c r="W39" s="210">
        <v>45868</v>
      </c>
      <c r="X39" s="210">
        <v>45868</v>
      </c>
      <c r="Y39" s="31"/>
      <c r="Z39" s="38"/>
      <c r="AA39" s="216"/>
      <c r="AB39" s="210"/>
      <c r="AC39" s="210"/>
      <c r="AD39" s="210"/>
      <c r="AE39" s="31"/>
      <c r="AF39" s="31" t="s">
        <v>1051</v>
      </c>
      <c r="AG39" s="538" t="s">
        <v>1205</v>
      </c>
      <c r="AH39" s="538" t="s">
        <v>1206</v>
      </c>
      <c r="AI39" s="983" t="s">
        <v>1207</v>
      </c>
      <c r="AJ39" s="983" t="s">
        <v>1207</v>
      </c>
      <c r="AK39" s="983" t="s">
        <v>1207</v>
      </c>
      <c r="AL39" s="983" t="s">
        <v>1207</v>
      </c>
      <c r="AM39" s="536" t="s">
        <v>418</v>
      </c>
      <c r="AN39" s="536" t="s">
        <v>418</v>
      </c>
      <c r="AO39" s="1190" t="s">
        <v>1208</v>
      </c>
      <c r="AP39" s="1243" t="s">
        <v>1209</v>
      </c>
      <c r="AQ39" s="1194" t="s">
        <v>1136</v>
      </c>
      <c r="AR39" s="542">
        <v>5</v>
      </c>
      <c r="AS39" s="538" t="s">
        <v>1210</v>
      </c>
      <c r="AT39" s="1184">
        <v>1000</v>
      </c>
      <c r="AU39" s="1185" t="s">
        <v>1138</v>
      </c>
      <c r="AV39" s="982">
        <v>46104</v>
      </c>
      <c r="AW39" s="536">
        <v>46093</v>
      </c>
      <c r="AX39" s="536">
        <v>46104</v>
      </c>
      <c r="AY39" s="536">
        <v>46093</v>
      </c>
      <c r="AZ39" s="536">
        <v>46104</v>
      </c>
      <c r="BA39" s="982">
        <v>46093</v>
      </c>
      <c r="BB39" s="985" t="s">
        <v>656</v>
      </c>
      <c r="BC39" s="544" t="s">
        <v>1211</v>
      </c>
      <c r="BD39" s="31"/>
      <c r="BE39" s="30"/>
      <c r="BF39" s="30"/>
      <c r="BG39" s="2117"/>
      <c r="BH39" s="2120"/>
      <c r="BI39" s="2124"/>
    </row>
    <row r="40" spans="1:61" ht="24">
      <c r="A40" s="2020"/>
      <c r="B40" s="2023"/>
      <c r="C40" s="2005"/>
      <c r="D40" s="2005"/>
      <c r="E40" s="2027"/>
      <c r="F40" s="2005"/>
      <c r="G40" s="2005"/>
      <c r="H40" s="2005"/>
      <c r="I40" s="2027"/>
      <c r="J40" s="2005"/>
      <c r="K40" s="2113"/>
      <c r="L40" s="2011"/>
      <c r="M40" s="1331">
        <v>46242</v>
      </c>
      <c r="N40" s="2005"/>
      <c r="O40" s="241" t="s">
        <v>1131</v>
      </c>
      <c r="P40" s="1330">
        <v>44970</v>
      </c>
      <c r="Q40" s="103" t="s">
        <v>1132</v>
      </c>
      <c r="R40" s="1330">
        <v>0</v>
      </c>
      <c r="S40" s="1330">
        <v>44970</v>
      </c>
      <c r="T40" s="241">
        <v>0</v>
      </c>
      <c r="U40" s="31" t="s">
        <v>96</v>
      </c>
      <c r="V40" s="210">
        <v>45879</v>
      </c>
      <c r="W40" s="210">
        <v>45971</v>
      </c>
      <c r="X40" s="210">
        <v>45971</v>
      </c>
      <c r="Y40" s="31"/>
      <c r="Z40" s="38"/>
      <c r="AA40" s="216"/>
      <c r="AB40" s="210"/>
      <c r="AC40" s="210"/>
      <c r="AD40" s="210"/>
      <c r="AE40" s="31"/>
      <c r="AF40" s="31"/>
      <c r="AG40" s="31" t="s">
        <v>1212</v>
      </c>
      <c r="AH40" s="31" t="s">
        <v>1206</v>
      </c>
      <c r="AI40" s="1356" t="s">
        <v>1213</v>
      </c>
      <c r="AJ40" s="526" t="s">
        <v>1214</v>
      </c>
      <c r="AK40" s="209"/>
      <c r="AL40" s="233"/>
      <c r="AM40" s="233"/>
      <c r="AN40" s="233"/>
      <c r="AO40" s="31"/>
      <c r="AP40" s="1053"/>
      <c r="AQ40" s="31"/>
      <c r="AR40" s="542">
        <v>6</v>
      </c>
      <c r="AS40" s="538" t="s">
        <v>1215</v>
      </c>
      <c r="AT40" s="1184">
        <v>9907</v>
      </c>
      <c r="AU40" s="1185" t="s">
        <v>1138</v>
      </c>
      <c r="AV40" s="536">
        <v>46112</v>
      </c>
      <c r="AW40" s="536">
        <v>46110</v>
      </c>
      <c r="AX40" s="536">
        <v>46112</v>
      </c>
      <c r="AY40" s="536">
        <v>46110</v>
      </c>
      <c r="AZ40" s="536">
        <v>46112</v>
      </c>
      <c r="BA40" s="536">
        <v>46110</v>
      </c>
      <c r="BB40" s="980" t="s">
        <v>1216</v>
      </c>
      <c r="BC40" s="980" t="s">
        <v>1217</v>
      </c>
      <c r="BD40" s="31"/>
      <c r="BE40" s="30"/>
      <c r="BF40" s="30"/>
      <c r="BG40" s="2117"/>
      <c r="BH40" s="2120"/>
      <c r="BI40" s="2124"/>
    </row>
    <row r="41" spans="1:61" ht="24" customHeight="1">
      <c r="A41" s="2020"/>
      <c r="B41" s="2023"/>
      <c r="C41" s="2005"/>
      <c r="D41" s="2005"/>
      <c r="E41" s="2027"/>
      <c r="F41" s="2005"/>
      <c r="G41" s="2005"/>
      <c r="H41" s="2005"/>
      <c r="I41" s="2027"/>
      <c r="J41" s="2005"/>
      <c r="K41" s="2113"/>
      <c r="L41" s="2011"/>
      <c r="M41" s="28"/>
      <c r="N41" s="2005"/>
      <c r="O41" s="31"/>
      <c r="P41" s="38"/>
      <c r="Q41" s="31"/>
      <c r="R41" s="38"/>
      <c r="S41" s="38"/>
      <c r="T41" s="31"/>
      <c r="U41" s="31" t="s">
        <v>1218</v>
      </c>
      <c r="V41" s="210">
        <v>45991</v>
      </c>
      <c r="W41" s="210">
        <v>46025</v>
      </c>
      <c r="X41" s="210">
        <v>46030</v>
      </c>
      <c r="Y41" s="31"/>
      <c r="Z41" s="38"/>
      <c r="AA41" s="216"/>
      <c r="AB41" s="210"/>
      <c r="AC41" s="210"/>
      <c r="AD41" s="210"/>
      <c r="AE41" s="31"/>
      <c r="AF41" s="31"/>
      <c r="AG41" s="31"/>
      <c r="AH41" s="31"/>
      <c r="AI41" s="209"/>
      <c r="AJ41" s="233"/>
      <c r="AK41" s="209"/>
      <c r="AL41" s="233"/>
      <c r="AM41" s="233"/>
      <c r="AN41" s="233"/>
      <c r="AO41" s="31"/>
      <c r="AP41" s="1053"/>
      <c r="AQ41" s="31"/>
      <c r="AR41" s="542">
        <v>7</v>
      </c>
      <c r="AS41" s="538" t="s">
        <v>1219</v>
      </c>
      <c r="AT41" s="1184">
        <v>113740</v>
      </c>
      <c r="AU41" s="1185" t="s">
        <v>1138</v>
      </c>
      <c r="AV41" s="536">
        <v>46130</v>
      </c>
      <c r="AW41" s="536">
        <v>46130</v>
      </c>
      <c r="AX41" s="536">
        <v>46130</v>
      </c>
      <c r="AY41" s="536">
        <v>46130</v>
      </c>
      <c r="AZ41" s="536">
        <v>46130</v>
      </c>
      <c r="BA41" s="536">
        <v>46130</v>
      </c>
      <c r="BB41" s="1186" t="s">
        <v>1220</v>
      </c>
      <c r="BC41" s="544" t="s">
        <v>1221</v>
      </c>
      <c r="BD41" s="31"/>
      <c r="BE41" s="30"/>
      <c r="BF41" s="30"/>
      <c r="BG41" s="2117"/>
      <c r="BH41" s="2120"/>
      <c r="BI41" s="2125"/>
    </row>
    <row r="42" spans="1:61" ht="14.25" customHeight="1">
      <c r="A42" s="2020"/>
      <c r="B42" s="2023"/>
      <c r="C42" s="2005"/>
      <c r="D42" s="2005"/>
      <c r="E42" s="2027"/>
      <c r="F42" s="2005"/>
      <c r="G42" s="2005"/>
      <c r="H42" s="2005"/>
      <c r="I42" s="2027"/>
      <c r="J42" s="2005"/>
      <c r="K42" s="2113"/>
      <c r="L42" s="2011"/>
      <c r="M42" s="28"/>
      <c r="N42" s="2005"/>
      <c r="O42" s="31"/>
      <c r="P42" s="38"/>
      <c r="Q42" s="31"/>
      <c r="R42" s="38"/>
      <c r="S42" s="38"/>
      <c r="T42" s="31"/>
      <c r="U42" s="31" t="s">
        <v>1127</v>
      </c>
      <c r="V42" s="210">
        <v>46023</v>
      </c>
      <c r="W42" s="210">
        <v>46053</v>
      </c>
      <c r="X42" s="210">
        <v>46050</v>
      </c>
      <c r="Y42" s="31"/>
      <c r="Z42" s="38"/>
      <c r="AA42" s="216"/>
      <c r="AB42" s="210"/>
      <c r="AC42" s="210"/>
      <c r="AD42" s="210"/>
      <c r="AE42" s="31"/>
      <c r="AF42" s="31"/>
      <c r="AG42" s="31"/>
      <c r="AH42" s="31"/>
      <c r="AI42" s="209"/>
      <c r="AJ42" s="233"/>
      <c r="AK42" s="209"/>
      <c r="AL42" s="233"/>
      <c r="AM42" s="233"/>
      <c r="AN42" s="233"/>
      <c r="AO42" s="31"/>
      <c r="AP42" s="38"/>
      <c r="AQ42" s="31"/>
      <c r="AR42" s="241">
        <v>8</v>
      </c>
      <c r="AS42" s="31" t="s">
        <v>1222</v>
      </c>
      <c r="AT42" s="1058">
        <v>44970</v>
      </c>
      <c r="AU42" s="241" t="s">
        <v>1138</v>
      </c>
      <c r="AV42" s="214" t="s">
        <v>1223</v>
      </c>
      <c r="AW42" s="214"/>
      <c r="AX42" s="234"/>
      <c r="AY42" s="234"/>
      <c r="AZ42" s="214"/>
      <c r="BA42" s="214"/>
      <c r="BB42" s="29"/>
      <c r="BC42" s="29"/>
      <c r="BD42" s="31"/>
      <c r="BE42" s="30"/>
      <c r="BF42" s="30"/>
      <c r="BG42" s="2117"/>
      <c r="BH42" s="2120"/>
      <c r="BI42" s="2125"/>
    </row>
    <row r="43" spans="1:61" ht="14.25" customHeight="1">
      <c r="A43" s="2020"/>
      <c r="B43" s="2023"/>
      <c r="C43" s="2005"/>
      <c r="D43" s="2005"/>
      <c r="E43" s="2027"/>
      <c r="F43" s="2005"/>
      <c r="G43" s="2005"/>
      <c r="H43" s="2005"/>
      <c r="I43" s="2027"/>
      <c r="J43" s="2005"/>
      <c r="K43" s="2113"/>
      <c r="L43" s="2011"/>
      <c r="M43" s="28"/>
      <c r="N43" s="2005"/>
      <c r="O43" s="31"/>
      <c r="P43" s="38"/>
      <c r="Q43" s="31"/>
      <c r="R43" s="38"/>
      <c r="S43" s="38"/>
      <c r="T43" s="31"/>
      <c r="U43" s="31" t="s">
        <v>1224</v>
      </c>
      <c r="V43" s="210">
        <v>46112</v>
      </c>
      <c r="W43" s="210">
        <v>46112</v>
      </c>
      <c r="X43" s="210">
        <v>46110</v>
      </c>
      <c r="Y43" s="31"/>
      <c r="Z43" s="38"/>
      <c r="AA43" s="216"/>
      <c r="AB43" s="210"/>
      <c r="AC43" s="210"/>
      <c r="AD43" s="210"/>
      <c r="AE43" s="31"/>
      <c r="AF43" s="31"/>
      <c r="AG43" s="31"/>
      <c r="AH43" s="31"/>
      <c r="AI43" s="209"/>
      <c r="AJ43" s="233"/>
      <c r="AK43" s="209"/>
      <c r="AL43" s="233"/>
      <c r="AM43" s="233"/>
      <c r="AN43" s="233"/>
      <c r="AO43" s="31"/>
      <c r="AP43" s="1053"/>
      <c r="AQ43" s="31"/>
      <c r="AR43" s="31"/>
      <c r="AS43" s="31"/>
      <c r="AT43" s="1053"/>
      <c r="AU43" s="241"/>
      <c r="AV43" s="214"/>
      <c r="AW43" s="214"/>
      <c r="AX43" s="234"/>
      <c r="AY43" s="234"/>
      <c r="AZ43" s="214"/>
      <c r="BA43" s="214"/>
      <c r="BB43" s="29"/>
      <c r="BC43" s="29"/>
      <c r="BD43" s="31"/>
      <c r="BE43" s="30"/>
      <c r="BF43" s="30"/>
      <c r="BG43" s="2117"/>
      <c r="BH43" s="2120"/>
      <c r="BI43" s="2125"/>
    </row>
    <row r="44" spans="1:61" ht="14.25" customHeight="1">
      <c r="A44" s="2060"/>
      <c r="B44" s="2061"/>
      <c r="C44" s="2055"/>
      <c r="D44" s="2055"/>
      <c r="E44" s="2057"/>
      <c r="F44" s="2055"/>
      <c r="G44" s="2055"/>
      <c r="H44" s="2055"/>
      <c r="I44" s="2057"/>
      <c r="J44" s="2055"/>
      <c r="K44" s="2114"/>
      <c r="L44" s="2054"/>
      <c r="M44" s="446"/>
      <c r="N44" s="2055"/>
      <c r="O44" s="104"/>
      <c r="P44" s="105"/>
      <c r="Q44" s="104"/>
      <c r="R44" s="105"/>
      <c r="S44" s="105"/>
      <c r="T44" s="104"/>
      <c r="U44" s="104" t="s">
        <v>1225</v>
      </c>
      <c r="V44" s="211">
        <v>46142</v>
      </c>
      <c r="W44" s="211">
        <v>46127</v>
      </c>
      <c r="X44" s="211">
        <v>46130</v>
      </c>
      <c r="Y44" s="104"/>
      <c r="Z44" s="105"/>
      <c r="AA44" s="217"/>
      <c r="AB44" s="211"/>
      <c r="AC44" s="211"/>
      <c r="AD44" s="211"/>
      <c r="AE44" s="104"/>
      <c r="AF44" s="104"/>
      <c r="AG44" s="104"/>
      <c r="AH44" s="104"/>
      <c r="AI44" s="237"/>
      <c r="AJ44" s="238"/>
      <c r="AK44" s="237"/>
      <c r="AL44" s="238"/>
      <c r="AM44" s="238"/>
      <c r="AN44" s="238"/>
      <c r="AO44" s="104"/>
      <c r="AP44" s="1054"/>
      <c r="AQ44" s="104"/>
      <c r="AR44" s="104"/>
      <c r="AS44" s="104"/>
      <c r="AT44" s="1054"/>
      <c r="AU44" s="242"/>
      <c r="AV44" s="215"/>
      <c r="AW44" s="215"/>
      <c r="AX44" s="235"/>
      <c r="AY44" s="235"/>
      <c r="AZ44" s="215"/>
      <c r="BA44" s="215"/>
      <c r="BB44" s="106"/>
      <c r="BC44" s="106"/>
      <c r="BD44" s="104"/>
      <c r="BE44" s="107"/>
      <c r="BF44" s="107"/>
      <c r="BG44" s="2118"/>
      <c r="BH44" s="2121"/>
      <c r="BI44" s="2125"/>
    </row>
    <row r="45" spans="1:61" ht="14.25" customHeight="1">
      <c r="A45" s="2060"/>
      <c r="B45" s="2061"/>
      <c r="C45" s="2055"/>
      <c r="D45" s="2055"/>
      <c r="E45" s="2057"/>
      <c r="F45" s="2055"/>
      <c r="G45" s="2055"/>
      <c r="H45" s="2055"/>
      <c r="I45" s="2057"/>
      <c r="J45" s="2055"/>
      <c r="K45" s="2114"/>
      <c r="L45" s="2054"/>
      <c r="M45" s="446"/>
      <c r="N45" s="2055"/>
      <c r="O45" s="104"/>
      <c r="P45" s="105"/>
      <c r="Q45" s="104"/>
      <c r="R45" s="105"/>
      <c r="S45" s="105"/>
      <c r="T45" s="104"/>
      <c r="U45" s="104" t="s">
        <v>1226</v>
      </c>
      <c r="V45" s="211">
        <v>46112</v>
      </c>
      <c r="W45" s="211">
        <v>46091</v>
      </c>
      <c r="X45" s="211">
        <v>46090</v>
      </c>
      <c r="Y45" s="104"/>
      <c r="Z45" s="105"/>
      <c r="AA45" s="217"/>
      <c r="AB45" s="211"/>
      <c r="AC45" s="211"/>
      <c r="AD45" s="211"/>
      <c r="AE45" s="104"/>
      <c r="AF45" s="104"/>
      <c r="AG45" s="104"/>
      <c r="AH45" s="104"/>
      <c r="AI45" s="237"/>
      <c r="AJ45" s="238"/>
      <c r="AK45" s="237"/>
      <c r="AL45" s="238"/>
      <c r="AM45" s="238"/>
      <c r="AN45" s="238"/>
      <c r="AO45" s="104"/>
      <c r="AP45" s="1054"/>
      <c r="AQ45" s="104"/>
      <c r="AR45" s="104"/>
      <c r="AS45" s="104"/>
      <c r="AT45" s="1054"/>
      <c r="AU45" s="242"/>
      <c r="AV45" s="215"/>
      <c r="AW45" s="215"/>
      <c r="AX45" s="235"/>
      <c r="AY45" s="235"/>
      <c r="AZ45" s="215"/>
      <c r="BA45" s="215"/>
      <c r="BB45" s="106"/>
      <c r="BC45" s="106"/>
      <c r="BD45" s="104"/>
      <c r="BE45" s="107"/>
      <c r="BF45" s="107"/>
      <c r="BG45" s="2118"/>
      <c r="BH45" s="2121"/>
      <c r="BI45" s="2125"/>
    </row>
    <row r="46" spans="1:61" ht="14.25" customHeight="1">
      <c r="A46" s="2021"/>
      <c r="B46" s="2024"/>
      <c r="C46" s="2006"/>
      <c r="D46" s="2006"/>
      <c r="E46" s="2028"/>
      <c r="F46" s="2006"/>
      <c r="G46" s="2006"/>
      <c r="H46" s="2006"/>
      <c r="I46" s="2028"/>
      <c r="J46" s="2006"/>
      <c r="K46" s="2115"/>
      <c r="L46" s="2012"/>
      <c r="M46" s="100"/>
      <c r="N46" s="2006"/>
      <c r="O46" s="43"/>
      <c r="P46" s="44"/>
      <c r="Q46" s="43"/>
      <c r="R46" s="44"/>
      <c r="S46" s="44"/>
      <c r="T46" s="43"/>
      <c r="U46" s="43" t="s">
        <v>1227</v>
      </c>
      <c r="V46" s="213">
        <v>46242</v>
      </c>
      <c r="W46" s="213">
        <v>46242</v>
      </c>
      <c r="X46" s="213"/>
      <c r="Y46" s="43"/>
      <c r="Z46" s="44"/>
      <c r="AA46" s="218"/>
      <c r="AB46" s="213"/>
      <c r="AC46" s="213"/>
      <c r="AD46" s="213"/>
      <c r="AE46" s="43"/>
      <c r="AF46" s="43"/>
      <c r="AG46" s="43"/>
      <c r="AH46" s="43"/>
      <c r="AI46" s="239"/>
      <c r="AJ46" s="240"/>
      <c r="AK46" s="239"/>
      <c r="AL46" s="240"/>
      <c r="AM46" s="240"/>
      <c r="AN46" s="240"/>
      <c r="AO46" s="43"/>
      <c r="AP46" s="1055"/>
      <c r="AQ46" s="43"/>
      <c r="AR46" s="43"/>
      <c r="AS46" s="43"/>
      <c r="AT46" s="1055"/>
      <c r="AU46" s="344"/>
      <c r="AV46" s="232"/>
      <c r="AW46" s="232"/>
      <c r="AX46" s="236"/>
      <c r="AY46" s="236"/>
      <c r="AZ46" s="232"/>
      <c r="BA46" s="232"/>
      <c r="BB46" s="45"/>
      <c r="BC46" s="45"/>
      <c r="BD46" s="43"/>
      <c r="BE46" s="46"/>
      <c r="BF46" s="46"/>
      <c r="BG46" s="2119"/>
      <c r="BH46" s="2122"/>
      <c r="BI46" s="2125"/>
    </row>
    <row r="47" spans="1:61" ht="14.25" customHeight="1">
      <c r="A47" s="2132" t="s">
        <v>1097</v>
      </c>
      <c r="B47" s="2133" t="s">
        <v>1019</v>
      </c>
      <c r="C47" s="2126">
        <v>5</v>
      </c>
      <c r="D47" s="2127" t="s">
        <v>1228</v>
      </c>
      <c r="E47" s="2128" t="s">
        <v>1229</v>
      </c>
      <c r="F47" s="2126">
        <v>3</v>
      </c>
      <c r="G47" s="2126">
        <v>5000108967</v>
      </c>
      <c r="H47" s="2126">
        <v>2</v>
      </c>
      <c r="I47" s="2128" t="s">
        <v>1230</v>
      </c>
      <c r="J47" s="2126" t="s">
        <v>1231</v>
      </c>
      <c r="K47" s="2008" t="s">
        <v>1024</v>
      </c>
      <c r="L47" s="2129">
        <v>45862</v>
      </c>
      <c r="M47" s="564">
        <v>46022</v>
      </c>
      <c r="N47" s="2126" t="s">
        <v>105</v>
      </c>
      <c r="O47" s="279" t="s">
        <v>1026</v>
      </c>
      <c r="P47" s="531">
        <v>157</v>
      </c>
      <c r="Q47" s="279" t="s">
        <v>1072</v>
      </c>
      <c r="R47" s="531">
        <v>0</v>
      </c>
      <c r="S47" s="531">
        <v>157</v>
      </c>
      <c r="T47" s="531">
        <v>0</v>
      </c>
      <c r="U47" s="345" t="s">
        <v>42</v>
      </c>
      <c r="V47" s="565" t="s">
        <v>418</v>
      </c>
      <c r="W47" s="565" t="s">
        <v>418</v>
      </c>
      <c r="X47" s="565" t="s">
        <v>418</v>
      </c>
      <c r="Y47" s="345"/>
      <c r="Z47" s="566"/>
      <c r="AA47" s="567"/>
      <c r="AB47" s="567"/>
      <c r="AC47" s="567"/>
      <c r="AD47" s="567"/>
      <c r="AE47" s="566"/>
      <c r="AF47" s="345"/>
      <c r="AG47" s="345" t="s">
        <v>1232</v>
      </c>
      <c r="AH47" s="910" t="s">
        <v>1233</v>
      </c>
      <c r="AI47" s="565">
        <v>46084</v>
      </c>
      <c r="AJ47" s="568">
        <v>46084</v>
      </c>
      <c r="AK47" s="565">
        <v>46084</v>
      </c>
      <c r="AL47" s="568">
        <v>46084</v>
      </c>
      <c r="AM47" s="568" t="s">
        <v>418</v>
      </c>
      <c r="AN47" s="568" t="s">
        <v>418</v>
      </c>
      <c r="AO47" s="380" t="s">
        <v>1234</v>
      </c>
      <c r="AP47" s="1244">
        <v>176</v>
      </c>
      <c r="AQ47" s="380" t="s">
        <v>1072</v>
      </c>
      <c r="AR47" s="979">
        <v>1</v>
      </c>
      <c r="AS47" s="977" t="s">
        <v>1235</v>
      </c>
      <c r="AT47" s="1278">
        <v>176</v>
      </c>
      <c r="AU47" s="979" t="s">
        <v>1072</v>
      </c>
      <c r="AV47" s="970">
        <v>46140</v>
      </c>
      <c r="AW47" s="970">
        <v>46140</v>
      </c>
      <c r="AX47" s="970">
        <v>46140</v>
      </c>
      <c r="AY47" s="970">
        <v>46140</v>
      </c>
      <c r="AZ47" s="970">
        <v>46147</v>
      </c>
      <c r="BA47" s="970">
        <v>46141</v>
      </c>
      <c r="BB47" s="980" t="s">
        <v>1236</v>
      </c>
      <c r="BC47" s="981" t="s">
        <v>1237</v>
      </c>
      <c r="BD47" s="345"/>
      <c r="BE47" s="569"/>
      <c r="BF47" s="569"/>
      <c r="BG47" s="2130" t="s">
        <v>1238</v>
      </c>
      <c r="BH47" s="2131"/>
      <c r="BI47" s="2016"/>
    </row>
    <row r="48" spans="1:61" ht="14.25" customHeight="1">
      <c r="A48" s="2020"/>
      <c r="B48" s="2023"/>
      <c r="C48" s="2005"/>
      <c r="D48" s="2005"/>
      <c r="E48" s="2027"/>
      <c r="F48" s="2005"/>
      <c r="G48" s="2005"/>
      <c r="H48" s="2005"/>
      <c r="I48" s="2027"/>
      <c r="J48" s="2005"/>
      <c r="K48" s="2008"/>
      <c r="L48" s="2011"/>
      <c r="M48" s="229">
        <v>46052</v>
      </c>
      <c r="N48" s="2005"/>
      <c r="O48" s="103"/>
      <c r="P48" s="96">
        <v>232</v>
      </c>
      <c r="Q48" s="103" t="s">
        <v>1072</v>
      </c>
      <c r="R48" s="96">
        <v>0</v>
      </c>
      <c r="S48" s="96">
        <v>232</v>
      </c>
      <c r="T48" s="103">
        <v>0</v>
      </c>
      <c r="U48" s="31" t="s">
        <v>1041</v>
      </c>
      <c r="V48" s="210">
        <v>45884</v>
      </c>
      <c r="W48" s="210">
        <v>45904</v>
      </c>
      <c r="X48" s="210">
        <v>45904</v>
      </c>
      <c r="Y48" s="31"/>
      <c r="Z48" s="38"/>
      <c r="AA48" s="216"/>
      <c r="AB48" s="216"/>
      <c r="AC48" s="216"/>
      <c r="AD48" s="216"/>
      <c r="AE48" s="38"/>
      <c r="AF48" s="31"/>
      <c r="AG48" s="31" t="s">
        <v>1239</v>
      </c>
      <c r="AH48" s="417" t="s">
        <v>1240</v>
      </c>
      <c r="AI48" s="209">
        <v>46164</v>
      </c>
      <c r="AJ48" s="233"/>
      <c r="AK48" s="209"/>
      <c r="AL48" s="233"/>
      <c r="AM48" s="233"/>
      <c r="AN48" s="233"/>
      <c r="AO48" s="31"/>
      <c r="AP48" s="1053"/>
      <c r="AQ48" s="31"/>
      <c r="AR48" s="241">
        <v>2</v>
      </c>
      <c r="AS48" s="31" t="s">
        <v>1241</v>
      </c>
      <c r="AT48" s="1056"/>
      <c r="AU48" s="241"/>
      <c r="AV48" s="210" t="s">
        <v>1242</v>
      </c>
      <c r="AW48" s="210"/>
      <c r="AX48" s="234"/>
      <c r="AY48" s="234"/>
      <c r="AZ48" s="409"/>
      <c r="BA48" s="231"/>
      <c r="BB48" s="29"/>
      <c r="BC48" s="29"/>
      <c r="BD48" s="31"/>
      <c r="BE48" s="30"/>
      <c r="BF48" s="30"/>
      <c r="BG48" s="2117"/>
      <c r="BH48" s="2014"/>
      <c r="BI48" s="2017"/>
    </row>
    <row r="49" spans="1:61" ht="14.25" customHeight="1">
      <c r="A49" s="2020"/>
      <c r="B49" s="2023"/>
      <c r="C49" s="2005"/>
      <c r="D49" s="2005"/>
      <c r="E49" s="2027"/>
      <c r="F49" s="2005"/>
      <c r="G49" s="2005"/>
      <c r="H49" s="2005"/>
      <c r="I49" s="2027"/>
      <c r="J49" s="2005"/>
      <c r="K49" s="2008"/>
      <c r="L49" s="2011"/>
      <c r="M49" s="230"/>
      <c r="N49" s="2005"/>
      <c r="O49" s="103"/>
      <c r="P49" s="96"/>
      <c r="Q49" s="103"/>
      <c r="R49" s="96">
        <v>0</v>
      </c>
      <c r="S49" s="96">
        <v>0</v>
      </c>
      <c r="T49" s="103"/>
      <c r="U49" s="31" t="s">
        <v>1049</v>
      </c>
      <c r="V49" s="210">
        <v>45909</v>
      </c>
      <c r="W49" s="210">
        <v>45945</v>
      </c>
      <c r="X49" s="210">
        <v>45940</v>
      </c>
      <c r="Y49" s="31"/>
      <c r="Z49" s="38"/>
      <c r="AA49" s="216"/>
      <c r="AB49" s="216"/>
      <c r="AC49" s="216"/>
      <c r="AD49" s="216"/>
      <c r="AE49" s="38"/>
      <c r="AF49" s="31"/>
      <c r="AG49" s="31"/>
      <c r="AH49" s="31"/>
      <c r="AI49" s="209"/>
      <c r="AJ49" s="233"/>
      <c r="AK49" s="209"/>
      <c r="AL49" s="233"/>
      <c r="AM49" s="233"/>
      <c r="AN49" s="233"/>
      <c r="AO49" s="31"/>
      <c r="AP49" s="1053"/>
      <c r="AQ49" s="31"/>
      <c r="AR49" s="241">
        <v>3</v>
      </c>
      <c r="AS49" s="31" t="s">
        <v>1243</v>
      </c>
      <c r="AT49" s="1053"/>
      <c r="AU49" s="241"/>
      <c r="AV49" s="409" t="s">
        <v>1244</v>
      </c>
      <c r="AW49" s="231"/>
      <c r="AX49" s="234"/>
      <c r="AY49" s="234"/>
      <c r="AZ49" s="231"/>
      <c r="BA49" s="231"/>
      <c r="BB49" s="29"/>
      <c r="BC49" s="29"/>
      <c r="BD49" s="31"/>
      <c r="BE49" s="30"/>
      <c r="BF49" s="30"/>
      <c r="BG49" s="2117"/>
      <c r="BH49" s="2014"/>
      <c r="BI49" s="2017"/>
    </row>
    <row r="50" spans="1:61" ht="14.25" customHeight="1">
      <c r="A50" s="2020"/>
      <c r="B50" s="2023"/>
      <c r="C50" s="2005"/>
      <c r="D50" s="2005"/>
      <c r="E50" s="2027"/>
      <c r="F50" s="2005"/>
      <c r="G50" s="2005"/>
      <c r="H50" s="2005"/>
      <c r="I50" s="2027"/>
      <c r="J50" s="2005"/>
      <c r="K50" s="2008"/>
      <c r="L50" s="2011"/>
      <c r="M50" s="28"/>
      <c r="N50" s="2005"/>
      <c r="O50" s="31"/>
      <c r="P50" s="38"/>
      <c r="Q50" s="31"/>
      <c r="R50" s="38">
        <v>0</v>
      </c>
      <c r="S50" s="38">
        <v>0</v>
      </c>
      <c r="T50" s="31"/>
      <c r="U50" s="31" t="s">
        <v>65</v>
      </c>
      <c r="V50" s="210">
        <v>45960</v>
      </c>
      <c r="W50" s="210">
        <v>45976</v>
      </c>
      <c r="X50" s="210">
        <v>45958</v>
      </c>
      <c r="Y50" s="31"/>
      <c r="Z50" s="38"/>
      <c r="AA50" s="216"/>
      <c r="AB50" s="210"/>
      <c r="AC50" s="210"/>
      <c r="AD50" s="210"/>
      <c r="AE50" s="31"/>
      <c r="AF50" s="31"/>
      <c r="AG50" s="31"/>
      <c r="AH50" s="31"/>
      <c r="AI50" s="209"/>
      <c r="AJ50" s="233"/>
      <c r="AK50" s="209"/>
      <c r="AL50" s="233"/>
      <c r="AM50" s="233"/>
      <c r="AN50" s="233"/>
      <c r="AO50" s="31"/>
      <c r="AP50" s="1053"/>
      <c r="AQ50" s="31"/>
      <c r="AR50" s="241">
        <v>4</v>
      </c>
      <c r="AS50" s="31"/>
      <c r="AT50" s="1053"/>
      <c r="AU50" s="241"/>
      <c r="AV50" s="409"/>
      <c r="AW50" s="231"/>
      <c r="AX50" s="234"/>
      <c r="AY50" s="234"/>
      <c r="AZ50" s="231"/>
      <c r="BA50" s="231"/>
      <c r="BB50" s="29"/>
      <c r="BC50" s="29"/>
      <c r="BD50" s="31"/>
      <c r="BE50" s="30"/>
      <c r="BF50" s="30"/>
      <c r="BG50" s="2117"/>
      <c r="BH50" s="2014"/>
      <c r="BI50" s="2017"/>
    </row>
    <row r="51" spans="1:61" ht="14.25" customHeight="1">
      <c r="A51" s="2020"/>
      <c r="B51" s="2023"/>
      <c r="C51" s="2005"/>
      <c r="D51" s="2005"/>
      <c r="E51" s="2027"/>
      <c r="F51" s="2005"/>
      <c r="G51" s="2005"/>
      <c r="H51" s="2005"/>
      <c r="I51" s="2027"/>
      <c r="J51" s="2005"/>
      <c r="K51" s="2008"/>
      <c r="L51" s="2011"/>
      <c r="M51" s="28"/>
      <c r="N51" s="2005"/>
      <c r="O51" s="31"/>
      <c r="P51" s="38"/>
      <c r="Q51" s="31"/>
      <c r="R51" s="38">
        <v>0</v>
      </c>
      <c r="S51" s="38">
        <v>0</v>
      </c>
      <c r="T51" s="31"/>
      <c r="U51" s="31" t="s">
        <v>75</v>
      </c>
      <c r="V51" s="210">
        <v>45971</v>
      </c>
      <c r="W51" s="210">
        <v>45981</v>
      </c>
      <c r="X51" s="210">
        <v>45958</v>
      </c>
      <c r="Y51" s="31"/>
      <c r="Z51" s="38"/>
      <c r="AA51" s="216"/>
      <c r="AB51" s="210"/>
      <c r="AC51" s="210"/>
      <c r="AD51" s="210"/>
      <c r="AE51" s="31"/>
      <c r="AF51" s="31"/>
      <c r="AG51" s="31"/>
      <c r="AH51" s="31"/>
      <c r="AI51" s="209"/>
      <c r="AJ51" s="233"/>
      <c r="AK51" s="209"/>
      <c r="AL51" s="233"/>
      <c r="AM51" s="233"/>
      <c r="AN51" s="233"/>
      <c r="AO51" s="31"/>
      <c r="AP51" s="1053"/>
      <c r="AQ51" s="31"/>
      <c r="AR51" s="31"/>
      <c r="AS51" s="31"/>
      <c r="AT51" s="1053"/>
      <c r="AU51" s="241"/>
      <c r="AV51" s="214"/>
      <c r="AW51" s="214"/>
      <c r="AX51" s="234"/>
      <c r="AY51" s="234"/>
      <c r="AZ51" s="214"/>
      <c r="BA51" s="214"/>
      <c r="BB51" s="29"/>
      <c r="BC51" s="29"/>
      <c r="BD51" s="31"/>
      <c r="BE51" s="30"/>
      <c r="BF51" s="30"/>
      <c r="BG51" s="2117"/>
      <c r="BH51" s="2014"/>
      <c r="BI51" s="2017"/>
    </row>
    <row r="52" spans="1:61" ht="14.25" customHeight="1">
      <c r="A52" s="2020"/>
      <c r="B52" s="2023"/>
      <c r="C52" s="2005"/>
      <c r="D52" s="2005"/>
      <c r="E52" s="2027"/>
      <c r="F52" s="2005"/>
      <c r="G52" s="2005"/>
      <c r="H52" s="2005"/>
      <c r="I52" s="2027"/>
      <c r="J52" s="2005"/>
      <c r="K52" s="2008"/>
      <c r="L52" s="2011"/>
      <c r="M52" s="28"/>
      <c r="N52" s="2005"/>
      <c r="O52" s="31"/>
      <c r="P52" s="38"/>
      <c r="Q52" s="31"/>
      <c r="R52" s="38">
        <v>0</v>
      </c>
      <c r="S52" s="38">
        <v>0</v>
      </c>
      <c r="T52" s="31"/>
      <c r="U52" s="31" t="s">
        <v>1245</v>
      </c>
      <c r="V52" s="210">
        <v>45981</v>
      </c>
      <c r="W52" s="210">
        <v>45991</v>
      </c>
      <c r="X52" s="210">
        <v>45958</v>
      </c>
      <c r="Y52" s="31"/>
      <c r="Z52" s="38"/>
      <c r="AA52" s="216"/>
      <c r="AB52" s="210"/>
      <c r="AC52" s="210"/>
      <c r="AD52" s="210"/>
      <c r="AE52" s="31"/>
      <c r="AF52" s="31"/>
      <c r="AG52" s="31"/>
      <c r="AH52" s="31"/>
      <c r="AI52" s="209"/>
      <c r="AJ52" s="233"/>
      <c r="AK52" s="209"/>
      <c r="AL52" s="233"/>
      <c r="AM52" s="233"/>
      <c r="AN52" s="233"/>
      <c r="AO52" s="31"/>
      <c r="AP52" s="1053"/>
      <c r="AQ52" s="31"/>
      <c r="AR52" s="31"/>
      <c r="AS52" s="31"/>
      <c r="AT52" s="1053"/>
      <c r="AU52" s="241"/>
      <c r="AV52" s="214"/>
      <c r="AW52" s="214"/>
      <c r="AX52" s="234"/>
      <c r="AY52" s="234"/>
      <c r="AZ52" s="214"/>
      <c r="BA52" s="214"/>
      <c r="BB52" s="29"/>
      <c r="BC52" s="29"/>
      <c r="BD52" s="31"/>
      <c r="BE52" s="30"/>
      <c r="BF52" s="30"/>
      <c r="BG52" s="2117"/>
      <c r="BH52" s="2014"/>
      <c r="BI52" s="2017"/>
    </row>
    <row r="53" spans="1:61" ht="14.25" customHeight="1">
      <c r="A53" s="2060"/>
      <c r="B53" s="2061"/>
      <c r="C53" s="2055"/>
      <c r="D53" s="2055"/>
      <c r="E53" s="2057"/>
      <c r="F53" s="2055"/>
      <c r="G53" s="2055"/>
      <c r="H53" s="2055"/>
      <c r="I53" s="2057"/>
      <c r="J53" s="2055"/>
      <c r="K53" s="2008"/>
      <c r="L53" s="2054"/>
      <c r="M53" s="446"/>
      <c r="N53" s="2055"/>
      <c r="O53" s="104"/>
      <c r="P53" s="105"/>
      <c r="Q53" s="104"/>
      <c r="R53" s="105"/>
      <c r="S53" s="105"/>
      <c r="T53" s="104"/>
      <c r="U53" s="104" t="s">
        <v>1246</v>
      </c>
      <c r="V53" s="210">
        <v>45981</v>
      </c>
      <c r="W53" s="210">
        <v>46090</v>
      </c>
      <c r="X53" s="211">
        <v>46087</v>
      </c>
      <c r="Y53" s="104"/>
      <c r="Z53" s="105"/>
      <c r="AA53" s="217"/>
      <c r="AB53" s="211"/>
      <c r="AC53" s="211"/>
      <c r="AD53" s="211"/>
      <c r="AE53" s="104"/>
      <c r="AF53" s="104"/>
      <c r="AG53" s="104"/>
      <c r="AH53" s="104"/>
      <c r="AI53" s="237"/>
      <c r="AJ53" s="238"/>
      <c r="AK53" s="237"/>
      <c r="AL53" s="238"/>
      <c r="AM53" s="238"/>
      <c r="AN53" s="238"/>
      <c r="AO53" s="104"/>
      <c r="AP53" s="1054"/>
      <c r="AQ53" s="104"/>
      <c r="AR53" s="104"/>
      <c r="AS53" s="104"/>
      <c r="AT53" s="1054"/>
      <c r="AU53" s="242"/>
      <c r="AV53" s="215"/>
      <c r="AW53" s="215"/>
      <c r="AX53" s="235"/>
      <c r="AY53" s="235"/>
      <c r="AZ53" s="215"/>
      <c r="BA53" s="215"/>
      <c r="BB53" s="106"/>
      <c r="BC53" s="106"/>
      <c r="BD53" s="104"/>
      <c r="BE53" s="107"/>
      <c r="BF53" s="107"/>
      <c r="BG53" s="2118"/>
      <c r="BH53" s="2056"/>
      <c r="BI53" s="2052"/>
    </row>
    <row r="54" spans="1:61" ht="14.25" customHeight="1">
      <c r="A54" s="2060"/>
      <c r="B54" s="2061"/>
      <c r="C54" s="2055"/>
      <c r="D54" s="2055"/>
      <c r="E54" s="2057"/>
      <c r="F54" s="2055"/>
      <c r="G54" s="2055"/>
      <c r="H54" s="2055"/>
      <c r="I54" s="2057"/>
      <c r="J54" s="2055"/>
      <c r="K54" s="2008"/>
      <c r="L54" s="2054"/>
      <c r="M54" s="446"/>
      <c r="N54" s="2055"/>
      <c r="O54" s="104"/>
      <c r="P54" s="105"/>
      <c r="Q54" s="104"/>
      <c r="R54" s="105"/>
      <c r="S54" s="105"/>
      <c r="T54" s="104"/>
      <c r="U54" s="104" t="s">
        <v>1247</v>
      </c>
      <c r="V54" s="211">
        <v>46022</v>
      </c>
      <c r="W54" s="211">
        <v>46173</v>
      </c>
      <c r="X54" s="211"/>
      <c r="Y54" s="104"/>
      <c r="Z54" s="105"/>
      <c r="AA54" s="217"/>
      <c r="AB54" s="211"/>
      <c r="AC54" s="211"/>
      <c r="AD54" s="211"/>
      <c r="AE54" s="104"/>
      <c r="AF54" s="104"/>
      <c r="AG54" s="104"/>
      <c r="AH54" s="104"/>
      <c r="AI54" s="237"/>
      <c r="AJ54" s="238"/>
      <c r="AK54" s="237"/>
      <c r="AL54" s="238"/>
      <c r="AM54" s="238"/>
      <c r="AN54" s="238"/>
      <c r="AO54" s="104"/>
      <c r="AP54" s="1054"/>
      <c r="AQ54" s="104"/>
      <c r="AR54" s="104"/>
      <c r="AS54" s="104"/>
      <c r="AT54" s="1054"/>
      <c r="AU54" s="242"/>
      <c r="AV54" s="215"/>
      <c r="AW54" s="215"/>
      <c r="AX54" s="235"/>
      <c r="AY54" s="235"/>
      <c r="AZ54" s="215"/>
      <c r="BA54" s="215"/>
      <c r="BB54" s="106"/>
      <c r="BC54" s="106"/>
      <c r="BD54" s="104"/>
      <c r="BE54" s="107"/>
      <c r="BF54" s="107"/>
      <c r="BG54" s="2118"/>
      <c r="BH54" s="2056"/>
      <c r="BI54" s="2052"/>
    </row>
    <row r="55" spans="1:61" ht="14.25" customHeight="1">
      <c r="A55" s="2060"/>
      <c r="B55" s="2061"/>
      <c r="C55" s="2055"/>
      <c r="D55" s="2055"/>
      <c r="E55" s="2057"/>
      <c r="F55" s="2055"/>
      <c r="G55" s="2055"/>
      <c r="H55" s="2055"/>
      <c r="I55" s="2057"/>
      <c r="J55" s="2055"/>
      <c r="K55" s="2008"/>
      <c r="L55" s="2054"/>
      <c r="M55" s="446"/>
      <c r="N55" s="2055"/>
      <c r="O55" s="104"/>
      <c r="P55" s="105"/>
      <c r="Q55" s="104"/>
      <c r="R55" s="105"/>
      <c r="S55" s="105"/>
      <c r="T55" s="104"/>
      <c r="U55" s="104" t="s">
        <v>1248</v>
      </c>
      <c r="V55" s="211">
        <v>46052</v>
      </c>
      <c r="W55" s="211">
        <v>46112</v>
      </c>
      <c r="X55" s="211">
        <v>46112</v>
      </c>
      <c r="Y55" s="104"/>
      <c r="Z55" s="105"/>
      <c r="AA55" s="217"/>
      <c r="AB55" s="211"/>
      <c r="AC55" s="211"/>
      <c r="AD55" s="211"/>
      <c r="AE55" s="104"/>
      <c r="AF55" s="104"/>
      <c r="AG55" s="104"/>
      <c r="AH55" s="104"/>
      <c r="AI55" s="237"/>
      <c r="AJ55" s="238"/>
      <c r="AK55" s="237"/>
      <c r="AL55" s="238"/>
      <c r="AM55" s="238"/>
      <c r="AN55" s="238"/>
      <c r="AO55" s="104"/>
      <c r="AP55" s="1054"/>
      <c r="AQ55" s="104"/>
      <c r="AR55" s="104"/>
      <c r="AS55" s="104"/>
      <c r="AT55" s="1054"/>
      <c r="AU55" s="242"/>
      <c r="AV55" s="215"/>
      <c r="AW55" s="215"/>
      <c r="AX55" s="235"/>
      <c r="AY55" s="235"/>
      <c r="AZ55" s="215"/>
      <c r="BA55" s="215"/>
      <c r="BB55" s="106"/>
      <c r="BC55" s="106"/>
      <c r="BD55" s="104"/>
      <c r="BE55" s="107"/>
      <c r="BF55" s="107"/>
      <c r="BG55" s="2118"/>
      <c r="BH55" s="2056"/>
      <c r="BI55" s="2052"/>
    </row>
    <row r="56" spans="1:61" ht="14.25" customHeight="1">
      <c r="A56" s="2021"/>
      <c r="B56" s="2024"/>
      <c r="C56" s="2006"/>
      <c r="D56" s="2006"/>
      <c r="E56" s="2028"/>
      <c r="F56" s="2006"/>
      <c r="G56" s="2006"/>
      <c r="H56" s="2006"/>
      <c r="I56" s="2028"/>
      <c r="J56" s="2006"/>
      <c r="K56" s="2009"/>
      <c r="L56" s="2012"/>
      <c r="M56" s="100"/>
      <c r="N56" s="2006"/>
      <c r="O56" s="43"/>
      <c r="P56" s="44"/>
      <c r="Q56" s="43"/>
      <c r="R56" s="44"/>
      <c r="S56" s="44"/>
      <c r="T56" s="43"/>
      <c r="U56" s="43" t="s">
        <v>1249</v>
      </c>
      <c r="V56" s="213">
        <v>46052</v>
      </c>
      <c r="W56" s="213">
        <v>46220</v>
      </c>
      <c r="X56" s="213"/>
      <c r="Y56" s="43"/>
      <c r="Z56" s="44"/>
      <c r="AA56" s="218"/>
      <c r="AB56" s="213"/>
      <c r="AC56" s="213"/>
      <c r="AD56" s="213"/>
      <c r="AE56" s="43"/>
      <c r="AF56" s="43"/>
      <c r="AG56" s="43"/>
      <c r="AH56" s="43"/>
      <c r="AI56" s="239"/>
      <c r="AJ56" s="240"/>
      <c r="AK56" s="239"/>
      <c r="AL56" s="240"/>
      <c r="AM56" s="240"/>
      <c r="AN56" s="240"/>
      <c r="AO56" s="43"/>
      <c r="AP56" s="1055"/>
      <c r="AQ56" s="43"/>
      <c r="AR56" s="43"/>
      <c r="AS56" s="43"/>
      <c r="AT56" s="1055"/>
      <c r="AU56" s="344"/>
      <c r="AV56" s="232"/>
      <c r="AW56" s="232"/>
      <c r="AX56" s="236"/>
      <c r="AY56" s="236"/>
      <c r="AZ56" s="232"/>
      <c r="BA56" s="232"/>
      <c r="BB56" s="45"/>
      <c r="BC56" s="45"/>
      <c r="BD56" s="43"/>
      <c r="BE56" s="46"/>
      <c r="BF56" s="46"/>
      <c r="BG56" s="2119"/>
      <c r="BH56" s="2015"/>
      <c r="BI56" s="2018"/>
    </row>
    <row r="57" spans="1:61" ht="14.25" customHeight="1">
      <c r="A57" s="2019" t="s">
        <v>1097</v>
      </c>
      <c r="B57" s="2022" t="s">
        <v>1250</v>
      </c>
      <c r="C57" s="2004">
        <v>6</v>
      </c>
      <c r="D57" s="2025" t="s">
        <v>1251</v>
      </c>
      <c r="E57" s="2026" t="s">
        <v>1252</v>
      </c>
      <c r="F57" s="2004">
        <v>1</v>
      </c>
      <c r="G57" s="2004">
        <v>5000109026</v>
      </c>
      <c r="H57" s="2004">
        <v>0</v>
      </c>
      <c r="I57" s="2026" t="s">
        <v>1253</v>
      </c>
      <c r="J57" s="2004" t="s">
        <v>689</v>
      </c>
      <c r="K57" s="2007" t="s">
        <v>1024</v>
      </c>
      <c r="L57" s="2053">
        <v>45848</v>
      </c>
      <c r="M57" s="333">
        <v>46022</v>
      </c>
      <c r="N57" s="2004" t="s">
        <v>105</v>
      </c>
      <c r="O57" s="101" t="s">
        <v>1026</v>
      </c>
      <c r="P57" s="95">
        <v>1</v>
      </c>
      <c r="Q57" s="101" t="s">
        <v>1072</v>
      </c>
      <c r="R57" s="95">
        <v>0</v>
      </c>
      <c r="S57" s="95">
        <v>1</v>
      </c>
      <c r="T57" s="95">
        <v>0</v>
      </c>
      <c r="U57" s="42" t="s">
        <v>42</v>
      </c>
      <c r="V57" s="212">
        <v>45890</v>
      </c>
      <c r="W57" s="212">
        <v>45890</v>
      </c>
      <c r="X57" s="212">
        <v>45890</v>
      </c>
      <c r="Y57" s="42"/>
      <c r="Z57" s="334"/>
      <c r="AA57" s="335"/>
      <c r="AB57" s="335"/>
      <c r="AC57" s="335"/>
      <c r="AD57" s="335"/>
      <c r="AE57" s="334"/>
      <c r="AF57" s="42"/>
      <c r="AG57" s="42" t="s">
        <v>680</v>
      </c>
      <c r="AH57" s="336" t="s">
        <v>1254</v>
      </c>
      <c r="AI57" s="212">
        <v>46063</v>
      </c>
      <c r="AJ57" s="337">
        <v>46072</v>
      </c>
      <c r="AK57" s="212">
        <v>46072</v>
      </c>
      <c r="AL57" s="337">
        <v>46072</v>
      </c>
      <c r="AM57" s="337">
        <v>46083</v>
      </c>
      <c r="AN57" s="337" t="s">
        <v>418</v>
      </c>
      <c r="AO57" s="338" t="s">
        <v>1255</v>
      </c>
      <c r="AP57" s="1050">
        <v>1</v>
      </c>
      <c r="AQ57" s="338" t="s">
        <v>1072</v>
      </c>
      <c r="AR57" s="338">
        <v>1</v>
      </c>
      <c r="AS57" s="42" t="s">
        <v>1256</v>
      </c>
      <c r="AT57" s="1057">
        <v>1</v>
      </c>
      <c r="AU57" s="338" t="s">
        <v>1072</v>
      </c>
      <c r="AV57" s="212">
        <v>46126</v>
      </c>
      <c r="AW57" s="212">
        <v>46126</v>
      </c>
      <c r="AX57" s="337">
        <v>46200</v>
      </c>
      <c r="AY57" s="337"/>
      <c r="AZ57" s="212">
        <v>46207</v>
      </c>
      <c r="BA57" s="339"/>
      <c r="BB57" s="340" t="s">
        <v>656</v>
      </c>
      <c r="BC57" s="341" t="s">
        <v>1257</v>
      </c>
      <c r="BD57" s="42"/>
      <c r="BE57" s="342"/>
      <c r="BF57" s="342"/>
      <c r="BG57" s="2116" t="s">
        <v>1258</v>
      </c>
      <c r="BH57" s="2013"/>
      <c r="BI57" s="2016"/>
    </row>
    <row r="58" spans="1:61" ht="14.25" customHeight="1">
      <c r="A58" s="2020"/>
      <c r="B58" s="2023"/>
      <c r="C58" s="2005"/>
      <c r="D58" s="2005"/>
      <c r="E58" s="2027"/>
      <c r="F58" s="2005"/>
      <c r="G58" s="2005"/>
      <c r="H58" s="2005"/>
      <c r="I58" s="2027"/>
      <c r="J58" s="2005"/>
      <c r="K58" s="2008"/>
      <c r="L58" s="2011"/>
      <c r="M58" s="229"/>
      <c r="N58" s="2005"/>
      <c r="O58" s="103"/>
      <c r="P58" s="96"/>
      <c r="Q58" s="103"/>
      <c r="R58" s="96">
        <v>0</v>
      </c>
      <c r="S58" s="96"/>
      <c r="T58" s="103"/>
      <c r="U58" s="31" t="s">
        <v>1041</v>
      </c>
      <c r="V58" s="210">
        <v>45894</v>
      </c>
      <c r="W58" s="210">
        <v>45894</v>
      </c>
      <c r="X58" s="210">
        <v>45896</v>
      </c>
      <c r="Y58" s="31"/>
      <c r="Z58" s="38"/>
      <c r="AA58" s="216"/>
      <c r="AB58" s="216"/>
      <c r="AC58" s="216"/>
      <c r="AD58" s="216"/>
      <c r="AE58" s="38"/>
      <c r="AF58" s="31"/>
      <c r="AG58" s="31"/>
      <c r="AH58" s="33"/>
      <c r="AI58" s="209"/>
      <c r="AJ58" s="233"/>
      <c r="AK58" s="209"/>
      <c r="AL58" s="233"/>
      <c r="AM58" s="233"/>
      <c r="AN58" s="233"/>
      <c r="AO58" s="31"/>
      <c r="AP58" s="1053"/>
      <c r="AQ58" s="31"/>
      <c r="AR58" s="31"/>
      <c r="AS58" s="31"/>
      <c r="AT58" s="1056"/>
      <c r="AU58" s="241"/>
      <c r="AV58" s="214"/>
      <c r="AW58" s="214"/>
      <c r="AX58" s="234"/>
      <c r="AY58" s="234"/>
      <c r="AZ58" s="231"/>
      <c r="BA58" s="231"/>
      <c r="BB58" s="29"/>
      <c r="BC58" s="29"/>
      <c r="BD58" s="31"/>
      <c r="BE58" s="30"/>
      <c r="BF58" s="30"/>
      <c r="BG58" s="2117"/>
      <c r="BH58" s="2014"/>
      <c r="BI58" s="2017"/>
    </row>
    <row r="59" spans="1:61" ht="14.25" customHeight="1">
      <c r="A59" s="2020"/>
      <c r="B59" s="2023"/>
      <c r="C59" s="2005"/>
      <c r="D59" s="2005"/>
      <c r="E59" s="2027"/>
      <c r="F59" s="2005"/>
      <c r="G59" s="2005"/>
      <c r="H59" s="2005"/>
      <c r="I59" s="2027"/>
      <c r="J59" s="2005"/>
      <c r="K59" s="2008"/>
      <c r="L59" s="2011"/>
      <c r="M59" s="230"/>
      <c r="N59" s="2005"/>
      <c r="O59" s="103"/>
      <c r="P59" s="96"/>
      <c r="Q59" s="103"/>
      <c r="R59" s="96">
        <v>0</v>
      </c>
      <c r="S59" s="96">
        <v>0</v>
      </c>
      <c r="T59" s="103"/>
      <c r="U59" s="31" t="s">
        <v>1049</v>
      </c>
      <c r="V59" s="210">
        <v>45912</v>
      </c>
      <c r="W59" s="210">
        <v>45912</v>
      </c>
      <c r="X59" s="210">
        <v>45910</v>
      </c>
      <c r="Y59" s="31"/>
      <c r="Z59" s="38"/>
      <c r="AA59" s="216"/>
      <c r="AB59" s="216"/>
      <c r="AC59" s="216"/>
      <c r="AD59" s="216"/>
      <c r="AE59" s="38"/>
      <c r="AF59" s="31"/>
      <c r="AG59" s="31"/>
      <c r="AH59" s="31"/>
      <c r="AI59" s="209"/>
      <c r="AJ59" s="233"/>
      <c r="AK59" s="209"/>
      <c r="AL59" s="233"/>
      <c r="AM59" s="233"/>
      <c r="AN59" s="233"/>
      <c r="AO59" s="31"/>
      <c r="AP59" s="1053"/>
      <c r="AQ59" s="31"/>
      <c r="AR59" s="31"/>
      <c r="AS59" s="31"/>
      <c r="AT59" s="1053"/>
      <c r="AU59" s="241"/>
      <c r="AV59" s="231"/>
      <c r="AW59" s="231"/>
      <c r="AX59" s="234"/>
      <c r="AY59" s="234"/>
      <c r="AZ59" s="231"/>
      <c r="BA59" s="231"/>
      <c r="BB59" s="29"/>
      <c r="BC59" s="29"/>
      <c r="BD59" s="31"/>
      <c r="BE59" s="30"/>
      <c r="BF59" s="30"/>
      <c r="BG59" s="2117"/>
      <c r="BH59" s="2014"/>
      <c r="BI59" s="2017"/>
    </row>
    <row r="60" spans="1:61" ht="14.25" customHeight="1">
      <c r="A60" s="2020"/>
      <c r="B60" s="2023"/>
      <c r="C60" s="2005"/>
      <c r="D60" s="2005"/>
      <c r="E60" s="2027"/>
      <c r="F60" s="2005"/>
      <c r="G60" s="2005"/>
      <c r="H60" s="2005"/>
      <c r="I60" s="2027"/>
      <c r="J60" s="2005"/>
      <c r="K60" s="2008"/>
      <c r="L60" s="2011"/>
      <c r="M60" s="28"/>
      <c r="N60" s="2005"/>
      <c r="O60" s="31"/>
      <c r="P60" s="38"/>
      <c r="Q60" s="31"/>
      <c r="R60" s="38">
        <v>0</v>
      </c>
      <c r="S60" s="38">
        <v>0</v>
      </c>
      <c r="T60" s="31"/>
      <c r="U60" s="31" t="s">
        <v>65</v>
      </c>
      <c r="V60" s="210">
        <v>45943</v>
      </c>
      <c r="W60" s="210">
        <v>46011</v>
      </c>
      <c r="X60" s="210">
        <v>46015</v>
      </c>
      <c r="Y60" s="31"/>
      <c r="Z60" s="38"/>
      <c r="AA60" s="216"/>
      <c r="AB60" s="210"/>
      <c r="AC60" s="210"/>
      <c r="AD60" s="210"/>
      <c r="AE60" s="31"/>
      <c r="AF60" s="31"/>
      <c r="AG60" s="31"/>
      <c r="AH60" s="31"/>
      <c r="AI60" s="209"/>
      <c r="AJ60" s="233"/>
      <c r="AK60" s="209"/>
      <c r="AL60" s="233"/>
      <c r="AM60" s="233"/>
      <c r="AN60" s="233"/>
      <c r="AO60" s="31"/>
      <c r="AP60" s="1053"/>
      <c r="AQ60" s="31"/>
      <c r="AR60" s="31"/>
      <c r="AS60" s="31"/>
      <c r="AT60" s="1053"/>
      <c r="AU60" s="241"/>
      <c r="AV60" s="231"/>
      <c r="AW60" s="231"/>
      <c r="AX60" s="234"/>
      <c r="AY60" s="234"/>
      <c r="AZ60" s="231"/>
      <c r="BA60" s="231"/>
      <c r="BB60" s="29"/>
      <c r="BC60" s="29"/>
      <c r="BD60" s="31"/>
      <c r="BE60" s="30"/>
      <c r="BF60" s="30"/>
      <c r="BG60" s="2117"/>
      <c r="BH60" s="2014"/>
      <c r="BI60" s="2017"/>
    </row>
    <row r="61" spans="1:61" ht="14.25" customHeight="1">
      <c r="A61" s="2020"/>
      <c r="B61" s="2023"/>
      <c r="C61" s="2005"/>
      <c r="D61" s="2005"/>
      <c r="E61" s="2027"/>
      <c r="F61" s="2005"/>
      <c r="G61" s="2005"/>
      <c r="H61" s="2005"/>
      <c r="I61" s="2027"/>
      <c r="J61" s="2005"/>
      <c r="K61" s="2008"/>
      <c r="L61" s="2011"/>
      <c r="M61" s="28"/>
      <c r="N61" s="2005"/>
      <c r="O61" s="31"/>
      <c r="P61" s="38"/>
      <c r="Q61" s="31"/>
      <c r="R61" s="38">
        <v>0</v>
      </c>
      <c r="S61" s="38">
        <v>0</v>
      </c>
      <c r="T61" s="31"/>
      <c r="U61" s="31" t="s">
        <v>75</v>
      </c>
      <c r="V61" s="210">
        <v>45960</v>
      </c>
      <c r="W61" s="210">
        <v>46032</v>
      </c>
      <c r="X61" s="210">
        <v>46023</v>
      </c>
      <c r="Y61" s="31"/>
      <c r="Z61" s="38"/>
      <c r="AA61" s="216"/>
      <c r="AB61" s="210"/>
      <c r="AC61" s="210"/>
      <c r="AD61" s="210"/>
      <c r="AE61" s="31"/>
      <c r="AF61" s="31"/>
      <c r="AG61" s="31"/>
      <c r="AH61" s="31"/>
      <c r="AI61" s="209"/>
      <c r="AJ61" s="233"/>
      <c r="AK61" s="209"/>
      <c r="AL61" s="233"/>
      <c r="AM61" s="233"/>
      <c r="AN61" s="233"/>
      <c r="AO61" s="31"/>
      <c r="AP61" s="1053"/>
      <c r="AQ61" s="31"/>
      <c r="AR61" s="31"/>
      <c r="AS61" s="31"/>
      <c r="AT61" s="1053"/>
      <c r="AU61" s="241"/>
      <c r="AV61" s="214"/>
      <c r="AW61" s="214"/>
      <c r="AX61" s="234"/>
      <c r="AY61" s="234"/>
      <c r="AZ61" s="214"/>
      <c r="BA61" s="214"/>
      <c r="BB61" s="29"/>
      <c r="BC61" s="29"/>
      <c r="BD61" s="31"/>
      <c r="BE61" s="30"/>
      <c r="BF61" s="30"/>
      <c r="BG61" s="2117"/>
      <c r="BH61" s="2014"/>
      <c r="BI61" s="2017"/>
    </row>
    <row r="62" spans="1:61" ht="14.25" customHeight="1">
      <c r="A62" s="2020"/>
      <c r="B62" s="2023"/>
      <c r="C62" s="2005"/>
      <c r="D62" s="2005"/>
      <c r="E62" s="2027"/>
      <c r="F62" s="2005"/>
      <c r="G62" s="2005"/>
      <c r="H62" s="2005"/>
      <c r="I62" s="2027"/>
      <c r="J62" s="2005"/>
      <c r="K62" s="2008"/>
      <c r="L62" s="2011"/>
      <c r="M62" s="28"/>
      <c r="N62" s="2005"/>
      <c r="O62" s="31"/>
      <c r="P62" s="38"/>
      <c r="Q62" s="31"/>
      <c r="R62" s="38">
        <v>0</v>
      </c>
      <c r="S62" s="38">
        <v>0</v>
      </c>
      <c r="T62" s="31"/>
      <c r="U62" s="31" t="s">
        <v>96</v>
      </c>
      <c r="V62" s="210">
        <v>45962</v>
      </c>
      <c r="W62" s="210">
        <v>46037</v>
      </c>
      <c r="X62" s="210">
        <v>46023</v>
      </c>
      <c r="Y62" s="31"/>
      <c r="Z62" s="38"/>
      <c r="AA62" s="216"/>
      <c r="AB62" s="210"/>
      <c r="AC62" s="210"/>
      <c r="AD62" s="210"/>
      <c r="AE62" s="31"/>
      <c r="AF62" s="31"/>
      <c r="AG62" s="31"/>
      <c r="AH62" s="31"/>
      <c r="AI62" s="209"/>
      <c r="AJ62" s="233"/>
      <c r="AK62" s="209"/>
      <c r="AL62" s="233"/>
      <c r="AM62" s="233"/>
      <c r="AN62" s="233"/>
      <c r="AO62" s="31"/>
      <c r="AP62" s="1053"/>
      <c r="AQ62" s="31"/>
      <c r="AR62" s="31"/>
      <c r="AS62" s="31"/>
      <c r="AT62" s="1053"/>
      <c r="AU62" s="241"/>
      <c r="AV62" s="214"/>
      <c r="AW62" s="214"/>
      <c r="AX62" s="234"/>
      <c r="AY62" s="234"/>
      <c r="AZ62" s="214"/>
      <c r="BA62" s="214"/>
      <c r="BB62" s="29"/>
      <c r="BC62" s="29"/>
      <c r="BD62" s="31"/>
      <c r="BE62" s="30"/>
      <c r="BF62" s="30"/>
      <c r="BG62" s="2117"/>
      <c r="BH62" s="2014"/>
      <c r="BI62" s="2017"/>
    </row>
    <row r="63" spans="1:61" ht="14.25" customHeight="1">
      <c r="A63" s="2021"/>
      <c r="B63" s="2024"/>
      <c r="C63" s="2006"/>
      <c r="D63" s="2006"/>
      <c r="E63" s="2028"/>
      <c r="F63" s="2006"/>
      <c r="G63" s="2006"/>
      <c r="H63" s="2006"/>
      <c r="I63" s="2028"/>
      <c r="J63" s="2006"/>
      <c r="K63" s="2009"/>
      <c r="L63" s="2012"/>
      <c r="M63" s="100"/>
      <c r="N63" s="2006"/>
      <c r="O63" s="43"/>
      <c r="P63" s="44"/>
      <c r="Q63" s="43"/>
      <c r="R63" s="44"/>
      <c r="S63" s="44"/>
      <c r="T63" s="43"/>
      <c r="U63" s="43" t="s">
        <v>478</v>
      </c>
      <c r="V63" s="213">
        <v>46022</v>
      </c>
      <c r="W63" s="213">
        <v>46129</v>
      </c>
      <c r="X63" s="213">
        <v>46126</v>
      </c>
      <c r="Y63" s="43"/>
      <c r="Z63" s="44"/>
      <c r="AA63" s="218"/>
      <c r="AB63" s="213"/>
      <c r="AC63" s="213"/>
      <c r="AD63" s="213"/>
      <c r="AE63" s="43"/>
      <c r="AF63" s="43"/>
      <c r="AG63" s="43"/>
      <c r="AH63" s="43"/>
      <c r="AI63" s="239"/>
      <c r="AJ63" s="240"/>
      <c r="AK63" s="239"/>
      <c r="AL63" s="240"/>
      <c r="AM63" s="240"/>
      <c r="AN63" s="240"/>
      <c r="AO63" s="43"/>
      <c r="AP63" s="1055"/>
      <c r="AQ63" s="43"/>
      <c r="AR63" s="43"/>
      <c r="AS63" s="43"/>
      <c r="AT63" s="1055"/>
      <c r="AU63" s="344"/>
      <c r="AV63" s="232"/>
      <c r="AW63" s="232"/>
      <c r="AX63" s="236"/>
      <c r="AY63" s="236"/>
      <c r="AZ63" s="232"/>
      <c r="BA63" s="232"/>
      <c r="BB63" s="45"/>
      <c r="BC63" s="45"/>
      <c r="BD63" s="43"/>
      <c r="BE63" s="46"/>
      <c r="BF63" s="46"/>
      <c r="BG63" s="2119"/>
      <c r="BH63" s="2015"/>
      <c r="BI63" s="2018"/>
    </row>
    <row r="64" spans="1:61" s="628" customFormat="1" ht="28.5" customHeight="1">
      <c r="A64" s="2147" t="s">
        <v>1097</v>
      </c>
      <c r="B64" s="2134" t="s">
        <v>1019</v>
      </c>
      <c r="C64" s="2134">
        <v>7</v>
      </c>
      <c r="D64" s="2150" t="s">
        <v>1259</v>
      </c>
      <c r="E64" s="2142" t="s">
        <v>1260</v>
      </c>
      <c r="F64" s="2134">
        <v>1</v>
      </c>
      <c r="G64" s="2134">
        <v>5000109274</v>
      </c>
      <c r="H64" s="2134">
        <v>0</v>
      </c>
      <c r="I64" s="2142" t="s">
        <v>1166</v>
      </c>
      <c r="J64" s="2134" t="s">
        <v>1167</v>
      </c>
      <c r="K64" s="2091" t="s">
        <v>1024</v>
      </c>
      <c r="L64" s="2138">
        <v>45869</v>
      </c>
      <c r="M64" s="618">
        <v>46006</v>
      </c>
      <c r="N64" s="2134" t="s">
        <v>629</v>
      </c>
      <c r="O64" s="617" t="s">
        <v>1026</v>
      </c>
      <c r="P64" s="619">
        <v>4000</v>
      </c>
      <c r="Q64" s="617" t="s">
        <v>1261</v>
      </c>
      <c r="R64" s="619">
        <v>0</v>
      </c>
      <c r="S64" s="619">
        <v>4000</v>
      </c>
      <c r="T64" s="619">
        <v>0</v>
      </c>
      <c r="U64" s="533" t="s">
        <v>42</v>
      </c>
      <c r="V64" s="618" t="s">
        <v>418</v>
      </c>
      <c r="W64" s="618" t="s">
        <v>418</v>
      </c>
      <c r="X64" s="618" t="s">
        <v>418</v>
      </c>
      <c r="Y64" s="533"/>
      <c r="Z64" s="620"/>
      <c r="AA64" s="621"/>
      <c r="AB64" s="621"/>
      <c r="AC64" s="621"/>
      <c r="AD64" s="621"/>
      <c r="AE64" s="620"/>
      <c r="AF64" s="533"/>
      <c r="AG64" s="533" t="s">
        <v>680</v>
      </c>
      <c r="AH64" s="622" t="s">
        <v>1262</v>
      </c>
      <c r="AI64" s="623" t="s">
        <v>1263</v>
      </c>
      <c r="AJ64" s="623" t="s">
        <v>1264</v>
      </c>
      <c r="AK64" s="623" t="s">
        <v>1264</v>
      </c>
      <c r="AL64" s="623" t="s">
        <v>1264</v>
      </c>
      <c r="AM64" s="618" t="s">
        <v>418</v>
      </c>
      <c r="AN64" s="618" t="s">
        <v>418</v>
      </c>
      <c r="AO64" s="624" t="s">
        <v>1265</v>
      </c>
      <c r="AP64" s="1052">
        <v>4000</v>
      </c>
      <c r="AQ64" s="533" t="s">
        <v>1136</v>
      </c>
      <c r="AR64" s="624">
        <v>1</v>
      </c>
      <c r="AS64" s="533" t="s">
        <v>1256</v>
      </c>
      <c r="AT64" s="1052">
        <v>4000</v>
      </c>
      <c r="AU64" s="624" t="s">
        <v>1138</v>
      </c>
      <c r="AV64" s="618">
        <v>46042</v>
      </c>
      <c r="AW64" s="618">
        <v>46042</v>
      </c>
      <c r="AX64" s="618">
        <v>46042</v>
      </c>
      <c r="AY64" s="618">
        <v>46049</v>
      </c>
      <c r="AZ64" s="625"/>
      <c r="BA64" s="625"/>
      <c r="BB64" s="626"/>
      <c r="BC64" s="627" t="s">
        <v>1266</v>
      </c>
      <c r="BD64" s="533"/>
      <c r="BE64" s="533"/>
      <c r="BF64" s="533"/>
      <c r="BG64" s="2140" t="s">
        <v>1267</v>
      </c>
      <c r="BH64" s="2142"/>
      <c r="BI64" s="2144"/>
    </row>
    <row r="65" spans="1:61" s="628" customFormat="1" ht="28.5" customHeight="1">
      <c r="A65" s="2148"/>
      <c r="B65" s="2066"/>
      <c r="C65" s="2066"/>
      <c r="D65" s="2066"/>
      <c r="E65" s="2038"/>
      <c r="F65" s="2066"/>
      <c r="G65" s="2066"/>
      <c r="H65" s="2066"/>
      <c r="I65" s="2038"/>
      <c r="J65" s="2066"/>
      <c r="K65" s="2136"/>
      <c r="L65" s="2076"/>
      <c r="M65" s="536"/>
      <c r="N65" s="2066"/>
      <c r="O65" s="534"/>
      <c r="P65" s="537"/>
      <c r="Q65" s="534"/>
      <c r="R65" s="537">
        <v>0</v>
      </c>
      <c r="S65" s="537"/>
      <c r="T65" s="534"/>
      <c r="U65" s="538" t="s">
        <v>1041</v>
      </c>
      <c r="V65" s="536">
        <v>45921</v>
      </c>
      <c r="W65" s="536">
        <v>45921</v>
      </c>
      <c r="X65" s="536">
        <v>45911</v>
      </c>
      <c r="Y65" s="538"/>
      <c r="Z65" s="539"/>
      <c r="AA65" s="540"/>
      <c r="AB65" s="540"/>
      <c r="AC65" s="540"/>
      <c r="AD65" s="540"/>
      <c r="AE65" s="539"/>
      <c r="AF65" s="538"/>
      <c r="AG65" s="538"/>
      <c r="AH65" s="541"/>
      <c r="AI65" s="535"/>
      <c r="AJ65" s="535"/>
      <c r="AK65" s="535"/>
      <c r="AL65" s="535"/>
      <c r="AM65" s="535"/>
      <c r="AN65" s="535"/>
      <c r="AO65" s="538"/>
      <c r="AP65" s="1238"/>
      <c r="AQ65" s="538"/>
      <c r="AR65" s="538"/>
      <c r="AS65" s="538"/>
      <c r="AT65" s="1061"/>
      <c r="AU65" s="542"/>
      <c r="AW65" s="629"/>
      <c r="AX65" s="536"/>
      <c r="AY65" s="536"/>
      <c r="AZ65" s="630"/>
      <c r="BA65" s="630"/>
      <c r="BB65" s="544"/>
      <c r="BC65" s="544"/>
      <c r="BD65" s="538"/>
      <c r="BE65" s="538"/>
      <c r="BF65" s="538"/>
      <c r="BG65" s="2033"/>
      <c r="BH65" s="2038"/>
      <c r="BI65" s="2145"/>
    </row>
    <row r="66" spans="1:61" s="628" customFormat="1" ht="14.25" customHeight="1">
      <c r="A66" s="2148"/>
      <c r="B66" s="2066"/>
      <c r="C66" s="2066"/>
      <c r="D66" s="2066"/>
      <c r="E66" s="2038"/>
      <c r="F66" s="2066"/>
      <c r="G66" s="2066"/>
      <c r="H66" s="2066"/>
      <c r="I66" s="2038"/>
      <c r="J66" s="2066"/>
      <c r="K66" s="2136"/>
      <c r="L66" s="2076"/>
      <c r="M66" s="631"/>
      <c r="N66" s="2066"/>
      <c r="O66" s="534"/>
      <c r="P66" s="537"/>
      <c r="Q66" s="534"/>
      <c r="R66" s="537">
        <v>0</v>
      </c>
      <c r="S66" s="537">
        <v>0</v>
      </c>
      <c r="T66" s="534"/>
      <c r="U66" s="538" t="s">
        <v>1049</v>
      </c>
      <c r="V66" s="536">
        <v>45921</v>
      </c>
      <c r="W66" s="536">
        <v>45921</v>
      </c>
      <c r="X66" s="536">
        <v>45911</v>
      </c>
      <c r="Y66" s="538"/>
      <c r="Z66" s="539"/>
      <c r="AA66" s="540"/>
      <c r="AB66" s="540"/>
      <c r="AC66" s="540"/>
      <c r="AD66" s="540"/>
      <c r="AE66" s="539"/>
      <c r="AF66" s="538"/>
      <c r="AG66" s="538"/>
      <c r="AH66" s="538"/>
      <c r="AI66" s="535"/>
      <c r="AJ66" s="535"/>
      <c r="AK66" s="535"/>
      <c r="AL66" s="535"/>
      <c r="AM66" s="535"/>
      <c r="AN66" s="535"/>
      <c r="AO66" s="538"/>
      <c r="AP66" s="1238"/>
      <c r="AQ66" s="538"/>
      <c r="AR66" s="538"/>
      <c r="AS66" s="538"/>
      <c r="AT66" s="1238"/>
      <c r="AU66" s="542"/>
      <c r="AV66" s="630"/>
      <c r="AW66" s="630"/>
      <c r="AX66" s="536"/>
      <c r="AY66" s="536"/>
      <c r="AZ66" s="630"/>
      <c r="BA66" s="630"/>
      <c r="BB66" s="544"/>
      <c r="BC66" s="544"/>
      <c r="BD66" s="538"/>
      <c r="BE66" s="538"/>
      <c r="BF66" s="538"/>
      <c r="BG66" s="2033"/>
      <c r="BH66" s="2038"/>
      <c r="BI66" s="2145"/>
    </row>
    <row r="67" spans="1:61" s="628" customFormat="1" ht="14.25" customHeight="1">
      <c r="A67" s="2148"/>
      <c r="B67" s="2066"/>
      <c r="C67" s="2066"/>
      <c r="D67" s="2066"/>
      <c r="E67" s="2038"/>
      <c r="F67" s="2066"/>
      <c r="G67" s="2066"/>
      <c r="H67" s="2066"/>
      <c r="I67" s="2038"/>
      <c r="J67" s="2066"/>
      <c r="K67" s="2136"/>
      <c r="L67" s="2076"/>
      <c r="M67" s="632"/>
      <c r="N67" s="2066"/>
      <c r="O67" s="538"/>
      <c r="P67" s="539"/>
      <c r="Q67" s="538"/>
      <c r="R67" s="539">
        <v>0</v>
      </c>
      <c r="S67" s="539">
        <v>0</v>
      </c>
      <c r="T67" s="538"/>
      <c r="U67" s="538" t="s">
        <v>65</v>
      </c>
      <c r="V67" s="536">
        <v>45945</v>
      </c>
      <c r="W67" s="536">
        <v>45986</v>
      </c>
      <c r="X67" s="536">
        <v>45981</v>
      </c>
      <c r="Y67" s="538"/>
      <c r="Z67" s="539"/>
      <c r="AA67" s="540"/>
      <c r="AB67" s="536"/>
      <c r="AC67" s="536"/>
      <c r="AD67" s="536"/>
      <c r="AE67" s="538"/>
      <c r="AF67" s="538"/>
      <c r="AG67" s="538"/>
      <c r="AH67" s="538"/>
      <c r="AI67" s="535"/>
      <c r="AJ67" s="535"/>
      <c r="AK67" s="535"/>
      <c r="AL67" s="535"/>
      <c r="AM67" s="535"/>
      <c r="AN67" s="535"/>
      <c r="AO67" s="538"/>
      <c r="AP67" s="1238"/>
      <c r="AQ67" s="538"/>
      <c r="AR67" s="538"/>
      <c r="AS67" s="538"/>
      <c r="AT67" s="1238"/>
      <c r="AU67" s="542"/>
      <c r="AV67" s="630"/>
      <c r="AW67" s="630"/>
      <c r="AX67" s="536"/>
      <c r="AY67" s="536"/>
      <c r="AZ67" s="630"/>
      <c r="BA67" s="630"/>
      <c r="BB67" s="544"/>
      <c r="BC67" s="544"/>
      <c r="BD67" s="538"/>
      <c r="BE67" s="538"/>
      <c r="BF67" s="538"/>
      <c r="BG67" s="2033"/>
      <c r="BH67" s="2038"/>
      <c r="BI67" s="2145"/>
    </row>
    <row r="68" spans="1:61" s="628" customFormat="1" ht="14.25" customHeight="1">
      <c r="A68" s="2148"/>
      <c r="B68" s="2066"/>
      <c r="C68" s="2066"/>
      <c r="D68" s="2066"/>
      <c r="E68" s="2038"/>
      <c r="F68" s="2066"/>
      <c r="G68" s="2066"/>
      <c r="H68" s="2066"/>
      <c r="I68" s="2038"/>
      <c r="J68" s="2066"/>
      <c r="K68" s="2136"/>
      <c r="L68" s="2076"/>
      <c r="M68" s="632"/>
      <c r="N68" s="2066"/>
      <c r="O68" s="538"/>
      <c r="P68" s="539"/>
      <c r="Q68" s="538"/>
      <c r="R68" s="539">
        <v>0</v>
      </c>
      <c r="S68" s="539">
        <v>0</v>
      </c>
      <c r="T68" s="538"/>
      <c r="U68" s="538" t="s">
        <v>75</v>
      </c>
      <c r="V68" s="536">
        <v>45950</v>
      </c>
      <c r="W68" s="536">
        <v>45991</v>
      </c>
      <c r="X68" s="536">
        <v>45991</v>
      </c>
      <c r="Y68" s="538"/>
      <c r="Z68" s="539"/>
      <c r="AA68" s="540"/>
      <c r="AB68" s="536"/>
      <c r="AC68" s="536"/>
      <c r="AD68" s="536"/>
      <c r="AE68" s="538"/>
      <c r="AF68" s="538"/>
      <c r="AG68" s="538"/>
      <c r="AH68" s="538"/>
      <c r="AI68" s="535"/>
      <c r="AJ68" s="535"/>
      <c r="AK68" s="535"/>
      <c r="AL68" s="535"/>
      <c r="AM68" s="535"/>
      <c r="AN68" s="535"/>
      <c r="AO68" s="538"/>
      <c r="AP68" s="1238"/>
      <c r="AQ68" s="629"/>
      <c r="AR68" s="538"/>
      <c r="AS68" s="538"/>
      <c r="AT68" s="1238"/>
      <c r="AU68" s="542"/>
      <c r="AV68" s="629"/>
      <c r="AW68" s="629"/>
      <c r="AX68" s="536"/>
      <c r="AY68" s="536"/>
      <c r="AZ68" s="629"/>
      <c r="BA68" s="629"/>
      <c r="BB68" s="544"/>
      <c r="BC68" s="544"/>
      <c r="BD68" s="538"/>
      <c r="BE68" s="538"/>
      <c r="BF68" s="538"/>
      <c r="BG68" s="2033"/>
      <c r="BH68" s="2038"/>
      <c r="BI68" s="2145"/>
    </row>
    <row r="69" spans="1:61" s="628" customFormat="1" ht="14.25" customHeight="1">
      <c r="A69" s="2148"/>
      <c r="B69" s="2066"/>
      <c r="C69" s="2066"/>
      <c r="D69" s="2066"/>
      <c r="E69" s="2038"/>
      <c r="F69" s="2066"/>
      <c r="G69" s="2066"/>
      <c r="H69" s="2066"/>
      <c r="I69" s="2038"/>
      <c r="J69" s="2066"/>
      <c r="K69" s="2136"/>
      <c r="L69" s="2076"/>
      <c r="M69" s="632"/>
      <c r="N69" s="2066"/>
      <c r="O69" s="538"/>
      <c r="P69" s="539"/>
      <c r="Q69" s="538"/>
      <c r="R69" s="539">
        <v>0</v>
      </c>
      <c r="S69" s="539">
        <v>0</v>
      </c>
      <c r="T69" s="538"/>
      <c r="U69" s="538" t="s">
        <v>96</v>
      </c>
      <c r="V69" s="536">
        <v>45952</v>
      </c>
      <c r="W69" s="536">
        <v>45991</v>
      </c>
      <c r="X69" s="536">
        <v>45991</v>
      </c>
      <c r="Y69" s="538"/>
      <c r="Z69" s="539"/>
      <c r="AA69" s="540"/>
      <c r="AB69" s="536"/>
      <c r="AC69" s="536"/>
      <c r="AD69" s="536"/>
      <c r="AE69" s="538"/>
      <c r="AF69" s="538"/>
      <c r="AG69" s="538"/>
      <c r="AH69" s="538"/>
      <c r="AI69" s="535"/>
      <c r="AJ69" s="535"/>
      <c r="AK69" s="535"/>
      <c r="AL69" s="535"/>
      <c r="AM69" s="535"/>
      <c r="AN69" s="535"/>
      <c r="AO69" s="538"/>
      <c r="AP69" s="1238"/>
      <c r="AQ69" s="538"/>
      <c r="AR69" s="538"/>
      <c r="AS69" s="538"/>
      <c r="AT69" s="1238"/>
      <c r="AU69" s="542"/>
      <c r="AV69" s="629"/>
      <c r="AW69" s="629"/>
      <c r="AX69" s="536"/>
      <c r="AY69" s="536"/>
      <c r="AZ69" s="629"/>
      <c r="BA69" s="629"/>
      <c r="BB69" s="544"/>
      <c r="BC69" s="544"/>
      <c r="BD69" s="538"/>
      <c r="BE69" s="538"/>
      <c r="BF69" s="538"/>
      <c r="BG69" s="2033"/>
      <c r="BH69" s="2038"/>
      <c r="BI69" s="2145"/>
    </row>
    <row r="70" spans="1:61" s="628" customFormat="1" ht="14.25" customHeight="1">
      <c r="A70" s="2149"/>
      <c r="B70" s="2135"/>
      <c r="C70" s="2135"/>
      <c r="D70" s="2135"/>
      <c r="E70" s="2143"/>
      <c r="F70" s="2135"/>
      <c r="G70" s="2135"/>
      <c r="H70" s="2135"/>
      <c r="I70" s="2143"/>
      <c r="J70" s="2135"/>
      <c r="K70" s="2137"/>
      <c r="L70" s="2139"/>
      <c r="M70" s="634"/>
      <c r="N70" s="2135"/>
      <c r="O70" s="635"/>
      <c r="P70" s="636"/>
      <c r="Q70" s="635"/>
      <c r="R70" s="636"/>
      <c r="S70" s="636"/>
      <c r="T70" s="635"/>
      <c r="U70" s="635" t="s">
        <v>478</v>
      </c>
      <c r="V70" s="637">
        <v>46006</v>
      </c>
      <c r="W70" s="637">
        <v>46053</v>
      </c>
      <c r="X70" s="637">
        <v>46050</v>
      </c>
      <c r="Y70" s="635"/>
      <c r="Z70" s="636"/>
      <c r="AA70" s="638"/>
      <c r="AB70" s="637"/>
      <c r="AC70" s="637"/>
      <c r="AD70" s="637"/>
      <c r="AE70" s="635"/>
      <c r="AF70" s="635"/>
      <c r="AG70" s="635"/>
      <c r="AH70" s="635"/>
      <c r="AI70" s="633"/>
      <c r="AJ70" s="633"/>
      <c r="AK70" s="633"/>
      <c r="AL70" s="633"/>
      <c r="AM70" s="633"/>
      <c r="AN70" s="633"/>
      <c r="AO70" s="635"/>
      <c r="AP70" s="1245"/>
      <c r="AQ70" s="635"/>
      <c r="AR70" s="635"/>
      <c r="AS70" s="635"/>
      <c r="AT70" s="1245"/>
      <c r="AU70" s="639"/>
      <c r="AV70" s="640"/>
      <c r="AW70" s="640"/>
      <c r="AX70" s="637"/>
      <c r="AY70" s="637"/>
      <c r="AZ70" s="640"/>
      <c r="BA70" s="640"/>
      <c r="BB70" s="641"/>
      <c r="BC70" s="641"/>
      <c r="BD70" s="635"/>
      <c r="BE70" s="635"/>
      <c r="BF70" s="635"/>
      <c r="BG70" s="2141"/>
      <c r="BH70" s="2143"/>
      <c r="BI70" s="2146"/>
    </row>
    <row r="71" spans="1:61" ht="14.25" customHeight="1">
      <c r="A71" s="2019" t="s">
        <v>1018</v>
      </c>
      <c r="B71" s="2022" t="s">
        <v>1019</v>
      </c>
      <c r="C71" s="2004">
        <v>8</v>
      </c>
      <c r="D71" s="2025" t="s">
        <v>1259</v>
      </c>
      <c r="E71" s="2026" t="s">
        <v>1268</v>
      </c>
      <c r="F71" s="2004">
        <v>1</v>
      </c>
      <c r="G71" s="2004">
        <v>5000109306</v>
      </c>
      <c r="H71" s="2004">
        <v>2</v>
      </c>
      <c r="I71" s="2026" t="s">
        <v>1269</v>
      </c>
      <c r="J71" s="2004" t="s">
        <v>689</v>
      </c>
      <c r="K71" s="2007" t="s">
        <v>1024</v>
      </c>
      <c r="L71" s="2010" t="s">
        <v>1270</v>
      </c>
      <c r="M71" s="333">
        <v>46052</v>
      </c>
      <c r="N71" s="2004" t="s">
        <v>105</v>
      </c>
      <c r="O71" s="101" t="s">
        <v>1131</v>
      </c>
      <c r="P71" s="95">
        <v>3144</v>
      </c>
      <c r="Q71" s="101" t="s">
        <v>1261</v>
      </c>
      <c r="R71" s="95">
        <v>0</v>
      </c>
      <c r="S71" s="95">
        <v>3144</v>
      </c>
      <c r="T71" s="95">
        <v>0</v>
      </c>
      <c r="U71" s="42" t="s">
        <v>42</v>
      </c>
      <c r="V71" s="212" t="s">
        <v>418</v>
      </c>
      <c r="W71" s="212" t="s">
        <v>418</v>
      </c>
      <c r="X71" s="212" t="s">
        <v>418</v>
      </c>
      <c r="Y71" s="42"/>
      <c r="Z71" s="334"/>
      <c r="AA71" s="335"/>
      <c r="AB71" s="335"/>
      <c r="AC71" s="335"/>
      <c r="AD71" s="335"/>
      <c r="AE71" s="334"/>
      <c r="AF71" s="42"/>
      <c r="AG71" s="42" t="s">
        <v>1271</v>
      </c>
      <c r="AH71" s="336" t="s">
        <v>1272</v>
      </c>
      <c r="AI71" s="212">
        <v>46044</v>
      </c>
      <c r="AJ71" s="337">
        <v>46044</v>
      </c>
      <c r="AK71" s="212">
        <v>46044</v>
      </c>
      <c r="AL71" s="337">
        <v>46044</v>
      </c>
      <c r="AM71" s="337" t="s">
        <v>418</v>
      </c>
      <c r="AN71" s="337" t="s">
        <v>418</v>
      </c>
      <c r="AO71" s="338" t="s">
        <v>1273</v>
      </c>
      <c r="AP71" s="1057">
        <v>12849</v>
      </c>
      <c r="AQ71" s="42" t="s">
        <v>1136</v>
      </c>
      <c r="AR71" s="338">
        <v>1</v>
      </c>
      <c r="AS71" s="42" t="s">
        <v>1274</v>
      </c>
      <c r="AT71" s="1057">
        <v>12849</v>
      </c>
      <c r="AU71" s="42" t="s">
        <v>1136</v>
      </c>
      <c r="AV71" s="212">
        <v>46060</v>
      </c>
      <c r="AW71" s="212">
        <v>46061</v>
      </c>
      <c r="AX71" s="337">
        <v>46157</v>
      </c>
      <c r="AY71" s="568">
        <v>46137</v>
      </c>
      <c r="AZ71" s="1373">
        <v>46173</v>
      </c>
      <c r="BA71" s="339"/>
      <c r="BB71" s="340" t="s">
        <v>1275</v>
      </c>
      <c r="BC71" s="341" t="s">
        <v>1276</v>
      </c>
      <c r="BD71" s="42"/>
      <c r="BE71" s="342"/>
      <c r="BF71" s="342"/>
      <c r="BG71" s="1976" t="s">
        <v>1277</v>
      </c>
      <c r="BH71" s="2013"/>
      <c r="BI71" s="2016"/>
    </row>
    <row r="72" spans="1:61" ht="14.25" customHeight="1">
      <c r="A72" s="2020"/>
      <c r="B72" s="2023"/>
      <c r="C72" s="2005"/>
      <c r="D72" s="2005"/>
      <c r="E72" s="2027"/>
      <c r="F72" s="2005"/>
      <c r="G72" s="2005"/>
      <c r="H72" s="2005"/>
      <c r="I72" s="2027"/>
      <c r="J72" s="2005"/>
      <c r="K72" s="2008"/>
      <c r="L72" s="2011"/>
      <c r="M72" s="229"/>
      <c r="N72" s="2005"/>
      <c r="O72" s="103" t="s">
        <v>1131</v>
      </c>
      <c r="P72" s="96">
        <v>9705</v>
      </c>
      <c r="Q72" s="103" t="s">
        <v>1261</v>
      </c>
      <c r="R72" s="96">
        <v>0</v>
      </c>
      <c r="S72" s="96">
        <v>9705</v>
      </c>
      <c r="T72" s="103">
        <v>0</v>
      </c>
      <c r="U72" s="31" t="s">
        <v>1041</v>
      </c>
      <c r="V72" s="210">
        <v>45900</v>
      </c>
      <c r="W72" s="210">
        <v>45900</v>
      </c>
      <c r="X72" s="210">
        <v>45902</v>
      </c>
      <c r="Y72" s="31"/>
      <c r="Z72" s="38"/>
      <c r="AA72" s="216"/>
      <c r="AB72" s="216"/>
      <c r="AC72" s="216"/>
      <c r="AD72" s="216"/>
      <c r="AE72" s="38"/>
      <c r="AF72" s="31"/>
      <c r="AG72" s="31"/>
      <c r="AH72" s="33"/>
      <c r="AI72" s="209"/>
      <c r="AJ72" s="233"/>
      <c r="AK72" s="209"/>
      <c r="AL72" s="233"/>
      <c r="AM72" s="233"/>
      <c r="AN72" s="233"/>
      <c r="AO72" s="31"/>
      <c r="AP72" s="1053"/>
      <c r="AQ72" s="31"/>
      <c r="AR72" s="31"/>
      <c r="AS72" s="31"/>
      <c r="AT72" s="1056"/>
      <c r="AU72" s="241"/>
      <c r="AV72" s="214"/>
      <c r="AW72" s="214"/>
      <c r="AX72" s="234"/>
      <c r="AY72" s="234"/>
      <c r="AZ72" s="231"/>
      <c r="BA72" s="231"/>
      <c r="BB72" s="29"/>
      <c r="BC72" s="29"/>
      <c r="BD72" s="31"/>
      <c r="BE72" s="30"/>
      <c r="BF72" s="30"/>
      <c r="BG72" s="1977"/>
      <c r="BH72" s="2014"/>
      <c r="BI72" s="2017"/>
    </row>
    <row r="73" spans="1:61" ht="14.25" customHeight="1">
      <c r="A73" s="2020"/>
      <c r="B73" s="2023"/>
      <c r="C73" s="2005"/>
      <c r="D73" s="2005"/>
      <c r="E73" s="2027"/>
      <c r="F73" s="2005"/>
      <c r="G73" s="2005"/>
      <c r="H73" s="2005"/>
      <c r="I73" s="2027"/>
      <c r="J73" s="2005"/>
      <c r="K73" s="2008"/>
      <c r="L73" s="2011"/>
      <c r="M73" s="230"/>
      <c r="N73" s="2005"/>
      <c r="O73" s="103"/>
      <c r="P73" s="96"/>
      <c r="Q73" s="103"/>
      <c r="R73" s="96">
        <v>0</v>
      </c>
      <c r="S73" s="96">
        <v>0</v>
      </c>
      <c r="T73" s="103"/>
      <c r="U73" s="31" t="s">
        <v>1049</v>
      </c>
      <c r="V73" s="210">
        <v>45900</v>
      </c>
      <c r="W73" s="210">
        <v>45900</v>
      </c>
      <c r="X73" s="210">
        <v>45902</v>
      </c>
      <c r="Y73" s="31"/>
      <c r="Z73" s="38"/>
      <c r="AA73" s="216"/>
      <c r="AB73" s="216"/>
      <c r="AC73" s="216"/>
      <c r="AD73" s="216"/>
      <c r="AE73" s="38"/>
      <c r="AF73" s="31"/>
      <c r="AG73" s="31"/>
      <c r="AH73" s="31"/>
      <c r="AI73" s="209"/>
      <c r="AJ73" s="233"/>
      <c r="AK73" s="209"/>
      <c r="AL73" s="233"/>
      <c r="AM73" s="233"/>
      <c r="AN73" s="233"/>
      <c r="AO73" s="31"/>
      <c r="AP73" s="1053"/>
      <c r="AQ73" s="31"/>
      <c r="AR73" s="31"/>
      <c r="AS73" s="31"/>
      <c r="AT73" s="1053"/>
      <c r="AU73" s="241"/>
      <c r="AV73" s="231"/>
      <c r="AW73" s="231"/>
      <c r="AX73" s="234"/>
      <c r="AY73" s="234"/>
      <c r="AZ73" s="231"/>
      <c r="BA73" s="231"/>
      <c r="BB73" s="29"/>
      <c r="BC73" s="29"/>
      <c r="BD73" s="31"/>
      <c r="BE73" s="30"/>
      <c r="BF73" s="30"/>
      <c r="BG73" s="1977"/>
      <c r="BH73" s="2014"/>
      <c r="BI73" s="2017"/>
    </row>
    <row r="74" spans="1:61" ht="14.25" customHeight="1">
      <c r="A74" s="2020"/>
      <c r="B74" s="2023"/>
      <c r="C74" s="2005"/>
      <c r="D74" s="2005"/>
      <c r="E74" s="2027"/>
      <c r="F74" s="2005"/>
      <c r="G74" s="2005"/>
      <c r="H74" s="2005"/>
      <c r="I74" s="2027"/>
      <c r="J74" s="2005"/>
      <c r="K74" s="2008"/>
      <c r="L74" s="2011"/>
      <c r="M74" s="28"/>
      <c r="N74" s="2005"/>
      <c r="O74" s="31"/>
      <c r="P74" s="38"/>
      <c r="Q74" s="31"/>
      <c r="R74" s="38">
        <v>0</v>
      </c>
      <c r="S74" s="38">
        <v>0</v>
      </c>
      <c r="T74" s="31"/>
      <c r="U74" s="31" t="s">
        <v>65</v>
      </c>
      <c r="V74" s="210">
        <v>45976</v>
      </c>
      <c r="W74" s="210">
        <v>45991</v>
      </c>
      <c r="X74" s="210">
        <v>45991</v>
      </c>
      <c r="Y74" s="31"/>
      <c r="Z74" s="38"/>
      <c r="AA74" s="216"/>
      <c r="AB74" s="210"/>
      <c r="AC74" s="210"/>
      <c r="AD74" s="210"/>
      <c r="AE74" s="31"/>
      <c r="AF74" s="31"/>
      <c r="AG74" s="31"/>
      <c r="AH74" s="31"/>
      <c r="AI74" s="209"/>
      <c r="AJ74" s="233"/>
      <c r="AK74" s="209"/>
      <c r="AL74" s="233"/>
      <c r="AM74" s="233"/>
      <c r="AN74" s="233"/>
      <c r="AO74" s="31"/>
      <c r="AP74" s="1053"/>
      <c r="AQ74" s="31"/>
      <c r="AR74" s="31"/>
      <c r="AS74" s="31"/>
      <c r="AT74" s="1053"/>
      <c r="AU74" s="241"/>
      <c r="AV74" s="231"/>
      <c r="AW74" s="231"/>
      <c r="AX74" s="234"/>
      <c r="AY74" s="234"/>
      <c r="AZ74" s="231"/>
      <c r="BA74" s="231"/>
      <c r="BB74" s="29"/>
      <c r="BC74" s="29"/>
      <c r="BD74" s="31"/>
      <c r="BE74" s="30"/>
      <c r="BF74" s="30"/>
      <c r="BG74" s="1977"/>
      <c r="BH74" s="2014"/>
      <c r="BI74" s="2017"/>
    </row>
    <row r="75" spans="1:61" ht="14.25" customHeight="1">
      <c r="A75" s="2020"/>
      <c r="B75" s="2023"/>
      <c r="C75" s="2005"/>
      <c r="D75" s="2005"/>
      <c r="E75" s="2027"/>
      <c r="F75" s="2005"/>
      <c r="G75" s="2005"/>
      <c r="H75" s="2005"/>
      <c r="I75" s="2027"/>
      <c r="J75" s="2005"/>
      <c r="K75" s="2008"/>
      <c r="L75" s="2011"/>
      <c r="M75" s="28"/>
      <c r="N75" s="2005"/>
      <c r="O75" s="31"/>
      <c r="P75" s="38"/>
      <c r="Q75" s="31"/>
      <c r="R75" s="38">
        <v>0</v>
      </c>
      <c r="S75" s="38">
        <v>0</v>
      </c>
      <c r="T75" s="31"/>
      <c r="U75" s="31" t="s">
        <v>75</v>
      </c>
      <c r="V75" s="210">
        <v>45976</v>
      </c>
      <c r="W75" s="210">
        <v>45991</v>
      </c>
      <c r="X75" s="210">
        <v>45991</v>
      </c>
      <c r="Y75" s="31"/>
      <c r="Z75" s="38"/>
      <c r="AA75" s="216"/>
      <c r="AB75" s="210"/>
      <c r="AC75" s="210"/>
      <c r="AD75" s="210"/>
      <c r="AE75" s="31"/>
      <c r="AF75" s="31"/>
      <c r="AG75" s="31"/>
      <c r="AH75" s="31"/>
      <c r="AI75" s="209"/>
      <c r="AJ75" s="233"/>
      <c r="AK75" s="209"/>
      <c r="AL75" s="233"/>
      <c r="AM75" s="233"/>
      <c r="AN75" s="233"/>
      <c r="AO75" s="31"/>
      <c r="AP75" s="1053"/>
      <c r="AQ75" s="31"/>
      <c r="AR75" s="31"/>
      <c r="AS75" s="31"/>
      <c r="AT75" s="1053"/>
      <c r="AU75" s="241"/>
      <c r="AV75" s="214"/>
      <c r="AW75" s="214"/>
      <c r="AX75" s="234"/>
      <c r="AY75" s="234"/>
      <c r="AZ75" s="214"/>
      <c r="BA75" s="214"/>
      <c r="BB75" s="29"/>
      <c r="BC75" s="29"/>
      <c r="BD75" s="31"/>
      <c r="BE75" s="30"/>
      <c r="BF75" s="30"/>
      <c r="BG75" s="1977"/>
      <c r="BH75" s="2014"/>
      <c r="BI75" s="2017"/>
    </row>
    <row r="76" spans="1:61" ht="14.25" customHeight="1">
      <c r="A76" s="2020"/>
      <c r="B76" s="2023"/>
      <c r="C76" s="2005"/>
      <c r="D76" s="2005"/>
      <c r="E76" s="2027"/>
      <c r="F76" s="2005"/>
      <c r="G76" s="2005"/>
      <c r="H76" s="2005"/>
      <c r="I76" s="2027"/>
      <c r="J76" s="2005"/>
      <c r="K76" s="2008"/>
      <c r="L76" s="2011"/>
      <c r="M76" s="28"/>
      <c r="N76" s="2005"/>
      <c r="O76" s="31"/>
      <c r="P76" s="38"/>
      <c r="Q76" s="31"/>
      <c r="R76" s="38">
        <v>0</v>
      </c>
      <c r="S76" s="38">
        <v>0</v>
      </c>
      <c r="T76" s="31"/>
      <c r="U76" s="31" t="s">
        <v>96</v>
      </c>
      <c r="V76" s="210">
        <v>45981</v>
      </c>
      <c r="W76" s="210">
        <v>45991</v>
      </c>
      <c r="X76" s="210">
        <v>45991</v>
      </c>
      <c r="Y76" s="31"/>
      <c r="Z76" s="38"/>
      <c r="AA76" s="216"/>
      <c r="AB76" s="210"/>
      <c r="AC76" s="210"/>
      <c r="AD76" s="210"/>
      <c r="AE76" s="31"/>
      <c r="AF76" s="31"/>
      <c r="AG76" s="31"/>
      <c r="AH76" s="31"/>
      <c r="AI76" s="209"/>
      <c r="AJ76" s="233"/>
      <c r="AK76" s="209"/>
      <c r="AL76" s="233"/>
      <c r="AM76" s="233"/>
      <c r="AN76" s="233"/>
      <c r="AO76" s="31"/>
      <c r="AP76" s="1053"/>
      <c r="AQ76" s="31"/>
      <c r="AR76" s="31"/>
      <c r="AS76" s="31"/>
      <c r="AT76" s="1053"/>
      <c r="AU76" s="241"/>
      <c r="AV76" s="214"/>
      <c r="AW76" s="214"/>
      <c r="AX76" s="234"/>
      <c r="AY76" s="234"/>
      <c r="AZ76" s="214"/>
      <c r="BA76" s="214"/>
      <c r="BB76" s="29"/>
      <c r="BC76" s="29"/>
      <c r="BD76" s="31"/>
      <c r="BE76" s="30"/>
      <c r="BF76" s="30"/>
      <c r="BG76" s="1977"/>
      <c r="BH76" s="2014"/>
      <c r="BI76" s="2017"/>
    </row>
    <row r="77" spans="1:61" ht="14.25" customHeight="1">
      <c r="A77" s="2021"/>
      <c r="B77" s="2024"/>
      <c r="C77" s="2006"/>
      <c r="D77" s="2006"/>
      <c r="E77" s="2028"/>
      <c r="F77" s="2006"/>
      <c r="G77" s="2006"/>
      <c r="H77" s="2006"/>
      <c r="I77" s="2028"/>
      <c r="J77" s="2006"/>
      <c r="K77" s="2009"/>
      <c r="L77" s="2012"/>
      <c r="M77" s="100"/>
      <c r="N77" s="2006"/>
      <c r="O77" s="43"/>
      <c r="P77" s="44"/>
      <c r="Q77" s="43"/>
      <c r="R77" s="44"/>
      <c r="S77" s="44"/>
      <c r="T77" s="43"/>
      <c r="U77" s="43" t="s">
        <v>478</v>
      </c>
      <c r="V77" s="213">
        <v>46037</v>
      </c>
      <c r="W77" s="213">
        <v>46060</v>
      </c>
      <c r="X77" s="213">
        <v>46061</v>
      </c>
      <c r="Y77" s="43"/>
      <c r="Z77" s="44"/>
      <c r="AA77" s="218"/>
      <c r="AB77" s="213"/>
      <c r="AC77" s="213"/>
      <c r="AD77" s="213"/>
      <c r="AE77" s="43"/>
      <c r="AF77" s="43"/>
      <c r="AG77" s="43"/>
      <c r="AH77" s="43"/>
      <c r="AI77" s="239"/>
      <c r="AJ77" s="240"/>
      <c r="AK77" s="239"/>
      <c r="AL77" s="240"/>
      <c r="AM77" s="240"/>
      <c r="AN77" s="240"/>
      <c r="AO77" s="43"/>
      <c r="AP77" s="1055"/>
      <c r="AQ77" s="43"/>
      <c r="AR77" s="43"/>
      <c r="AS77" s="43"/>
      <c r="AT77" s="1055"/>
      <c r="AU77" s="344"/>
      <c r="AV77" s="232"/>
      <c r="AW77" s="232"/>
      <c r="AX77" s="236"/>
      <c r="AY77" s="236"/>
      <c r="AZ77" s="232"/>
      <c r="BA77" s="232"/>
      <c r="BB77" s="45"/>
      <c r="BC77" s="45"/>
      <c r="BD77" s="43"/>
      <c r="BE77" s="46"/>
      <c r="BF77" s="46"/>
      <c r="BG77" s="1979"/>
      <c r="BH77" s="2015"/>
      <c r="BI77" s="2018"/>
    </row>
    <row r="78" spans="1:61" ht="14.25" customHeight="1">
      <c r="A78" s="2019" t="s">
        <v>1097</v>
      </c>
      <c r="B78" s="2022" t="s">
        <v>1019</v>
      </c>
      <c r="C78" s="2004">
        <v>9</v>
      </c>
      <c r="D78" s="2025" t="s">
        <v>1278</v>
      </c>
      <c r="E78" s="2026" t="s">
        <v>1279</v>
      </c>
      <c r="F78" s="2004">
        <v>1</v>
      </c>
      <c r="G78" s="2025" t="s">
        <v>1280</v>
      </c>
      <c r="H78" s="1965">
        <v>4</v>
      </c>
      <c r="I78" s="2026" t="s">
        <v>1281</v>
      </c>
      <c r="J78" s="2004" t="s">
        <v>1282</v>
      </c>
      <c r="K78" s="2007" t="s">
        <v>1024</v>
      </c>
      <c r="L78" s="2053">
        <v>45862</v>
      </c>
      <c r="M78" s="333">
        <v>46023</v>
      </c>
      <c r="N78" s="2004" t="s">
        <v>105</v>
      </c>
      <c r="O78" s="101" t="s">
        <v>1131</v>
      </c>
      <c r="P78" s="95">
        <v>483</v>
      </c>
      <c r="Q78" s="101" t="s">
        <v>1072</v>
      </c>
      <c r="R78" s="95">
        <v>483</v>
      </c>
      <c r="S78" s="95">
        <v>0</v>
      </c>
      <c r="T78" s="95">
        <v>1</v>
      </c>
      <c r="U78" s="42" t="s">
        <v>42</v>
      </c>
      <c r="V78" s="212" t="s">
        <v>418</v>
      </c>
      <c r="W78" s="212" t="s">
        <v>418</v>
      </c>
      <c r="X78" s="212" t="s">
        <v>418</v>
      </c>
      <c r="Y78" s="42"/>
      <c r="Z78" s="334"/>
      <c r="AA78" s="335"/>
      <c r="AB78" s="335"/>
      <c r="AC78" s="335"/>
      <c r="AD78" s="335"/>
      <c r="AE78" s="334"/>
      <c r="AF78" s="42"/>
      <c r="AG78" s="533" t="s">
        <v>1271</v>
      </c>
      <c r="AH78" s="1195" t="s">
        <v>418</v>
      </c>
      <c r="AI78" s="1195" t="s">
        <v>418</v>
      </c>
      <c r="AJ78" s="618" t="s">
        <v>418</v>
      </c>
      <c r="AK78" s="1195" t="s">
        <v>418</v>
      </c>
      <c r="AL78" s="618" t="s">
        <v>418</v>
      </c>
      <c r="AM78" s="618" t="s">
        <v>418</v>
      </c>
      <c r="AN78" s="618" t="s">
        <v>418</v>
      </c>
      <c r="AO78" s="624" t="s">
        <v>1283</v>
      </c>
      <c r="AP78" s="1187">
        <v>483</v>
      </c>
      <c r="AQ78" s="624" t="s">
        <v>1072</v>
      </c>
      <c r="AR78" s="624">
        <v>1</v>
      </c>
      <c r="AS78" s="533" t="s">
        <v>1274</v>
      </c>
      <c r="AT78" s="1187">
        <v>483</v>
      </c>
      <c r="AU78" s="624" t="s">
        <v>1072</v>
      </c>
      <c r="AV78" s="618">
        <v>46046</v>
      </c>
      <c r="AW78" s="618">
        <v>46046</v>
      </c>
      <c r="AX78" s="618">
        <v>46109</v>
      </c>
      <c r="AY78" s="618">
        <v>46100</v>
      </c>
      <c r="AZ78" s="618">
        <v>46142</v>
      </c>
      <c r="BA78" s="618">
        <v>46134</v>
      </c>
      <c r="BB78" s="626" t="s">
        <v>1284</v>
      </c>
      <c r="BC78" s="627" t="s">
        <v>1285</v>
      </c>
      <c r="BD78" s="42"/>
      <c r="BE78" s="342"/>
      <c r="BF78" s="342"/>
      <c r="BG78" s="2116" t="s">
        <v>1286</v>
      </c>
      <c r="BH78" s="2013"/>
      <c r="BI78" s="2016"/>
    </row>
    <row r="79" spans="1:61" ht="14.25" customHeight="1">
      <c r="A79" s="2020"/>
      <c r="B79" s="2023"/>
      <c r="C79" s="2005"/>
      <c r="D79" s="2005"/>
      <c r="E79" s="2027"/>
      <c r="F79" s="2005"/>
      <c r="G79" s="2005"/>
      <c r="H79" s="1966"/>
      <c r="I79" s="2027"/>
      <c r="J79" s="2005"/>
      <c r="K79" s="2008"/>
      <c r="L79" s="2011"/>
      <c r="M79" s="229">
        <v>46086</v>
      </c>
      <c r="N79" s="2005"/>
      <c r="O79" s="103" t="s">
        <v>1131</v>
      </c>
      <c r="P79" s="96">
        <v>1272</v>
      </c>
      <c r="Q79" s="103" t="s">
        <v>1072</v>
      </c>
      <c r="R79" s="96">
        <v>1272</v>
      </c>
      <c r="S79" s="96">
        <v>0</v>
      </c>
      <c r="T79" s="103">
        <v>1</v>
      </c>
      <c r="U79" s="31" t="s">
        <v>1041</v>
      </c>
      <c r="V79" s="210">
        <v>45931</v>
      </c>
      <c r="W79" s="210">
        <v>45982</v>
      </c>
      <c r="X79" s="210">
        <v>45943</v>
      </c>
      <c r="Y79" s="31"/>
      <c r="Z79" s="38"/>
      <c r="AA79" s="216"/>
      <c r="AB79" s="216"/>
      <c r="AC79" s="216"/>
      <c r="AD79" s="216"/>
      <c r="AE79" s="38"/>
      <c r="AF79" s="31"/>
      <c r="AG79" s="31" t="s">
        <v>1287</v>
      </c>
      <c r="AH79" s="417" t="s">
        <v>418</v>
      </c>
      <c r="AI79" s="209" t="s">
        <v>418</v>
      </c>
      <c r="AJ79" s="233" t="s">
        <v>418</v>
      </c>
      <c r="AK79" s="209" t="s">
        <v>418</v>
      </c>
      <c r="AL79" s="233" t="s">
        <v>418</v>
      </c>
      <c r="AM79" s="233" t="s">
        <v>418</v>
      </c>
      <c r="AN79" s="233" t="s">
        <v>418</v>
      </c>
      <c r="AO79" s="241" t="s">
        <v>1288</v>
      </c>
      <c r="AP79" s="1051">
        <v>4572</v>
      </c>
      <c r="AQ79" s="241" t="s">
        <v>1072</v>
      </c>
      <c r="AR79" s="241">
        <v>2</v>
      </c>
      <c r="AS79" s="31" t="s">
        <v>1289</v>
      </c>
      <c r="AT79" s="1051">
        <v>4572</v>
      </c>
      <c r="AU79" s="241" t="s">
        <v>1072</v>
      </c>
      <c r="AV79" s="409">
        <v>46124</v>
      </c>
      <c r="AW79" s="409">
        <v>46124</v>
      </c>
      <c r="AX79" s="234">
        <v>46203</v>
      </c>
      <c r="AY79" s="234"/>
      <c r="AZ79" s="409">
        <v>46223</v>
      </c>
      <c r="BA79" s="231"/>
      <c r="BB79" s="29" t="s">
        <v>1290</v>
      </c>
      <c r="BC79" s="29" t="s">
        <v>1291</v>
      </c>
      <c r="BD79" s="31"/>
      <c r="BE79" s="30"/>
      <c r="BF79" s="30"/>
      <c r="BG79" s="2117"/>
      <c r="BH79" s="2014"/>
      <c r="BI79" s="2017"/>
    </row>
    <row r="80" spans="1:61" ht="14.25" customHeight="1">
      <c r="A80" s="2020"/>
      <c r="B80" s="2023"/>
      <c r="C80" s="2005"/>
      <c r="D80" s="2005"/>
      <c r="E80" s="2027"/>
      <c r="F80" s="2005"/>
      <c r="G80" s="2005"/>
      <c r="H80" s="1966"/>
      <c r="I80" s="2027"/>
      <c r="J80" s="2005"/>
      <c r="K80" s="2008"/>
      <c r="L80" s="2011"/>
      <c r="M80" s="229">
        <v>46183</v>
      </c>
      <c r="N80" s="2005"/>
      <c r="O80" s="103" t="s">
        <v>1131</v>
      </c>
      <c r="P80" s="96">
        <v>425</v>
      </c>
      <c r="Q80" s="103" t="s">
        <v>1072</v>
      </c>
      <c r="R80" s="96">
        <v>0</v>
      </c>
      <c r="S80" s="96">
        <v>425</v>
      </c>
      <c r="T80" s="103"/>
      <c r="U80" s="31" t="s">
        <v>1049</v>
      </c>
      <c r="V80" s="210">
        <v>45945</v>
      </c>
      <c r="W80" s="210">
        <v>45982</v>
      </c>
      <c r="X80" s="210">
        <v>45943</v>
      </c>
      <c r="Y80" s="31"/>
      <c r="Z80" s="38"/>
      <c r="AA80" s="216"/>
      <c r="AB80" s="216"/>
      <c r="AC80" s="216"/>
      <c r="AD80" s="216"/>
      <c r="AE80" s="38"/>
      <c r="AF80" s="31"/>
      <c r="AG80" s="31" t="s">
        <v>1292</v>
      </c>
      <c r="AH80" s="417" t="s">
        <v>418</v>
      </c>
      <c r="AI80" s="209" t="s">
        <v>418</v>
      </c>
      <c r="AJ80" s="233" t="s">
        <v>418</v>
      </c>
      <c r="AK80" s="209" t="s">
        <v>418</v>
      </c>
      <c r="AL80" s="233" t="s">
        <v>418</v>
      </c>
      <c r="AM80" s="233" t="s">
        <v>418</v>
      </c>
      <c r="AN80" s="233" t="s">
        <v>418</v>
      </c>
      <c r="AO80" s="31"/>
      <c r="AP80" s="1053"/>
      <c r="AQ80" s="31"/>
      <c r="AR80" s="31"/>
      <c r="AS80" s="31"/>
      <c r="AT80" s="1053"/>
      <c r="AU80" s="241"/>
      <c r="AV80" s="231"/>
      <c r="AW80" s="231"/>
      <c r="AX80" s="234"/>
      <c r="AY80" s="234"/>
      <c r="AZ80" s="231"/>
      <c r="BA80" s="231"/>
      <c r="BB80" s="29"/>
      <c r="BC80" s="29"/>
      <c r="BD80" s="31"/>
      <c r="BE80" s="30"/>
      <c r="BF80" s="30"/>
      <c r="BG80" s="2117"/>
      <c r="BH80" s="2014"/>
      <c r="BI80" s="2017"/>
    </row>
    <row r="81" spans="1:61" ht="14.25" customHeight="1">
      <c r="A81" s="2020"/>
      <c r="B81" s="2023"/>
      <c r="C81" s="2005"/>
      <c r="D81" s="2005"/>
      <c r="E81" s="2027"/>
      <c r="F81" s="2005"/>
      <c r="G81" s="2005"/>
      <c r="H81" s="1966"/>
      <c r="I81" s="2027"/>
      <c r="J81" s="2005"/>
      <c r="K81" s="2008"/>
      <c r="L81" s="2011"/>
      <c r="M81" s="1383">
        <v>46234</v>
      </c>
      <c r="N81" s="2005"/>
      <c r="O81" s="103" t="s">
        <v>1131</v>
      </c>
      <c r="P81" s="96">
        <v>338</v>
      </c>
      <c r="Q81" s="103" t="s">
        <v>1072</v>
      </c>
      <c r="R81" s="1433">
        <v>0</v>
      </c>
      <c r="S81" s="1433">
        <v>338</v>
      </c>
      <c r="T81" s="1392">
        <v>0</v>
      </c>
      <c r="U81" s="31" t="s">
        <v>65</v>
      </c>
      <c r="V81" s="210">
        <v>45976</v>
      </c>
      <c r="W81" s="210">
        <v>45991</v>
      </c>
      <c r="X81" s="210">
        <v>45991</v>
      </c>
      <c r="Y81" s="31"/>
      <c r="Z81" s="38"/>
      <c r="AA81" s="216"/>
      <c r="AB81" s="210"/>
      <c r="AC81" s="210"/>
      <c r="AD81" s="210"/>
      <c r="AE81" s="31"/>
      <c r="AF81" s="31"/>
      <c r="AG81" s="31"/>
      <c r="AH81" s="31"/>
      <c r="AI81" s="209"/>
      <c r="AJ81" s="233"/>
      <c r="AK81" s="209"/>
      <c r="AL81" s="233"/>
      <c r="AM81" s="233"/>
      <c r="AN81" s="233"/>
      <c r="AO81" s="31"/>
      <c r="AP81" s="1053"/>
      <c r="AQ81" s="31"/>
      <c r="AR81" s="31"/>
      <c r="AS81" s="31"/>
      <c r="AT81" s="1053"/>
      <c r="AU81" s="241"/>
      <c r="AV81" s="231"/>
      <c r="AW81" s="231"/>
      <c r="AX81" s="234"/>
      <c r="AY81" s="234"/>
      <c r="AZ81" s="231"/>
      <c r="BA81" s="231"/>
      <c r="BB81" s="29"/>
      <c r="BC81" s="29"/>
      <c r="BD81" s="31"/>
      <c r="BE81" s="30"/>
      <c r="BF81" s="30"/>
      <c r="BG81" s="2117"/>
      <c r="BH81" s="2014"/>
      <c r="BI81" s="2017"/>
    </row>
    <row r="82" spans="1:61" ht="14.25" customHeight="1">
      <c r="A82" s="2020"/>
      <c r="B82" s="2023"/>
      <c r="C82" s="2005"/>
      <c r="D82" s="2005"/>
      <c r="E82" s="2027"/>
      <c r="F82" s="2005"/>
      <c r="G82" s="2005"/>
      <c r="H82" s="1966"/>
      <c r="I82" s="2027"/>
      <c r="J82" s="2005"/>
      <c r="K82" s="2008"/>
      <c r="L82" s="2011"/>
      <c r="M82" s="28"/>
      <c r="N82" s="2005"/>
      <c r="O82" s="31"/>
      <c r="P82" s="38"/>
      <c r="Q82" s="31"/>
      <c r="R82" s="38">
        <v>0</v>
      </c>
      <c r="S82" s="38">
        <v>0</v>
      </c>
      <c r="T82" s="31"/>
      <c r="U82" s="31" t="s">
        <v>75</v>
      </c>
      <c r="V82" s="210">
        <v>45976</v>
      </c>
      <c r="W82" s="210">
        <v>45991</v>
      </c>
      <c r="X82" s="210">
        <v>45991</v>
      </c>
      <c r="Y82" s="31"/>
      <c r="Z82" s="38"/>
      <c r="AA82" s="216"/>
      <c r="AB82" s="210"/>
      <c r="AC82" s="210"/>
      <c r="AD82" s="210"/>
      <c r="AE82" s="31"/>
      <c r="AF82" s="31"/>
      <c r="AG82" s="31"/>
      <c r="AH82" s="31"/>
      <c r="AI82" s="209"/>
      <c r="AJ82" s="233"/>
      <c r="AK82" s="209"/>
      <c r="AL82" s="233"/>
      <c r="AM82" s="233"/>
      <c r="AN82" s="233"/>
      <c r="AO82" s="31"/>
      <c r="AP82" s="1053"/>
      <c r="AQ82" s="31"/>
      <c r="AR82" s="31"/>
      <c r="AS82" s="31"/>
      <c r="AT82" s="1053"/>
      <c r="AU82" s="241"/>
      <c r="AV82" s="214"/>
      <c r="AW82" s="214"/>
      <c r="AX82" s="234"/>
      <c r="AY82" s="234"/>
      <c r="AZ82" s="214"/>
      <c r="BA82" s="214"/>
      <c r="BB82" s="29"/>
      <c r="BC82" s="29"/>
      <c r="BD82" s="31"/>
      <c r="BE82" s="30"/>
      <c r="BF82" s="30"/>
      <c r="BG82" s="2117"/>
      <c r="BH82" s="2014"/>
      <c r="BI82" s="2017"/>
    </row>
    <row r="83" spans="1:61" ht="14.25" customHeight="1">
      <c r="A83" s="2020"/>
      <c r="B83" s="2023"/>
      <c r="C83" s="2005"/>
      <c r="D83" s="2005"/>
      <c r="E83" s="2027"/>
      <c r="F83" s="2005"/>
      <c r="G83" s="2005"/>
      <c r="H83" s="1966"/>
      <c r="I83" s="2027"/>
      <c r="J83" s="2005"/>
      <c r="K83" s="2008"/>
      <c r="L83" s="2011"/>
      <c r="M83" s="28"/>
      <c r="N83" s="2005"/>
      <c r="O83" s="31"/>
      <c r="P83" s="38"/>
      <c r="Q83" s="31"/>
      <c r="R83" s="38">
        <v>0</v>
      </c>
      <c r="S83" s="38">
        <v>0</v>
      </c>
      <c r="T83" s="31"/>
      <c r="U83" s="31" t="s">
        <v>96</v>
      </c>
      <c r="V83" s="210">
        <v>45976</v>
      </c>
      <c r="W83" s="210">
        <v>45991</v>
      </c>
      <c r="X83" s="210">
        <v>45991</v>
      </c>
      <c r="Y83" s="31"/>
      <c r="Z83" s="38"/>
      <c r="AA83" s="216"/>
      <c r="AB83" s="210"/>
      <c r="AC83" s="210"/>
      <c r="AD83" s="210"/>
      <c r="AE83" s="31"/>
      <c r="AF83" s="31"/>
      <c r="AG83" s="31"/>
      <c r="AH83" s="31"/>
      <c r="AI83" s="209"/>
      <c r="AJ83" s="233"/>
      <c r="AK83" s="209"/>
      <c r="AL83" s="233"/>
      <c r="AM83" s="233"/>
      <c r="AN83" s="233"/>
      <c r="AO83" s="31"/>
      <c r="AP83" s="1053"/>
      <c r="AQ83" s="31"/>
      <c r="AR83" s="31"/>
      <c r="AS83" s="31"/>
      <c r="AT83" s="1053"/>
      <c r="AU83" s="241"/>
      <c r="AV83" s="214"/>
      <c r="AW83" s="214"/>
      <c r="AX83" s="234"/>
      <c r="AY83" s="234"/>
      <c r="AZ83" s="214"/>
      <c r="BA83" s="214"/>
      <c r="BB83" s="29"/>
      <c r="BC83" s="29"/>
      <c r="BD83" s="31"/>
      <c r="BE83" s="30"/>
      <c r="BF83" s="30"/>
      <c r="BG83" s="2117"/>
      <c r="BH83" s="2014"/>
      <c r="BI83" s="2017"/>
    </row>
    <row r="84" spans="1:61" ht="14.25" customHeight="1">
      <c r="A84" s="2060"/>
      <c r="B84" s="2061"/>
      <c r="C84" s="2055"/>
      <c r="D84" s="2055"/>
      <c r="E84" s="2057"/>
      <c r="F84" s="2055"/>
      <c r="G84" s="2055"/>
      <c r="H84" s="1967"/>
      <c r="I84" s="2057"/>
      <c r="J84" s="2055"/>
      <c r="K84" s="2008"/>
      <c r="L84" s="2054"/>
      <c r="M84" s="446"/>
      <c r="N84" s="2055"/>
      <c r="O84" s="104"/>
      <c r="P84" s="105"/>
      <c r="Q84" s="104"/>
      <c r="R84" s="105"/>
      <c r="S84" s="105"/>
      <c r="T84" s="104"/>
      <c r="U84" s="104" t="s">
        <v>1293</v>
      </c>
      <c r="V84" s="211">
        <v>46023</v>
      </c>
      <c r="W84" s="211">
        <v>46037</v>
      </c>
      <c r="X84" s="211">
        <v>46046</v>
      </c>
      <c r="Y84" s="104"/>
      <c r="Z84" s="105"/>
      <c r="AA84" s="217"/>
      <c r="AB84" s="211"/>
      <c r="AC84" s="211"/>
      <c r="AD84" s="211"/>
      <c r="AE84" s="104"/>
      <c r="AF84" s="104"/>
      <c r="AG84" s="104"/>
      <c r="AH84" s="104"/>
      <c r="AI84" s="237"/>
      <c r="AJ84" s="238"/>
      <c r="AK84" s="237"/>
      <c r="AL84" s="238"/>
      <c r="AM84" s="238"/>
      <c r="AN84" s="238"/>
      <c r="AO84" s="104"/>
      <c r="AP84" s="1054"/>
      <c r="AQ84" s="104"/>
      <c r="AR84" s="104"/>
      <c r="AS84" s="104"/>
      <c r="AT84" s="1054"/>
      <c r="AU84" s="242"/>
      <c r="AV84" s="215"/>
      <c r="AW84" s="215"/>
      <c r="AX84" s="235"/>
      <c r="AY84" s="235"/>
      <c r="AZ84" s="215"/>
      <c r="BA84" s="215"/>
      <c r="BB84" s="106"/>
      <c r="BC84" s="106"/>
      <c r="BD84" s="104"/>
      <c r="BE84" s="107"/>
      <c r="BF84" s="107"/>
      <c r="BG84" s="2118"/>
      <c r="BH84" s="2056"/>
      <c r="BI84" s="2052"/>
    </row>
    <row r="85" spans="1:61" ht="14.25" customHeight="1">
      <c r="A85" s="2060"/>
      <c r="B85" s="2061"/>
      <c r="C85" s="2055"/>
      <c r="D85" s="2055"/>
      <c r="E85" s="2057"/>
      <c r="F85" s="2055"/>
      <c r="G85" s="2055"/>
      <c r="H85" s="1967"/>
      <c r="I85" s="2057"/>
      <c r="J85" s="2055"/>
      <c r="K85" s="2008"/>
      <c r="L85" s="2054"/>
      <c r="M85" s="446"/>
      <c r="N85" s="2055"/>
      <c r="O85" s="104"/>
      <c r="P85" s="105"/>
      <c r="Q85" s="104"/>
      <c r="R85" s="105"/>
      <c r="S85" s="105"/>
      <c r="T85" s="104"/>
      <c r="U85" s="104" t="s">
        <v>1294</v>
      </c>
      <c r="V85" s="211">
        <v>46086</v>
      </c>
      <c r="W85" s="211">
        <v>46112</v>
      </c>
      <c r="X85" s="211">
        <v>46112</v>
      </c>
      <c r="Y85" s="104"/>
      <c r="Z85" s="105"/>
      <c r="AA85" s="217"/>
      <c r="AB85" s="211"/>
      <c r="AC85" s="211"/>
      <c r="AD85" s="211"/>
      <c r="AE85" s="104"/>
      <c r="AF85" s="104"/>
      <c r="AG85" s="104"/>
      <c r="AH85" s="104"/>
      <c r="AI85" s="237"/>
      <c r="AJ85" s="238"/>
      <c r="AK85" s="237"/>
      <c r="AL85" s="238"/>
      <c r="AM85" s="238"/>
      <c r="AN85" s="238"/>
      <c r="AO85" s="104"/>
      <c r="AP85" s="1054"/>
      <c r="AQ85" s="104"/>
      <c r="AR85" s="104"/>
      <c r="AS85" s="104"/>
      <c r="AT85" s="1054"/>
      <c r="AU85" s="242"/>
      <c r="AV85" s="215"/>
      <c r="AW85" s="215"/>
      <c r="AX85" s="235"/>
      <c r="AY85" s="235"/>
      <c r="AZ85" s="215"/>
      <c r="BA85" s="215"/>
      <c r="BB85" s="106"/>
      <c r="BC85" s="106"/>
      <c r="BD85" s="104"/>
      <c r="BE85" s="107"/>
      <c r="BF85" s="107"/>
      <c r="BG85" s="2118"/>
      <c r="BH85" s="2056"/>
      <c r="BI85" s="2052"/>
    </row>
    <row r="86" spans="1:61" ht="14.25" customHeight="1">
      <c r="A86" s="2060"/>
      <c r="B86" s="2061"/>
      <c r="C86" s="2055"/>
      <c r="D86" s="2055"/>
      <c r="E86" s="2057"/>
      <c r="F86" s="2055"/>
      <c r="G86" s="2055"/>
      <c r="H86" s="1967"/>
      <c r="I86" s="2057"/>
      <c r="J86" s="2055"/>
      <c r="K86" s="2008"/>
      <c r="L86" s="2054"/>
      <c r="M86" s="446"/>
      <c r="N86" s="2055"/>
      <c r="O86" s="104"/>
      <c r="P86" s="105"/>
      <c r="Q86" s="104"/>
      <c r="R86" s="105"/>
      <c r="S86" s="105"/>
      <c r="T86" s="104"/>
      <c r="U86" s="104" t="s">
        <v>1295</v>
      </c>
      <c r="V86" s="211">
        <v>46183</v>
      </c>
      <c r="W86" s="211">
        <v>46178</v>
      </c>
      <c r="X86" s="211"/>
      <c r="Y86" s="104"/>
      <c r="Z86" s="105"/>
      <c r="AA86" s="217"/>
      <c r="AB86" s="211"/>
      <c r="AC86" s="211"/>
      <c r="AD86" s="211"/>
      <c r="AE86" s="104"/>
      <c r="AF86" s="104"/>
      <c r="AG86" s="104"/>
      <c r="AH86" s="104"/>
      <c r="AI86" s="237"/>
      <c r="AJ86" s="238"/>
      <c r="AK86" s="237"/>
      <c r="AL86" s="238"/>
      <c r="AM86" s="238"/>
      <c r="AN86" s="238"/>
      <c r="AO86" s="104"/>
      <c r="AP86" s="1054"/>
      <c r="AQ86" s="104"/>
      <c r="AR86" s="104"/>
      <c r="AS86" s="104"/>
      <c r="AT86" s="1054"/>
      <c r="AU86" s="242"/>
      <c r="AV86" s="215"/>
      <c r="AW86" s="215"/>
      <c r="AX86" s="235"/>
      <c r="AY86" s="235"/>
      <c r="AZ86" s="215"/>
      <c r="BA86" s="215"/>
      <c r="BB86" s="106"/>
      <c r="BC86" s="106"/>
      <c r="BD86" s="104"/>
      <c r="BE86" s="107"/>
      <c r="BF86" s="107"/>
      <c r="BG86" s="2118"/>
      <c r="BH86" s="2056"/>
      <c r="BI86" s="2052"/>
    </row>
    <row r="87" spans="1:61" ht="14.25" customHeight="1">
      <c r="A87" s="2021"/>
      <c r="B87" s="2024"/>
      <c r="C87" s="2006"/>
      <c r="D87" s="2006"/>
      <c r="E87" s="2028"/>
      <c r="F87" s="2006"/>
      <c r="G87" s="2006"/>
      <c r="H87" s="1968"/>
      <c r="I87" s="2028"/>
      <c r="J87" s="2006"/>
      <c r="K87" s="2009"/>
      <c r="L87" s="2012"/>
      <c r="M87" s="100"/>
      <c r="N87" s="2006"/>
      <c r="O87" s="43"/>
      <c r="P87" s="44"/>
      <c r="Q87" s="43"/>
      <c r="R87" s="44"/>
      <c r="S87" s="44"/>
      <c r="T87" s="43"/>
      <c r="U87" s="1417" t="s">
        <v>1296</v>
      </c>
      <c r="V87" s="1419">
        <v>46234</v>
      </c>
      <c r="W87" s="1419">
        <v>46234</v>
      </c>
      <c r="X87" s="213"/>
      <c r="Y87" s="43"/>
      <c r="Z87" s="44"/>
      <c r="AA87" s="218"/>
      <c r="AB87" s="213"/>
      <c r="AC87" s="213"/>
      <c r="AD87" s="213"/>
      <c r="AE87" s="43"/>
      <c r="AF87" s="43"/>
      <c r="AG87" s="43"/>
      <c r="AH87" s="43"/>
      <c r="AI87" s="239"/>
      <c r="AJ87" s="240"/>
      <c r="AK87" s="239"/>
      <c r="AL87" s="240"/>
      <c r="AM87" s="240"/>
      <c r="AN87" s="240"/>
      <c r="AO87" s="43"/>
      <c r="AP87" s="1055"/>
      <c r="AQ87" s="43"/>
      <c r="AR87" s="43"/>
      <c r="AS87" s="43"/>
      <c r="AT87" s="1055"/>
      <c r="AU87" s="344"/>
      <c r="AV87" s="232"/>
      <c r="AW87" s="232"/>
      <c r="AX87" s="236"/>
      <c r="AY87" s="236"/>
      <c r="AZ87" s="232"/>
      <c r="BA87" s="232"/>
      <c r="BB87" s="45"/>
      <c r="BC87" s="45"/>
      <c r="BD87" s="43"/>
      <c r="BE87" s="46"/>
      <c r="BF87" s="46"/>
      <c r="BG87" s="2119"/>
      <c r="BH87" s="2015"/>
      <c r="BI87" s="2018"/>
    </row>
    <row r="88" spans="1:61" s="1382" customFormat="1" ht="14.25" customHeight="1">
      <c r="A88" s="1988" t="s">
        <v>1097</v>
      </c>
      <c r="B88" s="1992" t="s">
        <v>1297</v>
      </c>
      <c r="C88" s="1965">
        <v>10</v>
      </c>
      <c r="D88" s="1996" t="s">
        <v>1298</v>
      </c>
      <c r="E88" s="1997" t="s">
        <v>1299</v>
      </c>
      <c r="F88" s="1965">
        <v>1</v>
      </c>
      <c r="G88" s="1996">
        <v>5000110284</v>
      </c>
      <c r="H88" s="1965">
        <v>1</v>
      </c>
      <c r="I88" s="1997" t="s">
        <v>1300</v>
      </c>
      <c r="J88" s="1965" t="s">
        <v>1231</v>
      </c>
      <c r="K88" s="1969" t="s">
        <v>1024</v>
      </c>
      <c r="L88" s="1972">
        <v>45944</v>
      </c>
      <c r="M88" s="1369">
        <v>46280</v>
      </c>
      <c r="N88" s="1965" t="s">
        <v>629</v>
      </c>
      <c r="O88" s="1370" t="s">
        <v>1131</v>
      </c>
      <c r="P88" s="1371">
        <v>8</v>
      </c>
      <c r="Q88" s="1370" t="s">
        <v>1072</v>
      </c>
      <c r="R88" s="1371">
        <v>0</v>
      </c>
      <c r="S88" s="1371">
        <v>8</v>
      </c>
      <c r="T88" s="1371">
        <v>0</v>
      </c>
      <c r="U88" s="1372" t="s">
        <v>42</v>
      </c>
      <c r="V88" s="1373">
        <v>45964</v>
      </c>
      <c r="W88" s="1373">
        <v>45964</v>
      </c>
      <c r="X88" s="1373">
        <v>45964</v>
      </c>
      <c r="Y88" s="1372" t="s">
        <v>1301</v>
      </c>
      <c r="Z88" s="1374">
        <v>1</v>
      </c>
      <c r="AA88" s="1373">
        <v>45962</v>
      </c>
      <c r="AB88" s="1373">
        <v>45946</v>
      </c>
      <c r="AC88" s="1373">
        <v>46205</v>
      </c>
      <c r="AD88" s="1373"/>
      <c r="AE88" s="1374"/>
      <c r="AF88" s="1372"/>
      <c r="AG88" s="1372" t="s">
        <v>1302</v>
      </c>
      <c r="AH88" s="1375"/>
      <c r="AI88" s="1375" t="s">
        <v>1303</v>
      </c>
      <c r="AJ88" s="1376"/>
      <c r="AK88" s="1375"/>
      <c r="AL88" s="1376"/>
      <c r="AM88" s="1376"/>
      <c r="AN88" s="1376"/>
      <c r="AO88" s="1377"/>
      <c r="AP88" s="1378"/>
      <c r="AQ88" s="1377"/>
      <c r="AR88" s="1377"/>
      <c r="AS88" s="1372"/>
      <c r="AT88" s="1378"/>
      <c r="AU88" s="1377"/>
      <c r="AV88" s="1373"/>
      <c r="AW88" s="1373"/>
      <c r="AX88" s="1376"/>
      <c r="AY88" s="1376"/>
      <c r="AZ88" s="1373"/>
      <c r="BA88" s="1373"/>
      <c r="BB88" s="1379"/>
      <c r="BC88" s="1380"/>
      <c r="BD88" s="1372"/>
      <c r="BE88" s="1381"/>
      <c r="BF88" s="1381"/>
      <c r="BG88" s="1976" t="s">
        <v>1304</v>
      </c>
      <c r="BH88" s="1980"/>
      <c r="BI88" s="1984"/>
    </row>
    <row r="89" spans="1:61" s="1382" customFormat="1" ht="14.25" customHeight="1">
      <c r="A89" s="1989"/>
      <c r="B89" s="1993"/>
      <c r="C89" s="1966"/>
      <c r="D89" s="1966"/>
      <c r="E89" s="1998"/>
      <c r="F89" s="1966"/>
      <c r="G89" s="1966"/>
      <c r="H89" s="1966"/>
      <c r="I89" s="1998"/>
      <c r="J89" s="1966"/>
      <c r="K89" s="1970"/>
      <c r="L89" s="1973"/>
      <c r="M89" s="1383"/>
      <c r="N89" s="1966"/>
      <c r="O89" s="1384"/>
      <c r="P89" s="1385"/>
      <c r="Q89" s="1384"/>
      <c r="R89" s="1385"/>
      <c r="S89" s="1385"/>
      <c r="T89" s="1384"/>
      <c r="U89" s="1386" t="s">
        <v>1041</v>
      </c>
      <c r="V89" s="1387">
        <v>46330</v>
      </c>
      <c r="W89" s="1387">
        <v>46330</v>
      </c>
      <c r="X89" s="1387">
        <v>46330</v>
      </c>
      <c r="Y89" s="1386" t="s">
        <v>1305</v>
      </c>
      <c r="Z89" s="1388">
        <v>1</v>
      </c>
      <c r="AA89" s="1387">
        <v>46053</v>
      </c>
      <c r="AB89" s="1387">
        <v>46055</v>
      </c>
      <c r="AC89" s="1387">
        <v>46189</v>
      </c>
      <c r="AD89" s="1387"/>
      <c r="AE89" s="1388"/>
      <c r="AF89" s="1386"/>
      <c r="AG89" s="1386" t="s">
        <v>1306</v>
      </c>
      <c r="AH89" s="1389"/>
      <c r="AI89" s="1390" t="s">
        <v>1307</v>
      </c>
      <c r="AJ89" s="1391"/>
      <c r="AK89" s="1390"/>
      <c r="AL89" s="1391"/>
      <c r="AM89" s="1391"/>
      <c r="AN89" s="1391"/>
      <c r="AO89" s="1392"/>
      <c r="AP89" s="1393"/>
      <c r="AQ89" s="1392"/>
      <c r="AR89" s="1392"/>
      <c r="AS89" s="1386"/>
      <c r="AT89" s="1393"/>
      <c r="AU89" s="1392"/>
      <c r="AV89" s="1394"/>
      <c r="AW89" s="1394"/>
      <c r="AX89" s="1395"/>
      <c r="AY89" s="1395"/>
      <c r="AZ89" s="1394"/>
      <c r="BA89" s="1396"/>
      <c r="BB89" s="1397"/>
      <c r="BC89" s="1397"/>
      <c r="BD89" s="1386"/>
      <c r="BE89" s="1398"/>
      <c r="BF89" s="1398"/>
      <c r="BG89" s="1977"/>
      <c r="BH89" s="1981"/>
      <c r="BI89" s="1985"/>
    </row>
    <row r="90" spans="1:61" s="1382" customFormat="1" ht="14.25" customHeight="1">
      <c r="A90" s="1989"/>
      <c r="B90" s="1993"/>
      <c r="C90" s="1966"/>
      <c r="D90" s="1966"/>
      <c r="E90" s="1998"/>
      <c r="F90" s="1966"/>
      <c r="G90" s="1966"/>
      <c r="H90" s="1966"/>
      <c r="I90" s="1998"/>
      <c r="J90" s="1966"/>
      <c r="K90" s="1970"/>
      <c r="L90" s="1973"/>
      <c r="M90" s="1383"/>
      <c r="N90" s="1966"/>
      <c r="O90" s="1384"/>
      <c r="P90" s="1385"/>
      <c r="Q90" s="1384"/>
      <c r="R90" s="1385"/>
      <c r="S90" s="1385"/>
      <c r="T90" s="1384"/>
      <c r="U90" s="1386" t="s">
        <v>1049</v>
      </c>
      <c r="V90" s="1387">
        <v>46342</v>
      </c>
      <c r="W90" s="1387">
        <v>46342</v>
      </c>
      <c r="X90" s="1387">
        <v>46342</v>
      </c>
      <c r="Y90" s="1386" t="s">
        <v>1308</v>
      </c>
      <c r="Z90" s="1388">
        <v>1</v>
      </c>
      <c r="AA90" s="1387">
        <v>46053</v>
      </c>
      <c r="AB90" s="1387" t="s">
        <v>1309</v>
      </c>
      <c r="AC90" s="1387">
        <v>46201</v>
      </c>
      <c r="AD90" s="1387"/>
      <c r="AE90" s="1388"/>
      <c r="AF90" s="1386"/>
      <c r="AG90" s="1386" t="s">
        <v>1310</v>
      </c>
      <c r="AH90" s="1389"/>
      <c r="AI90" s="1390" t="s">
        <v>1311</v>
      </c>
      <c r="AJ90" s="1391"/>
      <c r="AK90" s="1390"/>
      <c r="AL90" s="1391"/>
      <c r="AM90" s="1391"/>
      <c r="AN90" s="1391"/>
      <c r="AO90" s="1386"/>
      <c r="AP90" s="1399"/>
      <c r="AQ90" s="1386"/>
      <c r="AR90" s="1386"/>
      <c r="AS90" s="1386"/>
      <c r="AT90" s="1399"/>
      <c r="AU90" s="1392"/>
      <c r="AV90" s="1396"/>
      <c r="AW90" s="1396"/>
      <c r="AX90" s="1395"/>
      <c r="AY90" s="1395"/>
      <c r="AZ90" s="1396"/>
      <c r="BA90" s="1396"/>
      <c r="BB90" s="1397"/>
      <c r="BC90" s="1397"/>
      <c r="BD90" s="1386"/>
      <c r="BE90" s="1398"/>
      <c r="BF90" s="1398"/>
      <c r="BG90" s="1977"/>
      <c r="BH90" s="1981"/>
      <c r="BI90" s="1985"/>
    </row>
    <row r="91" spans="1:61" s="1382" customFormat="1" ht="14.25" customHeight="1">
      <c r="A91" s="1989"/>
      <c r="B91" s="1993"/>
      <c r="C91" s="1966"/>
      <c r="D91" s="1966"/>
      <c r="E91" s="1998"/>
      <c r="F91" s="1966"/>
      <c r="G91" s="1966"/>
      <c r="H91" s="1966"/>
      <c r="I91" s="1998"/>
      <c r="J91" s="1966"/>
      <c r="K91" s="1970"/>
      <c r="L91" s="1973"/>
      <c r="M91" s="1400"/>
      <c r="N91" s="1966"/>
      <c r="O91" s="1386"/>
      <c r="P91" s="1388"/>
      <c r="Q91" s="1386"/>
      <c r="R91" s="1388">
        <v>0</v>
      </c>
      <c r="S91" s="1388">
        <v>0</v>
      </c>
      <c r="T91" s="1386"/>
      <c r="U91" s="1386" t="s">
        <v>65</v>
      </c>
      <c r="V91" s="1387">
        <v>46053</v>
      </c>
      <c r="W91" s="1387">
        <v>46053</v>
      </c>
      <c r="X91" s="1387">
        <v>46054</v>
      </c>
      <c r="Y91" s="1386" t="s">
        <v>1312</v>
      </c>
      <c r="Z91" s="1388">
        <v>2</v>
      </c>
      <c r="AA91" s="1387">
        <v>46053</v>
      </c>
      <c r="AB91" s="1387">
        <v>46055</v>
      </c>
      <c r="AC91" s="1387">
        <v>46189</v>
      </c>
      <c r="AD91" s="1387"/>
      <c r="AE91" s="1386"/>
      <c r="AF91" s="1386"/>
      <c r="AG91" s="1386"/>
      <c r="AH91" s="1386"/>
      <c r="AI91" s="1390"/>
      <c r="AJ91" s="1391"/>
      <c r="AK91" s="1390"/>
      <c r="AL91" s="1391"/>
      <c r="AM91" s="1391"/>
      <c r="AN91" s="1391"/>
      <c r="AO91" s="1386"/>
      <c r="AP91" s="1399"/>
      <c r="AQ91" s="1386"/>
      <c r="AR91" s="1386"/>
      <c r="AS91" s="1386"/>
      <c r="AT91" s="1399"/>
      <c r="AU91" s="1392"/>
      <c r="AV91" s="1396"/>
      <c r="AW91" s="1396"/>
      <c r="AX91" s="1395"/>
      <c r="AY91" s="1395"/>
      <c r="AZ91" s="1396"/>
      <c r="BA91" s="1396"/>
      <c r="BB91" s="1397"/>
      <c r="BC91" s="1397"/>
      <c r="BD91" s="1386"/>
      <c r="BE91" s="1398"/>
      <c r="BF91" s="1398"/>
      <c r="BG91" s="1977"/>
      <c r="BH91" s="1981"/>
      <c r="BI91" s="1985"/>
    </row>
    <row r="92" spans="1:61" s="1382" customFormat="1" ht="14.25" customHeight="1">
      <c r="A92" s="1989"/>
      <c r="B92" s="1993"/>
      <c r="C92" s="1966"/>
      <c r="D92" s="1966"/>
      <c r="E92" s="1998"/>
      <c r="F92" s="1966"/>
      <c r="G92" s="1966"/>
      <c r="H92" s="1966"/>
      <c r="I92" s="1998"/>
      <c r="J92" s="1966"/>
      <c r="K92" s="1970"/>
      <c r="L92" s="1973"/>
      <c r="M92" s="1401"/>
      <c r="N92" s="1966"/>
      <c r="O92" s="1386"/>
      <c r="P92" s="1388"/>
      <c r="Q92" s="1386"/>
      <c r="R92" s="1388">
        <v>0</v>
      </c>
      <c r="S92" s="1388">
        <v>0</v>
      </c>
      <c r="T92" s="1386"/>
      <c r="U92" s="1386" t="s">
        <v>468</v>
      </c>
      <c r="V92" s="1387">
        <v>46209</v>
      </c>
      <c r="W92" s="1387">
        <v>46209</v>
      </c>
      <c r="X92" s="1387"/>
      <c r="Y92" s="1386" t="s">
        <v>1313</v>
      </c>
      <c r="Z92" s="1388">
        <v>1</v>
      </c>
      <c r="AA92" s="1387">
        <v>46053</v>
      </c>
      <c r="AB92" s="1387">
        <v>46086</v>
      </c>
      <c r="AC92" s="1387">
        <v>46189</v>
      </c>
      <c r="AD92" s="1387"/>
      <c r="AE92" s="1386"/>
      <c r="AF92" s="1386"/>
      <c r="AG92" s="1386"/>
      <c r="AH92" s="1386"/>
      <c r="AI92" s="1390"/>
      <c r="AJ92" s="1391"/>
      <c r="AK92" s="1390"/>
      <c r="AL92" s="1391"/>
      <c r="AM92" s="1391"/>
      <c r="AN92" s="1391"/>
      <c r="AO92" s="1386"/>
      <c r="AP92" s="1399"/>
      <c r="AQ92" s="1386"/>
      <c r="AR92" s="1386"/>
      <c r="AS92" s="1386"/>
      <c r="AT92" s="1399"/>
      <c r="AU92" s="1392"/>
      <c r="AV92" s="1402"/>
      <c r="AW92" s="1402"/>
      <c r="AX92" s="1395"/>
      <c r="AY92" s="1395"/>
      <c r="AZ92" s="1402"/>
      <c r="BA92" s="1402"/>
      <c r="BB92" s="1397"/>
      <c r="BC92" s="1397"/>
      <c r="BD92" s="1386"/>
      <c r="BE92" s="1398"/>
      <c r="BF92" s="1398"/>
      <c r="BG92" s="1977"/>
      <c r="BH92" s="1981"/>
      <c r="BI92" s="1985"/>
    </row>
    <row r="93" spans="1:61" s="1382" customFormat="1" ht="14.25" customHeight="1">
      <c r="A93" s="1989"/>
      <c r="B93" s="1993"/>
      <c r="C93" s="1966"/>
      <c r="D93" s="1966"/>
      <c r="E93" s="1998"/>
      <c r="F93" s="1966"/>
      <c r="G93" s="1966"/>
      <c r="H93" s="1966"/>
      <c r="I93" s="1998"/>
      <c r="J93" s="1966"/>
      <c r="K93" s="1970"/>
      <c r="L93" s="1973"/>
      <c r="M93" s="1401"/>
      <c r="N93" s="1966"/>
      <c r="O93" s="1386"/>
      <c r="P93" s="1388"/>
      <c r="Q93" s="1386"/>
      <c r="R93" s="1388">
        <v>0</v>
      </c>
      <c r="S93" s="1388">
        <v>0</v>
      </c>
      <c r="T93" s="1386"/>
      <c r="U93" s="1403" t="s">
        <v>1314</v>
      </c>
      <c r="V93" s="1404">
        <v>46216</v>
      </c>
      <c r="W93" s="1404">
        <v>46216</v>
      </c>
      <c r="X93" s="1387"/>
      <c r="Y93" s="1386" t="s">
        <v>1315</v>
      </c>
      <c r="Z93" s="1388">
        <v>1</v>
      </c>
      <c r="AA93" s="1387">
        <v>46026</v>
      </c>
      <c r="AB93" s="1387">
        <v>46026</v>
      </c>
      <c r="AC93" s="1387">
        <v>46140</v>
      </c>
      <c r="AD93" s="1387"/>
      <c r="AE93" s="1386"/>
      <c r="AF93" s="1386"/>
      <c r="AG93" s="1386"/>
      <c r="AH93" s="1386"/>
      <c r="AI93" s="1390"/>
      <c r="AJ93" s="1391"/>
      <c r="AK93" s="1390"/>
      <c r="AL93" s="1391"/>
      <c r="AM93" s="1391"/>
      <c r="AN93" s="1391"/>
      <c r="AO93" s="1386"/>
      <c r="AP93" s="1399"/>
      <c r="AQ93" s="1386"/>
      <c r="AR93" s="1386"/>
      <c r="AS93" s="1386"/>
      <c r="AT93" s="1399"/>
      <c r="AU93" s="1392"/>
      <c r="AV93" s="1402"/>
      <c r="AW93" s="1402"/>
      <c r="AX93" s="1395"/>
      <c r="AY93" s="1395"/>
      <c r="AZ93" s="1402"/>
      <c r="BA93" s="1402"/>
      <c r="BB93" s="1397"/>
      <c r="BC93" s="1397"/>
      <c r="BD93" s="1386"/>
      <c r="BE93" s="1398"/>
      <c r="BF93" s="1398"/>
      <c r="BG93" s="1977"/>
      <c r="BH93" s="1981"/>
      <c r="BI93" s="1985"/>
    </row>
    <row r="94" spans="1:61" s="1382" customFormat="1" ht="36">
      <c r="A94" s="1990"/>
      <c r="B94" s="1994"/>
      <c r="C94" s="1967"/>
      <c r="D94" s="1967"/>
      <c r="E94" s="1999"/>
      <c r="F94" s="1967"/>
      <c r="G94" s="1967"/>
      <c r="H94" s="1967"/>
      <c r="I94" s="1999"/>
      <c r="J94" s="1967"/>
      <c r="K94" s="1970"/>
      <c r="L94" s="1974"/>
      <c r="M94" s="1405"/>
      <c r="N94" s="1967"/>
      <c r="O94" s="1403"/>
      <c r="P94" s="1406"/>
      <c r="Q94" s="1403"/>
      <c r="R94" s="1406"/>
      <c r="S94" s="1406"/>
      <c r="T94" s="1403"/>
      <c r="U94" s="1403" t="s">
        <v>1316</v>
      </c>
      <c r="V94" s="1404">
        <v>46194</v>
      </c>
      <c r="W94" s="1404">
        <v>46194</v>
      </c>
      <c r="X94" s="1404"/>
      <c r="Y94" s="1407" t="s">
        <v>1317</v>
      </c>
      <c r="Z94" s="1406">
        <v>1</v>
      </c>
      <c r="AA94" s="1404">
        <v>46068</v>
      </c>
      <c r="AB94" s="1404">
        <v>46082</v>
      </c>
      <c r="AC94" s="1404">
        <v>46226</v>
      </c>
      <c r="AD94" s="1404"/>
      <c r="AE94" s="1403"/>
      <c r="AF94" s="1403"/>
      <c r="AG94" s="1403"/>
      <c r="AH94" s="1403"/>
      <c r="AI94" s="1408"/>
      <c r="AJ94" s="1409"/>
      <c r="AK94" s="1408"/>
      <c r="AL94" s="1409"/>
      <c r="AM94" s="1409"/>
      <c r="AN94" s="1409"/>
      <c r="AO94" s="1403"/>
      <c r="AP94" s="1410"/>
      <c r="AQ94" s="1403"/>
      <c r="AR94" s="1403"/>
      <c r="AS94" s="1403"/>
      <c r="AT94" s="1410"/>
      <c r="AU94" s="1411"/>
      <c r="AV94" s="1412"/>
      <c r="AW94" s="1412"/>
      <c r="AX94" s="1413"/>
      <c r="AY94" s="1413"/>
      <c r="AZ94" s="1412"/>
      <c r="BA94" s="1412"/>
      <c r="BB94" s="1414"/>
      <c r="BC94" s="1414"/>
      <c r="BD94" s="1403"/>
      <c r="BE94" s="1415"/>
      <c r="BF94" s="1415"/>
      <c r="BG94" s="1978"/>
      <c r="BH94" s="1982"/>
      <c r="BI94" s="1986"/>
    </row>
    <row r="95" spans="1:61" s="1382" customFormat="1" ht="14.25" customHeight="1">
      <c r="A95" s="1991"/>
      <c r="B95" s="1995"/>
      <c r="C95" s="1968"/>
      <c r="D95" s="1968"/>
      <c r="E95" s="2000"/>
      <c r="F95" s="1968"/>
      <c r="G95" s="1968"/>
      <c r="H95" s="1968"/>
      <c r="I95" s="2000"/>
      <c r="J95" s="1968"/>
      <c r="K95" s="1971"/>
      <c r="L95" s="1975"/>
      <c r="M95" s="1416"/>
      <c r="N95" s="1968"/>
      <c r="O95" s="1417"/>
      <c r="P95" s="1418"/>
      <c r="Q95" s="1417"/>
      <c r="R95" s="1418"/>
      <c r="S95" s="1418"/>
      <c r="T95" s="1417"/>
      <c r="U95" s="1417" t="s">
        <v>1318</v>
      </c>
      <c r="V95" s="1419">
        <v>46201</v>
      </c>
      <c r="W95" s="1419">
        <v>46201</v>
      </c>
      <c r="X95" s="1419"/>
      <c r="Y95" s="1417"/>
      <c r="Z95" s="1418"/>
      <c r="AA95" s="1420"/>
      <c r="AB95" s="1419"/>
      <c r="AC95" s="1419"/>
      <c r="AD95" s="1419"/>
      <c r="AE95" s="1417"/>
      <c r="AF95" s="1417"/>
      <c r="AG95" s="1417"/>
      <c r="AH95" s="1417"/>
      <c r="AI95" s="1421"/>
      <c r="AJ95" s="1422"/>
      <c r="AK95" s="1421"/>
      <c r="AL95" s="1422"/>
      <c r="AM95" s="1422"/>
      <c r="AN95" s="1422"/>
      <c r="AO95" s="1417"/>
      <c r="AP95" s="1423"/>
      <c r="AQ95" s="1417"/>
      <c r="AR95" s="1417"/>
      <c r="AS95" s="1417"/>
      <c r="AT95" s="1423"/>
      <c r="AU95" s="1424"/>
      <c r="AV95" s="1425"/>
      <c r="AW95" s="1425"/>
      <c r="AX95" s="1426"/>
      <c r="AY95" s="1426"/>
      <c r="AZ95" s="1425"/>
      <c r="BA95" s="1425"/>
      <c r="BB95" s="1427"/>
      <c r="BC95" s="1427"/>
      <c r="BD95" s="1417"/>
      <c r="BE95" s="1428"/>
      <c r="BF95" s="1428"/>
      <c r="BG95" s="1979"/>
      <c r="BH95" s="1983"/>
      <c r="BI95" s="1987"/>
    </row>
    <row r="96" spans="1:61" ht="14.85" customHeight="1">
      <c r="AP96" s="1233"/>
      <c r="AT96" s="1233"/>
      <c r="AU96" s="520"/>
    </row>
    <row r="97" spans="42:47" ht="14.85" customHeight="1">
      <c r="AP97" s="1233"/>
      <c r="AT97" s="1233"/>
      <c r="AU97" s="520"/>
    </row>
    <row r="98" spans="42:47" ht="14.85" customHeight="1">
      <c r="AP98" s="1233"/>
      <c r="AT98" s="1233"/>
      <c r="AU98" s="520"/>
    </row>
    <row r="99" spans="42:47" ht="14.85" customHeight="1">
      <c r="AT99" s="1233"/>
      <c r="AU99" s="520"/>
    </row>
    <row r="100" spans="42:47" ht="14.85" customHeight="1">
      <c r="AT100" s="1233"/>
      <c r="AU100" s="520"/>
    </row>
    <row r="101" spans="42:47" ht="14.85" customHeight="1">
      <c r="AU101" s="520"/>
    </row>
    <row r="102" spans="42:47" ht="14.85" customHeight="1">
      <c r="AU102" s="520"/>
    </row>
    <row r="103" spans="42:47" ht="14.85" customHeight="1">
      <c r="AU103" s="520"/>
    </row>
    <row r="104" spans="42:47" ht="14.85" customHeight="1">
      <c r="AU104" s="520"/>
    </row>
  </sheetData>
  <mergeCells count="221">
    <mergeCell ref="J78:J87"/>
    <mergeCell ref="K78:K87"/>
    <mergeCell ref="L78:L87"/>
    <mergeCell ref="N78:N87"/>
    <mergeCell ref="BG78:BG87"/>
    <mergeCell ref="BH78:BH87"/>
    <mergeCell ref="BI78:BI87"/>
    <mergeCell ref="A78:A87"/>
    <mergeCell ref="B78:B87"/>
    <mergeCell ref="C78:C87"/>
    <mergeCell ref="D78:D87"/>
    <mergeCell ref="E78:E87"/>
    <mergeCell ref="F78:F87"/>
    <mergeCell ref="G78:G87"/>
    <mergeCell ref="H78:H87"/>
    <mergeCell ref="I78:I87"/>
    <mergeCell ref="J64:J70"/>
    <mergeCell ref="K64:K70"/>
    <mergeCell ref="L64:L70"/>
    <mergeCell ref="N64:N70"/>
    <mergeCell ref="BG64:BG70"/>
    <mergeCell ref="BH64:BH70"/>
    <mergeCell ref="BI64:BI70"/>
    <mergeCell ref="A64:A70"/>
    <mergeCell ref="B64:B70"/>
    <mergeCell ref="C64:C70"/>
    <mergeCell ref="D64:D70"/>
    <mergeCell ref="E64:E70"/>
    <mergeCell ref="F64:F70"/>
    <mergeCell ref="G64:G70"/>
    <mergeCell ref="H64:H70"/>
    <mergeCell ref="I64:I70"/>
    <mergeCell ref="K47:K56"/>
    <mergeCell ref="L47:L56"/>
    <mergeCell ref="N47:N56"/>
    <mergeCell ref="BG47:BG56"/>
    <mergeCell ref="BH47:BH56"/>
    <mergeCell ref="BI47:BI56"/>
    <mergeCell ref="A57:A63"/>
    <mergeCell ref="B57:B63"/>
    <mergeCell ref="C57:C63"/>
    <mergeCell ref="D57:D63"/>
    <mergeCell ref="E57:E63"/>
    <mergeCell ref="F57:F63"/>
    <mergeCell ref="G57:G63"/>
    <mergeCell ref="H57:H63"/>
    <mergeCell ref="I57:I63"/>
    <mergeCell ref="J57:J63"/>
    <mergeCell ref="K57:K63"/>
    <mergeCell ref="L57:L63"/>
    <mergeCell ref="N57:N63"/>
    <mergeCell ref="BG57:BG63"/>
    <mergeCell ref="BH57:BH63"/>
    <mergeCell ref="BI57:BI63"/>
    <mergeCell ref="A47:A56"/>
    <mergeCell ref="B47:B56"/>
    <mergeCell ref="C47:C56"/>
    <mergeCell ref="D47:D56"/>
    <mergeCell ref="E47:E56"/>
    <mergeCell ref="F47:F56"/>
    <mergeCell ref="G47:G56"/>
    <mergeCell ref="H47:H56"/>
    <mergeCell ref="I47:I56"/>
    <mergeCell ref="J35:J46"/>
    <mergeCell ref="J47:J56"/>
    <mergeCell ref="K35:K46"/>
    <mergeCell ref="L35:L46"/>
    <mergeCell ref="N35:N46"/>
    <mergeCell ref="BG35:BG46"/>
    <mergeCell ref="BH35:BH46"/>
    <mergeCell ref="BI35:BI46"/>
    <mergeCell ref="A35:A46"/>
    <mergeCell ref="B35:B46"/>
    <mergeCell ref="C35:C46"/>
    <mergeCell ref="D35:D46"/>
    <mergeCell ref="E35:E46"/>
    <mergeCell ref="F35:F46"/>
    <mergeCell ref="G35:G46"/>
    <mergeCell ref="H35:H46"/>
    <mergeCell ref="I35:I46"/>
    <mergeCell ref="BI1:BI3"/>
    <mergeCell ref="C1:C3"/>
    <mergeCell ref="D1:F1"/>
    <mergeCell ref="G1:O1"/>
    <mergeCell ref="P1:T1"/>
    <mergeCell ref="U1:X1"/>
    <mergeCell ref="Y1:AF1"/>
    <mergeCell ref="I2:I3"/>
    <mergeCell ref="J2:J3"/>
    <mergeCell ref="K2:K3"/>
    <mergeCell ref="L2:L3"/>
    <mergeCell ref="S2:S3"/>
    <mergeCell ref="T2:T3"/>
    <mergeCell ref="U2:U3"/>
    <mergeCell ref="V2:V3"/>
    <mergeCell ref="Y2:Y3"/>
    <mergeCell ref="Z2:Z3"/>
    <mergeCell ref="AA2:AB2"/>
    <mergeCell ref="AC2:AE2"/>
    <mergeCell ref="AF2:AF3"/>
    <mergeCell ref="F2:F3"/>
    <mergeCell ref="G2:G3"/>
    <mergeCell ref="H2:H3"/>
    <mergeCell ref="AH2:AH3"/>
    <mergeCell ref="AI2:AN2"/>
    <mergeCell ref="AG1:AQ1"/>
    <mergeCell ref="AV2:AW2"/>
    <mergeCell ref="AZ2:BA2"/>
    <mergeCell ref="BG2:BG3"/>
    <mergeCell ref="BH2:BH3"/>
    <mergeCell ref="AR1:BC1"/>
    <mergeCell ref="BD1:BF2"/>
    <mergeCell ref="BG1:BH1"/>
    <mergeCell ref="AX2:AY2"/>
    <mergeCell ref="AT2:AU2"/>
    <mergeCell ref="AO2:AQ2"/>
    <mergeCell ref="AR2:AR3"/>
    <mergeCell ref="AS2:AS3"/>
    <mergeCell ref="W2:W3"/>
    <mergeCell ref="X2:X3"/>
    <mergeCell ref="D2:D3"/>
    <mergeCell ref="E2:E3"/>
    <mergeCell ref="BH16:BH24"/>
    <mergeCell ref="K16:K24"/>
    <mergeCell ref="K4:K11"/>
    <mergeCell ref="AT4:AT5"/>
    <mergeCell ref="AU4:AU5"/>
    <mergeCell ref="AP4:AP5"/>
    <mergeCell ref="AQ4:AQ5"/>
    <mergeCell ref="M2:M3"/>
    <mergeCell ref="N2:N3"/>
    <mergeCell ref="O2:O3"/>
    <mergeCell ref="P2:P3"/>
    <mergeCell ref="Q2:Q3"/>
    <mergeCell ref="R2:R3"/>
    <mergeCell ref="AG2:AG3"/>
    <mergeCell ref="D16:D24"/>
    <mergeCell ref="E16:E24"/>
    <mergeCell ref="F16:F24"/>
    <mergeCell ref="AR4:AR5"/>
    <mergeCell ref="E4:E15"/>
    <mergeCell ref="T4:T15"/>
    <mergeCell ref="A25:A34"/>
    <mergeCell ref="B25:B34"/>
    <mergeCell ref="C25:C34"/>
    <mergeCell ref="D25:D34"/>
    <mergeCell ref="E25:E34"/>
    <mergeCell ref="AG4:AG5"/>
    <mergeCell ref="H4:H11"/>
    <mergeCell ref="I4:I11"/>
    <mergeCell ref="J4:J11"/>
    <mergeCell ref="A16:A24"/>
    <mergeCell ref="B16:B24"/>
    <mergeCell ref="C16:C24"/>
    <mergeCell ref="G16:G24"/>
    <mergeCell ref="H16:H24"/>
    <mergeCell ref="N4:N11"/>
    <mergeCell ref="A4:A15"/>
    <mergeCell ref="B4:B15"/>
    <mergeCell ref="J16:J24"/>
    <mergeCell ref="L16:L24"/>
    <mergeCell ref="N16:N24"/>
    <mergeCell ref="C4:C15"/>
    <mergeCell ref="D4:D15"/>
    <mergeCell ref="M4:M15"/>
    <mergeCell ref="F4:F15"/>
    <mergeCell ref="BC17:BC18"/>
    <mergeCell ref="BB17:BB18"/>
    <mergeCell ref="BI25:BI34"/>
    <mergeCell ref="K25:K34"/>
    <mergeCell ref="L25:L34"/>
    <mergeCell ref="N25:N34"/>
    <mergeCell ref="BG25:BG34"/>
    <mergeCell ref="BH25:BH34"/>
    <mergeCell ref="F25:F34"/>
    <mergeCell ref="G25:G34"/>
    <mergeCell ref="H25:H34"/>
    <mergeCell ref="I25:I34"/>
    <mergeCell ref="J25:J34"/>
    <mergeCell ref="AT28:AT29"/>
    <mergeCell ref="AU28:AU29"/>
    <mergeCell ref="G4:G15"/>
    <mergeCell ref="J71:J77"/>
    <mergeCell ref="K71:K77"/>
    <mergeCell ref="L71:L77"/>
    <mergeCell ref="N71:N77"/>
    <mergeCell ref="BG71:BG77"/>
    <mergeCell ref="BH71:BH77"/>
    <mergeCell ref="BI71:BI77"/>
    <mergeCell ref="A71:A77"/>
    <mergeCell ref="B71:B77"/>
    <mergeCell ref="C71:C77"/>
    <mergeCell ref="D71:D77"/>
    <mergeCell ref="E71:E77"/>
    <mergeCell ref="F71:F77"/>
    <mergeCell ref="G71:G77"/>
    <mergeCell ref="H71:H77"/>
    <mergeCell ref="I71:I77"/>
    <mergeCell ref="BI16:BI24"/>
    <mergeCell ref="BG16:BG24"/>
    <mergeCell ref="AS4:AS5"/>
    <mergeCell ref="I16:I24"/>
    <mergeCell ref="BG4:BG15"/>
    <mergeCell ref="BH4:BH15"/>
    <mergeCell ref="BI4:BI15"/>
    <mergeCell ref="J88:J95"/>
    <mergeCell ref="K88:K95"/>
    <mergeCell ref="L88:L95"/>
    <mergeCell ref="N88:N95"/>
    <mergeCell ref="BG88:BG95"/>
    <mergeCell ref="BH88:BH95"/>
    <mergeCell ref="BI88:BI95"/>
    <mergeCell ref="A88:A95"/>
    <mergeCell ref="B88:B95"/>
    <mergeCell ref="C88:C95"/>
    <mergeCell ref="D88:D95"/>
    <mergeCell ref="E88:E95"/>
    <mergeCell ref="F88:F95"/>
    <mergeCell ref="G88:G95"/>
    <mergeCell ref="H88:H95"/>
    <mergeCell ref="I88:I95"/>
  </mergeCells>
  <phoneticPr fontId="5" type="noConversion"/>
  <pageMargins left="0.7" right="0.7" top="0.75" bottom="0.75" header="0.3" footer="0.3"/>
  <pageSetup paperSize="9" orientation="portrait" verticalDpi="120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0595F-DF23-4A3D-B27C-E7E626993F7B}">
  <sheetPr>
    <pageSetUpPr fitToPage="1"/>
  </sheetPr>
  <dimension ref="A1:BD188"/>
  <sheetViews>
    <sheetView zoomScaleNormal="100" workbookViewId="0" xr3:uid="{DC66438C-AEF4-54A7-886F-B45E422C5D82}">
      <pane xSplit="5" ySplit="3" topLeftCell="AF171" activePane="bottomRight" state="frozen"/>
      <selection pane="bottomRight" activeCell="AV54" sqref="AV54"/>
      <selection pane="bottomLeft" activeCell="E32" sqref="E32:E44"/>
      <selection pane="topRight" activeCell="E32" sqref="E32:E44"/>
    </sheetView>
  </sheetViews>
  <sheetFormatPr defaultColWidth="9" defaultRowHeight="14.85" customHeight="1"/>
  <cols>
    <col min="1" max="1" width="6.140625" style="1" customWidth="1"/>
    <col min="2" max="2" width="9" style="1"/>
    <col min="3" max="3" width="20.85546875" style="1" customWidth="1"/>
    <col min="4" max="4" width="12.140625" style="1" customWidth="1"/>
    <col min="5" max="5" width="5.140625" style="1" customWidth="1"/>
    <col min="6" max="6" width="24.140625" style="1" customWidth="1"/>
    <col min="7" max="7" width="12.140625" style="1" customWidth="1"/>
    <col min="8" max="8" width="13.140625" style="1" customWidth="1"/>
    <col min="9" max="10" width="11" style="1" customWidth="1"/>
    <col min="11" max="11" width="7.85546875" style="1" customWidth="1"/>
    <col min="12" max="12" width="10.140625" style="1" customWidth="1"/>
    <col min="13" max="20" width="13.42578125" style="1" customWidth="1"/>
    <col min="21" max="21" width="39.7109375" style="1" customWidth="1"/>
    <col min="22" max="24" width="11" style="1" customWidth="1"/>
    <col min="25" max="25" width="57" style="1" bestFit="1" customWidth="1"/>
    <col min="26" max="26" width="9" style="1" customWidth="1"/>
    <col min="27" max="30" width="11" style="1" customWidth="1"/>
    <col min="31" max="31" width="9" style="1" customWidth="1"/>
    <col min="32" max="32" width="29.140625" style="1" customWidth="1"/>
    <col min="33" max="33" width="57.140625" style="1" customWidth="1"/>
    <col min="34" max="34" width="24" style="1" customWidth="1"/>
    <col min="35" max="36" width="13" style="1" customWidth="1"/>
    <col min="37" max="37" width="16.140625" style="1" customWidth="1"/>
    <col min="38" max="38" width="12.140625" style="1" customWidth="1"/>
    <col min="39" max="40" width="6.140625" style="1" customWidth="1"/>
    <col min="41" max="41" width="24.140625" style="1" customWidth="1"/>
    <col min="42" max="44" width="12.140625" style="1" customWidth="1"/>
    <col min="45" max="45" width="6.140625" style="1" customWidth="1"/>
    <col min="46" max="46" width="13.140625" style="1" customWidth="1"/>
    <col min="47" max="49" width="11.140625" style="1" customWidth="1"/>
    <col min="50" max="50" width="10.140625" style="1" customWidth="1"/>
    <col min="51" max="52" width="12.140625" style="1" hidden="1" customWidth="1"/>
    <col min="53" max="53" width="19.85546875" style="1" hidden="1" customWidth="1"/>
    <col min="54" max="54" width="51" style="1" customWidth="1"/>
    <col min="55" max="55" width="35.85546875" style="1" customWidth="1"/>
    <col min="56" max="56" width="50.140625" style="1" customWidth="1"/>
    <col min="57" max="16384" width="9" style="1"/>
  </cols>
  <sheetData>
    <row r="1" spans="1:56" ht="15.75">
      <c r="A1" s="2258" t="s">
        <v>0</v>
      </c>
      <c r="B1" s="2258" t="s">
        <v>975</v>
      </c>
      <c r="C1" s="2258"/>
      <c r="D1" s="2263" t="s">
        <v>976</v>
      </c>
      <c r="E1" s="2264"/>
      <c r="F1" s="2264"/>
      <c r="G1" s="2264"/>
      <c r="H1" s="2264"/>
      <c r="I1" s="2264"/>
      <c r="J1" s="2264"/>
      <c r="K1" s="2264"/>
      <c r="L1" s="2264"/>
      <c r="M1" s="2264"/>
      <c r="N1" s="2264"/>
      <c r="O1" s="2265"/>
      <c r="P1" s="2266" t="s">
        <v>977</v>
      </c>
      <c r="Q1" s="2267"/>
      <c r="R1" s="2267"/>
      <c r="S1" s="2267"/>
      <c r="T1" s="2268"/>
      <c r="U1" s="2258" t="s">
        <v>2</v>
      </c>
      <c r="V1" s="2258"/>
      <c r="W1" s="2258"/>
      <c r="X1" s="2258"/>
      <c r="Y1" s="2258" t="s">
        <v>1319</v>
      </c>
      <c r="Z1" s="2258"/>
      <c r="AA1" s="2258"/>
      <c r="AB1" s="2258"/>
      <c r="AC1" s="2258"/>
      <c r="AD1" s="2258"/>
      <c r="AE1" s="2258"/>
      <c r="AF1" s="2258"/>
      <c r="AG1" s="2258" t="s">
        <v>978</v>
      </c>
      <c r="AH1" s="2258"/>
      <c r="AI1" s="2258"/>
      <c r="AJ1" s="2258"/>
      <c r="AK1" s="2258"/>
      <c r="AL1" s="2258"/>
      <c r="AM1" s="2258"/>
      <c r="AN1" s="2258" t="s">
        <v>6</v>
      </c>
      <c r="AO1" s="2258"/>
      <c r="AP1" s="2258"/>
      <c r="AQ1" s="2258"/>
      <c r="AR1" s="2258"/>
      <c r="AS1" s="2258"/>
      <c r="AT1" s="2258"/>
      <c r="AU1" s="2258"/>
      <c r="AV1" s="2258"/>
      <c r="AW1" s="2258"/>
      <c r="AX1" s="102" t="s">
        <v>1320</v>
      </c>
      <c r="AY1" s="2259" t="s">
        <v>979</v>
      </c>
      <c r="AZ1" s="2260"/>
      <c r="BA1" s="2261"/>
      <c r="BB1" s="2254" t="s">
        <v>980</v>
      </c>
      <c r="BC1" s="2254"/>
      <c r="BD1" s="2082" t="s">
        <v>981</v>
      </c>
    </row>
    <row r="2" spans="1:56" ht="16.5" customHeight="1">
      <c r="A2" s="2258"/>
      <c r="B2" s="2258" t="s">
        <v>40</v>
      </c>
      <c r="C2" s="2258" t="s">
        <v>52</v>
      </c>
      <c r="D2" s="2258" t="s">
        <v>64</v>
      </c>
      <c r="E2" s="2258" t="s">
        <v>983</v>
      </c>
      <c r="F2" s="2269" t="s">
        <v>83</v>
      </c>
      <c r="G2" s="2266" t="s">
        <v>1321</v>
      </c>
      <c r="H2" s="2268"/>
      <c r="I2" s="2258" t="s">
        <v>986</v>
      </c>
      <c r="J2" s="2258" t="s">
        <v>987</v>
      </c>
      <c r="K2" s="2258" t="s">
        <v>988</v>
      </c>
      <c r="L2" s="2258" t="s">
        <v>989</v>
      </c>
      <c r="M2" s="2266" t="s">
        <v>1322</v>
      </c>
      <c r="N2" s="2267"/>
      <c r="O2" s="2268"/>
      <c r="P2" s="2269" t="s">
        <v>990</v>
      </c>
      <c r="Q2" s="2258" t="s">
        <v>991</v>
      </c>
      <c r="R2" s="2258" t="s">
        <v>992</v>
      </c>
      <c r="S2" s="2258" t="s">
        <v>993</v>
      </c>
      <c r="T2" s="2258" t="s">
        <v>994</v>
      </c>
      <c r="U2" s="2258" t="s">
        <v>7</v>
      </c>
      <c r="V2" s="2271" t="s">
        <v>8</v>
      </c>
      <c r="W2" s="2271" t="s">
        <v>9</v>
      </c>
      <c r="X2" s="2271" t="s">
        <v>10</v>
      </c>
      <c r="Y2" s="2258" t="s">
        <v>1323</v>
      </c>
      <c r="Z2" s="2258" t="s">
        <v>12</v>
      </c>
      <c r="AA2" s="2271" t="s">
        <v>1324</v>
      </c>
      <c r="AB2" s="2271"/>
      <c r="AC2" s="2258" t="s">
        <v>1325</v>
      </c>
      <c r="AD2" s="2258"/>
      <c r="AE2" s="2258"/>
      <c r="AF2" s="2258" t="s">
        <v>15</v>
      </c>
      <c r="AG2" s="2258" t="s">
        <v>995</v>
      </c>
      <c r="AH2" s="2258" t="s">
        <v>996</v>
      </c>
      <c r="AI2" s="2258" t="s">
        <v>1326</v>
      </c>
      <c r="AJ2" s="2258"/>
      <c r="AK2" s="2258" t="s">
        <v>998</v>
      </c>
      <c r="AL2" s="2258"/>
      <c r="AM2" s="2258"/>
      <c r="AN2" s="2258" t="s">
        <v>999</v>
      </c>
      <c r="AO2" s="2258" t="s">
        <v>27</v>
      </c>
      <c r="AP2" s="2258" t="s">
        <v>1001</v>
      </c>
      <c r="AQ2" s="2258"/>
      <c r="AR2" s="2258"/>
      <c r="AS2" s="2258"/>
      <c r="AT2" s="2258" t="s">
        <v>26</v>
      </c>
      <c r="AU2" s="2258"/>
      <c r="AV2" s="2258" t="s">
        <v>1003</v>
      </c>
      <c r="AW2" s="2258"/>
      <c r="AX2" s="2258" t="s">
        <v>1327</v>
      </c>
      <c r="AY2" s="2254" t="s">
        <v>1328</v>
      </c>
      <c r="AZ2" s="2254" t="s">
        <v>1329</v>
      </c>
      <c r="BA2" s="2254" t="s">
        <v>1330</v>
      </c>
      <c r="BB2" s="2254" t="s">
        <v>1331</v>
      </c>
      <c r="BC2" s="2254" t="s">
        <v>1006</v>
      </c>
      <c r="BD2" s="2256"/>
    </row>
    <row r="3" spans="1:56" ht="36">
      <c r="A3" s="2262"/>
      <c r="B3" s="2262"/>
      <c r="C3" s="2262"/>
      <c r="D3" s="2262"/>
      <c r="E3" s="2262"/>
      <c r="F3" s="2270"/>
      <c r="G3" s="384" t="s">
        <v>1332</v>
      </c>
      <c r="H3" s="384" t="s">
        <v>1333</v>
      </c>
      <c r="I3" s="2262"/>
      <c r="J3" s="2262"/>
      <c r="K3" s="2262"/>
      <c r="L3" s="2262"/>
      <c r="M3" s="384" t="s">
        <v>1334</v>
      </c>
      <c r="N3" s="384" t="s">
        <v>1335</v>
      </c>
      <c r="O3" s="384" t="s">
        <v>1336</v>
      </c>
      <c r="P3" s="2270"/>
      <c r="Q3" s="2262"/>
      <c r="R3" s="2262"/>
      <c r="S3" s="2262"/>
      <c r="T3" s="2262"/>
      <c r="U3" s="2262"/>
      <c r="V3" s="2272"/>
      <c r="W3" s="2272"/>
      <c r="X3" s="2272"/>
      <c r="Y3" s="2262"/>
      <c r="Z3" s="2262"/>
      <c r="AA3" s="385" t="s">
        <v>9</v>
      </c>
      <c r="AB3" s="385" t="s">
        <v>10</v>
      </c>
      <c r="AC3" s="385" t="s">
        <v>9</v>
      </c>
      <c r="AD3" s="385" t="s">
        <v>10</v>
      </c>
      <c r="AE3" s="384" t="s">
        <v>12</v>
      </c>
      <c r="AF3" s="2262"/>
      <c r="AG3" s="2262"/>
      <c r="AH3" s="2262"/>
      <c r="AI3" s="385" t="s">
        <v>9</v>
      </c>
      <c r="AJ3" s="384" t="s">
        <v>10</v>
      </c>
      <c r="AK3" s="384" t="s">
        <v>1012</v>
      </c>
      <c r="AL3" s="384" t="s">
        <v>12</v>
      </c>
      <c r="AM3" s="384" t="s">
        <v>991</v>
      </c>
      <c r="AN3" s="2262"/>
      <c r="AO3" s="2262"/>
      <c r="AP3" s="384" t="s">
        <v>1337</v>
      </c>
      <c r="AQ3" s="384" t="s">
        <v>1338</v>
      </c>
      <c r="AR3" s="384" t="s">
        <v>1339</v>
      </c>
      <c r="AS3" s="384" t="s">
        <v>991</v>
      </c>
      <c r="AT3" s="384" t="s">
        <v>36</v>
      </c>
      <c r="AU3" s="384" t="s">
        <v>37</v>
      </c>
      <c r="AV3" s="384" t="s">
        <v>38</v>
      </c>
      <c r="AW3" s="384" t="s">
        <v>39</v>
      </c>
      <c r="AX3" s="2262"/>
      <c r="AY3" s="2255"/>
      <c r="AZ3" s="2255"/>
      <c r="BA3" s="2255"/>
      <c r="BB3" s="2255"/>
      <c r="BC3" s="2255"/>
      <c r="BD3" s="2257"/>
    </row>
    <row r="4" spans="1:56" ht="24">
      <c r="A4" s="2230">
        <v>1</v>
      </c>
      <c r="B4" s="2233" t="s">
        <v>1340</v>
      </c>
      <c r="C4" s="2233" t="s">
        <v>1341</v>
      </c>
      <c r="D4" s="2233">
        <v>5000106373</v>
      </c>
      <c r="E4" s="2233">
        <v>1</v>
      </c>
      <c r="F4" s="2233" t="s">
        <v>1342</v>
      </c>
      <c r="G4" s="2233" t="s">
        <v>1343</v>
      </c>
      <c r="H4" s="2233" t="s">
        <v>1343</v>
      </c>
      <c r="I4" s="2245">
        <v>45708</v>
      </c>
      <c r="J4" s="2243">
        <v>46082</v>
      </c>
      <c r="K4" s="2240" t="s">
        <v>105</v>
      </c>
      <c r="L4" s="863" t="s">
        <v>1344</v>
      </c>
      <c r="M4" s="864">
        <v>0</v>
      </c>
      <c r="N4" s="864" t="s">
        <v>1345</v>
      </c>
      <c r="O4" s="864" t="s">
        <v>1345</v>
      </c>
      <c r="P4" s="865">
        <v>8</v>
      </c>
      <c r="Q4" s="866" t="s">
        <v>1034</v>
      </c>
      <c r="R4" s="865">
        <v>8</v>
      </c>
      <c r="S4" s="865" t="s">
        <v>1346</v>
      </c>
      <c r="T4" s="867">
        <v>100</v>
      </c>
      <c r="U4" s="868" t="s">
        <v>42</v>
      </c>
      <c r="V4" s="869" t="s">
        <v>1347</v>
      </c>
      <c r="W4" s="869" t="s">
        <v>1347</v>
      </c>
      <c r="X4" s="869" t="s">
        <v>1347</v>
      </c>
      <c r="Y4" s="868" t="s">
        <v>1348</v>
      </c>
      <c r="Z4" s="865">
        <v>8</v>
      </c>
      <c r="AA4" s="869">
        <v>45887</v>
      </c>
      <c r="AB4" s="869">
        <v>45887</v>
      </c>
      <c r="AC4" s="869">
        <v>45931</v>
      </c>
      <c r="AD4" s="869">
        <v>45915</v>
      </c>
      <c r="AE4" s="868">
        <v>8</v>
      </c>
      <c r="AF4" s="870" t="s">
        <v>1349</v>
      </c>
      <c r="AG4" s="867" t="s">
        <v>1350</v>
      </c>
      <c r="AH4" s="871" t="s">
        <v>1351</v>
      </c>
      <c r="AI4" s="869">
        <v>45960</v>
      </c>
      <c r="AJ4" s="869">
        <v>45960</v>
      </c>
      <c r="AK4" s="872" t="s">
        <v>1352</v>
      </c>
      <c r="AL4" s="1220">
        <v>8</v>
      </c>
      <c r="AM4" s="863" t="s">
        <v>1353</v>
      </c>
      <c r="AN4" s="863">
        <v>1</v>
      </c>
      <c r="AO4" s="867" t="s">
        <v>1354</v>
      </c>
      <c r="AP4" s="873" t="s">
        <v>1355</v>
      </c>
      <c r="AQ4" s="873">
        <v>8</v>
      </c>
      <c r="AR4" s="873">
        <v>8</v>
      </c>
      <c r="AS4" s="863" t="s">
        <v>1072</v>
      </c>
      <c r="AT4" s="874" t="s">
        <v>1356</v>
      </c>
      <c r="AU4" s="875">
        <v>46013</v>
      </c>
      <c r="AV4" s="874">
        <v>46068</v>
      </c>
      <c r="AW4" s="864" t="s">
        <v>1357</v>
      </c>
      <c r="AX4" s="866"/>
      <c r="AY4" s="13"/>
      <c r="AZ4" s="13"/>
      <c r="BA4" s="13"/>
      <c r="BB4" s="2236" t="s">
        <v>1358</v>
      </c>
      <c r="BC4" s="2237"/>
      <c r="BD4" s="2182"/>
    </row>
    <row r="5" spans="1:56" ht="15.75">
      <c r="A5" s="2231"/>
      <c r="B5" s="2234"/>
      <c r="C5" s="2234"/>
      <c r="D5" s="2234"/>
      <c r="E5" s="2234"/>
      <c r="F5" s="2234"/>
      <c r="G5" s="2234"/>
      <c r="H5" s="2234"/>
      <c r="I5" s="2246"/>
      <c r="J5" s="2244"/>
      <c r="K5" s="2241"/>
      <c r="L5" s="876"/>
      <c r="M5" s="877"/>
      <c r="N5" s="877"/>
      <c r="O5" s="877"/>
      <c r="P5" s="878"/>
      <c r="Q5" s="879"/>
      <c r="R5" s="878"/>
      <c r="S5" s="878"/>
      <c r="T5" s="876"/>
      <c r="U5" s="880" t="s">
        <v>1041</v>
      </c>
      <c r="V5" s="881">
        <v>45744</v>
      </c>
      <c r="W5" s="881">
        <v>45758</v>
      </c>
      <c r="X5" s="881">
        <v>45756</v>
      </c>
      <c r="Y5" s="880"/>
      <c r="Z5" s="878"/>
      <c r="AA5" s="881"/>
      <c r="AB5" s="881"/>
      <c r="AC5" s="881"/>
      <c r="AD5" s="881"/>
      <c r="AE5" s="880"/>
      <c r="AF5" s="882"/>
      <c r="AG5" s="883"/>
      <c r="AH5" s="876"/>
      <c r="AI5" s="874"/>
      <c r="AJ5" s="874"/>
      <c r="AK5" s="884"/>
      <c r="AL5" s="1221"/>
      <c r="AM5" s="877"/>
      <c r="AN5" s="876"/>
      <c r="AO5" s="876" t="s">
        <v>1359</v>
      </c>
      <c r="AP5" s="2248" t="s">
        <v>1360</v>
      </c>
      <c r="AQ5" s="2249"/>
      <c r="AR5" s="2250"/>
      <c r="AS5" s="877"/>
      <c r="AT5" s="874">
        <v>46058</v>
      </c>
      <c r="AU5" s="874">
        <v>46058</v>
      </c>
      <c r="AV5" s="874">
        <v>46062</v>
      </c>
      <c r="AW5" s="885" t="s">
        <v>1357</v>
      </c>
      <c r="AX5" s="876"/>
      <c r="AY5" s="24"/>
      <c r="AZ5" s="24"/>
      <c r="BA5" s="24"/>
      <c r="BB5" s="2197"/>
      <c r="BC5" s="2238"/>
      <c r="BD5" s="2183"/>
    </row>
    <row r="6" spans="1:56" ht="15.75">
      <c r="A6" s="2231"/>
      <c r="B6" s="2234"/>
      <c r="C6" s="2234"/>
      <c r="D6" s="2234"/>
      <c r="E6" s="2234"/>
      <c r="F6" s="2234"/>
      <c r="G6" s="2234"/>
      <c r="H6" s="2234"/>
      <c r="I6" s="2246"/>
      <c r="J6" s="2244"/>
      <c r="K6" s="2241"/>
      <c r="L6" s="876"/>
      <c r="M6" s="876"/>
      <c r="N6" s="876"/>
      <c r="O6" s="876"/>
      <c r="P6" s="878"/>
      <c r="Q6" s="879"/>
      <c r="R6" s="878"/>
      <c r="S6" s="878"/>
      <c r="T6" s="876"/>
      <c r="U6" s="880" t="s">
        <v>1049</v>
      </c>
      <c r="V6" s="881">
        <v>45751</v>
      </c>
      <c r="W6" s="881">
        <v>45772</v>
      </c>
      <c r="X6" s="881">
        <v>45771</v>
      </c>
      <c r="Y6" s="880"/>
      <c r="Z6" s="878"/>
      <c r="AA6" s="886"/>
      <c r="AB6" s="886"/>
      <c r="AC6" s="886"/>
      <c r="AD6" s="886"/>
      <c r="AE6" s="880"/>
      <c r="AF6" s="880"/>
      <c r="AG6" s="883"/>
      <c r="AH6" s="876"/>
      <c r="AI6" s="874"/>
      <c r="AJ6" s="874"/>
      <c r="AK6" s="884"/>
      <c r="AL6" s="1221"/>
      <c r="AM6" s="877"/>
      <c r="AN6" s="876"/>
      <c r="AO6" s="876"/>
      <c r="AP6" s="887"/>
      <c r="AQ6" s="887"/>
      <c r="AR6" s="887"/>
      <c r="AS6" s="877"/>
      <c r="AT6" s="874"/>
      <c r="AU6" s="874"/>
      <c r="AV6" s="874"/>
      <c r="AW6" s="885"/>
      <c r="AX6" s="876"/>
      <c r="AY6" s="14"/>
      <c r="AZ6" s="14"/>
      <c r="BA6" s="14"/>
      <c r="BB6" s="2197"/>
      <c r="BC6" s="2238"/>
      <c r="BD6" s="2183"/>
    </row>
    <row r="7" spans="1:56" ht="15.75">
      <c r="A7" s="2231"/>
      <c r="B7" s="2234"/>
      <c r="C7" s="2234"/>
      <c r="D7" s="2234"/>
      <c r="E7" s="2234"/>
      <c r="F7" s="2234"/>
      <c r="G7" s="2234"/>
      <c r="H7" s="2234"/>
      <c r="I7" s="2246"/>
      <c r="J7" s="2244"/>
      <c r="K7" s="2241"/>
      <c r="L7" s="876"/>
      <c r="M7" s="876"/>
      <c r="N7" s="876"/>
      <c r="O7" s="876"/>
      <c r="P7" s="878"/>
      <c r="Q7" s="876"/>
      <c r="R7" s="878"/>
      <c r="S7" s="878"/>
      <c r="T7" s="876"/>
      <c r="U7" s="880" t="s">
        <v>65</v>
      </c>
      <c r="V7" s="881">
        <v>45839</v>
      </c>
      <c r="W7" s="881">
        <v>45887</v>
      </c>
      <c r="X7" s="881">
        <v>45887</v>
      </c>
      <c r="Y7" s="880"/>
      <c r="Z7" s="878"/>
      <c r="AA7" s="886"/>
      <c r="AB7" s="886"/>
      <c r="AC7" s="886"/>
      <c r="AD7" s="886"/>
      <c r="AE7" s="880"/>
      <c r="AF7" s="880"/>
      <c r="AG7" s="883"/>
      <c r="AH7" s="876"/>
      <c r="AI7" s="874"/>
      <c r="AJ7" s="874"/>
      <c r="AK7" s="884"/>
      <c r="AL7" s="1221"/>
      <c r="AM7" s="877"/>
      <c r="AN7" s="876"/>
      <c r="AO7" s="876"/>
      <c r="AP7" s="887"/>
      <c r="AQ7" s="887"/>
      <c r="AR7" s="887"/>
      <c r="AS7" s="877"/>
      <c r="AT7" s="874"/>
      <c r="AU7" s="874"/>
      <c r="AV7" s="874"/>
      <c r="AW7" s="885"/>
      <c r="AX7" s="876"/>
      <c r="AY7" s="14"/>
      <c r="AZ7" s="14"/>
      <c r="BA7" s="14"/>
      <c r="BB7" s="2197"/>
      <c r="BC7" s="2238"/>
      <c r="BD7" s="2183"/>
    </row>
    <row r="8" spans="1:56" ht="15.75">
      <c r="A8" s="2231"/>
      <c r="B8" s="2234"/>
      <c r="C8" s="2234"/>
      <c r="D8" s="2234"/>
      <c r="E8" s="2234"/>
      <c r="F8" s="2234"/>
      <c r="G8" s="2234"/>
      <c r="H8" s="2234"/>
      <c r="I8" s="2246"/>
      <c r="J8" s="2244"/>
      <c r="K8" s="2241"/>
      <c r="L8" s="876"/>
      <c r="M8" s="876"/>
      <c r="N8" s="876"/>
      <c r="O8" s="876"/>
      <c r="P8" s="878"/>
      <c r="Q8" s="876"/>
      <c r="R8" s="878"/>
      <c r="S8" s="878"/>
      <c r="T8" s="876"/>
      <c r="U8" s="880" t="s">
        <v>75</v>
      </c>
      <c r="V8" s="881">
        <v>45931</v>
      </c>
      <c r="W8" s="881">
        <v>45931</v>
      </c>
      <c r="X8" s="881">
        <v>45915</v>
      </c>
      <c r="Y8" s="880"/>
      <c r="Z8" s="878"/>
      <c r="AA8" s="886"/>
      <c r="AB8" s="886"/>
      <c r="AC8" s="886"/>
      <c r="AD8" s="886"/>
      <c r="AE8" s="880"/>
      <c r="AF8" s="880"/>
      <c r="AG8" s="883"/>
      <c r="AH8" s="876"/>
      <c r="AI8" s="874"/>
      <c r="AJ8" s="874"/>
      <c r="AK8" s="884"/>
      <c r="AL8" s="1221"/>
      <c r="AM8" s="877"/>
      <c r="AN8" s="876"/>
      <c r="AO8" s="876"/>
      <c r="AP8" s="887"/>
      <c r="AQ8" s="887"/>
      <c r="AR8" s="887"/>
      <c r="AS8" s="877"/>
      <c r="AT8" s="874"/>
      <c r="AU8" s="874"/>
      <c r="AV8" s="874"/>
      <c r="AW8" s="885"/>
      <c r="AX8" s="876"/>
      <c r="AY8" s="14"/>
      <c r="AZ8" s="14"/>
      <c r="BA8" s="14"/>
      <c r="BB8" s="2197"/>
      <c r="BC8" s="2238"/>
      <c r="BD8" s="2183"/>
    </row>
    <row r="9" spans="1:56" ht="15.75">
      <c r="A9" s="2231"/>
      <c r="B9" s="2234"/>
      <c r="C9" s="2234"/>
      <c r="D9" s="2234"/>
      <c r="E9" s="2234"/>
      <c r="F9" s="2234"/>
      <c r="G9" s="2234"/>
      <c r="H9" s="2234"/>
      <c r="I9" s="2246"/>
      <c r="J9" s="2244"/>
      <c r="K9" s="2241"/>
      <c r="L9" s="876"/>
      <c r="M9" s="876"/>
      <c r="N9" s="876"/>
      <c r="O9" s="876"/>
      <c r="P9" s="878"/>
      <c r="Q9" s="876"/>
      <c r="R9" s="878"/>
      <c r="S9" s="878"/>
      <c r="T9" s="876"/>
      <c r="U9" s="880" t="s">
        <v>96</v>
      </c>
      <c r="V9" s="881">
        <v>45931</v>
      </c>
      <c r="W9" s="881">
        <v>45935</v>
      </c>
      <c r="X9" s="881">
        <v>45920</v>
      </c>
      <c r="Y9" s="880"/>
      <c r="Z9" s="878"/>
      <c r="AA9" s="886"/>
      <c r="AB9" s="886"/>
      <c r="AC9" s="886"/>
      <c r="AD9" s="886"/>
      <c r="AE9" s="880"/>
      <c r="AF9" s="880"/>
      <c r="AG9" s="883"/>
      <c r="AH9" s="876"/>
      <c r="AI9" s="874"/>
      <c r="AJ9" s="874"/>
      <c r="AK9" s="884"/>
      <c r="AL9" s="1221"/>
      <c r="AM9" s="877"/>
      <c r="AN9" s="876"/>
      <c r="AO9" s="876"/>
      <c r="AP9" s="887"/>
      <c r="AQ9" s="887"/>
      <c r="AR9" s="887"/>
      <c r="AS9" s="877"/>
      <c r="AT9" s="874"/>
      <c r="AU9" s="874"/>
      <c r="AV9" s="874"/>
      <c r="AW9" s="885"/>
      <c r="AX9" s="876"/>
      <c r="AY9" s="14"/>
      <c r="AZ9" s="14"/>
      <c r="BA9" s="14"/>
      <c r="BB9" s="2197"/>
      <c r="BC9" s="2238"/>
      <c r="BD9" s="2183"/>
    </row>
    <row r="10" spans="1:56" ht="15.75">
      <c r="A10" s="2231"/>
      <c r="B10" s="2234"/>
      <c r="C10" s="2234"/>
      <c r="D10" s="2234"/>
      <c r="E10" s="2234"/>
      <c r="F10" s="2234"/>
      <c r="G10" s="2234"/>
      <c r="H10" s="2234"/>
      <c r="I10" s="2246"/>
      <c r="J10" s="2244"/>
      <c r="K10" s="2241"/>
      <c r="L10" s="876"/>
      <c r="M10" s="876"/>
      <c r="N10" s="876"/>
      <c r="O10" s="876"/>
      <c r="P10" s="878"/>
      <c r="Q10" s="876"/>
      <c r="R10" s="878"/>
      <c r="S10" s="878"/>
      <c r="T10" s="876"/>
      <c r="U10" s="880" t="s">
        <v>1361</v>
      </c>
      <c r="V10" s="881">
        <v>46037</v>
      </c>
      <c r="W10" s="881">
        <v>45975</v>
      </c>
      <c r="X10" s="881">
        <v>45950</v>
      </c>
      <c r="Y10" s="880"/>
      <c r="Z10" s="878"/>
      <c r="AA10" s="886"/>
      <c r="AB10" s="886"/>
      <c r="AC10" s="886"/>
      <c r="AD10" s="886"/>
      <c r="AE10" s="880"/>
      <c r="AF10" s="880"/>
      <c r="AG10" s="876"/>
      <c r="AH10" s="876"/>
      <c r="AI10" s="874"/>
      <c r="AJ10" s="874"/>
      <c r="AK10" s="884"/>
      <c r="AL10" s="1221"/>
      <c r="AM10" s="877"/>
      <c r="AN10" s="876"/>
      <c r="AO10" s="876"/>
      <c r="AP10" s="887"/>
      <c r="AQ10" s="887"/>
      <c r="AR10" s="887"/>
      <c r="AS10" s="877"/>
      <c r="AT10" s="874"/>
      <c r="AU10" s="874"/>
      <c r="AV10" s="874"/>
      <c r="AW10" s="885"/>
      <c r="AX10" s="876"/>
      <c r="AY10" s="14"/>
      <c r="AZ10" s="14"/>
      <c r="BA10" s="14"/>
      <c r="BB10" s="2197"/>
      <c r="BC10" s="2238"/>
      <c r="BD10" s="2183"/>
    </row>
    <row r="11" spans="1:56" ht="15.75">
      <c r="A11" s="2231"/>
      <c r="B11" s="2234"/>
      <c r="C11" s="2234"/>
      <c r="D11" s="2234"/>
      <c r="E11" s="2234"/>
      <c r="F11" s="2234"/>
      <c r="G11" s="2234"/>
      <c r="H11" s="2234"/>
      <c r="I11" s="2246"/>
      <c r="J11" s="2244"/>
      <c r="K11" s="2241"/>
      <c r="L11" s="876"/>
      <c r="M11" s="876"/>
      <c r="N11" s="876"/>
      <c r="O11" s="876"/>
      <c r="P11" s="878"/>
      <c r="Q11" s="876"/>
      <c r="R11" s="878"/>
      <c r="S11" s="878"/>
      <c r="T11" s="876"/>
      <c r="U11" s="880" t="s">
        <v>472</v>
      </c>
      <c r="V11" s="881">
        <v>46054</v>
      </c>
      <c r="W11" s="881">
        <v>45978</v>
      </c>
      <c r="X11" s="881">
        <v>45960</v>
      </c>
      <c r="Y11" s="876"/>
      <c r="Z11" s="878"/>
      <c r="AA11" s="886"/>
      <c r="AB11" s="886"/>
      <c r="AC11" s="886"/>
      <c r="AD11" s="886"/>
      <c r="AE11" s="880"/>
      <c r="AF11" s="880"/>
      <c r="AG11" s="876"/>
      <c r="AH11" s="876"/>
      <c r="AI11" s="874"/>
      <c r="AJ11" s="874"/>
      <c r="AK11" s="884"/>
      <c r="AL11" s="1221"/>
      <c r="AM11" s="877"/>
      <c r="AN11" s="876"/>
      <c r="AO11" s="876"/>
      <c r="AP11" s="887"/>
      <c r="AQ11" s="888"/>
      <c r="AR11" s="887"/>
      <c r="AS11" s="877"/>
      <c r="AT11" s="874"/>
      <c r="AU11" s="874"/>
      <c r="AV11" s="874"/>
      <c r="AW11" s="885"/>
      <c r="AX11" s="876"/>
      <c r="AY11" s="14"/>
      <c r="AZ11" s="14"/>
      <c r="BA11" s="14"/>
      <c r="BB11" s="2197"/>
      <c r="BC11" s="2238"/>
      <c r="BD11" s="2183"/>
    </row>
    <row r="12" spans="1:56" ht="15.75">
      <c r="A12" s="2232"/>
      <c r="B12" s="2235"/>
      <c r="C12" s="2235"/>
      <c r="D12" s="2235"/>
      <c r="E12" s="2235"/>
      <c r="F12" s="2235"/>
      <c r="G12" s="2235"/>
      <c r="H12" s="2235"/>
      <c r="I12" s="2247"/>
      <c r="J12" s="2244"/>
      <c r="K12" s="2242"/>
      <c r="L12" s="889"/>
      <c r="M12" s="889"/>
      <c r="N12" s="889"/>
      <c r="O12" s="889"/>
      <c r="P12" s="890"/>
      <c r="Q12" s="889"/>
      <c r="R12" s="890"/>
      <c r="S12" s="890"/>
      <c r="T12" s="889"/>
      <c r="U12" s="891" t="s">
        <v>478</v>
      </c>
      <c r="V12" s="892">
        <v>46082</v>
      </c>
      <c r="W12" s="892">
        <v>46010</v>
      </c>
      <c r="X12" s="892">
        <v>46013</v>
      </c>
      <c r="Y12" s="893"/>
      <c r="Z12" s="890"/>
      <c r="AA12" s="894"/>
      <c r="AB12" s="894"/>
      <c r="AC12" s="894"/>
      <c r="AD12" s="894"/>
      <c r="AE12" s="893"/>
      <c r="AF12" s="893"/>
      <c r="AG12" s="889"/>
      <c r="AH12" s="889"/>
      <c r="AI12" s="895"/>
      <c r="AJ12" s="895"/>
      <c r="AK12" s="896"/>
      <c r="AL12" s="1222"/>
      <c r="AM12" s="897"/>
      <c r="AN12" s="889"/>
      <c r="AO12" s="889"/>
      <c r="AP12" s="898"/>
      <c r="AQ12" s="899"/>
      <c r="AR12" s="899"/>
      <c r="AS12" s="897"/>
      <c r="AT12" s="895"/>
      <c r="AU12" s="895"/>
      <c r="AV12" s="895"/>
      <c r="AW12" s="900"/>
      <c r="AX12" s="889"/>
      <c r="AY12" s="108"/>
      <c r="AZ12" s="108"/>
      <c r="BA12" s="108"/>
      <c r="BB12" s="2198"/>
      <c r="BC12" s="2239"/>
      <c r="BD12" s="2184"/>
    </row>
    <row r="13" spans="1:56" ht="24" customHeight="1">
      <c r="A13" s="2163">
        <v>2</v>
      </c>
      <c r="B13" s="2151" t="s">
        <v>1340</v>
      </c>
      <c r="C13" s="2151" t="s">
        <v>1362</v>
      </c>
      <c r="D13" s="2151">
        <v>5000107368</v>
      </c>
      <c r="E13" s="2151">
        <v>2</v>
      </c>
      <c r="F13" s="2151" t="s">
        <v>1130</v>
      </c>
      <c r="G13" s="2151" t="s">
        <v>1363</v>
      </c>
      <c r="H13" s="2151" t="s">
        <v>1363</v>
      </c>
      <c r="I13" s="2166" t="s">
        <v>1364</v>
      </c>
      <c r="J13" s="2166" t="s">
        <v>1365</v>
      </c>
      <c r="K13" s="2170" t="s">
        <v>105</v>
      </c>
      <c r="L13" s="3" t="s">
        <v>1366</v>
      </c>
      <c r="M13" s="9" t="s">
        <v>1367</v>
      </c>
      <c r="N13" s="9" t="s">
        <v>1368</v>
      </c>
      <c r="O13" s="9" t="s">
        <v>1369</v>
      </c>
      <c r="P13" s="4">
        <v>20115</v>
      </c>
      <c r="Q13" s="5" t="s">
        <v>1261</v>
      </c>
      <c r="R13" s="4">
        <v>6084</v>
      </c>
      <c r="S13" s="4">
        <v>14031</v>
      </c>
      <c r="T13" s="346">
        <f>R13/P13%</f>
        <v>30.246085011185681</v>
      </c>
      <c r="U13" s="42" t="s">
        <v>42</v>
      </c>
      <c r="V13" s="212" t="s">
        <v>418</v>
      </c>
      <c r="W13" s="212" t="s">
        <v>418</v>
      </c>
      <c r="X13" s="212" t="s">
        <v>418</v>
      </c>
      <c r="Y13" s="6"/>
      <c r="Z13" s="4"/>
      <c r="AA13" s="219"/>
      <c r="AB13" s="219"/>
      <c r="AC13" s="219"/>
      <c r="AD13" s="219"/>
      <c r="AE13" s="6"/>
      <c r="AF13" s="7"/>
      <c r="AG13" s="1130" t="s">
        <v>1370</v>
      </c>
      <c r="AH13" s="1135" t="s">
        <v>1371</v>
      </c>
      <c r="AI13" s="1136">
        <v>45820</v>
      </c>
      <c r="AJ13" s="1136">
        <v>45820</v>
      </c>
      <c r="AK13" s="1137" t="s">
        <v>1372</v>
      </c>
      <c r="AL13" s="1223">
        <v>6084</v>
      </c>
      <c r="AM13" s="1131" t="s">
        <v>1132</v>
      </c>
      <c r="AN13" s="2251">
        <v>1</v>
      </c>
      <c r="AO13" s="867" t="s">
        <v>1373</v>
      </c>
      <c r="AP13" s="873">
        <v>0</v>
      </c>
      <c r="AQ13" s="873">
        <v>2880</v>
      </c>
      <c r="AR13" s="873">
        <v>2880</v>
      </c>
      <c r="AS13" s="1215" t="s">
        <v>1261</v>
      </c>
      <c r="AT13" s="875">
        <v>45837</v>
      </c>
      <c r="AU13" s="875">
        <v>45837</v>
      </c>
      <c r="AV13" s="875">
        <v>45869</v>
      </c>
      <c r="AW13" s="875">
        <v>45872</v>
      </c>
      <c r="AX13" s="866"/>
      <c r="AY13" s="13"/>
      <c r="AZ13" s="13"/>
      <c r="BA13" s="13"/>
      <c r="BB13" s="2174" t="s">
        <v>1374</v>
      </c>
      <c r="BC13" s="2178"/>
      <c r="BD13" s="2182"/>
    </row>
    <row r="14" spans="1:56" ht="15.75">
      <c r="A14" s="2164"/>
      <c r="B14" s="2152"/>
      <c r="C14" s="2152"/>
      <c r="D14" s="2152"/>
      <c r="E14" s="2152"/>
      <c r="F14" s="2152"/>
      <c r="G14" s="2152"/>
      <c r="H14" s="2152"/>
      <c r="I14" s="2191"/>
      <c r="J14" s="2167"/>
      <c r="K14" s="2171"/>
      <c r="L14" s="14"/>
      <c r="M14" s="15"/>
      <c r="N14" s="15"/>
      <c r="O14" s="15"/>
      <c r="P14" s="16"/>
      <c r="Q14" s="17"/>
      <c r="R14" s="16"/>
      <c r="S14" s="16"/>
      <c r="T14" s="14"/>
      <c r="U14" s="31" t="s">
        <v>1041</v>
      </c>
      <c r="V14" s="210">
        <v>45789</v>
      </c>
      <c r="W14" s="210">
        <v>45789</v>
      </c>
      <c r="X14" s="210">
        <v>45789</v>
      </c>
      <c r="Y14" s="110"/>
      <c r="Z14" s="109"/>
      <c r="AA14" s="222"/>
      <c r="AB14" s="221"/>
      <c r="AC14" s="221"/>
      <c r="AD14" s="221"/>
      <c r="AE14" s="110"/>
      <c r="AF14" s="328"/>
      <c r="AG14" s="1139" t="s">
        <v>1375</v>
      </c>
      <c r="AH14" s="1132" t="s">
        <v>1376</v>
      </c>
      <c r="AI14" s="1134">
        <v>45882</v>
      </c>
      <c r="AJ14" s="1134">
        <v>45882</v>
      </c>
      <c r="AK14" s="1138" t="s">
        <v>1377</v>
      </c>
      <c r="AL14" s="1224">
        <v>19965</v>
      </c>
      <c r="AM14" s="1133" t="s">
        <v>1132</v>
      </c>
      <c r="AN14" s="2252"/>
      <c r="AO14" s="876" t="s">
        <v>1378</v>
      </c>
      <c r="AP14" s="887"/>
      <c r="AQ14" s="887">
        <v>1440</v>
      </c>
      <c r="AR14" s="1216">
        <v>1440</v>
      </c>
      <c r="AS14" s="877" t="s">
        <v>1261</v>
      </c>
      <c r="AT14" s="1217">
        <v>45837</v>
      </c>
      <c r="AU14" s="874">
        <v>45837</v>
      </c>
      <c r="AV14" s="874">
        <v>45869</v>
      </c>
      <c r="AW14" s="874">
        <v>45872</v>
      </c>
      <c r="AX14" s="876"/>
      <c r="AY14" s="24"/>
      <c r="AZ14" s="24"/>
      <c r="BA14" s="24"/>
      <c r="BB14" s="2175"/>
      <c r="BC14" s="2179"/>
      <c r="BD14" s="2183"/>
    </row>
    <row r="15" spans="1:56" ht="15.75">
      <c r="A15" s="2164"/>
      <c r="B15" s="2152"/>
      <c r="C15" s="2152"/>
      <c r="D15" s="2152"/>
      <c r="E15" s="2152"/>
      <c r="F15" s="2152"/>
      <c r="G15" s="2152"/>
      <c r="H15" s="2152"/>
      <c r="I15" s="2191"/>
      <c r="J15" s="2167"/>
      <c r="K15" s="2171"/>
      <c r="L15" s="14"/>
      <c r="M15" s="14"/>
      <c r="N15" s="14"/>
      <c r="O15" s="14"/>
      <c r="P15" s="16"/>
      <c r="Q15" s="17"/>
      <c r="R15" s="16"/>
      <c r="S15" s="16"/>
      <c r="T15" s="14"/>
      <c r="U15" s="31" t="s">
        <v>1049</v>
      </c>
      <c r="V15" s="210">
        <v>45789</v>
      </c>
      <c r="W15" s="210">
        <v>45789</v>
      </c>
      <c r="X15" s="324">
        <v>45789</v>
      </c>
      <c r="Y15" s="18"/>
      <c r="Z15" s="16"/>
      <c r="AA15" s="220"/>
      <c r="AB15" s="220"/>
      <c r="AC15" s="220"/>
      <c r="AD15" s="220"/>
      <c r="AE15" s="18"/>
      <c r="AF15" s="18"/>
      <c r="AG15" s="347" t="s">
        <v>1379</v>
      </c>
      <c r="AH15" s="325" t="s">
        <v>1380</v>
      </c>
      <c r="AI15" s="226">
        <v>46053</v>
      </c>
      <c r="AJ15" s="226">
        <v>46053</v>
      </c>
      <c r="AK15" s="22" t="s">
        <v>1381</v>
      </c>
      <c r="AL15" s="1225">
        <v>4434</v>
      </c>
      <c r="AM15" s="15" t="s">
        <v>1132</v>
      </c>
      <c r="AN15" s="2252"/>
      <c r="AO15" s="876" t="s">
        <v>1382</v>
      </c>
      <c r="AP15" s="887"/>
      <c r="AQ15" s="887">
        <v>720</v>
      </c>
      <c r="AR15" s="1216">
        <v>720</v>
      </c>
      <c r="AS15" s="877" t="s">
        <v>1261</v>
      </c>
      <c r="AT15" s="1217">
        <v>45841</v>
      </c>
      <c r="AU15" s="874">
        <v>45844</v>
      </c>
      <c r="AV15" s="874">
        <v>45863</v>
      </c>
      <c r="AW15" s="874">
        <v>45865</v>
      </c>
      <c r="AX15" s="876"/>
      <c r="AY15" s="14"/>
      <c r="AZ15" s="14"/>
      <c r="BA15" s="14"/>
      <c r="BB15" s="2175"/>
      <c r="BC15" s="2179"/>
      <c r="BD15" s="2183"/>
    </row>
    <row r="16" spans="1:56" ht="15.75">
      <c r="A16" s="2164"/>
      <c r="B16" s="2152"/>
      <c r="C16" s="2152"/>
      <c r="D16" s="2152"/>
      <c r="E16" s="2152"/>
      <c r="F16" s="2152"/>
      <c r="G16" s="2152"/>
      <c r="H16" s="2152"/>
      <c r="I16" s="2191"/>
      <c r="J16" s="2167"/>
      <c r="K16" s="2171"/>
      <c r="L16" s="14"/>
      <c r="M16" s="14"/>
      <c r="N16" s="14"/>
      <c r="O16" s="14"/>
      <c r="P16" s="16"/>
      <c r="Q16" s="14"/>
      <c r="R16" s="16"/>
      <c r="S16" s="16"/>
      <c r="T16" s="14"/>
      <c r="U16" s="31" t="s">
        <v>65</v>
      </c>
      <c r="V16" s="210">
        <v>45762</v>
      </c>
      <c r="W16" s="210">
        <v>45768</v>
      </c>
      <c r="X16" s="324">
        <v>45768</v>
      </c>
      <c r="Y16" s="318"/>
      <c r="Z16" s="318"/>
      <c r="AA16" s="348"/>
      <c r="AB16" s="348"/>
      <c r="AC16" s="348"/>
      <c r="AD16" s="348"/>
      <c r="AE16" s="318"/>
      <c r="AF16" s="318"/>
      <c r="AG16" s="318"/>
      <c r="AH16" s="326"/>
      <c r="AI16" s="382"/>
      <c r="AJ16" s="382"/>
      <c r="AK16" s="318"/>
      <c r="AL16" s="1207"/>
      <c r="AM16" s="519"/>
      <c r="AN16" s="2253"/>
      <c r="AO16" s="876" t="s">
        <v>1383</v>
      </c>
      <c r="AP16" s="887"/>
      <c r="AQ16" s="887">
        <v>1044</v>
      </c>
      <c r="AR16" s="1216">
        <v>1044</v>
      </c>
      <c r="AS16" s="877" t="s">
        <v>1261</v>
      </c>
      <c r="AT16" s="1217">
        <v>45843</v>
      </c>
      <c r="AU16" s="874">
        <v>45844</v>
      </c>
      <c r="AV16" s="874">
        <v>45863</v>
      </c>
      <c r="AW16" s="874">
        <v>45865</v>
      </c>
      <c r="AX16" s="1218"/>
      <c r="AY16" s="14"/>
      <c r="AZ16" s="14"/>
      <c r="BA16" s="14"/>
      <c r="BB16" s="2175"/>
      <c r="BC16" s="2179"/>
      <c r="BD16" s="2183"/>
    </row>
    <row r="17" spans="1:56" ht="15.75">
      <c r="A17" s="2164"/>
      <c r="B17" s="2152"/>
      <c r="C17" s="2152"/>
      <c r="D17" s="2152"/>
      <c r="E17" s="2152"/>
      <c r="F17" s="2152"/>
      <c r="G17" s="2152"/>
      <c r="H17" s="2152"/>
      <c r="I17" s="2191"/>
      <c r="J17" s="2167"/>
      <c r="K17" s="2171"/>
      <c r="L17" s="14"/>
      <c r="M17" s="14"/>
      <c r="N17" s="14"/>
      <c r="O17" s="14"/>
      <c r="P17" s="16"/>
      <c r="Q17" s="14"/>
      <c r="R17" s="16"/>
      <c r="S17" s="16"/>
      <c r="T17" s="14"/>
      <c r="U17" s="31" t="s">
        <v>75</v>
      </c>
      <c r="V17" s="210">
        <v>45772</v>
      </c>
      <c r="W17" s="210">
        <v>45772</v>
      </c>
      <c r="X17" s="324">
        <v>45772</v>
      </c>
      <c r="Y17" s="18"/>
      <c r="Z17" s="16"/>
      <c r="AA17" s="220"/>
      <c r="AB17" s="220"/>
      <c r="AC17" s="220"/>
      <c r="AD17" s="220"/>
      <c r="AE17" s="18"/>
      <c r="AF17" s="18"/>
      <c r="AG17" s="20"/>
      <c r="AH17" s="327"/>
      <c r="AI17" s="320"/>
      <c r="AJ17" s="320"/>
      <c r="AK17" s="321"/>
      <c r="AL17" s="1226"/>
      <c r="AM17" s="381"/>
      <c r="AN17" s="877">
        <v>2</v>
      </c>
      <c r="AO17" s="876" t="s">
        <v>1384</v>
      </c>
      <c r="AP17" s="887"/>
      <c r="AQ17" s="887">
        <v>4584</v>
      </c>
      <c r="AR17" s="887">
        <v>4584</v>
      </c>
      <c r="AS17" s="1200" t="s">
        <v>1261</v>
      </c>
      <c r="AT17" s="874">
        <v>45910</v>
      </c>
      <c r="AU17" s="874">
        <v>45910</v>
      </c>
      <c r="AV17" s="874">
        <v>45934</v>
      </c>
      <c r="AW17" s="874">
        <v>45932</v>
      </c>
      <c r="AX17" s="876"/>
      <c r="AY17" s="14"/>
      <c r="AZ17" s="14"/>
      <c r="BA17" s="14"/>
      <c r="BB17" s="2175"/>
      <c r="BC17" s="2179"/>
      <c r="BD17" s="2183"/>
    </row>
    <row r="18" spans="1:56" ht="15.75">
      <c r="A18" s="2164"/>
      <c r="B18" s="2152"/>
      <c r="C18" s="2152"/>
      <c r="D18" s="2152"/>
      <c r="E18" s="2152"/>
      <c r="F18" s="2152"/>
      <c r="G18" s="2152"/>
      <c r="H18" s="2152"/>
      <c r="I18" s="2191"/>
      <c r="J18" s="2167"/>
      <c r="K18" s="2171"/>
      <c r="L18" s="14"/>
      <c r="M18" s="14"/>
      <c r="N18" s="14"/>
      <c r="O18" s="14"/>
      <c r="P18" s="16"/>
      <c r="Q18" s="14"/>
      <c r="R18" s="16"/>
      <c r="S18" s="16"/>
      <c r="T18" s="14"/>
      <c r="U18" s="31" t="s">
        <v>96</v>
      </c>
      <c r="V18" s="210">
        <v>45772</v>
      </c>
      <c r="W18" s="210">
        <v>45772</v>
      </c>
      <c r="X18" s="210">
        <v>45772</v>
      </c>
      <c r="Y18" s="329"/>
      <c r="Z18" s="322"/>
      <c r="AA18" s="349"/>
      <c r="AB18" s="349"/>
      <c r="AC18" s="349"/>
      <c r="AD18" s="349"/>
      <c r="AE18" s="329"/>
      <c r="AF18" s="329"/>
      <c r="AG18" s="330"/>
      <c r="AH18" s="14"/>
      <c r="AI18" s="226"/>
      <c r="AJ18" s="226"/>
      <c r="AK18" s="22"/>
      <c r="AL18" s="1225"/>
      <c r="AM18" s="15"/>
      <c r="AN18" s="877">
        <v>3</v>
      </c>
      <c r="AO18" s="876" t="s">
        <v>1385</v>
      </c>
      <c r="AP18" s="887">
        <v>15381</v>
      </c>
      <c r="AQ18" s="887">
        <v>0</v>
      </c>
      <c r="AR18" s="887">
        <v>15381</v>
      </c>
      <c r="AS18" s="877" t="s">
        <v>1261</v>
      </c>
      <c r="AT18" s="874">
        <v>45910</v>
      </c>
      <c r="AU18" s="874">
        <v>45910</v>
      </c>
      <c r="AV18" s="874">
        <v>45934</v>
      </c>
      <c r="AW18" s="874">
        <v>45932</v>
      </c>
      <c r="AX18" s="876"/>
      <c r="AY18" s="14"/>
      <c r="AZ18" s="14"/>
      <c r="BA18" s="14"/>
      <c r="BB18" s="2175"/>
      <c r="BC18" s="2179"/>
      <c r="BD18" s="2183"/>
    </row>
    <row r="19" spans="1:56" ht="15.75">
      <c r="A19" s="2203"/>
      <c r="B19" s="2190"/>
      <c r="C19" s="2190"/>
      <c r="D19" s="2190"/>
      <c r="E19" s="2190"/>
      <c r="F19" s="2190"/>
      <c r="G19" s="2190"/>
      <c r="H19" s="2190"/>
      <c r="I19" s="2192"/>
      <c r="J19" s="2168"/>
      <c r="K19" s="2172"/>
      <c r="L19" s="108"/>
      <c r="M19" s="108"/>
      <c r="N19" s="108"/>
      <c r="O19" s="108"/>
      <c r="P19" s="109"/>
      <c r="Q19" s="108"/>
      <c r="R19" s="109"/>
      <c r="S19" s="109"/>
      <c r="T19" s="108"/>
      <c r="U19" s="104" t="s">
        <v>1386</v>
      </c>
      <c r="V19" s="211">
        <v>45823</v>
      </c>
      <c r="W19" s="211">
        <v>45467</v>
      </c>
      <c r="X19" s="211">
        <v>45830</v>
      </c>
      <c r="Y19" s="110"/>
      <c r="Z19" s="109"/>
      <c r="AA19" s="221"/>
      <c r="AB19" s="221"/>
      <c r="AC19" s="221"/>
      <c r="AD19" s="221"/>
      <c r="AE19" s="110"/>
      <c r="AF19" s="110"/>
      <c r="AG19" s="323"/>
      <c r="AH19" s="108"/>
      <c r="AI19" s="227"/>
      <c r="AJ19" s="227"/>
      <c r="AK19" s="112"/>
      <c r="AL19" s="1227"/>
      <c r="AM19" s="114"/>
      <c r="AN19" s="2180">
        <v>4</v>
      </c>
      <c r="AO19" s="108" t="s">
        <v>1387</v>
      </c>
      <c r="AP19" s="113">
        <v>0</v>
      </c>
      <c r="AQ19" s="113">
        <v>3960</v>
      </c>
      <c r="AR19" s="113">
        <v>3960</v>
      </c>
      <c r="AS19" s="15" t="s">
        <v>1261</v>
      </c>
      <c r="AT19" s="227">
        <v>46137</v>
      </c>
      <c r="AU19" s="227">
        <v>46141</v>
      </c>
      <c r="AV19" s="1434">
        <v>46188</v>
      </c>
      <c r="AW19" s="227"/>
      <c r="AX19" s="108"/>
      <c r="AY19" s="108"/>
      <c r="AZ19" s="108"/>
      <c r="BA19" s="108"/>
      <c r="BB19" s="2176"/>
      <c r="BC19" s="2180"/>
      <c r="BD19" s="2184"/>
    </row>
    <row r="20" spans="1:56" ht="15.75">
      <c r="A20" s="2203"/>
      <c r="B20" s="2190"/>
      <c r="C20" s="2190"/>
      <c r="D20" s="2190"/>
      <c r="E20" s="2190"/>
      <c r="F20" s="2190"/>
      <c r="G20" s="2190"/>
      <c r="H20" s="2190"/>
      <c r="I20" s="2192"/>
      <c r="J20" s="2168"/>
      <c r="K20" s="2172"/>
      <c r="L20" s="108"/>
      <c r="M20" s="108"/>
      <c r="N20" s="108"/>
      <c r="O20" s="108"/>
      <c r="P20" s="109"/>
      <c r="Q20" s="108"/>
      <c r="R20" s="109"/>
      <c r="S20" s="109"/>
      <c r="T20" s="108"/>
      <c r="U20" s="104" t="s">
        <v>1161</v>
      </c>
      <c r="V20" s="211">
        <v>45884</v>
      </c>
      <c r="W20" s="211">
        <v>45910</v>
      </c>
      <c r="X20" s="211">
        <v>45910</v>
      </c>
      <c r="Y20" s="110"/>
      <c r="Z20" s="109"/>
      <c r="AA20" s="221"/>
      <c r="AB20" s="221"/>
      <c r="AC20" s="221"/>
      <c r="AD20" s="221"/>
      <c r="AE20" s="110"/>
      <c r="AF20" s="110"/>
      <c r="AG20" s="323"/>
      <c r="AH20" s="108"/>
      <c r="AI20" s="227"/>
      <c r="AJ20" s="227"/>
      <c r="AK20" s="112"/>
      <c r="AL20" s="1227"/>
      <c r="AM20" s="114"/>
      <c r="AN20" s="2200"/>
      <c r="AO20" s="108" t="s">
        <v>1388</v>
      </c>
      <c r="AP20" s="113">
        <v>474</v>
      </c>
      <c r="AQ20" s="113">
        <v>0</v>
      </c>
      <c r="AR20" s="113">
        <v>474</v>
      </c>
      <c r="AS20" s="15" t="s">
        <v>1261</v>
      </c>
      <c r="AT20" s="227">
        <v>46137</v>
      </c>
      <c r="AU20" s="227">
        <v>46141</v>
      </c>
      <c r="AV20" s="1434">
        <v>46188</v>
      </c>
      <c r="AW20" s="227"/>
      <c r="AX20" s="108"/>
      <c r="AY20" s="108"/>
      <c r="AZ20" s="108"/>
      <c r="BA20" s="108"/>
      <c r="BB20" s="2176"/>
      <c r="BC20" s="2180"/>
      <c r="BD20" s="2184"/>
    </row>
    <row r="21" spans="1:56" ht="15.75">
      <c r="A21" s="2203"/>
      <c r="B21" s="2190"/>
      <c r="C21" s="2190"/>
      <c r="D21" s="2190"/>
      <c r="E21" s="2190"/>
      <c r="F21" s="2190"/>
      <c r="G21" s="2190"/>
      <c r="H21" s="2190"/>
      <c r="I21" s="2192"/>
      <c r="J21" s="2168"/>
      <c r="K21" s="2172"/>
      <c r="L21" s="108"/>
      <c r="M21" s="108"/>
      <c r="N21" s="108"/>
      <c r="O21" s="108"/>
      <c r="P21" s="109"/>
      <c r="Q21" s="108"/>
      <c r="R21" s="109"/>
      <c r="S21" s="109"/>
      <c r="T21" s="108"/>
      <c r="U21" s="104" t="s">
        <v>1162</v>
      </c>
      <c r="V21" s="211">
        <v>46091</v>
      </c>
      <c r="W21" s="211">
        <v>46089</v>
      </c>
      <c r="X21" s="211">
        <v>46089</v>
      </c>
      <c r="Y21" s="110"/>
      <c r="Z21" s="109"/>
      <c r="AA21" s="221"/>
      <c r="AB21" s="221"/>
      <c r="AC21" s="221"/>
      <c r="AD21" s="221"/>
      <c r="AE21" s="110"/>
      <c r="AF21" s="110"/>
      <c r="AG21" s="108"/>
      <c r="AH21" s="108"/>
      <c r="AI21" s="227"/>
      <c r="AJ21" s="227"/>
      <c r="AK21" s="112"/>
      <c r="AL21" s="1227"/>
      <c r="AM21" s="114"/>
      <c r="AN21" s="108"/>
      <c r="AO21" s="108"/>
      <c r="AP21" s="113"/>
      <c r="AQ21" s="113"/>
      <c r="AR21" s="113"/>
      <c r="AS21" s="114"/>
      <c r="AT21" s="111"/>
      <c r="AU21" s="111"/>
      <c r="AV21" s="111"/>
      <c r="AW21" s="111"/>
      <c r="AX21" s="108"/>
      <c r="AY21" s="108"/>
      <c r="AZ21" s="108"/>
      <c r="BA21" s="108"/>
      <c r="BB21" s="2176"/>
      <c r="BC21" s="2180"/>
      <c r="BD21" s="2184"/>
    </row>
    <row r="22" spans="1:56" ht="15.75">
      <c r="A22" s="2163">
        <v>3</v>
      </c>
      <c r="B22" s="2151" t="s">
        <v>1389</v>
      </c>
      <c r="C22" s="2151" t="s">
        <v>1390</v>
      </c>
      <c r="D22" s="2151">
        <v>5000107441</v>
      </c>
      <c r="E22" s="2151">
        <v>1</v>
      </c>
      <c r="F22" s="2151" t="s">
        <v>1391</v>
      </c>
      <c r="G22" s="2151" t="s">
        <v>1392</v>
      </c>
      <c r="H22" s="2151" t="s">
        <v>1392</v>
      </c>
      <c r="I22" s="2166">
        <v>45771</v>
      </c>
      <c r="J22" s="2226">
        <v>46113</v>
      </c>
      <c r="K22" s="2170" t="s">
        <v>105</v>
      </c>
      <c r="L22" s="3" t="s">
        <v>1393</v>
      </c>
      <c r="M22" s="9" t="s">
        <v>1394</v>
      </c>
      <c r="N22" s="9" t="s">
        <v>1395</v>
      </c>
      <c r="O22" s="9" t="s">
        <v>1396</v>
      </c>
      <c r="P22" s="4">
        <v>48</v>
      </c>
      <c r="Q22" s="5" t="s">
        <v>1072</v>
      </c>
      <c r="R22" s="4" t="s">
        <v>1346</v>
      </c>
      <c r="S22" s="4">
        <v>48</v>
      </c>
      <c r="T22" s="2">
        <v>0</v>
      </c>
      <c r="U22" s="6" t="s">
        <v>42</v>
      </c>
      <c r="V22" s="219" t="s">
        <v>1347</v>
      </c>
      <c r="W22" s="219" t="s">
        <v>1347</v>
      </c>
      <c r="X22" s="219" t="s">
        <v>1347</v>
      </c>
      <c r="Y22" s="6"/>
      <c r="Z22" s="4"/>
      <c r="AA22" s="517"/>
      <c r="AB22" s="219"/>
      <c r="AC22" s="517"/>
      <c r="AD22" s="517"/>
      <c r="AE22" s="6"/>
      <c r="AF22" s="7"/>
      <c r="AG22" s="2" t="s">
        <v>472</v>
      </c>
      <c r="AH22" s="8" t="s">
        <v>1397</v>
      </c>
      <c r="AI22" s="219" t="s">
        <v>1398</v>
      </c>
      <c r="AJ22" s="1006" t="s">
        <v>1398</v>
      </c>
      <c r="AK22" s="10"/>
      <c r="AL22" s="1256">
        <v>48</v>
      </c>
      <c r="AM22" s="3" t="s">
        <v>1072</v>
      </c>
      <c r="AN22" s="3"/>
      <c r="AO22" s="3"/>
      <c r="AP22" s="642"/>
      <c r="AQ22" s="642"/>
      <c r="AR22" s="642"/>
      <c r="AS22" s="3"/>
      <c r="AT22" s="9"/>
      <c r="AU22" s="9"/>
      <c r="AV22" s="9"/>
      <c r="AW22" s="9"/>
      <c r="AX22" s="12"/>
      <c r="AY22" s="13"/>
      <c r="AZ22" s="13"/>
      <c r="BA22" s="13"/>
      <c r="BB22" s="2174" t="s">
        <v>1399</v>
      </c>
      <c r="BC22" s="2237"/>
      <c r="BD22" s="2182" t="s">
        <v>1400</v>
      </c>
    </row>
    <row r="23" spans="1:56" ht="15.75">
      <c r="A23" s="2164"/>
      <c r="B23" s="2152"/>
      <c r="C23" s="2152"/>
      <c r="D23" s="2152"/>
      <c r="E23" s="2152"/>
      <c r="F23" s="2152"/>
      <c r="G23" s="2152"/>
      <c r="H23" s="2152"/>
      <c r="I23" s="2191"/>
      <c r="J23" s="2167"/>
      <c r="K23" s="2171"/>
      <c r="L23" s="14"/>
      <c r="M23" s="15"/>
      <c r="N23" s="15"/>
      <c r="O23" s="15"/>
      <c r="P23" s="16"/>
      <c r="Q23" s="17"/>
      <c r="R23" s="16"/>
      <c r="S23" s="16"/>
      <c r="T23" s="14"/>
      <c r="U23" s="18" t="s">
        <v>1041</v>
      </c>
      <c r="V23" s="220">
        <v>45800</v>
      </c>
      <c r="W23" s="267">
        <v>45807</v>
      </c>
      <c r="X23" s="267">
        <v>45811</v>
      </c>
      <c r="Y23" s="18"/>
      <c r="Z23" s="16"/>
      <c r="AA23" s="518"/>
      <c r="AB23" s="514"/>
      <c r="AC23" s="514"/>
      <c r="AD23" s="514"/>
      <c r="AE23" s="18"/>
      <c r="AF23" s="19"/>
      <c r="AG23" s="20" t="s">
        <v>1401</v>
      </c>
      <c r="AH23" s="14" t="s">
        <v>1402</v>
      </c>
      <c r="AI23" s="226">
        <v>46163</v>
      </c>
      <c r="AJ23" s="1432" t="s">
        <v>1403</v>
      </c>
      <c r="AK23" s="22"/>
      <c r="AL23" s="23">
        <v>48</v>
      </c>
      <c r="AM23" s="15" t="s">
        <v>1072</v>
      </c>
      <c r="AN23" s="14"/>
      <c r="AO23" s="14"/>
      <c r="AP23" s="23"/>
      <c r="AQ23" s="23"/>
      <c r="AR23" s="23"/>
      <c r="AS23" s="15"/>
      <c r="AT23" s="21"/>
      <c r="AU23" s="21"/>
      <c r="AV23" s="21"/>
      <c r="AW23" s="21"/>
      <c r="AX23" s="14"/>
      <c r="AY23" s="24"/>
      <c r="AZ23" s="24"/>
      <c r="BA23" s="24"/>
      <c r="BB23" s="2175"/>
      <c r="BC23" s="2238"/>
      <c r="BD23" s="2183"/>
    </row>
    <row r="24" spans="1:56" ht="15.75">
      <c r="A24" s="2164"/>
      <c r="B24" s="2152"/>
      <c r="C24" s="2152"/>
      <c r="D24" s="2152"/>
      <c r="E24" s="2152"/>
      <c r="F24" s="2152"/>
      <c r="G24" s="2152"/>
      <c r="H24" s="2152"/>
      <c r="I24" s="2191"/>
      <c r="J24" s="2167"/>
      <c r="K24" s="2171"/>
      <c r="L24" s="14"/>
      <c r="M24" s="14"/>
      <c r="N24" s="14"/>
      <c r="O24" s="14"/>
      <c r="P24" s="16"/>
      <c r="Q24" s="17"/>
      <c r="R24" s="16"/>
      <c r="S24" s="16"/>
      <c r="T24" s="14"/>
      <c r="U24" s="18" t="s">
        <v>1049</v>
      </c>
      <c r="V24" s="220">
        <v>45831</v>
      </c>
      <c r="W24" s="220">
        <v>45858</v>
      </c>
      <c r="X24" s="220">
        <v>45855</v>
      </c>
      <c r="Y24" s="18"/>
      <c r="Z24" s="16"/>
      <c r="AA24" s="514"/>
      <c r="AB24" s="514"/>
      <c r="AC24" s="514"/>
      <c r="AD24" s="514"/>
      <c r="AE24" s="18"/>
      <c r="AF24" s="18"/>
      <c r="AG24" s="20"/>
      <c r="AH24" s="14"/>
      <c r="AI24" s="226"/>
      <c r="AJ24" s="226"/>
      <c r="AK24" s="22"/>
      <c r="AL24" s="1225"/>
      <c r="AM24" s="14"/>
      <c r="AN24" s="14"/>
      <c r="AO24" s="14"/>
      <c r="AP24" s="23"/>
      <c r="AQ24" s="23"/>
      <c r="AR24" s="23"/>
      <c r="AS24" s="15"/>
      <c r="AT24" s="21"/>
      <c r="AU24" s="21"/>
      <c r="AV24" s="21"/>
      <c r="AW24" s="21"/>
      <c r="AX24" s="14"/>
      <c r="AY24" s="14"/>
      <c r="AZ24" s="14"/>
      <c r="BA24" s="14"/>
      <c r="BB24" s="2175"/>
      <c r="BC24" s="2238"/>
      <c r="BD24" s="2183"/>
    </row>
    <row r="25" spans="1:56" ht="15.75">
      <c r="A25" s="2164"/>
      <c r="B25" s="2152"/>
      <c r="C25" s="2152"/>
      <c r="D25" s="2152"/>
      <c r="E25" s="2152"/>
      <c r="F25" s="2152"/>
      <c r="G25" s="2152"/>
      <c r="H25" s="2152"/>
      <c r="I25" s="2191"/>
      <c r="J25" s="2167"/>
      <c r="K25" s="2171"/>
      <c r="L25" s="14"/>
      <c r="M25" s="14"/>
      <c r="N25" s="14"/>
      <c r="O25" s="14"/>
      <c r="P25" s="16"/>
      <c r="Q25" s="14"/>
      <c r="R25" s="16"/>
      <c r="S25" s="16"/>
      <c r="T25" s="14"/>
      <c r="U25" s="18" t="s">
        <v>65</v>
      </c>
      <c r="V25" s="220">
        <v>45892</v>
      </c>
      <c r="W25" s="220">
        <v>46032</v>
      </c>
      <c r="X25" s="267">
        <v>46031</v>
      </c>
      <c r="Y25" s="18"/>
      <c r="Z25" s="16"/>
      <c r="AA25" s="514"/>
      <c r="AB25" s="514"/>
      <c r="AC25" s="514"/>
      <c r="AD25" s="514"/>
      <c r="AE25" s="18"/>
      <c r="AF25" s="18"/>
      <c r="AG25" s="20"/>
      <c r="AH25" s="14"/>
      <c r="AI25" s="226"/>
      <c r="AJ25" s="226"/>
      <c r="AK25" s="22"/>
      <c r="AL25" s="1225"/>
      <c r="AM25" s="14"/>
      <c r="AN25" s="14"/>
      <c r="AO25" s="14"/>
      <c r="AP25" s="23"/>
      <c r="AQ25" s="23"/>
      <c r="AR25" s="23"/>
      <c r="AS25" s="15"/>
      <c r="AT25" s="21"/>
      <c r="AU25" s="21"/>
      <c r="AV25" s="21"/>
      <c r="AW25" s="21"/>
      <c r="AX25" s="14"/>
      <c r="AY25" s="14"/>
      <c r="AZ25" s="14"/>
      <c r="BA25" s="14"/>
      <c r="BB25" s="2175"/>
      <c r="BC25" s="2238"/>
      <c r="BD25" s="2183"/>
    </row>
    <row r="26" spans="1:56" ht="15.75">
      <c r="A26" s="2164"/>
      <c r="B26" s="2152"/>
      <c r="C26" s="2152"/>
      <c r="D26" s="2152"/>
      <c r="E26" s="2152"/>
      <c r="F26" s="2152"/>
      <c r="G26" s="2152"/>
      <c r="H26" s="2152"/>
      <c r="I26" s="2191"/>
      <c r="J26" s="2167"/>
      <c r="K26" s="2171"/>
      <c r="L26" s="14"/>
      <c r="M26" s="14"/>
      <c r="N26" s="14"/>
      <c r="O26" s="14"/>
      <c r="P26" s="16"/>
      <c r="Q26" s="14"/>
      <c r="R26" s="16"/>
      <c r="S26" s="16"/>
      <c r="T26" s="14"/>
      <c r="U26" s="18" t="s">
        <v>75</v>
      </c>
      <c r="V26" s="220">
        <v>45953</v>
      </c>
      <c r="W26" s="267">
        <v>46080</v>
      </c>
      <c r="X26" s="267">
        <v>46080</v>
      </c>
      <c r="Y26" s="18"/>
      <c r="Z26" s="16"/>
      <c r="AA26" s="514"/>
      <c r="AB26" s="514"/>
      <c r="AC26" s="514"/>
      <c r="AD26" s="514"/>
      <c r="AE26" s="18"/>
      <c r="AF26" s="18"/>
      <c r="AG26" s="20"/>
      <c r="AH26" s="14"/>
      <c r="AI26" s="226"/>
      <c r="AJ26" s="226"/>
      <c r="AK26" s="22"/>
      <c r="AL26" s="1225"/>
      <c r="AM26" s="14"/>
      <c r="AN26" s="14"/>
      <c r="AO26" s="14"/>
      <c r="AP26" s="23"/>
      <c r="AQ26" s="23"/>
      <c r="AR26" s="23"/>
      <c r="AS26" s="15"/>
      <c r="AT26" s="21"/>
      <c r="AU26" s="21"/>
      <c r="AV26" s="21"/>
      <c r="AW26" s="21"/>
      <c r="AX26" s="14"/>
      <c r="AY26" s="14"/>
      <c r="AZ26" s="14"/>
      <c r="BA26" s="14"/>
      <c r="BB26" s="2175"/>
      <c r="BC26" s="2238"/>
      <c r="BD26" s="2183"/>
    </row>
    <row r="27" spans="1:56" ht="15.75">
      <c r="A27" s="2164"/>
      <c r="B27" s="2152"/>
      <c r="C27" s="2152"/>
      <c r="D27" s="2152"/>
      <c r="E27" s="2152"/>
      <c r="F27" s="2152"/>
      <c r="G27" s="2152"/>
      <c r="H27" s="2152"/>
      <c r="I27" s="2191"/>
      <c r="J27" s="2167"/>
      <c r="K27" s="2171"/>
      <c r="L27" s="14"/>
      <c r="M27" s="14"/>
      <c r="N27" s="14"/>
      <c r="O27" s="14"/>
      <c r="P27" s="16"/>
      <c r="Q27" s="14"/>
      <c r="R27" s="16"/>
      <c r="S27" s="16"/>
      <c r="T27" s="14"/>
      <c r="U27" s="18" t="s">
        <v>96</v>
      </c>
      <c r="V27" s="220">
        <v>45955</v>
      </c>
      <c r="W27" s="267">
        <v>46086</v>
      </c>
      <c r="X27" s="267">
        <v>46086</v>
      </c>
      <c r="Y27" s="18"/>
      <c r="Z27" s="16"/>
      <c r="AA27" s="514"/>
      <c r="AB27" s="514"/>
      <c r="AC27" s="514"/>
      <c r="AD27" s="514"/>
      <c r="AE27" s="18"/>
      <c r="AF27" s="18"/>
      <c r="AG27" s="20"/>
      <c r="AH27" s="14"/>
      <c r="AI27" s="226"/>
      <c r="AJ27" s="226"/>
      <c r="AK27" s="22"/>
      <c r="AL27" s="1225"/>
      <c r="AM27" s="14"/>
      <c r="AN27" s="14"/>
      <c r="AO27" s="14"/>
      <c r="AP27" s="23"/>
      <c r="AQ27" s="23"/>
      <c r="AR27" s="23"/>
      <c r="AS27" s="15"/>
      <c r="AT27" s="21"/>
      <c r="AU27" s="21"/>
      <c r="AV27" s="21"/>
      <c r="AW27" s="21"/>
      <c r="AX27" s="14"/>
      <c r="AY27" s="14"/>
      <c r="AZ27" s="14"/>
      <c r="BA27" s="14"/>
      <c r="BB27" s="2175"/>
      <c r="BC27" s="2238"/>
      <c r="BD27" s="2183"/>
    </row>
    <row r="28" spans="1:56" ht="15.75">
      <c r="A28" s="2164"/>
      <c r="B28" s="2152"/>
      <c r="C28" s="2152"/>
      <c r="D28" s="2152"/>
      <c r="E28" s="2152"/>
      <c r="F28" s="2152"/>
      <c r="G28" s="2152"/>
      <c r="H28" s="2152"/>
      <c r="I28" s="2191"/>
      <c r="J28" s="2167"/>
      <c r="K28" s="2171"/>
      <c r="L28" s="14"/>
      <c r="M28" s="14"/>
      <c r="N28" s="14"/>
      <c r="O28" s="14"/>
      <c r="P28" s="16"/>
      <c r="Q28" s="14"/>
      <c r="R28" s="16"/>
      <c r="S28" s="16"/>
      <c r="T28" s="14"/>
      <c r="U28" s="25" t="s">
        <v>1361</v>
      </c>
      <c r="V28" s="220">
        <v>46078</v>
      </c>
      <c r="W28" s="220">
        <v>46127</v>
      </c>
      <c r="X28" s="220">
        <v>46127</v>
      </c>
      <c r="Y28" s="18"/>
      <c r="Z28" s="16"/>
      <c r="AA28" s="514"/>
      <c r="AB28" s="514"/>
      <c r="AC28" s="514"/>
      <c r="AD28" s="514"/>
      <c r="AE28" s="18"/>
      <c r="AF28" s="18"/>
      <c r="AG28" s="14"/>
      <c r="AH28" s="14"/>
      <c r="AI28" s="226"/>
      <c r="AJ28" s="226"/>
      <c r="AK28" s="22"/>
      <c r="AL28" s="1225"/>
      <c r="AM28" s="14"/>
      <c r="AN28" s="14"/>
      <c r="AO28" s="14"/>
      <c r="AP28" s="23"/>
      <c r="AQ28" s="23"/>
      <c r="AR28" s="23"/>
      <c r="AS28" s="15"/>
      <c r="AT28" s="21"/>
      <c r="AU28" s="21"/>
      <c r="AV28" s="21"/>
      <c r="AW28" s="21"/>
      <c r="AX28" s="14"/>
      <c r="AY28" s="14"/>
      <c r="AZ28" s="14"/>
      <c r="BA28" s="14"/>
      <c r="BB28" s="2175"/>
      <c r="BC28" s="2238"/>
      <c r="BD28" s="2183"/>
    </row>
    <row r="29" spans="1:56" ht="15.75">
      <c r="A29" s="2164"/>
      <c r="B29" s="2152"/>
      <c r="C29" s="2152"/>
      <c r="D29" s="2152"/>
      <c r="E29" s="2152"/>
      <c r="F29" s="2152"/>
      <c r="G29" s="2152"/>
      <c r="H29" s="2152"/>
      <c r="I29" s="2191"/>
      <c r="J29" s="2167"/>
      <c r="K29" s="2171"/>
      <c r="L29" s="14"/>
      <c r="M29" s="14"/>
      <c r="N29" s="14"/>
      <c r="O29" s="14"/>
      <c r="P29" s="16"/>
      <c r="Q29" s="14"/>
      <c r="R29" s="16"/>
      <c r="S29" s="16"/>
      <c r="T29" s="14"/>
      <c r="U29" s="25" t="s">
        <v>472</v>
      </c>
      <c r="V29" s="220">
        <v>46091</v>
      </c>
      <c r="W29" s="220">
        <v>46134</v>
      </c>
      <c r="X29" s="220">
        <v>46134</v>
      </c>
      <c r="Y29" s="14"/>
      <c r="Z29" s="16"/>
      <c r="AA29" s="514"/>
      <c r="AB29" s="514"/>
      <c r="AC29" s="514"/>
      <c r="AD29" s="514"/>
      <c r="AE29" s="18"/>
      <c r="AF29" s="18"/>
      <c r="AG29" s="14"/>
      <c r="AH29" s="14"/>
      <c r="AI29" s="226"/>
      <c r="AJ29" s="226"/>
      <c r="AK29" s="22"/>
      <c r="AL29" s="1225"/>
      <c r="AM29" s="14"/>
      <c r="AN29" s="14"/>
      <c r="AO29" s="14"/>
      <c r="AP29" s="23"/>
      <c r="AQ29" s="23"/>
      <c r="AR29" s="23"/>
      <c r="AS29" s="15"/>
      <c r="AT29" s="21"/>
      <c r="AU29" s="21"/>
      <c r="AV29" s="21"/>
      <c r="AW29" s="21"/>
      <c r="AX29" s="14"/>
      <c r="AY29" s="14"/>
      <c r="AZ29" s="14"/>
      <c r="BA29" s="14"/>
      <c r="BB29" s="2175"/>
      <c r="BC29" s="2238"/>
      <c r="BD29" s="2183"/>
    </row>
    <row r="30" spans="1:56" ht="15.75">
      <c r="A30" s="2203"/>
      <c r="B30" s="2190"/>
      <c r="C30" s="2190"/>
      <c r="D30" s="2190"/>
      <c r="E30" s="2190"/>
      <c r="F30" s="2190"/>
      <c r="G30" s="2190"/>
      <c r="H30" s="2190"/>
      <c r="I30" s="2192"/>
      <c r="J30" s="2168"/>
      <c r="K30" s="2172"/>
      <c r="L30" s="108"/>
      <c r="M30" s="108"/>
      <c r="N30" s="108"/>
      <c r="O30" s="108"/>
      <c r="P30" s="109"/>
      <c r="Q30" s="108"/>
      <c r="R30" s="109"/>
      <c r="S30" s="109"/>
      <c r="T30" s="108"/>
      <c r="U30" s="1446" t="s">
        <v>1404</v>
      </c>
      <c r="V30" s="221">
        <v>46113</v>
      </c>
      <c r="W30" s="221">
        <v>46172</v>
      </c>
      <c r="X30" s="221"/>
      <c r="Y30" s="108"/>
      <c r="Z30" s="109"/>
      <c r="AA30" s="515"/>
      <c r="AB30" s="515"/>
      <c r="AC30" s="515"/>
      <c r="AD30" s="515"/>
      <c r="AE30" s="110"/>
      <c r="AF30" s="110"/>
      <c r="AG30" s="108"/>
      <c r="AH30" s="108"/>
      <c r="AI30" s="227"/>
      <c r="AJ30" s="227"/>
      <c r="AK30" s="112"/>
      <c r="AL30" s="1227"/>
      <c r="AM30" s="108"/>
      <c r="AN30" s="108"/>
      <c r="AO30" s="108"/>
      <c r="AP30" s="113"/>
      <c r="AQ30" s="113"/>
      <c r="AR30" s="113"/>
      <c r="AS30" s="114"/>
      <c r="AT30" s="111"/>
      <c r="AU30" s="111"/>
      <c r="AV30" s="111"/>
      <c r="AW30" s="111"/>
      <c r="AX30" s="108"/>
      <c r="AY30" s="108"/>
      <c r="AZ30" s="108"/>
      <c r="BA30" s="108"/>
      <c r="BB30" s="2176"/>
      <c r="BC30" s="2239"/>
      <c r="BD30" s="2184"/>
    </row>
    <row r="31" spans="1:56" ht="15.75">
      <c r="A31" s="2203"/>
      <c r="B31" s="2190"/>
      <c r="C31" s="2190"/>
      <c r="D31" s="2190"/>
      <c r="E31" s="2190"/>
      <c r="F31" s="2190"/>
      <c r="G31" s="2190"/>
      <c r="H31" s="2190"/>
      <c r="I31" s="2192"/>
      <c r="J31" s="2168"/>
      <c r="K31" s="2172"/>
      <c r="L31" s="108"/>
      <c r="M31" s="108"/>
      <c r="N31" s="108"/>
      <c r="O31" s="108"/>
      <c r="P31" s="109"/>
      <c r="Q31" s="108"/>
      <c r="R31" s="109"/>
      <c r="S31" s="109"/>
      <c r="T31" s="108"/>
      <c r="U31" s="1447" t="s">
        <v>1405</v>
      </c>
      <c r="V31" s="221">
        <v>46113</v>
      </c>
      <c r="W31" s="1436">
        <v>46225</v>
      </c>
      <c r="X31" s="222"/>
      <c r="Y31" s="485"/>
      <c r="Z31" s="109"/>
      <c r="AA31" s="545"/>
      <c r="AB31" s="545"/>
      <c r="AC31" s="545"/>
      <c r="AD31" s="545"/>
      <c r="AE31" s="485"/>
      <c r="AF31" s="485"/>
      <c r="AG31" s="108"/>
      <c r="AH31" s="108"/>
      <c r="AI31" s="227"/>
      <c r="AJ31" s="227"/>
      <c r="AK31" s="112"/>
      <c r="AL31" s="1227"/>
      <c r="AM31" s="108"/>
      <c r="AN31" s="108"/>
      <c r="AO31" s="108"/>
      <c r="AP31" s="113"/>
      <c r="AQ31" s="113"/>
      <c r="AR31" s="113"/>
      <c r="AS31" s="114"/>
      <c r="AT31" s="111"/>
      <c r="AU31" s="111"/>
      <c r="AV31" s="111"/>
      <c r="AW31" s="111"/>
      <c r="AX31" s="108"/>
      <c r="AY31" s="108"/>
      <c r="AZ31" s="108"/>
      <c r="BA31" s="108"/>
      <c r="BB31" s="2176"/>
      <c r="BC31" s="2239"/>
      <c r="BD31" s="2184"/>
    </row>
    <row r="32" spans="1:56" ht="14.45" customHeight="1">
      <c r="A32" s="2219">
        <v>4</v>
      </c>
      <c r="B32" s="2222" t="s">
        <v>1406</v>
      </c>
      <c r="C32" s="2222" t="s">
        <v>473</v>
      </c>
      <c r="D32" s="2222" t="s">
        <v>1407</v>
      </c>
      <c r="E32" s="2222">
        <v>1</v>
      </c>
      <c r="F32" s="2222" t="s">
        <v>1408</v>
      </c>
      <c r="G32" s="2222" t="s">
        <v>1392</v>
      </c>
      <c r="H32" s="2222" t="s">
        <v>1392</v>
      </c>
      <c r="I32" s="2208">
        <v>45749</v>
      </c>
      <c r="J32" s="2227">
        <v>46068</v>
      </c>
      <c r="K32" s="2211" t="s">
        <v>105</v>
      </c>
      <c r="L32" s="3" t="s">
        <v>1409</v>
      </c>
      <c r="M32" s="9" t="s">
        <v>1410</v>
      </c>
      <c r="N32" s="9" t="s">
        <v>1411</v>
      </c>
      <c r="O32" s="9" t="s">
        <v>1412</v>
      </c>
      <c r="P32" s="4">
        <v>15</v>
      </c>
      <c r="Q32" s="5" t="s">
        <v>1034</v>
      </c>
      <c r="R32" s="4">
        <v>5</v>
      </c>
      <c r="S32" s="4">
        <v>10</v>
      </c>
      <c r="T32" s="1265">
        <v>0.33</v>
      </c>
      <c r="U32" s="6" t="s">
        <v>42</v>
      </c>
      <c r="V32" s="484" t="s">
        <v>1347</v>
      </c>
      <c r="W32" s="484" t="s">
        <v>1347</v>
      </c>
      <c r="X32" s="484" t="s">
        <v>1347</v>
      </c>
      <c r="Y32" s="6" t="s">
        <v>1413</v>
      </c>
      <c r="Z32" s="4">
        <v>24</v>
      </c>
      <c r="AA32" s="219">
        <v>45848</v>
      </c>
      <c r="AB32" s="219">
        <v>45853</v>
      </c>
      <c r="AC32" s="219">
        <v>45889</v>
      </c>
      <c r="AD32" s="219">
        <v>45891</v>
      </c>
      <c r="AE32" s="4">
        <v>24</v>
      </c>
      <c r="AF32" s="1015" t="s">
        <v>1414</v>
      </c>
      <c r="AG32" s="2" t="s">
        <v>1415</v>
      </c>
      <c r="AH32" s="8" t="s">
        <v>1416</v>
      </c>
      <c r="AI32" s="219">
        <v>46001</v>
      </c>
      <c r="AJ32" s="225">
        <v>46001</v>
      </c>
      <c r="AK32" s="10"/>
      <c r="AL32" s="1228">
        <v>5</v>
      </c>
      <c r="AM32" s="2" t="s">
        <v>1072</v>
      </c>
      <c r="AN32" s="2">
        <v>1</v>
      </c>
      <c r="AO32" s="2" t="s">
        <v>1417</v>
      </c>
      <c r="AP32" s="11" t="s">
        <v>1355</v>
      </c>
      <c r="AQ32" s="11">
        <v>5</v>
      </c>
      <c r="AR32" s="11">
        <v>5</v>
      </c>
      <c r="AS32" s="930" t="s">
        <v>1072</v>
      </c>
      <c r="AT32" s="1044">
        <v>46129</v>
      </c>
      <c r="AU32" s="1044">
        <v>46126</v>
      </c>
      <c r="AV32" s="225">
        <v>46200</v>
      </c>
      <c r="AW32" s="9"/>
      <c r="AX32" s="12"/>
      <c r="AY32" s="13"/>
      <c r="AZ32" s="13"/>
      <c r="BA32" s="13"/>
      <c r="BB32" s="2157"/>
      <c r="BC32" s="2214"/>
      <c r="BD32" s="2216"/>
    </row>
    <row r="33" spans="1:56" ht="14.45" customHeight="1">
      <c r="A33" s="2220"/>
      <c r="B33" s="2223"/>
      <c r="C33" s="2223"/>
      <c r="D33" s="2223"/>
      <c r="E33" s="2223"/>
      <c r="F33" s="2223"/>
      <c r="G33" s="2223"/>
      <c r="H33" s="2223"/>
      <c r="I33" s="2209"/>
      <c r="J33" s="2228"/>
      <c r="K33" s="2205"/>
      <c r="L33" s="14"/>
      <c r="M33" s="15"/>
      <c r="N33" s="15"/>
      <c r="O33" s="15"/>
      <c r="P33" s="16"/>
      <c r="Q33" s="17"/>
      <c r="R33" s="16"/>
      <c r="S33" s="16"/>
      <c r="T33" s="14"/>
      <c r="U33" s="18" t="s">
        <v>1041</v>
      </c>
      <c r="V33" s="220">
        <v>45800</v>
      </c>
      <c r="W33" s="220">
        <v>45800</v>
      </c>
      <c r="X33" s="220">
        <v>45803</v>
      </c>
      <c r="Y33" s="18" t="s">
        <v>1418</v>
      </c>
      <c r="Z33" s="16">
        <v>8</v>
      </c>
      <c r="AA33" s="267">
        <v>45848</v>
      </c>
      <c r="AB33" s="220">
        <v>45853</v>
      </c>
      <c r="AC33" s="220">
        <v>45889</v>
      </c>
      <c r="AD33" s="220">
        <v>45891</v>
      </c>
      <c r="AE33" s="16">
        <v>8</v>
      </c>
      <c r="AF33" s="659" t="s">
        <v>1419</v>
      </c>
      <c r="AG33" s="20" t="s">
        <v>1420</v>
      </c>
      <c r="AH33" s="14" t="s">
        <v>1421</v>
      </c>
      <c r="AI33" s="226">
        <v>46057</v>
      </c>
      <c r="AJ33" s="226">
        <v>46062</v>
      </c>
      <c r="AK33" s="22" t="s">
        <v>1422</v>
      </c>
      <c r="AL33" s="1225">
        <v>5</v>
      </c>
      <c r="AM33" s="14" t="s">
        <v>1072</v>
      </c>
      <c r="AN33" s="14"/>
      <c r="AO33" s="14"/>
      <c r="AP33" s="23"/>
      <c r="AQ33" s="23"/>
      <c r="AR33" s="23"/>
      <c r="AS33" s="15"/>
      <c r="AT33" s="386"/>
      <c r="AU33" s="21"/>
      <c r="AV33" s="21"/>
      <c r="AW33" s="21"/>
      <c r="AX33" s="14"/>
      <c r="AY33" s="24"/>
      <c r="AZ33" s="24"/>
      <c r="BA33" s="24"/>
      <c r="BB33" s="2158"/>
      <c r="BC33" s="2206"/>
      <c r="BD33" s="2217"/>
    </row>
    <row r="34" spans="1:56" ht="14.45" customHeight="1">
      <c r="A34" s="2220"/>
      <c r="B34" s="2223"/>
      <c r="C34" s="2223"/>
      <c r="D34" s="2223"/>
      <c r="E34" s="2223"/>
      <c r="F34" s="2223"/>
      <c r="G34" s="2223"/>
      <c r="H34" s="2223"/>
      <c r="I34" s="2209"/>
      <c r="J34" s="2228"/>
      <c r="K34" s="2205"/>
      <c r="L34" s="14"/>
      <c r="M34" s="14"/>
      <c r="N34" s="14"/>
      <c r="O34" s="14"/>
      <c r="P34" s="16"/>
      <c r="Q34" s="17"/>
      <c r="R34" s="16"/>
      <c r="S34" s="16"/>
      <c r="T34" s="14"/>
      <c r="U34" s="18" t="s">
        <v>1049</v>
      </c>
      <c r="V34" s="220">
        <v>45831</v>
      </c>
      <c r="W34" s="220">
        <v>45807</v>
      </c>
      <c r="X34" s="220">
        <v>45813</v>
      </c>
      <c r="Y34" s="18" t="s">
        <v>1423</v>
      </c>
      <c r="Z34" s="16">
        <v>23</v>
      </c>
      <c r="AA34" s="220">
        <v>45874</v>
      </c>
      <c r="AB34" s="220">
        <v>45883</v>
      </c>
      <c r="AC34" s="220">
        <v>45910</v>
      </c>
      <c r="AD34" s="220">
        <v>45910</v>
      </c>
      <c r="AE34" s="16">
        <v>23</v>
      </c>
      <c r="AF34" s="659" t="s">
        <v>1424</v>
      </c>
      <c r="AG34" s="20" t="s">
        <v>1425</v>
      </c>
      <c r="AH34" s="14" t="s">
        <v>1426</v>
      </c>
      <c r="AI34" s="226">
        <v>46115</v>
      </c>
      <c r="AJ34" s="226">
        <v>46115</v>
      </c>
      <c r="AK34" s="22" t="s">
        <v>418</v>
      </c>
      <c r="AL34" s="1225">
        <v>10</v>
      </c>
      <c r="AM34" s="14" t="s">
        <v>1072</v>
      </c>
      <c r="AN34" s="14"/>
      <c r="AO34" s="14"/>
      <c r="AP34" s="23"/>
      <c r="AQ34" s="23"/>
      <c r="AR34" s="23"/>
      <c r="AS34" s="15"/>
      <c r="AT34" s="21"/>
      <c r="AU34" s="21"/>
      <c r="AV34" s="21"/>
      <c r="AW34" s="21"/>
      <c r="AX34" s="14"/>
      <c r="AY34" s="14"/>
      <c r="AZ34" s="14"/>
      <c r="BA34" s="14"/>
      <c r="BB34" s="2158"/>
      <c r="BC34" s="2206"/>
      <c r="BD34" s="2217"/>
    </row>
    <row r="35" spans="1:56" ht="14.45" customHeight="1">
      <c r="A35" s="2220"/>
      <c r="B35" s="2223"/>
      <c r="C35" s="2223"/>
      <c r="D35" s="2223"/>
      <c r="E35" s="2223"/>
      <c r="F35" s="2223"/>
      <c r="G35" s="2223"/>
      <c r="H35" s="2223"/>
      <c r="I35" s="2209"/>
      <c r="J35" s="2228"/>
      <c r="K35" s="2205"/>
      <c r="L35" s="14"/>
      <c r="M35" s="14"/>
      <c r="N35" s="14"/>
      <c r="O35" s="14"/>
      <c r="P35" s="16"/>
      <c r="Q35" s="14"/>
      <c r="R35" s="16"/>
      <c r="S35" s="16"/>
      <c r="T35" s="14"/>
      <c r="U35" s="18" t="s">
        <v>65</v>
      </c>
      <c r="V35" s="220">
        <v>45892</v>
      </c>
      <c r="W35" s="220">
        <v>45863</v>
      </c>
      <c r="X35" s="220">
        <v>45853</v>
      </c>
      <c r="Y35" s="18"/>
      <c r="Z35" s="16"/>
      <c r="AA35" s="220"/>
      <c r="AB35" s="220"/>
      <c r="AC35" s="220"/>
      <c r="AD35" s="220"/>
      <c r="AE35" s="18"/>
      <c r="AF35" s="18"/>
      <c r="AG35" s="20" t="s">
        <v>1427</v>
      </c>
      <c r="AH35" s="14" t="s">
        <v>1428</v>
      </c>
      <c r="AI35" s="226">
        <v>46162</v>
      </c>
      <c r="AJ35" s="1432">
        <v>46162</v>
      </c>
      <c r="AK35" s="22"/>
      <c r="AL35" s="1225"/>
      <c r="AM35" s="14"/>
      <c r="AN35" s="14"/>
      <c r="AO35" s="14"/>
      <c r="AP35" s="23"/>
      <c r="AQ35" s="23"/>
      <c r="AR35" s="23"/>
      <c r="AS35" s="15"/>
      <c r="AT35" s="21"/>
      <c r="AU35" s="21"/>
      <c r="AV35" s="21"/>
      <c r="AW35" s="21"/>
      <c r="AX35" s="14"/>
      <c r="AY35" s="14"/>
      <c r="AZ35" s="14"/>
      <c r="BA35" s="14"/>
      <c r="BB35" s="2158"/>
      <c r="BC35" s="2206"/>
      <c r="BD35" s="2217"/>
    </row>
    <row r="36" spans="1:56" ht="14.45" customHeight="1">
      <c r="A36" s="2220"/>
      <c r="B36" s="2223"/>
      <c r="C36" s="2223"/>
      <c r="D36" s="2223"/>
      <c r="E36" s="2223"/>
      <c r="F36" s="2223"/>
      <c r="G36" s="2223"/>
      <c r="H36" s="2223"/>
      <c r="I36" s="2209"/>
      <c r="J36" s="2228"/>
      <c r="K36" s="2205"/>
      <c r="L36" s="14"/>
      <c r="M36" s="14"/>
      <c r="N36" s="14"/>
      <c r="O36" s="14"/>
      <c r="P36" s="16"/>
      <c r="Q36" s="14"/>
      <c r="R36" s="16"/>
      <c r="S36" s="16"/>
      <c r="T36" s="14"/>
      <c r="U36" s="18" t="s">
        <v>75</v>
      </c>
      <c r="V36" s="220">
        <v>45953</v>
      </c>
      <c r="W36" s="220">
        <v>45878</v>
      </c>
      <c r="X36" s="220">
        <v>45891</v>
      </c>
      <c r="Y36" s="18"/>
      <c r="Z36" s="16"/>
      <c r="AA36" s="220"/>
      <c r="AB36" s="220"/>
      <c r="AC36" s="220"/>
      <c r="AD36" s="220"/>
      <c r="AE36" s="18"/>
      <c r="AF36" s="18"/>
      <c r="AG36" s="20"/>
      <c r="AH36" s="14"/>
      <c r="AI36" s="226"/>
      <c r="AJ36" s="226"/>
      <c r="AK36" s="22"/>
      <c r="AL36" s="1225"/>
      <c r="AM36" s="14"/>
      <c r="AN36" s="14"/>
      <c r="AO36" s="14"/>
      <c r="AP36" s="23"/>
      <c r="AQ36" s="23"/>
      <c r="AR36" s="23"/>
      <c r="AS36" s="15"/>
      <c r="AT36" s="21"/>
      <c r="AU36" s="21"/>
      <c r="AV36" s="21"/>
      <c r="AW36" s="21"/>
      <c r="AX36" s="14"/>
      <c r="AY36" s="14"/>
      <c r="AZ36" s="14"/>
      <c r="BA36" s="14"/>
      <c r="BB36" s="2158"/>
      <c r="BC36" s="2206"/>
      <c r="BD36" s="2217"/>
    </row>
    <row r="37" spans="1:56" ht="14.45" customHeight="1">
      <c r="A37" s="2220"/>
      <c r="B37" s="2223"/>
      <c r="C37" s="2223"/>
      <c r="D37" s="2223"/>
      <c r="E37" s="2223"/>
      <c r="F37" s="2223"/>
      <c r="G37" s="2223"/>
      <c r="H37" s="2223"/>
      <c r="I37" s="2209"/>
      <c r="J37" s="2228"/>
      <c r="K37" s="2205"/>
      <c r="L37" s="14"/>
      <c r="M37" s="14"/>
      <c r="N37" s="14"/>
      <c r="O37" s="14"/>
      <c r="P37" s="16"/>
      <c r="Q37" s="14"/>
      <c r="R37" s="16"/>
      <c r="S37" s="16"/>
      <c r="T37" s="14"/>
      <c r="U37" s="18" t="s">
        <v>96</v>
      </c>
      <c r="V37" s="220">
        <v>45955</v>
      </c>
      <c r="W37" s="220">
        <v>45879</v>
      </c>
      <c r="X37" s="220">
        <v>45891</v>
      </c>
      <c r="Y37" s="18"/>
      <c r="Z37" s="16"/>
      <c r="AA37" s="220"/>
      <c r="AB37" s="220"/>
      <c r="AC37" s="220"/>
      <c r="AD37" s="220"/>
      <c r="AE37" s="18"/>
      <c r="AF37" s="18"/>
      <c r="AG37" s="20"/>
      <c r="AH37" s="14"/>
      <c r="AI37" s="226"/>
      <c r="AJ37" s="226"/>
      <c r="AK37" s="22"/>
      <c r="AL37" s="1225"/>
      <c r="AM37" s="14"/>
      <c r="AN37" s="14"/>
      <c r="AO37" s="14"/>
      <c r="AP37" s="23"/>
      <c r="AQ37" s="23"/>
      <c r="AR37" s="23"/>
      <c r="AS37" s="15"/>
      <c r="AT37" s="21"/>
      <c r="AU37" s="21"/>
      <c r="AV37" s="21"/>
      <c r="AW37" s="21"/>
      <c r="AX37" s="14"/>
      <c r="AY37" s="14"/>
      <c r="AZ37" s="14"/>
      <c r="BA37" s="14"/>
      <c r="BB37" s="2158"/>
      <c r="BC37" s="2206"/>
      <c r="BD37" s="2217"/>
    </row>
    <row r="38" spans="1:56" ht="14.45" customHeight="1">
      <c r="A38" s="2220"/>
      <c r="B38" s="2223"/>
      <c r="C38" s="2223"/>
      <c r="D38" s="2223"/>
      <c r="E38" s="2223"/>
      <c r="F38" s="2223"/>
      <c r="G38" s="2223"/>
      <c r="H38" s="2223"/>
      <c r="I38" s="2209"/>
      <c r="J38" s="2228"/>
      <c r="K38" s="2205"/>
      <c r="L38" s="14"/>
      <c r="M38" s="14"/>
      <c r="N38" s="14"/>
      <c r="O38" s="14"/>
      <c r="P38" s="16"/>
      <c r="Q38" s="14"/>
      <c r="R38" s="16"/>
      <c r="S38" s="16"/>
      <c r="T38" s="14"/>
      <c r="U38" s="25" t="s">
        <v>1361</v>
      </c>
      <c r="V38" s="220">
        <v>46032</v>
      </c>
      <c r="W38" s="220">
        <v>46054</v>
      </c>
      <c r="X38" s="220">
        <v>46057</v>
      </c>
      <c r="Y38" s="18"/>
      <c r="Z38" s="16"/>
      <c r="AA38" s="220"/>
      <c r="AB38" s="220"/>
      <c r="AC38" s="220"/>
      <c r="AD38" s="220"/>
      <c r="AE38" s="18"/>
      <c r="AF38" s="18"/>
      <c r="AG38" s="14"/>
      <c r="AH38" s="14"/>
      <c r="AI38" s="226"/>
      <c r="AJ38" s="226"/>
      <c r="AK38" s="22"/>
      <c r="AL38" s="1225"/>
      <c r="AM38" s="14"/>
      <c r="AN38" s="14"/>
      <c r="AO38" s="14"/>
      <c r="AP38" s="23"/>
      <c r="AQ38" s="23"/>
      <c r="AR38" s="23"/>
      <c r="AS38" s="15"/>
      <c r="AT38" s="21"/>
      <c r="AU38" s="21"/>
      <c r="AV38" s="21"/>
      <c r="AW38" s="21"/>
      <c r="AX38" s="14"/>
      <c r="AY38" s="14"/>
      <c r="AZ38" s="14"/>
      <c r="BA38" s="14"/>
      <c r="BB38" s="2158"/>
      <c r="BC38" s="2206"/>
      <c r="BD38" s="2217"/>
    </row>
    <row r="39" spans="1:56" ht="14.45" customHeight="1">
      <c r="A39" s="2220"/>
      <c r="B39" s="2223"/>
      <c r="C39" s="2223"/>
      <c r="D39" s="2223"/>
      <c r="E39" s="2223"/>
      <c r="F39" s="2223"/>
      <c r="G39" s="2223"/>
      <c r="H39" s="2223"/>
      <c r="I39" s="2209"/>
      <c r="J39" s="2228"/>
      <c r="K39" s="2205"/>
      <c r="L39" s="14"/>
      <c r="M39" s="14"/>
      <c r="N39" s="14"/>
      <c r="O39" s="14"/>
      <c r="P39" s="16"/>
      <c r="Q39" s="14"/>
      <c r="R39" s="16"/>
      <c r="S39" s="16"/>
      <c r="T39" s="14"/>
      <c r="U39" s="25" t="s">
        <v>472</v>
      </c>
      <c r="V39" s="220">
        <v>46037</v>
      </c>
      <c r="W39" s="267">
        <v>46062</v>
      </c>
      <c r="X39" s="267">
        <v>46062</v>
      </c>
      <c r="Y39" s="14"/>
      <c r="Z39" s="16"/>
      <c r="AA39" s="514"/>
      <c r="AB39" s="514"/>
      <c r="AC39" s="514"/>
      <c r="AD39" s="514"/>
      <c r="AE39" s="18"/>
      <c r="AF39" s="18"/>
      <c r="AG39" s="14"/>
      <c r="AH39" s="14"/>
      <c r="AI39" s="226"/>
      <c r="AJ39" s="226"/>
      <c r="AK39" s="22"/>
      <c r="AL39" s="1225"/>
      <c r="AM39" s="14"/>
      <c r="AN39" s="14"/>
      <c r="AO39" s="14"/>
      <c r="AP39" s="23"/>
      <c r="AQ39" s="23"/>
      <c r="AR39" s="23"/>
      <c r="AS39" s="15"/>
      <c r="AT39" s="21"/>
      <c r="AU39" s="21"/>
      <c r="AV39" s="21"/>
      <c r="AW39" s="21"/>
      <c r="AX39" s="14"/>
      <c r="AY39" s="14"/>
      <c r="AZ39" s="14"/>
      <c r="BA39" s="14"/>
      <c r="BB39" s="2158"/>
      <c r="BC39" s="2206"/>
      <c r="BD39" s="2217"/>
    </row>
    <row r="40" spans="1:56" s="548" customFormat="1" ht="15.75">
      <c r="A40" s="2220"/>
      <c r="B40" s="2223"/>
      <c r="C40" s="2223"/>
      <c r="D40" s="2223"/>
      <c r="E40" s="2223"/>
      <c r="F40" s="2223"/>
      <c r="G40" s="2223"/>
      <c r="H40" s="2223"/>
      <c r="I40" s="2209"/>
      <c r="J40" s="2228"/>
      <c r="K40" s="2205"/>
      <c r="L40" s="14"/>
      <c r="M40" s="14"/>
      <c r="N40" s="14"/>
      <c r="O40" s="14"/>
      <c r="P40" s="16"/>
      <c r="Q40" s="14"/>
      <c r="R40" s="16"/>
      <c r="S40" s="16"/>
      <c r="T40" s="14"/>
      <c r="U40" s="18" t="s">
        <v>1429</v>
      </c>
      <c r="V40" s="220">
        <v>46068</v>
      </c>
      <c r="W40" s="267">
        <v>46082</v>
      </c>
      <c r="X40" s="267">
        <v>46082</v>
      </c>
      <c r="Y40" s="546"/>
      <c r="Z40" s="16"/>
      <c r="AA40" s="547"/>
      <c r="AB40" s="547"/>
      <c r="AC40" s="547"/>
      <c r="AD40" s="547"/>
      <c r="AE40" s="546"/>
      <c r="AF40" s="546"/>
      <c r="AG40" s="14"/>
      <c r="AH40" s="14"/>
      <c r="AI40" s="226"/>
      <c r="AJ40" s="226"/>
      <c r="AK40" s="22"/>
      <c r="AL40" s="1225"/>
      <c r="AM40" s="14"/>
      <c r="AN40" s="14"/>
      <c r="AO40" s="14"/>
      <c r="AP40" s="23"/>
      <c r="AQ40" s="23"/>
      <c r="AR40" s="23"/>
      <c r="AS40" s="15"/>
      <c r="AT40" s="21"/>
      <c r="AU40" s="21"/>
      <c r="AV40" s="21"/>
      <c r="AW40" s="21"/>
      <c r="AX40" s="14"/>
      <c r="AY40" s="14"/>
      <c r="AZ40" s="14"/>
      <c r="BA40" s="14"/>
      <c r="BB40" s="2158"/>
      <c r="BC40" s="2206"/>
      <c r="BD40" s="2217"/>
    </row>
    <row r="41" spans="1:56" ht="14.45" customHeight="1">
      <c r="A41" s="2221"/>
      <c r="B41" s="2224"/>
      <c r="C41" s="2224"/>
      <c r="D41" s="2224"/>
      <c r="E41" s="2224"/>
      <c r="F41" s="2224"/>
      <c r="G41" s="2224"/>
      <c r="H41" s="2224"/>
      <c r="I41" s="2210"/>
      <c r="J41" s="2229"/>
      <c r="K41" s="2225"/>
      <c r="L41" s="1016"/>
      <c r="M41" s="1016"/>
      <c r="N41" s="1016"/>
      <c r="O41" s="1016"/>
      <c r="P41" s="551"/>
      <c r="Q41" s="1016"/>
      <c r="R41" s="551"/>
      <c r="S41" s="551"/>
      <c r="T41" s="1016"/>
      <c r="U41" s="1017" t="s">
        <v>1430</v>
      </c>
      <c r="V41" s="1018">
        <v>46068</v>
      </c>
      <c r="W41" s="1019">
        <v>46172</v>
      </c>
      <c r="X41" s="1019"/>
      <c r="Y41" s="550"/>
      <c r="Z41" s="551"/>
      <c r="AA41" s="552"/>
      <c r="AB41" s="552"/>
      <c r="AC41" s="552"/>
      <c r="AD41" s="552"/>
      <c r="AE41" s="550"/>
      <c r="AF41" s="550"/>
      <c r="AG41" s="1016"/>
      <c r="AH41" s="1016"/>
      <c r="AI41" s="1020"/>
      <c r="AJ41" s="1020"/>
      <c r="AK41" s="1021"/>
      <c r="AL41" s="1229"/>
      <c r="AM41" s="1016"/>
      <c r="AN41" s="1016"/>
      <c r="AO41" s="1016"/>
      <c r="AP41" s="1022"/>
      <c r="AQ41" s="1022"/>
      <c r="AR41" s="1022"/>
      <c r="AS41" s="1008"/>
      <c r="AT41" s="1023"/>
      <c r="AU41" s="1023"/>
      <c r="AV41" s="1023"/>
      <c r="AW41" s="1023"/>
      <c r="AX41" s="1016"/>
      <c r="AY41" s="1016"/>
      <c r="AZ41" s="1016"/>
      <c r="BA41" s="1016"/>
      <c r="BB41" s="2159"/>
      <c r="BC41" s="2215"/>
      <c r="BD41" s="2218"/>
    </row>
    <row r="42" spans="1:56" ht="24">
      <c r="A42" s="2220">
        <v>5</v>
      </c>
      <c r="B42" s="2223" t="s">
        <v>1431</v>
      </c>
      <c r="C42" s="2223" t="s">
        <v>1432</v>
      </c>
      <c r="D42" s="2223">
        <v>5000107447</v>
      </c>
      <c r="E42" s="2223">
        <v>1</v>
      </c>
      <c r="F42" s="2223" t="s">
        <v>1433</v>
      </c>
      <c r="G42" s="2223" t="s">
        <v>1434</v>
      </c>
      <c r="H42" s="2223" t="s">
        <v>1392</v>
      </c>
      <c r="I42" s="2209">
        <v>45771</v>
      </c>
      <c r="J42" s="2209" t="s">
        <v>1435</v>
      </c>
      <c r="K42" s="2205" t="s">
        <v>105</v>
      </c>
      <c r="L42" s="381" t="s">
        <v>1409</v>
      </c>
      <c r="M42" s="386" t="s">
        <v>1412</v>
      </c>
      <c r="N42" s="386" t="s">
        <v>1436</v>
      </c>
      <c r="O42" s="386" t="s">
        <v>1437</v>
      </c>
      <c r="P42" s="322">
        <v>32</v>
      </c>
      <c r="Q42" s="387" t="s">
        <v>1034</v>
      </c>
      <c r="R42" s="322">
        <v>31</v>
      </c>
      <c r="S42" s="322" t="s">
        <v>1346</v>
      </c>
      <c r="T42" s="319">
        <v>100</v>
      </c>
      <c r="U42" s="329" t="s">
        <v>42</v>
      </c>
      <c r="V42" s="1024" t="s">
        <v>1347</v>
      </c>
      <c r="W42" s="1024" t="s">
        <v>1347</v>
      </c>
      <c r="X42" s="1024" t="s">
        <v>1347</v>
      </c>
      <c r="Y42" s="486" t="s">
        <v>1438</v>
      </c>
      <c r="Z42" s="486">
        <v>21</v>
      </c>
      <c r="AA42" s="574">
        <v>45988</v>
      </c>
      <c r="AB42" s="575">
        <v>45996</v>
      </c>
      <c r="AC42" s="576">
        <v>46034</v>
      </c>
      <c r="AD42" s="395">
        <v>46034</v>
      </c>
      <c r="AE42" s="387">
        <v>21</v>
      </c>
      <c r="AF42" s="1219" t="s">
        <v>1439</v>
      </c>
      <c r="AG42" s="1203" t="s">
        <v>1440</v>
      </c>
      <c r="AH42" s="1197" t="s">
        <v>1441</v>
      </c>
      <c r="AI42" s="1201">
        <v>46009</v>
      </c>
      <c r="AJ42" s="1202">
        <v>46009</v>
      </c>
      <c r="AK42" s="1199" t="s">
        <v>1442</v>
      </c>
      <c r="AL42" s="1230">
        <v>1</v>
      </c>
      <c r="AM42" s="1203" t="s">
        <v>1072</v>
      </c>
      <c r="AN42" s="1203">
        <v>1</v>
      </c>
      <c r="AO42" s="1203" t="s">
        <v>1443</v>
      </c>
      <c r="AP42" s="1204" t="s">
        <v>1355</v>
      </c>
      <c r="AQ42" s="1204">
        <v>1</v>
      </c>
      <c r="AR42" s="1204">
        <v>1</v>
      </c>
      <c r="AS42" s="1200" t="s">
        <v>1072</v>
      </c>
      <c r="AT42" s="1205">
        <v>46017</v>
      </c>
      <c r="AU42" s="1202">
        <v>46017</v>
      </c>
      <c r="AV42" s="1202">
        <v>46019</v>
      </c>
      <c r="AW42" s="1202">
        <v>46019</v>
      </c>
      <c r="AX42" s="1206"/>
      <c r="AY42" s="388"/>
      <c r="AZ42" s="388"/>
      <c r="BA42" s="388"/>
      <c r="BB42" s="2158"/>
      <c r="BC42" s="2206"/>
      <c r="BD42" s="2217"/>
    </row>
    <row r="43" spans="1:56" ht="15.75">
      <c r="A43" s="2220"/>
      <c r="B43" s="2223"/>
      <c r="C43" s="2223"/>
      <c r="D43" s="2223"/>
      <c r="E43" s="2223"/>
      <c r="F43" s="2223"/>
      <c r="G43" s="2223"/>
      <c r="H43" s="2223"/>
      <c r="I43" s="2209"/>
      <c r="J43" s="2209"/>
      <c r="K43" s="2205"/>
      <c r="L43" s="14"/>
      <c r="M43" s="15"/>
      <c r="N43" s="15"/>
      <c r="O43" s="15"/>
      <c r="P43" s="16"/>
      <c r="Q43" s="17"/>
      <c r="R43" s="16"/>
      <c r="S43" s="16"/>
      <c r="T43" s="14"/>
      <c r="U43" s="18" t="s">
        <v>1041</v>
      </c>
      <c r="V43" s="220">
        <v>45800</v>
      </c>
      <c r="W43" s="220">
        <v>45800</v>
      </c>
      <c r="X43" s="220">
        <v>45790</v>
      </c>
      <c r="Y43" s="486" t="s">
        <v>1438</v>
      </c>
      <c r="Z43" s="487">
        <v>1</v>
      </c>
      <c r="AA43" s="574">
        <v>45992</v>
      </c>
      <c r="AB43" s="577">
        <v>45996</v>
      </c>
      <c r="AC43" s="578">
        <v>46037</v>
      </c>
      <c r="AD43" s="267">
        <v>46037</v>
      </c>
      <c r="AE43" s="17">
        <v>1</v>
      </c>
      <c r="AF43" s="1219" t="s">
        <v>1439</v>
      </c>
      <c r="AG43" s="20" t="s">
        <v>1444</v>
      </c>
      <c r="AH43" s="351" t="s">
        <v>1445</v>
      </c>
      <c r="AI43" s="2273">
        <v>46056</v>
      </c>
      <c r="AJ43" s="2274" t="s">
        <v>1446</v>
      </c>
      <c r="AK43" s="22" t="s">
        <v>1447</v>
      </c>
      <c r="AL43" s="1225">
        <v>27</v>
      </c>
      <c r="AM43" s="14" t="s">
        <v>1072</v>
      </c>
      <c r="AN43" s="14">
        <v>2</v>
      </c>
      <c r="AO43" s="14" t="s">
        <v>1448</v>
      </c>
      <c r="AP43" s="23">
        <v>14</v>
      </c>
      <c r="AQ43" s="23" t="s">
        <v>1355</v>
      </c>
      <c r="AR43" s="23">
        <v>14</v>
      </c>
      <c r="AS43" s="556" t="s">
        <v>1072</v>
      </c>
      <c r="AT43" s="226">
        <v>46129</v>
      </c>
      <c r="AU43" s="226">
        <v>46126</v>
      </c>
      <c r="AV43" s="226">
        <v>46183</v>
      </c>
      <c r="AW43" s="21"/>
      <c r="AX43" s="14"/>
      <c r="AY43" s="24"/>
      <c r="AZ43" s="24"/>
      <c r="BA43" s="24"/>
      <c r="BB43" s="2158"/>
      <c r="BC43" s="2207"/>
      <c r="BD43" s="2217"/>
    </row>
    <row r="44" spans="1:56" ht="15.75">
      <c r="A44" s="2220"/>
      <c r="B44" s="2223"/>
      <c r="C44" s="2223"/>
      <c r="D44" s="2223"/>
      <c r="E44" s="2223"/>
      <c r="F44" s="2223"/>
      <c r="G44" s="2223"/>
      <c r="H44" s="2223"/>
      <c r="I44" s="2209"/>
      <c r="J44" s="2209"/>
      <c r="K44" s="2205"/>
      <c r="L44" s="14"/>
      <c r="M44" s="14"/>
      <c r="N44" s="14"/>
      <c r="O44" s="14"/>
      <c r="P44" s="16"/>
      <c r="Q44" s="17"/>
      <c r="R44" s="16"/>
      <c r="S44" s="16"/>
      <c r="T44" s="14"/>
      <c r="U44" s="18" t="s">
        <v>1049</v>
      </c>
      <c r="V44" s="220">
        <v>45807</v>
      </c>
      <c r="W44" s="220">
        <v>45817</v>
      </c>
      <c r="X44" s="220">
        <v>45818</v>
      </c>
      <c r="Y44" s="487" t="s">
        <v>1449</v>
      </c>
      <c r="Z44" s="487">
        <v>1</v>
      </c>
      <c r="AA44" s="574">
        <v>45960</v>
      </c>
      <c r="AB44" s="577">
        <v>45903</v>
      </c>
      <c r="AC44" s="577">
        <v>46048</v>
      </c>
      <c r="AD44" s="577">
        <v>46007</v>
      </c>
      <c r="AE44" s="17">
        <v>1</v>
      </c>
      <c r="AF44" s="1219" t="s">
        <v>1439</v>
      </c>
      <c r="AG44" s="20" t="s">
        <v>1450</v>
      </c>
      <c r="AH44" s="351" t="s">
        <v>1451</v>
      </c>
      <c r="AI44" s="2273"/>
      <c r="AJ44" s="2275"/>
      <c r="AK44" s="22" t="s">
        <v>1452</v>
      </c>
      <c r="AL44" s="1225">
        <v>3</v>
      </c>
      <c r="AM44" s="14" t="s">
        <v>1072</v>
      </c>
      <c r="AN44" s="14">
        <v>3</v>
      </c>
      <c r="AO44" s="14" t="s">
        <v>1453</v>
      </c>
      <c r="AP44" s="23" t="s">
        <v>1355</v>
      </c>
      <c r="AQ44" s="23">
        <v>16</v>
      </c>
      <c r="AR44" s="23">
        <v>16</v>
      </c>
      <c r="AS44" s="556" t="s">
        <v>1072</v>
      </c>
      <c r="AT44" s="226">
        <v>46129</v>
      </c>
      <c r="AU44" s="226">
        <v>46126</v>
      </c>
      <c r="AV44" s="226">
        <v>46183</v>
      </c>
      <c r="AW44" s="21"/>
      <c r="AX44" s="14"/>
      <c r="AY44" s="14"/>
      <c r="AZ44" s="14"/>
      <c r="BA44" s="14"/>
      <c r="BB44" s="2158"/>
      <c r="BC44" s="2207"/>
      <c r="BD44" s="2217"/>
    </row>
    <row r="45" spans="1:56" ht="15.75">
      <c r="A45" s="2220"/>
      <c r="B45" s="2223"/>
      <c r="C45" s="2223"/>
      <c r="D45" s="2223"/>
      <c r="E45" s="2223"/>
      <c r="F45" s="2223"/>
      <c r="G45" s="2223"/>
      <c r="H45" s="2223"/>
      <c r="I45" s="2209"/>
      <c r="J45" s="2209"/>
      <c r="K45" s="2205"/>
      <c r="L45" s="14"/>
      <c r="M45" s="14"/>
      <c r="N45" s="14"/>
      <c r="O45" s="14"/>
      <c r="P45" s="16"/>
      <c r="Q45" s="14"/>
      <c r="R45" s="16"/>
      <c r="S45" s="16"/>
      <c r="T45" s="14"/>
      <c r="U45" s="18" t="s">
        <v>65</v>
      </c>
      <c r="V45" s="220">
        <v>45868</v>
      </c>
      <c r="W45" s="267">
        <v>45992</v>
      </c>
      <c r="X45" s="267">
        <v>46001</v>
      </c>
      <c r="Y45" s="487" t="s">
        <v>1449</v>
      </c>
      <c r="Z45" s="487">
        <v>1</v>
      </c>
      <c r="AA45" s="574">
        <v>45899</v>
      </c>
      <c r="AB45" s="574">
        <v>45882</v>
      </c>
      <c r="AC45" s="577">
        <v>46010</v>
      </c>
      <c r="AD45" s="577">
        <v>46010</v>
      </c>
      <c r="AE45" s="17">
        <v>1</v>
      </c>
      <c r="AF45" s="1219" t="s">
        <v>1439</v>
      </c>
      <c r="AG45" s="20" t="s">
        <v>1454</v>
      </c>
      <c r="AH45" s="1266" t="s">
        <v>1455</v>
      </c>
      <c r="AI45" s="616">
        <v>46141</v>
      </c>
      <c r="AJ45" s="383">
        <v>46141</v>
      </c>
      <c r="AK45" s="22" t="s">
        <v>1456</v>
      </c>
      <c r="AL45" s="1225">
        <v>1</v>
      </c>
      <c r="AM45" s="14" t="s">
        <v>1457</v>
      </c>
      <c r="AN45" s="14">
        <v>4</v>
      </c>
      <c r="AO45" s="14" t="s">
        <v>1458</v>
      </c>
      <c r="AP45" s="23">
        <v>1</v>
      </c>
      <c r="AQ45" s="23"/>
      <c r="AR45" s="23"/>
      <c r="AS45" s="15" t="s">
        <v>1457</v>
      </c>
      <c r="AT45" s="320">
        <v>46159</v>
      </c>
      <c r="AU45" s="1432">
        <v>46159</v>
      </c>
      <c r="AV45" s="320">
        <v>46159</v>
      </c>
      <c r="AW45" s="1432">
        <v>46159</v>
      </c>
      <c r="AX45" s="14"/>
      <c r="AY45" s="14"/>
      <c r="AZ45" s="14"/>
      <c r="BA45" s="14"/>
      <c r="BB45" s="2158"/>
      <c r="BC45" s="2207"/>
      <c r="BD45" s="2217"/>
    </row>
    <row r="46" spans="1:56" ht="15.75">
      <c r="A46" s="2220"/>
      <c r="B46" s="2223"/>
      <c r="C46" s="2223"/>
      <c r="D46" s="2223"/>
      <c r="E46" s="2223"/>
      <c r="F46" s="2223"/>
      <c r="G46" s="2223"/>
      <c r="H46" s="2223"/>
      <c r="I46" s="2209"/>
      <c r="J46" s="2209"/>
      <c r="K46" s="2205"/>
      <c r="L46" s="14"/>
      <c r="M46" s="14"/>
      <c r="N46" s="14"/>
      <c r="O46" s="14"/>
      <c r="P46" s="16"/>
      <c r="Q46" s="14"/>
      <c r="R46" s="16"/>
      <c r="S46" s="16"/>
      <c r="T46" s="14"/>
      <c r="U46" s="18" t="s">
        <v>1459</v>
      </c>
      <c r="V46" s="220">
        <v>45930</v>
      </c>
      <c r="W46" s="220">
        <v>46034</v>
      </c>
      <c r="X46" s="220">
        <v>46034</v>
      </c>
      <c r="Y46" s="487" t="s">
        <v>1449</v>
      </c>
      <c r="Z46" s="487">
        <v>2</v>
      </c>
      <c r="AA46" s="574">
        <v>45960</v>
      </c>
      <c r="AB46" s="577">
        <v>45954</v>
      </c>
      <c r="AC46" s="579">
        <v>46048</v>
      </c>
      <c r="AD46" s="577">
        <v>46048</v>
      </c>
      <c r="AE46" s="660">
        <v>2</v>
      </c>
      <c r="AF46" s="1219" t="s">
        <v>1439</v>
      </c>
      <c r="AG46" s="20" t="s">
        <v>1460</v>
      </c>
      <c r="AH46" s="14" t="s">
        <v>1461</v>
      </c>
      <c r="AI46" s="320">
        <v>46142</v>
      </c>
      <c r="AJ46" s="226">
        <v>46142</v>
      </c>
      <c r="AK46" s="22" t="s">
        <v>1462</v>
      </c>
      <c r="AL46" s="1225">
        <v>1</v>
      </c>
      <c r="AM46" s="14" t="s">
        <v>1457</v>
      </c>
      <c r="AN46" s="14">
        <v>5</v>
      </c>
      <c r="AO46" s="14" t="s">
        <v>1458</v>
      </c>
      <c r="AP46" s="23"/>
      <c r="AQ46" s="23">
        <v>1</v>
      </c>
      <c r="AR46" s="23"/>
      <c r="AS46" s="15" t="s">
        <v>1457</v>
      </c>
      <c r="AT46" s="320">
        <v>46159</v>
      </c>
      <c r="AU46" s="1432">
        <v>46159</v>
      </c>
      <c r="AV46" s="320">
        <v>46159</v>
      </c>
      <c r="AW46" s="1432">
        <v>46159</v>
      </c>
      <c r="AX46" s="14"/>
      <c r="AY46" s="14"/>
      <c r="AZ46" s="14"/>
      <c r="BA46" s="14"/>
      <c r="BB46" s="2158"/>
      <c r="BC46" s="2207"/>
      <c r="BD46" s="2217"/>
    </row>
    <row r="47" spans="1:56" ht="15.75">
      <c r="A47" s="2220"/>
      <c r="B47" s="2223"/>
      <c r="C47" s="2223"/>
      <c r="D47" s="2223"/>
      <c r="E47" s="2223"/>
      <c r="F47" s="2223"/>
      <c r="G47" s="2223"/>
      <c r="H47" s="2223"/>
      <c r="I47" s="2209"/>
      <c r="J47" s="2209"/>
      <c r="K47" s="2205"/>
      <c r="L47" s="14"/>
      <c r="M47" s="14"/>
      <c r="N47" s="14"/>
      <c r="O47" s="14"/>
      <c r="P47" s="16"/>
      <c r="Q47" s="14"/>
      <c r="R47" s="16"/>
      <c r="S47" s="16"/>
      <c r="T47" s="14"/>
      <c r="U47" s="18" t="s">
        <v>96</v>
      </c>
      <c r="V47" s="220">
        <v>45940</v>
      </c>
      <c r="W47" s="220">
        <v>46035</v>
      </c>
      <c r="X47" s="220">
        <v>46035</v>
      </c>
      <c r="Y47" s="487" t="s">
        <v>1463</v>
      </c>
      <c r="Z47" s="487" t="s">
        <v>1464</v>
      </c>
      <c r="AA47" s="574">
        <v>45988</v>
      </c>
      <c r="AB47" s="577">
        <v>46001</v>
      </c>
      <c r="AC47" s="579">
        <v>46048</v>
      </c>
      <c r="AD47" s="577">
        <v>46048</v>
      </c>
      <c r="AE47" s="660" t="s">
        <v>1465</v>
      </c>
      <c r="AF47" s="1219" t="s">
        <v>1466</v>
      </c>
      <c r="AG47" s="20"/>
      <c r="AH47" s="14"/>
      <c r="AI47" s="226"/>
      <c r="AJ47" s="226"/>
      <c r="AK47" s="22"/>
      <c r="AL47" s="1225"/>
      <c r="AM47" s="14"/>
      <c r="AN47" s="14"/>
      <c r="AO47" s="14"/>
      <c r="AP47" s="23"/>
      <c r="AQ47" s="23"/>
      <c r="AR47" s="23"/>
      <c r="AS47" s="15"/>
      <c r="AT47" s="226"/>
      <c r="AU47" s="226"/>
      <c r="AV47" s="226"/>
      <c r="AW47" s="21"/>
      <c r="AX47" s="14"/>
      <c r="AY47" s="14"/>
      <c r="AZ47" s="14"/>
      <c r="BA47" s="14"/>
      <c r="BB47" s="2158"/>
      <c r="BC47" s="2207"/>
      <c r="BD47" s="2217"/>
    </row>
    <row r="48" spans="1:56" ht="15.75">
      <c r="A48" s="2220"/>
      <c r="B48" s="2223"/>
      <c r="C48" s="2223"/>
      <c r="D48" s="2223"/>
      <c r="E48" s="2223"/>
      <c r="F48" s="2223"/>
      <c r="G48" s="2223"/>
      <c r="H48" s="2223"/>
      <c r="I48" s="2209"/>
      <c r="J48" s="2209"/>
      <c r="K48" s="2205"/>
      <c r="L48" s="14"/>
      <c r="M48" s="14"/>
      <c r="N48" s="14"/>
      <c r="O48" s="14"/>
      <c r="P48" s="16"/>
      <c r="Q48" s="14"/>
      <c r="R48" s="16"/>
      <c r="S48" s="16"/>
      <c r="T48" s="14"/>
      <c r="U48" s="25" t="s">
        <v>1361</v>
      </c>
      <c r="V48" s="220">
        <v>46022</v>
      </c>
      <c r="W48" s="220">
        <v>46053</v>
      </c>
      <c r="X48" s="220">
        <v>46050</v>
      </c>
      <c r="Y48" s="18"/>
      <c r="Z48" s="16"/>
      <c r="AA48" s="514"/>
      <c r="AB48" s="514"/>
      <c r="AC48" s="514"/>
      <c r="AD48" s="514"/>
      <c r="AE48" s="18"/>
      <c r="AF48" s="18"/>
      <c r="AG48" s="14"/>
      <c r="AH48" s="14"/>
      <c r="AI48" s="226"/>
      <c r="AJ48" s="226"/>
      <c r="AK48" s="22"/>
      <c r="AL48" s="1225"/>
      <c r="AM48" s="14"/>
      <c r="AN48" s="14"/>
      <c r="AO48" s="14"/>
      <c r="AP48" s="23"/>
      <c r="AQ48" s="23"/>
      <c r="AR48" s="23"/>
      <c r="AS48" s="15"/>
      <c r="AT48" s="226"/>
      <c r="AU48" s="226"/>
      <c r="AV48" s="226"/>
      <c r="AW48" s="21"/>
      <c r="AX48" s="14"/>
      <c r="AY48" s="14"/>
      <c r="AZ48" s="14"/>
      <c r="BA48" s="14"/>
      <c r="BB48" s="2158"/>
      <c r="BC48" s="2207"/>
      <c r="BD48" s="2217"/>
    </row>
    <row r="49" spans="1:56" ht="15.75">
      <c r="A49" s="2220"/>
      <c r="B49" s="2223"/>
      <c r="C49" s="2223"/>
      <c r="D49" s="2223"/>
      <c r="E49" s="2223"/>
      <c r="F49" s="2223"/>
      <c r="G49" s="2223"/>
      <c r="H49" s="2223"/>
      <c r="I49" s="2209"/>
      <c r="J49" s="2209"/>
      <c r="K49" s="2205"/>
      <c r="L49" s="14"/>
      <c r="M49" s="14"/>
      <c r="N49" s="14"/>
      <c r="O49" s="14"/>
      <c r="P49" s="16"/>
      <c r="Q49" s="14"/>
      <c r="R49" s="16"/>
      <c r="S49" s="16"/>
      <c r="T49" s="14"/>
      <c r="U49" s="25" t="s">
        <v>472</v>
      </c>
      <c r="V49" s="220">
        <v>46032</v>
      </c>
      <c r="W49" s="220">
        <v>46056</v>
      </c>
      <c r="X49" s="220">
        <v>46056</v>
      </c>
      <c r="Y49" s="14"/>
      <c r="Z49" s="16"/>
      <c r="AA49" s="514"/>
      <c r="AB49" s="514"/>
      <c r="AC49" s="514"/>
      <c r="AD49" s="514"/>
      <c r="AE49" s="18"/>
      <c r="AF49" s="18"/>
      <c r="AG49" s="14"/>
      <c r="AH49" s="14"/>
      <c r="AI49" s="226"/>
      <c r="AJ49" s="226"/>
      <c r="AK49" s="22"/>
      <c r="AL49" s="1225"/>
      <c r="AM49" s="14"/>
      <c r="AN49" s="14"/>
      <c r="AO49" s="14"/>
      <c r="AP49" s="23"/>
      <c r="AQ49" s="23"/>
      <c r="AR49" s="23"/>
      <c r="AS49" s="15"/>
      <c r="AT49" s="226"/>
      <c r="AU49" s="226"/>
      <c r="AV49" s="226"/>
      <c r="AW49" s="21"/>
      <c r="AX49" s="14"/>
      <c r="AY49" s="14"/>
      <c r="AZ49" s="14"/>
      <c r="BA49" s="14"/>
      <c r="BB49" s="2158"/>
      <c r="BC49" s="2207"/>
      <c r="BD49" s="2217"/>
    </row>
    <row r="50" spans="1:56" ht="15.75">
      <c r="A50" s="2220"/>
      <c r="B50" s="2223"/>
      <c r="C50" s="2223"/>
      <c r="D50" s="2223"/>
      <c r="E50" s="2223"/>
      <c r="F50" s="2223"/>
      <c r="G50" s="2223"/>
      <c r="H50" s="2223"/>
      <c r="I50" s="2209"/>
      <c r="J50" s="2209"/>
      <c r="K50" s="2205"/>
      <c r="L50" s="108"/>
      <c r="M50" s="108"/>
      <c r="N50" s="108"/>
      <c r="O50" s="108"/>
      <c r="P50" s="109"/>
      <c r="Q50" s="108"/>
      <c r="R50" s="109"/>
      <c r="S50" s="109"/>
      <c r="T50" s="108"/>
      <c r="U50" s="317" t="s">
        <v>1467</v>
      </c>
      <c r="V50" s="221">
        <v>45889</v>
      </c>
      <c r="W50" s="221">
        <v>46010</v>
      </c>
      <c r="X50" s="221">
        <v>46017</v>
      </c>
      <c r="Y50" s="108"/>
      <c r="Z50" s="109"/>
      <c r="AA50" s="515"/>
      <c r="AB50" s="515"/>
      <c r="AC50" s="515"/>
      <c r="AD50" s="515"/>
      <c r="AE50" s="110"/>
      <c r="AF50" s="110"/>
      <c r="AG50" s="108"/>
      <c r="AH50" s="108"/>
      <c r="AI50" s="227"/>
      <c r="AJ50" s="227"/>
      <c r="AK50" s="112"/>
      <c r="AL50" s="1227"/>
      <c r="AM50" s="108"/>
      <c r="AN50" s="108"/>
      <c r="AO50" s="108"/>
      <c r="AP50" s="113"/>
      <c r="AQ50" s="113"/>
      <c r="AR50" s="113"/>
      <c r="AS50" s="114"/>
      <c r="AT50" s="227"/>
      <c r="AU50" s="227"/>
      <c r="AV50" s="227"/>
      <c r="AW50" s="111"/>
      <c r="AX50" s="108"/>
      <c r="AY50" s="108"/>
      <c r="AZ50" s="108"/>
      <c r="BA50" s="108"/>
      <c r="BB50" s="2158"/>
      <c r="BC50" s="2207"/>
      <c r="BD50" s="2217"/>
    </row>
    <row r="51" spans="1:56" ht="15.75">
      <c r="A51" s="2220"/>
      <c r="B51" s="2223"/>
      <c r="C51" s="2223"/>
      <c r="D51" s="2223"/>
      <c r="E51" s="2223"/>
      <c r="F51" s="2223"/>
      <c r="G51" s="2223"/>
      <c r="H51" s="2223"/>
      <c r="I51" s="2209"/>
      <c r="J51" s="2209"/>
      <c r="K51" s="2205"/>
      <c r="L51" s="108"/>
      <c r="M51" s="108"/>
      <c r="N51" s="108"/>
      <c r="O51" s="108"/>
      <c r="P51" s="109"/>
      <c r="Q51" s="108"/>
      <c r="R51" s="109"/>
      <c r="S51" s="109"/>
      <c r="T51" s="108"/>
      <c r="U51" s="317" t="s">
        <v>1468</v>
      </c>
      <c r="V51" s="221">
        <v>46054</v>
      </c>
      <c r="W51" s="221">
        <v>46082</v>
      </c>
      <c r="X51" s="221">
        <v>46082</v>
      </c>
      <c r="Y51" s="108"/>
      <c r="Z51" s="109"/>
      <c r="AA51" s="515"/>
      <c r="AB51" s="515"/>
      <c r="AC51" s="515"/>
      <c r="AD51" s="515"/>
      <c r="AE51" s="110"/>
      <c r="AF51" s="110"/>
      <c r="AG51" s="108"/>
      <c r="AH51" s="108"/>
      <c r="AI51" s="227"/>
      <c r="AJ51" s="227"/>
      <c r="AK51" s="112"/>
      <c r="AL51" s="1227"/>
      <c r="AM51" s="108"/>
      <c r="AN51" s="108"/>
      <c r="AO51" s="108"/>
      <c r="AP51" s="113"/>
      <c r="AQ51" s="113"/>
      <c r="AR51" s="113"/>
      <c r="AS51" s="114"/>
      <c r="AT51" s="227"/>
      <c r="AU51" s="227"/>
      <c r="AV51" s="227"/>
      <c r="AW51" s="111"/>
      <c r="AX51" s="108"/>
      <c r="AY51" s="108"/>
      <c r="AZ51" s="108"/>
      <c r="BA51" s="108"/>
      <c r="BB51" s="2158"/>
      <c r="BC51" s="2207"/>
      <c r="BD51" s="2217"/>
    </row>
    <row r="52" spans="1:56" ht="15.75">
      <c r="A52" s="2220"/>
      <c r="B52" s="2223"/>
      <c r="C52" s="2223"/>
      <c r="D52" s="2223"/>
      <c r="E52" s="2223"/>
      <c r="F52" s="2223"/>
      <c r="G52" s="2223"/>
      <c r="H52" s="2223"/>
      <c r="I52" s="2209"/>
      <c r="J52" s="2209"/>
      <c r="K52" s="2205"/>
      <c r="L52" s="108"/>
      <c r="M52" s="108"/>
      <c r="N52" s="108"/>
      <c r="O52" s="108"/>
      <c r="P52" s="109"/>
      <c r="Q52" s="108"/>
      <c r="R52" s="109"/>
      <c r="S52" s="109"/>
      <c r="T52" s="108"/>
      <c r="U52" s="110" t="s">
        <v>1469</v>
      </c>
      <c r="V52" s="221">
        <v>46054</v>
      </c>
      <c r="W52" s="222">
        <v>46159</v>
      </c>
      <c r="X52" s="1448">
        <v>46159</v>
      </c>
      <c r="Y52" s="485"/>
      <c r="Z52" s="109"/>
      <c r="AA52" s="545"/>
      <c r="AB52" s="545"/>
      <c r="AC52" s="545"/>
      <c r="AD52" s="545"/>
      <c r="AE52" s="485"/>
      <c r="AF52" s="317"/>
      <c r="AG52" s="108"/>
      <c r="AH52" s="108"/>
      <c r="AI52" s="227"/>
      <c r="AJ52" s="227"/>
      <c r="AK52" s="112"/>
      <c r="AL52" s="1227"/>
      <c r="AM52" s="108"/>
      <c r="AN52" s="108"/>
      <c r="AO52" s="108"/>
      <c r="AP52" s="113"/>
      <c r="AQ52" s="113"/>
      <c r="AR52" s="113"/>
      <c r="AS52" s="114"/>
      <c r="AT52" s="227"/>
      <c r="AU52" s="227"/>
      <c r="AV52" s="227"/>
      <c r="AW52" s="111"/>
      <c r="AX52" s="108"/>
      <c r="AY52" s="108"/>
      <c r="AZ52" s="108"/>
      <c r="BA52" s="108"/>
      <c r="BB52" s="2158"/>
      <c r="BC52" s="2207"/>
      <c r="BD52" s="2217"/>
    </row>
    <row r="53" spans="1:56" ht="24">
      <c r="A53" s="2219">
        <v>6</v>
      </c>
      <c r="B53" s="2222" t="s">
        <v>1470</v>
      </c>
      <c r="C53" s="2222" t="s">
        <v>1471</v>
      </c>
      <c r="D53" s="2222">
        <v>5000107469</v>
      </c>
      <c r="E53" s="2222">
        <v>3</v>
      </c>
      <c r="F53" s="2222" t="s">
        <v>1408</v>
      </c>
      <c r="G53" s="2222" t="s">
        <v>1392</v>
      </c>
      <c r="H53" s="2222" t="s">
        <v>1392</v>
      </c>
      <c r="I53" s="2208">
        <v>45771</v>
      </c>
      <c r="J53" s="2208">
        <v>46054</v>
      </c>
      <c r="K53" s="2211" t="s">
        <v>105</v>
      </c>
      <c r="L53" s="3" t="s">
        <v>1409</v>
      </c>
      <c r="M53" s="9" t="s">
        <v>1472</v>
      </c>
      <c r="N53" s="9" t="s">
        <v>1410</v>
      </c>
      <c r="O53" s="9" t="s">
        <v>1473</v>
      </c>
      <c r="P53" s="4">
        <v>29</v>
      </c>
      <c r="Q53" s="5" t="s">
        <v>1034</v>
      </c>
      <c r="R53" s="4">
        <v>10</v>
      </c>
      <c r="S53" s="4">
        <v>26</v>
      </c>
      <c r="T53" s="2">
        <v>38.5</v>
      </c>
      <c r="U53" s="6" t="s">
        <v>42</v>
      </c>
      <c r="V53" s="484" t="s">
        <v>1347</v>
      </c>
      <c r="W53" s="484" t="s">
        <v>1347</v>
      </c>
      <c r="X53" s="484" t="s">
        <v>1347</v>
      </c>
      <c r="Y53" s="6" t="s">
        <v>1474</v>
      </c>
      <c r="Z53" s="4">
        <v>10</v>
      </c>
      <c r="AA53" s="219">
        <v>45930</v>
      </c>
      <c r="AB53" s="219">
        <v>45932</v>
      </c>
      <c r="AC53" s="219">
        <v>46022</v>
      </c>
      <c r="AD53" s="219">
        <v>45991</v>
      </c>
      <c r="AE53" s="5">
        <v>10</v>
      </c>
      <c r="AF53" s="7" t="s">
        <v>1475</v>
      </c>
      <c r="AG53" s="2" t="s">
        <v>1476</v>
      </c>
      <c r="AH53" s="8" t="s">
        <v>1477</v>
      </c>
      <c r="AI53" s="219">
        <v>46049</v>
      </c>
      <c r="AJ53" s="225">
        <v>46049</v>
      </c>
      <c r="AK53" s="10" t="s">
        <v>1478</v>
      </c>
      <c r="AL53" s="1228">
        <v>10</v>
      </c>
      <c r="AM53" s="2" t="s">
        <v>1072</v>
      </c>
      <c r="AN53" s="2">
        <v>1</v>
      </c>
      <c r="AO53" s="2" t="s">
        <v>1479</v>
      </c>
      <c r="AP53" s="11" t="s">
        <v>1355</v>
      </c>
      <c r="AQ53" s="11">
        <v>10</v>
      </c>
      <c r="AR53" s="11">
        <v>10</v>
      </c>
      <c r="AS53" s="3" t="s">
        <v>1072</v>
      </c>
      <c r="AT53" s="225">
        <v>46070</v>
      </c>
      <c r="AU53" s="225">
        <v>46074</v>
      </c>
      <c r="AV53" s="1451">
        <v>46180</v>
      </c>
      <c r="AW53" s="225"/>
      <c r="AX53" s="391"/>
      <c r="AY53" s="13"/>
      <c r="AZ53" s="13"/>
      <c r="BA53" s="13"/>
      <c r="BB53" s="2157"/>
      <c r="BC53" s="2214"/>
      <c r="BD53" s="2216"/>
    </row>
    <row r="54" spans="1:56" ht="15.75">
      <c r="A54" s="2220"/>
      <c r="B54" s="2223"/>
      <c r="C54" s="2223"/>
      <c r="D54" s="2223"/>
      <c r="E54" s="2223"/>
      <c r="F54" s="2223"/>
      <c r="G54" s="2223"/>
      <c r="H54" s="2223"/>
      <c r="I54" s="2209"/>
      <c r="J54" s="2209"/>
      <c r="K54" s="2205"/>
      <c r="L54" s="14"/>
      <c r="M54" s="15"/>
      <c r="N54" s="15"/>
      <c r="O54" s="15"/>
      <c r="P54" s="16"/>
      <c r="Q54" s="17"/>
      <c r="R54" s="16"/>
      <c r="S54" s="16"/>
      <c r="T54" s="14"/>
      <c r="U54" s="18" t="s">
        <v>1041</v>
      </c>
      <c r="V54" s="220">
        <v>45805</v>
      </c>
      <c r="W54" s="220">
        <v>45805</v>
      </c>
      <c r="X54" s="220">
        <v>45810</v>
      </c>
      <c r="Y54" s="18" t="s">
        <v>1480</v>
      </c>
      <c r="Z54" s="16">
        <v>20</v>
      </c>
      <c r="AA54" s="267">
        <v>45932</v>
      </c>
      <c r="AB54" s="220">
        <v>45932</v>
      </c>
      <c r="AC54" s="220">
        <v>45966</v>
      </c>
      <c r="AD54" s="220">
        <v>45966</v>
      </c>
      <c r="AE54" s="17">
        <v>20</v>
      </c>
      <c r="AF54" s="19" t="s">
        <v>1481</v>
      </c>
      <c r="AG54" s="883" t="s">
        <v>1482</v>
      </c>
      <c r="AH54" s="876" t="s">
        <v>1483</v>
      </c>
      <c r="AI54" s="874">
        <v>46120</v>
      </c>
      <c r="AJ54" s="874">
        <v>46120</v>
      </c>
      <c r="AK54" s="884" t="s">
        <v>1484</v>
      </c>
      <c r="AL54" s="1221">
        <v>12</v>
      </c>
      <c r="AM54" s="876" t="s">
        <v>1072</v>
      </c>
      <c r="AN54" s="876">
        <v>2</v>
      </c>
      <c r="AO54" s="876" t="s">
        <v>1485</v>
      </c>
      <c r="AP54" s="1221">
        <v>12</v>
      </c>
      <c r="AQ54" s="887"/>
      <c r="AR54" s="1221">
        <v>12</v>
      </c>
      <c r="AS54" s="877" t="s">
        <v>1072</v>
      </c>
      <c r="AT54" s="874">
        <v>46137</v>
      </c>
      <c r="AU54" s="874">
        <v>46137</v>
      </c>
      <c r="AV54" s="874">
        <v>46140</v>
      </c>
      <c r="AW54" s="874">
        <v>46137</v>
      </c>
      <c r="AX54" s="1213"/>
      <c r="AY54" s="24"/>
      <c r="AZ54" s="24"/>
      <c r="BA54" s="24"/>
      <c r="BB54" s="2158"/>
      <c r="BC54" s="2206"/>
      <c r="BD54" s="2217"/>
    </row>
    <row r="55" spans="1:56" ht="15.75">
      <c r="A55" s="2220"/>
      <c r="B55" s="2223"/>
      <c r="C55" s="2223"/>
      <c r="D55" s="2223"/>
      <c r="E55" s="2223"/>
      <c r="F55" s="2223"/>
      <c r="G55" s="2223"/>
      <c r="H55" s="2223"/>
      <c r="I55" s="2209"/>
      <c r="J55" s="2209"/>
      <c r="K55" s="2205"/>
      <c r="L55" s="14"/>
      <c r="M55" s="14"/>
      <c r="N55" s="14"/>
      <c r="O55" s="14"/>
      <c r="P55" s="16"/>
      <c r="Q55" s="17"/>
      <c r="R55" s="16"/>
      <c r="S55" s="16"/>
      <c r="T55" s="14"/>
      <c r="U55" s="18" t="s">
        <v>1049</v>
      </c>
      <c r="V55" s="220">
        <v>45836</v>
      </c>
      <c r="W55" s="220">
        <v>45823</v>
      </c>
      <c r="X55" s="220">
        <v>45824</v>
      </c>
      <c r="Y55" s="18" t="s">
        <v>1486</v>
      </c>
      <c r="Z55" s="16">
        <v>36</v>
      </c>
      <c r="AA55" s="220">
        <v>45994</v>
      </c>
      <c r="AB55" s="220">
        <v>45994</v>
      </c>
      <c r="AC55" s="267">
        <v>46063</v>
      </c>
      <c r="AD55" s="267">
        <v>46063</v>
      </c>
      <c r="AE55" s="17">
        <v>36</v>
      </c>
      <c r="AF55" s="18" t="s">
        <v>1475</v>
      </c>
      <c r="AG55" s="20" t="s">
        <v>1487</v>
      </c>
      <c r="AH55" s="14" t="s">
        <v>1488</v>
      </c>
      <c r="AI55" s="226">
        <v>46153</v>
      </c>
      <c r="AJ55" s="226" t="s">
        <v>1489</v>
      </c>
      <c r="AK55" s="22" t="s">
        <v>1490</v>
      </c>
      <c r="AL55" s="1225">
        <v>5</v>
      </c>
      <c r="AM55" s="14" t="s">
        <v>1072</v>
      </c>
      <c r="AN55" s="14">
        <v>3</v>
      </c>
      <c r="AO55" s="14" t="s">
        <v>1491</v>
      </c>
      <c r="AP55" s="23" t="s">
        <v>1355</v>
      </c>
      <c r="AQ55" s="23">
        <v>5</v>
      </c>
      <c r="AR55" s="23">
        <v>5</v>
      </c>
      <c r="AS55" s="15" t="s">
        <v>1072</v>
      </c>
      <c r="AT55" s="226">
        <v>46157</v>
      </c>
      <c r="AU55" s="226">
        <v>46156</v>
      </c>
      <c r="AV55" s="226">
        <v>46159</v>
      </c>
      <c r="AW55" s="1432">
        <v>46156</v>
      </c>
      <c r="AX55" s="392"/>
      <c r="AY55" s="14"/>
      <c r="AZ55" s="14"/>
      <c r="BA55" s="14"/>
      <c r="BB55" s="2158"/>
      <c r="BC55" s="2206"/>
      <c r="BD55" s="2217"/>
    </row>
    <row r="56" spans="1:56" ht="15.75">
      <c r="A56" s="2220"/>
      <c r="B56" s="2223"/>
      <c r="C56" s="2223"/>
      <c r="D56" s="2223"/>
      <c r="E56" s="2223"/>
      <c r="F56" s="2223"/>
      <c r="G56" s="2223"/>
      <c r="H56" s="2223"/>
      <c r="I56" s="2209"/>
      <c r="J56" s="2209"/>
      <c r="K56" s="2205"/>
      <c r="L56" s="14"/>
      <c r="M56" s="14"/>
      <c r="N56" s="14"/>
      <c r="O56" s="14"/>
      <c r="P56" s="16"/>
      <c r="Q56" s="14"/>
      <c r="R56" s="16"/>
      <c r="S56" s="16"/>
      <c r="T56" s="14"/>
      <c r="U56" s="18" t="s">
        <v>65</v>
      </c>
      <c r="V56" s="220">
        <v>45899</v>
      </c>
      <c r="W56" s="267">
        <v>45976</v>
      </c>
      <c r="X56" s="267">
        <v>45932</v>
      </c>
      <c r="Y56" s="18" t="s">
        <v>1492</v>
      </c>
      <c r="Z56" s="16">
        <v>24</v>
      </c>
      <c r="AA56" s="220">
        <v>46037</v>
      </c>
      <c r="AB56" s="220">
        <v>46037</v>
      </c>
      <c r="AC56" s="220">
        <v>46051</v>
      </c>
      <c r="AD56" s="220">
        <v>46063</v>
      </c>
      <c r="AE56" s="17">
        <v>24</v>
      </c>
      <c r="AF56" s="18" t="s">
        <v>1481</v>
      </c>
      <c r="AG56" s="20" t="s">
        <v>1493</v>
      </c>
      <c r="AH56" s="14" t="s">
        <v>1494</v>
      </c>
      <c r="AI56" s="226">
        <v>46168</v>
      </c>
      <c r="AJ56" s="226"/>
      <c r="AK56" s="22"/>
      <c r="AL56" s="1225">
        <v>25</v>
      </c>
      <c r="AM56" s="14" t="s">
        <v>1072</v>
      </c>
      <c r="AN56" s="14"/>
      <c r="AO56" s="14"/>
      <c r="AP56" s="23"/>
      <c r="AQ56" s="23"/>
      <c r="AR56" s="23"/>
      <c r="AS56" s="15"/>
      <c r="AT56" s="226"/>
      <c r="AU56" s="226"/>
      <c r="AV56" s="226"/>
      <c r="AW56" s="1432"/>
      <c r="AX56" s="392"/>
      <c r="AY56" s="14"/>
      <c r="AZ56" s="14"/>
      <c r="BA56" s="14"/>
      <c r="BB56" s="2158"/>
      <c r="BC56" s="2206"/>
      <c r="BD56" s="2217"/>
    </row>
    <row r="57" spans="1:56" ht="15.75">
      <c r="A57" s="2220"/>
      <c r="B57" s="2223"/>
      <c r="C57" s="2223"/>
      <c r="D57" s="2223"/>
      <c r="E57" s="2223"/>
      <c r="F57" s="2223"/>
      <c r="G57" s="2223"/>
      <c r="H57" s="2223"/>
      <c r="I57" s="2209"/>
      <c r="J57" s="2209"/>
      <c r="K57" s="2205"/>
      <c r="L57" s="108"/>
      <c r="M57" s="108"/>
      <c r="N57" s="108"/>
      <c r="O57" s="108"/>
      <c r="P57" s="109"/>
      <c r="Q57" s="108"/>
      <c r="R57" s="109"/>
      <c r="S57" s="109"/>
      <c r="T57" s="108"/>
      <c r="U57" s="110" t="s">
        <v>75</v>
      </c>
      <c r="V57" s="220">
        <v>45960</v>
      </c>
      <c r="W57" s="220">
        <v>46006</v>
      </c>
      <c r="X57" s="220">
        <v>45991</v>
      </c>
      <c r="Y57" s="110"/>
      <c r="Z57" s="109"/>
      <c r="AA57" s="515"/>
      <c r="AB57" s="515"/>
      <c r="AC57" s="515"/>
      <c r="AD57" s="515"/>
      <c r="AE57" s="110"/>
      <c r="AF57" s="110"/>
      <c r="AG57" s="323"/>
      <c r="AH57" s="108"/>
      <c r="AI57" s="227"/>
      <c r="AJ57" s="227"/>
      <c r="AK57" s="112"/>
      <c r="AL57" s="1227"/>
      <c r="AM57" s="108"/>
      <c r="AN57" s="108"/>
      <c r="AO57" s="108"/>
      <c r="AP57" s="113"/>
      <c r="AQ57" s="113"/>
      <c r="AR57" s="113"/>
      <c r="AS57" s="114"/>
      <c r="AT57" s="111"/>
      <c r="AU57" s="111"/>
      <c r="AV57" s="111"/>
      <c r="AW57" s="111"/>
      <c r="AX57" s="108"/>
      <c r="AY57" s="14"/>
      <c r="AZ57" s="14"/>
      <c r="BA57" s="14"/>
      <c r="BB57" s="2158"/>
      <c r="BC57" s="2206"/>
      <c r="BD57" s="2217"/>
    </row>
    <row r="58" spans="1:56" ht="15.75">
      <c r="A58" s="2220"/>
      <c r="B58" s="2223"/>
      <c r="C58" s="2223"/>
      <c r="D58" s="2223"/>
      <c r="E58" s="2223"/>
      <c r="F58" s="2223"/>
      <c r="G58" s="2223"/>
      <c r="H58" s="2223"/>
      <c r="I58" s="2209"/>
      <c r="J58" s="2209"/>
      <c r="K58" s="2212"/>
      <c r="L58" s="14"/>
      <c r="M58" s="14"/>
      <c r="N58" s="14"/>
      <c r="O58" s="14"/>
      <c r="P58" s="16"/>
      <c r="Q58" s="14"/>
      <c r="R58" s="16"/>
      <c r="S58" s="16"/>
      <c r="T58" s="14"/>
      <c r="U58" s="18" t="s">
        <v>96</v>
      </c>
      <c r="V58" s="220">
        <v>45962</v>
      </c>
      <c r="W58" s="220">
        <v>46011</v>
      </c>
      <c r="X58" s="220">
        <v>45993</v>
      </c>
      <c r="Y58" s="18"/>
      <c r="Z58" s="16"/>
      <c r="AA58" s="514"/>
      <c r="AB58" s="514"/>
      <c r="AC58" s="514"/>
      <c r="AD58" s="514"/>
      <c r="AE58" s="18"/>
      <c r="AF58" s="18"/>
      <c r="AG58" s="20"/>
      <c r="AH58" s="14"/>
      <c r="AI58" s="226"/>
      <c r="AJ58" s="226"/>
      <c r="AK58" s="22"/>
      <c r="AL58" s="1225"/>
      <c r="AM58" s="14"/>
      <c r="AN58" s="14"/>
      <c r="AO58" s="14"/>
      <c r="AP58" s="23"/>
      <c r="AQ58" s="23"/>
      <c r="AR58" s="23"/>
      <c r="AS58" s="15"/>
      <c r="AT58" s="21"/>
      <c r="AU58" s="21"/>
      <c r="AV58" s="21"/>
      <c r="AW58" s="21"/>
      <c r="AX58" s="14"/>
      <c r="AY58" s="325"/>
      <c r="AZ58" s="14"/>
      <c r="BA58" s="14"/>
      <c r="BB58" s="2158"/>
      <c r="BC58" s="2206"/>
      <c r="BD58" s="2217"/>
    </row>
    <row r="59" spans="1:56" ht="15.75">
      <c r="A59" s="2220"/>
      <c r="B59" s="2223"/>
      <c r="C59" s="2223"/>
      <c r="D59" s="2223"/>
      <c r="E59" s="2223"/>
      <c r="F59" s="2223"/>
      <c r="G59" s="2223"/>
      <c r="H59" s="2223"/>
      <c r="I59" s="2209"/>
      <c r="J59" s="2209"/>
      <c r="K59" s="2212"/>
      <c r="L59" s="14"/>
      <c r="M59" s="14"/>
      <c r="N59" s="14"/>
      <c r="O59" s="14"/>
      <c r="P59" s="16"/>
      <c r="Q59" s="14"/>
      <c r="R59" s="16"/>
      <c r="S59" s="16"/>
      <c r="T59" s="14"/>
      <c r="U59" s="25" t="s">
        <v>1361</v>
      </c>
      <c r="V59" s="220">
        <v>46032</v>
      </c>
      <c r="W59" s="267">
        <v>46044</v>
      </c>
      <c r="X59" s="220">
        <v>46044</v>
      </c>
      <c r="Y59" s="18"/>
      <c r="Z59" s="16"/>
      <c r="AA59" s="514"/>
      <c r="AB59" s="514"/>
      <c r="AC59" s="514"/>
      <c r="AD59" s="514"/>
      <c r="AE59" s="18"/>
      <c r="AF59" s="18"/>
      <c r="AG59" s="14"/>
      <c r="AH59" s="14"/>
      <c r="AI59" s="226"/>
      <c r="AJ59" s="226"/>
      <c r="AK59" s="22"/>
      <c r="AL59" s="1225"/>
      <c r="AM59" s="14"/>
      <c r="AN59" s="14"/>
      <c r="AO59" s="14"/>
      <c r="AP59" s="23"/>
      <c r="AQ59" s="23"/>
      <c r="AR59" s="23"/>
      <c r="AS59" s="15"/>
      <c r="AT59" s="21"/>
      <c r="AU59" s="21"/>
      <c r="AV59" s="21"/>
      <c r="AW59" s="21"/>
      <c r="AX59" s="14"/>
      <c r="AY59" s="325"/>
      <c r="AZ59" s="14"/>
      <c r="BA59" s="14"/>
      <c r="BB59" s="2158"/>
      <c r="BC59" s="2206"/>
      <c r="BD59" s="2217"/>
    </row>
    <row r="60" spans="1:56" ht="15.75">
      <c r="A60" s="2220"/>
      <c r="B60" s="2223"/>
      <c r="C60" s="2223"/>
      <c r="D60" s="2223"/>
      <c r="E60" s="2223"/>
      <c r="F60" s="2223"/>
      <c r="G60" s="2223"/>
      <c r="H60" s="2223"/>
      <c r="I60" s="2209"/>
      <c r="J60" s="2209"/>
      <c r="K60" s="2212"/>
      <c r="L60" s="14"/>
      <c r="M60" s="14"/>
      <c r="N60" s="14"/>
      <c r="O60" s="14"/>
      <c r="P60" s="16"/>
      <c r="Q60" s="14"/>
      <c r="R60" s="16"/>
      <c r="S60" s="16"/>
      <c r="T60" s="14"/>
      <c r="U60" s="25" t="s">
        <v>472</v>
      </c>
      <c r="V60" s="220">
        <v>46037</v>
      </c>
      <c r="W60" s="220">
        <v>46049</v>
      </c>
      <c r="X60" s="220">
        <v>46049</v>
      </c>
      <c r="Y60" s="14"/>
      <c r="Z60" s="16"/>
      <c r="AA60" s="514"/>
      <c r="AB60" s="514"/>
      <c r="AC60" s="514"/>
      <c r="AD60" s="514"/>
      <c r="AE60" s="18"/>
      <c r="AF60" s="18"/>
      <c r="AG60" s="14"/>
      <c r="AH60" s="14"/>
      <c r="AI60" s="226"/>
      <c r="AJ60" s="226"/>
      <c r="AL60" s="1225"/>
      <c r="AM60" s="14"/>
      <c r="AN60" s="14"/>
      <c r="AO60" s="14"/>
      <c r="AP60" s="23"/>
      <c r="AQ60" s="23"/>
      <c r="AR60" s="23"/>
      <c r="AS60" s="15"/>
      <c r="AT60" s="21"/>
      <c r="AU60" s="21"/>
      <c r="AV60" s="21"/>
      <c r="AW60" s="21"/>
      <c r="AX60" s="14"/>
      <c r="AY60" s="325"/>
      <c r="AZ60" s="14"/>
      <c r="BA60" s="14"/>
      <c r="BB60" s="2158"/>
      <c r="BC60" s="2206"/>
      <c r="BD60" s="2217"/>
    </row>
    <row r="61" spans="1:56" ht="15.75">
      <c r="A61" s="2220"/>
      <c r="B61" s="2223"/>
      <c r="C61" s="2223"/>
      <c r="D61" s="2223"/>
      <c r="E61" s="2223"/>
      <c r="F61" s="2223"/>
      <c r="G61" s="2223"/>
      <c r="H61" s="2223"/>
      <c r="I61" s="2209"/>
      <c r="J61" s="2209"/>
      <c r="K61" s="2212"/>
      <c r="L61" s="14"/>
      <c r="M61" s="14"/>
      <c r="N61" s="14"/>
      <c r="O61" s="14"/>
      <c r="P61" s="16"/>
      <c r="Q61" s="14"/>
      <c r="R61" s="16"/>
      <c r="S61" s="16"/>
      <c r="T61" s="14"/>
      <c r="U61" s="25" t="s">
        <v>1495</v>
      </c>
      <c r="V61" s="220">
        <v>46054</v>
      </c>
      <c r="W61" s="220">
        <v>46070</v>
      </c>
      <c r="X61" s="220">
        <v>46074</v>
      </c>
      <c r="Y61" s="14"/>
      <c r="Z61" s="16"/>
      <c r="AA61" s="514"/>
      <c r="AB61" s="514"/>
      <c r="AC61" s="514"/>
      <c r="AD61" s="514"/>
      <c r="AE61" s="18"/>
      <c r="AF61" s="18"/>
      <c r="AG61" s="14"/>
      <c r="AH61" s="14"/>
      <c r="AI61" s="226"/>
      <c r="AJ61" s="226"/>
      <c r="AK61" s="22"/>
      <c r="AL61" s="1225"/>
      <c r="AM61" s="14"/>
      <c r="AN61" s="14"/>
      <c r="AO61" s="14"/>
      <c r="AP61" s="23"/>
      <c r="AQ61" s="23"/>
      <c r="AR61" s="23"/>
      <c r="AS61" s="15"/>
      <c r="AT61" s="21"/>
      <c r="AU61" s="21"/>
      <c r="AV61" s="21"/>
      <c r="AW61" s="21"/>
      <c r="AX61" s="14"/>
      <c r="AY61" s="525"/>
      <c r="AZ61" s="108"/>
      <c r="BA61" s="108"/>
      <c r="BB61" s="2158"/>
      <c r="BC61" s="2206"/>
      <c r="BD61" s="2217"/>
    </row>
    <row r="62" spans="1:56" ht="15.75">
      <c r="A62" s="2220"/>
      <c r="B62" s="2223"/>
      <c r="C62" s="2223"/>
      <c r="D62" s="2223"/>
      <c r="E62" s="2223"/>
      <c r="F62" s="2223"/>
      <c r="G62" s="2223"/>
      <c r="H62" s="2223"/>
      <c r="I62" s="2209"/>
      <c r="J62" s="2209"/>
      <c r="K62" s="2212"/>
      <c r="L62" s="14"/>
      <c r="M62" s="14"/>
      <c r="N62" s="14"/>
      <c r="O62" s="14"/>
      <c r="P62" s="16"/>
      <c r="Q62" s="14"/>
      <c r="R62" s="16"/>
      <c r="S62" s="16"/>
      <c r="T62" s="14"/>
      <c r="U62" s="25" t="s">
        <v>1496</v>
      </c>
      <c r="V62" s="220">
        <v>46054</v>
      </c>
      <c r="W62" s="220">
        <v>46138</v>
      </c>
      <c r="X62" s="220">
        <v>46137</v>
      </c>
      <c r="Y62" s="14"/>
      <c r="Z62" s="16"/>
      <c r="AA62" s="514"/>
      <c r="AB62" s="514"/>
      <c r="AC62" s="514"/>
      <c r="AD62" s="514"/>
      <c r="AE62" s="18"/>
      <c r="AF62" s="18"/>
      <c r="AG62" s="14"/>
      <c r="AH62" s="14"/>
      <c r="AI62" s="226"/>
      <c r="AJ62" s="226"/>
      <c r="AK62" s="22"/>
      <c r="AL62" s="1225"/>
      <c r="AM62" s="14"/>
      <c r="AN62" s="14"/>
      <c r="AO62" s="14"/>
      <c r="AP62" s="23"/>
      <c r="AQ62" s="23"/>
      <c r="AR62" s="23"/>
      <c r="AS62" s="15"/>
      <c r="AT62" s="21"/>
      <c r="AU62" s="21"/>
      <c r="AV62" s="21"/>
      <c r="AW62" s="21"/>
      <c r="AX62" s="14"/>
      <c r="AY62" s="525"/>
      <c r="AZ62" s="108"/>
      <c r="BA62" s="108"/>
      <c r="BB62" s="2158"/>
      <c r="BC62" s="2206"/>
      <c r="BD62" s="2217"/>
    </row>
    <row r="63" spans="1:56" ht="15.75">
      <c r="A63" s="2220"/>
      <c r="B63" s="2223"/>
      <c r="C63" s="2223"/>
      <c r="D63" s="2223"/>
      <c r="E63" s="2223"/>
      <c r="F63" s="2223"/>
      <c r="G63" s="2223"/>
      <c r="H63" s="2223"/>
      <c r="I63" s="2209"/>
      <c r="J63" s="2209"/>
      <c r="K63" s="2212"/>
      <c r="L63" s="14"/>
      <c r="M63" s="14"/>
      <c r="N63" s="14"/>
      <c r="O63" s="14"/>
      <c r="P63" s="16"/>
      <c r="Q63" s="14"/>
      <c r="R63" s="16"/>
      <c r="S63" s="16"/>
      <c r="T63" s="14"/>
      <c r="U63" s="1449" t="s">
        <v>1497</v>
      </c>
      <c r="V63" s="220">
        <v>46204</v>
      </c>
      <c r="W63" s="220">
        <v>46169</v>
      </c>
      <c r="X63" s="1430">
        <v>46156</v>
      </c>
      <c r="Y63" s="14"/>
      <c r="Z63" s="16"/>
      <c r="AA63" s="514"/>
      <c r="AB63" s="514"/>
      <c r="AC63" s="514"/>
      <c r="AD63" s="514"/>
      <c r="AE63" s="18"/>
      <c r="AF63" s="18"/>
      <c r="AG63" s="14"/>
      <c r="AH63" s="14"/>
      <c r="AI63" s="226"/>
      <c r="AJ63" s="226"/>
      <c r="AK63" s="22"/>
      <c r="AL63" s="1225"/>
      <c r="AM63" s="14"/>
      <c r="AN63" s="14"/>
      <c r="AO63" s="14"/>
      <c r="AP63" s="23"/>
      <c r="AQ63" s="23"/>
      <c r="AR63" s="23"/>
      <c r="AS63" s="15"/>
      <c r="AT63" s="21"/>
      <c r="AU63" s="21"/>
      <c r="AV63" s="21"/>
      <c r="AW63" s="21"/>
      <c r="AX63" s="14"/>
      <c r="AY63" s="525"/>
      <c r="AZ63" s="108"/>
      <c r="BA63" s="108"/>
      <c r="BB63" s="2158"/>
      <c r="BC63" s="2206"/>
      <c r="BD63" s="2217"/>
    </row>
    <row r="64" spans="1:56" ht="15.75">
      <c r="A64" s="2221"/>
      <c r="B64" s="2224"/>
      <c r="C64" s="2224"/>
      <c r="D64" s="2224"/>
      <c r="E64" s="2224"/>
      <c r="F64" s="2224"/>
      <c r="G64" s="2224"/>
      <c r="H64" s="2224"/>
      <c r="I64" s="2210"/>
      <c r="J64" s="2210"/>
      <c r="K64" s="2213"/>
      <c r="L64" s="118"/>
      <c r="M64" s="118"/>
      <c r="N64" s="118"/>
      <c r="O64" s="118"/>
      <c r="P64" s="119"/>
      <c r="Q64" s="118"/>
      <c r="R64" s="119"/>
      <c r="S64" s="119"/>
      <c r="T64" s="118"/>
      <c r="U64" s="1450" t="s">
        <v>1498</v>
      </c>
      <c r="V64" s="223">
        <v>46054</v>
      </c>
      <c r="W64" s="223">
        <v>46185</v>
      </c>
      <c r="X64" s="223"/>
      <c r="Y64" s="121"/>
      <c r="Z64" s="119"/>
      <c r="AA64" s="516"/>
      <c r="AB64" s="516"/>
      <c r="AC64" s="516"/>
      <c r="AD64" s="516"/>
      <c r="AE64" s="121"/>
      <c r="AF64" s="121"/>
      <c r="AG64" s="118"/>
      <c r="AH64" s="118"/>
      <c r="AI64" s="228"/>
      <c r="AJ64" s="228"/>
      <c r="AK64" s="204"/>
      <c r="AL64" s="1231"/>
      <c r="AM64" s="118"/>
      <c r="AN64" s="118"/>
      <c r="AO64" s="118"/>
      <c r="AP64" s="205"/>
      <c r="AQ64" s="205"/>
      <c r="AR64" s="205"/>
      <c r="AS64" s="206"/>
      <c r="AT64" s="203"/>
      <c r="AU64" s="203"/>
      <c r="AV64" s="203"/>
      <c r="AW64" s="203"/>
      <c r="AX64" s="118"/>
      <c r="AY64" s="555"/>
      <c r="AZ64" s="118"/>
      <c r="BA64" s="118"/>
      <c r="BB64" s="2159"/>
      <c r="BC64" s="2215"/>
      <c r="BD64" s="2218"/>
    </row>
    <row r="65" spans="1:56" ht="24" customHeight="1">
      <c r="A65" s="2202">
        <v>7</v>
      </c>
      <c r="B65" s="2204" t="s">
        <v>1499</v>
      </c>
      <c r="C65" s="2204" t="s">
        <v>1500</v>
      </c>
      <c r="D65" s="2204">
        <v>5000107926</v>
      </c>
      <c r="E65" s="2204">
        <v>2</v>
      </c>
      <c r="F65" s="2204" t="s">
        <v>1501</v>
      </c>
      <c r="G65" s="2204" t="s">
        <v>1392</v>
      </c>
      <c r="H65" s="2204" t="s">
        <v>1392</v>
      </c>
      <c r="I65" s="2194">
        <v>45785</v>
      </c>
      <c r="J65" s="2194">
        <v>45859</v>
      </c>
      <c r="K65" s="2195" t="s">
        <v>105</v>
      </c>
      <c r="L65" s="319"/>
      <c r="M65" s="386" t="s">
        <v>1502</v>
      </c>
      <c r="N65" s="386" t="s">
        <v>1503</v>
      </c>
      <c r="O65" s="386" t="s">
        <v>1504</v>
      </c>
      <c r="P65" s="322">
        <v>182646</v>
      </c>
      <c r="Q65" s="387" t="s">
        <v>1261</v>
      </c>
      <c r="R65" s="322">
        <v>32204</v>
      </c>
      <c r="S65" s="322">
        <v>150442</v>
      </c>
      <c r="T65" s="643">
        <f>R65/S65%</f>
        <v>21.406256231637439</v>
      </c>
      <c r="U65" s="329" t="s">
        <v>42</v>
      </c>
      <c r="V65" s="523" t="s">
        <v>1347</v>
      </c>
      <c r="W65" s="523" t="s">
        <v>1347</v>
      </c>
      <c r="X65" s="349" t="s">
        <v>1347</v>
      </c>
      <c r="Y65" s="329"/>
      <c r="Z65" s="322"/>
      <c r="AA65" s="349"/>
      <c r="AB65" s="349"/>
      <c r="AC65" s="349"/>
      <c r="AD65" s="349"/>
      <c r="AE65" s="329"/>
      <c r="AF65" s="491"/>
      <c r="AG65" s="1196" t="s">
        <v>1505</v>
      </c>
      <c r="AH65" s="1197" t="s">
        <v>1506</v>
      </c>
      <c r="AI65" s="1198" t="s">
        <v>1507</v>
      </c>
      <c r="AJ65" s="1198" t="s">
        <v>1507</v>
      </c>
      <c r="AK65" s="1199" t="s">
        <v>1508</v>
      </c>
      <c r="AL65" s="1230">
        <v>32204</v>
      </c>
      <c r="AM65" s="1200" t="s">
        <v>1132</v>
      </c>
      <c r="AN65" s="2283">
        <v>1</v>
      </c>
      <c r="AO65" s="1203" t="s">
        <v>1509</v>
      </c>
      <c r="AP65" s="1204">
        <v>0</v>
      </c>
      <c r="AQ65" s="1204">
        <v>16100</v>
      </c>
      <c r="AR65" s="1204">
        <v>16100</v>
      </c>
      <c r="AS65" s="1200" t="s">
        <v>1261</v>
      </c>
      <c r="AT65" s="1202">
        <v>45862</v>
      </c>
      <c r="AU65" s="1202">
        <v>45861</v>
      </c>
      <c r="AV65" s="1202">
        <v>45899</v>
      </c>
      <c r="AW65" s="1202">
        <v>45901</v>
      </c>
      <c r="AX65" s="1214"/>
      <c r="AY65" s="388"/>
      <c r="AZ65" s="388"/>
      <c r="BA65" s="388"/>
      <c r="BB65" s="2196" t="s">
        <v>1510</v>
      </c>
      <c r="BC65" s="2200"/>
      <c r="BD65" s="2201"/>
    </row>
    <row r="66" spans="1:56" ht="15.75">
      <c r="A66" s="2164"/>
      <c r="B66" s="2152"/>
      <c r="C66" s="2152"/>
      <c r="D66" s="2152"/>
      <c r="E66" s="2152"/>
      <c r="F66" s="2152"/>
      <c r="G66" s="2152"/>
      <c r="H66" s="2152"/>
      <c r="I66" s="2191"/>
      <c r="J66" s="2167"/>
      <c r="K66" s="2171"/>
      <c r="L66" s="14"/>
      <c r="M66" s="15"/>
      <c r="N66" s="15"/>
      <c r="O66" s="15"/>
      <c r="P66" s="16"/>
      <c r="Q66" s="17"/>
      <c r="R66" s="16"/>
      <c r="S66" s="16"/>
      <c r="T66" s="14"/>
      <c r="U66" s="18" t="s">
        <v>1041</v>
      </c>
      <c r="V66" s="220">
        <v>45810</v>
      </c>
      <c r="W66" s="220">
        <v>45810</v>
      </c>
      <c r="X66" s="220">
        <v>45810</v>
      </c>
      <c r="Y66" s="18"/>
      <c r="Z66" s="16"/>
      <c r="AA66" s="267"/>
      <c r="AB66" s="220"/>
      <c r="AC66" s="220"/>
      <c r="AD66" s="220"/>
      <c r="AE66" s="18"/>
      <c r="AF66" s="433"/>
      <c r="AG66" s="20" t="s">
        <v>1511</v>
      </c>
      <c r="AH66" s="325" t="s">
        <v>1512</v>
      </c>
      <c r="AI66" s="226">
        <v>46044</v>
      </c>
      <c r="AJ66" s="226">
        <v>46044</v>
      </c>
      <c r="AK66" s="22" t="s">
        <v>1513</v>
      </c>
      <c r="AL66" s="1225">
        <v>95402</v>
      </c>
      <c r="AM66" s="15" t="s">
        <v>1132</v>
      </c>
      <c r="AN66" s="2284"/>
      <c r="AO66" s="876" t="s">
        <v>1514</v>
      </c>
      <c r="AP66" s="887">
        <v>0</v>
      </c>
      <c r="AQ66" s="887">
        <v>11554</v>
      </c>
      <c r="AR66" s="887">
        <v>11554</v>
      </c>
      <c r="AS66" s="877" t="s">
        <v>1261</v>
      </c>
      <c r="AT66" s="874">
        <v>45858</v>
      </c>
      <c r="AU66" s="874">
        <v>45858</v>
      </c>
      <c r="AV66" s="874">
        <v>45858</v>
      </c>
      <c r="AW66" s="874">
        <v>45858</v>
      </c>
      <c r="AX66" s="1213"/>
      <c r="AY66" s="24"/>
      <c r="AZ66" s="24"/>
      <c r="BA66" s="24"/>
      <c r="BB66" s="2197"/>
      <c r="BC66" s="2179"/>
      <c r="BD66" s="2183"/>
    </row>
    <row r="67" spans="1:56" ht="36">
      <c r="A67" s="2164"/>
      <c r="B67" s="2152"/>
      <c r="C67" s="2152"/>
      <c r="D67" s="2152"/>
      <c r="E67" s="2152"/>
      <c r="F67" s="2152"/>
      <c r="G67" s="2152"/>
      <c r="H67" s="2152"/>
      <c r="I67" s="2191"/>
      <c r="J67" s="2167"/>
      <c r="K67" s="2171"/>
      <c r="L67" s="14"/>
      <c r="M67" s="14"/>
      <c r="N67" s="14"/>
      <c r="O67" s="14"/>
      <c r="P67" s="16"/>
      <c r="Q67" s="17"/>
      <c r="R67" s="16"/>
      <c r="S67" s="16"/>
      <c r="T67" s="14"/>
      <c r="U67" s="18" t="s">
        <v>1049</v>
      </c>
      <c r="V67" s="220">
        <v>45823</v>
      </c>
      <c r="W67" s="220">
        <v>45823</v>
      </c>
      <c r="X67" s="220">
        <v>45813</v>
      </c>
      <c r="Y67" s="18"/>
      <c r="Z67" s="16"/>
      <c r="AA67" s="220"/>
      <c r="AB67" s="220"/>
      <c r="AC67" s="220"/>
      <c r="AD67" s="220"/>
      <c r="AE67" s="18"/>
      <c r="AF67" s="18"/>
      <c r="AG67" s="330" t="s">
        <v>1515</v>
      </c>
      <c r="AH67" s="14" t="s">
        <v>1516</v>
      </c>
      <c r="AI67" s="616" t="s">
        <v>1517</v>
      </c>
      <c r="AJ67" s="616" t="s">
        <v>1517</v>
      </c>
      <c r="AK67" s="1160" t="s">
        <v>1518</v>
      </c>
      <c r="AL67" s="1225">
        <v>55040</v>
      </c>
      <c r="AM67" s="15" t="s">
        <v>1132</v>
      </c>
      <c r="AN67" s="2284"/>
      <c r="AO67" s="876" t="s">
        <v>1519</v>
      </c>
      <c r="AP67" s="887">
        <v>0</v>
      </c>
      <c r="AQ67" s="887">
        <v>3500</v>
      </c>
      <c r="AR67" s="887">
        <v>3500</v>
      </c>
      <c r="AS67" s="877" t="s">
        <v>1261</v>
      </c>
      <c r="AT67" s="874">
        <v>45862</v>
      </c>
      <c r="AU67" s="874">
        <v>45861</v>
      </c>
      <c r="AV67" s="874">
        <v>45862</v>
      </c>
      <c r="AW67" s="874">
        <v>45861</v>
      </c>
      <c r="AX67" s="1213"/>
      <c r="AY67" s="14"/>
      <c r="AZ67" s="14"/>
      <c r="BA67" s="14"/>
      <c r="BB67" s="2197"/>
      <c r="BC67" s="2179"/>
      <c r="BD67" s="2183"/>
    </row>
    <row r="68" spans="1:56" ht="15.75">
      <c r="A68" s="2164"/>
      <c r="B68" s="2152"/>
      <c r="C68" s="2152"/>
      <c r="D68" s="2152"/>
      <c r="E68" s="2152"/>
      <c r="F68" s="2152"/>
      <c r="G68" s="2152"/>
      <c r="H68" s="2152"/>
      <c r="I68" s="2191"/>
      <c r="J68" s="2167"/>
      <c r="K68" s="2171"/>
      <c r="L68" s="14"/>
      <c r="M68" s="14"/>
      <c r="N68" s="14"/>
      <c r="O68" s="14"/>
      <c r="P68" s="16"/>
      <c r="Q68" s="14"/>
      <c r="R68" s="16"/>
      <c r="S68" s="16"/>
      <c r="T68" s="14"/>
      <c r="U68" s="18" t="s">
        <v>65</v>
      </c>
      <c r="V68" s="220">
        <v>45789</v>
      </c>
      <c r="W68" s="220">
        <v>45789</v>
      </c>
      <c r="X68" s="220">
        <v>45789</v>
      </c>
      <c r="Y68" s="18"/>
      <c r="Z68" s="16"/>
      <c r="AA68" s="220"/>
      <c r="AB68" s="220"/>
      <c r="AC68" s="220"/>
      <c r="AD68" s="220"/>
      <c r="AE68" s="18"/>
      <c r="AF68" s="18"/>
      <c r="AG68" s="20"/>
      <c r="AH68" s="14"/>
      <c r="AI68" s="226"/>
      <c r="AJ68" s="226"/>
      <c r="AK68" s="22"/>
      <c r="AL68" s="1225"/>
      <c r="AM68" s="14"/>
      <c r="AN68" s="2284"/>
      <c r="AO68" s="876" t="s">
        <v>1520</v>
      </c>
      <c r="AP68" s="887">
        <v>0</v>
      </c>
      <c r="AQ68" s="887">
        <v>1050</v>
      </c>
      <c r="AR68" s="887">
        <v>1050</v>
      </c>
      <c r="AS68" s="877" t="s">
        <v>1261</v>
      </c>
      <c r="AT68" s="874">
        <v>45857</v>
      </c>
      <c r="AU68" s="874">
        <v>45857</v>
      </c>
      <c r="AV68" s="874">
        <v>45857</v>
      </c>
      <c r="AW68" s="874">
        <v>45857</v>
      </c>
      <c r="AX68" s="1213"/>
      <c r="AY68" s="14"/>
      <c r="AZ68" s="14"/>
      <c r="BA68" s="14"/>
      <c r="BB68" s="2197"/>
      <c r="BC68" s="2179"/>
      <c r="BD68" s="2183"/>
    </row>
    <row r="69" spans="1:56" ht="15.75">
      <c r="A69" s="2164"/>
      <c r="B69" s="2152"/>
      <c r="C69" s="2152"/>
      <c r="D69" s="2152"/>
      <c r="E69" s="2152"/>
      <c r="F69" s="2152"/>
      <c r="G69" s="2152"/>
      <c r="H69" s="2152"/>
      <c r="I69" s="2191"/>
      <c r="J69" s="2167"/>
      <c r="K69" s="2171"/>
      <c r="L69" s="14"/>
      <c r="M69" s="14"/>
      <c r="N69" s="14"/>
      <c r="O69" s="14"/>
      <c r="P69" s="16"/>
      <c r="Q69" s="14"/>
      <c r="R69" s="16"/>
      <c r="S69" s="16"/>
      <c r="T69" s="14"/>
      <c r="U69" s="18" t="s">
        <v>75</v>
      </c>
      <c r="V69" s="220">
        <v>45790</v>
      </c>
      <c r="W69" s="220">
        <v>45790</v>
      </c>
      <c r="X69" s="220">
        <v>45790</v>
      </c>
      <c r="Y69" s="18"/>
      <c r="Z69" s="16"/>
      <c r="AA69" s="220"/>
      <c r="AB69" s="220"/>
      <c r="AC69" s="220"/>
      <c r="AD69" s="220"/>
      <c r="AE69" s="18"/>
      <c r="AF69" s="18"/>
      <c r="AG69" s="20"/>
      <c r="AH69" s="14"/>
      <c r="AI69" s="226"/>
      <c r="AJ69" s="226"/>
      <c r="AK69" s="22"/>
      <c r="AL69" s="1225"/>
      <c r="AM69" s="14"/>
      <c r="AN69" s="2180">
        <v>2</v>
      </c>
      <c r="AO69" s="14" t="s">
        <v>1521</v>
      </c>
      <c r="AP69" s="23">
        <v>0</v>
      </c>
      <c r="AQ69" s="23">
        <v>14150</v>
      </c>
      <c r="AR69" s="23">
        <v>14150</v>
      </c>
      <c r="AS69" s="15" t="s">
        <v>1261</v>
      </c>
      <c r="AT69" s="226">
        <v>46060</v>
      </c>
      <c r="AU69" s="226">
        <v>46061</v>
      </c>
      <c r="AV69" s="1432">
        <v>46164</v>
      </c>
      <c r="AW69" s="226"/>
      <c r="AX69" s="392"/>
      <c r="AY69" s="14"/>
      <c r="AZ69" s="14"/>
      <c r="BA69" s="14"/>
      <c r="BB69" s="2197"/>
      <c r="BC69" s="2179"/>
      <c r="BD69" s="2183"/>
    </row>
    <row r="70" spans="1:56" ht="15.75">
      <c r="A70" s="2164"/>
      <c r="B70" s="2152"/>
      <c r="C70" s="2152"/>
      <c r="D70" s="2152"/>
      <c r="E70" s="2152"/>
      <c r="F70" s="2152"/>
      <c r="G70" s="2152"/>
      <c r="H70" s="2152"/>
      <c r="I70" s="2191"/>
      <c r="J70" s="2167"/>
      <c r="K70" s="2171"/>
      <c r="L70" s="14"/>
      <c r="M70" s="14"/>
      <c r="N70" s="14"/>
      <c r="O70" s="14"/>
      <c r="P70" s="16"/>
      <c r="Q70" s="14"/>
      <c r="R70" s="16"/>
      <c r="S70" s="16"/>
      <c r="T70" s="14"/>
      <c r="U70" s="18" t="s">
        <v>96</v>
      </c>
      <c r="V70" s="220">
        <v>45792</v>
      </c>
      <c r="W70" s="220">
        <v>45792</v>
      </c>
      <c r="X70" s="220">
        <v>45792</v>
      </c>
      <c r="Y70" s="18"/>
      <c r="Z70" s="16"/>
      <c r="AA70" s="220"/>
      <c r="AB70" s="220"/>
      <c r="AC70" s="220"/>
      <c r="AD70" s="220"/>
      <c r="AE70" s="18"/>
      <c r="AF70" s="18"/>
      <c r="AG70" s="20"/>
      <c r="AH70" s="14"/>
      <c r="AI70" s="226"/>
      <c r="AJ70" s="226"/>
      <c r="AK70" s="22"/>
      <c r="AL70" s="1225"/>
      <c r="AM70" s="14"/>
      <c r="AN70" s="2200"/>
      <c r="AO70" s="1287" t="s">
        <v>1522</v>
      </c>
      <c r="AP70" s="1288">
        <v>81252</v>
      </c>
      <c r="AQ70" s="1288">
        <v>0</v>
      </c>
      <c r="AR70" s="1288">
        <v>81252</v>
      </c>
      <c r="AS70" s="1289" t="s">
        <v>1261</v>
      </c>
      <c r="AT70" s="1290">
        <v>46060</v>
      </c>
      <c r="AU70" s="1290">
        <v>46061</v>
      </c>
      <c r="AV70" s="1290">
        <v>46162</v>
      </c>
      <c r="AW70" s="1301" t="s">
        <v>1523</v>
      </c>
      <c r="AX70" s="1302"/>
      <c r="AY70" s="14"/>
      <c r="AZ70" s="14"/>
      <c r="BA70" s="14"/>
      <c r="BB70" s="2197"/>
      <c r="BC70" s="2179"/>
      <c r="BD70" s="2183"/>
    </row>
    <row r="71" spans="1:56" ht="15.75">
      <c r="A71" s="2164"/>
      <c r="B71" s="2152"/>
      <c r="C71" s="2152"/>
      <c r="D71" s="2152"/>
      <c r="E71" s="2152"/>
      <c r="F71" s="2152"/>
      <c r="G71" s="2152"/>
      <c r="H71" s="2152"/>
      <c r="I71" s="2191"/>
      <c r="J71" s="2167"/>
      <c r="K71" s="2171"/>
      <c r="L71" s="14"/>
      <c r="M71" s="14"/>
      <c r="N71" s="14"/>
      <c r="O71" s="14"/>
      <c r="P71" s="16"/>
      <c r="Q71" s="14"/>
      <c r="R71" s="16"/>
      <c r="S71" s="16"/>
      <c r="T71" s="14"/>
      <c r="U71" s="25" t="s">
        <v>1361</v>
      </c>
      <c r="V71" s="220">
        <v>45847</v>
      </c>
      <c r="W71" s="220">
        <v>45839</v>
      </c>
      <c r="X71" s="220">
        <v>45839</v>
      </c>
      <c r="Y71" s="18"/>
      <c r="Z71" s="16"/>
      <c r="AA71" s="220"/>
      <c r="AB71" s="220"/>
      <c r="AC71" s="220"/>
      <c r="AD71" s="220"/>
      <c r="AE71" s="18"/>
      <c r="AF71" s="18"/>
      <c r="AG71" s="14"/>
      <c r="AH71" s="14"/>
      <c r="AI71" s="226"/>
      <c r="AJ71" s="226"/>
      <c r="AK71" s="22"/>
      <c r="AL71" s="1225"/>
      <c r="AM71" s="14"/>
      <c r="AN71" s="15">
        <v>3</v>
      </c>
      <c r="AO71" s="14" t="s">
        <v>1524</v>
      </c>
      <c r="AP71" s="23"/>
      <c r="AQ71" s="23">
        <v>55040</v>
      </c>
      <c r="AR71" s="23">
        <v>55040</v>
      </c>
      <c r="AS71" s="15" t="s">
        <v>1261</v>
      </c>
      <c r="AT71" s="226">
        <v>46142</v>
      </c>
      <c r="AU71" s="226">
        <v>46141</v>
      </c>
      <c r="AV71" s="226">
        <v>46208</v>
      </c>
      <c r="AW71" s="226"/>
      <c r="AX71" s="392"/>
      <c r="AY71" s="14"/>
      <c r="AZ71" s="14"/>
      <c r="BA71" s="14"/>
      <c r="BB71" s="2197"/>
      <c r="BC71" s="2179"/>
      <c r="BD71" s="2183"/>
    </row>
    <row r="72" spans="1:56" ht="15.75">
      <c r="A72" s="2164"/>
      <c r="B72" s="2152"/>
      <c r="C72" s="2152"/>
      <c r="D72" s="2152"/>
      <c r="E72" s="2152"/>
      <c r="F72" s="2152"/>
      <c r="G72" s="2152"/>
      <c r="H72" s="2152"/>
      <c r="I72" s="2191"/>
      <c r="J72" s="2167"/>
      <c r="K72" s="2171"/>
      <c r="L72" s="14"/>
      <c r="M72" s="14"/>
      <c r="N72" s="14"/>
      <c r="O72" s="14"/>
      <c r="P72" s="16"/>
      <c r="Q72" s="14"/>
      <c r="R72" s="16"/>
      <c r="S72" s="16"/>
      <c r="T72" s="14"/>
      <c r="U72" s="25" t="s">
        <v>472</v>
      </c>
      <c r="V72" s="220">
        <v>45848</v>
      </c>
      <c r="W72" s="220">
        <v>45841</v>
      </c>
      <c r="X72" s="220">
        <v>45841</v>
      </c>
      <c r="Y72" s="14"/>
      <c r="Z72" s="16"/>
      <c r="AA72" s="220"/>
      <c r="AB72" s="220"/>
      <c r="AC72" s="220"/>
      <c r="AD72" s="220"/>
      <c r="AE72" s="18"/>
      <c r="AF72" s="18"/>
      <c r="AG72" s="14"/>
      <c r="AH72" s="14"/>
      <c r="AI72" s="226"/>
      <c r="AJ72" s="226"/>
      <c r="AK72" s="22"/>
      <c r="AL72" s="1225"/>
      <c r="AM72" s="14"/>
      <c r="AN72" s="14"/>
      <c r="AO72" s="14"/>
      <c r="AP72" s="23"/>
      <c r="AQ72" s="23"/>
      <c r="AR72" s="23"/>
      <c r="AS72" s="15"/>
      <c r="AT72" s="226"/>
      <c r="AV72" s="226"/>
      <c r="AW72" s="226"/>
      <c r="AX72" s="226"/>
      <c r="AY72" s="14"/>
      <c r="AZ72" s="14"/>
      <c r="BA72" s="14"/>
      <c r="BB72" s="2197"/>
      <c r="BC72" s="2179"/>
      <c r="BD72" s="2183"/>
    </row>
    <row r="73" spans="1:56" ht="15.75">
      <c r="A73" s="2203"/>
      <c r="B73" s="2190"/>
      <c r="C73" s="2190"/>
      <c r="D73" s="2190"/>
      <c r="E73" s="2190"/>
      <c r="F73" s="2190"/>
      <c r="G73" s="2190"/>
      <c r="H73" s="2190"/>
      <c r="I73" s="2192"/>
      <c r="J73" s="2168"/>
      <c r="K73" s="2172"/>
      <c r="L73" s="108"/>
      <c r="M73" s="108"/>
      <c r="N73" s="108"/>
      <c r="O73" s="108"/>
      <c r="P73" s="109"/>
      <c r="Q73" s="108"/>
      <c r="R73" s="109"/>
      <c r="S73" s="109"/>
      <c r="T73" s="108"/>
      <c r="U73" s="317" t="s">
        <v>1525</v>
      </c>
      <c r="V73" s="221">
        <v>45859</v>
      </c>
      <c r="W73" s="221">
        <v>45859</v>
      </c>
      <c r="X73" s="221">
        <v>45858</v>
      </c>
      <c r="Y73" s="108"/>
      <c r="Z73" s="109"/>
      <c r="AA73" s="221"/>
      <c r="AB73" s="221"/>
      <c r="AC73" s="221"/>
      <c r="AD73" s="221"/>
      <c r="AE73" s="110"/>
      <c r="AF73" s="110"/>
      <c r="AG73" s="108"/>
      <c r="AH73" s="108"/>
      <c r="AI73" s="227"/>
      <c r="AJ73" s="227"/>
      <c r="AK73" s="112"/>
      <c r="AL73" s="1227"/>
      <c r="AM73" s="108"/>
      <c r="AN73" s="108"/>
      <c r="AO73" s="108"/>
      <c r="AP73" s="113"/>
      <c r="AQ73" s="113"/>
      <c r="AR73" s="113"/>
      <c r="AS73" s="114"/>
      <c r="AT73" s="227"/>
      <c r="AU73" s="227"/>
      <c r="AV73" s="227"/>
      <c r="AW73" s="227"/>
      <c r="AX73" s="394"/>
      <c r="AY73" s="108"/>
      <c r="AZ73" s="108"/>
      <c r="BA73" s="108"/>
      <c r="BB73" s="2198"/>
      <c r="BC73" s="2180"/>
      <c r="BD73" s="2184"/>
    </row>
    <row r="74" spans="1:56" ht="15.75">
      <c r="A74" s="2203"/>
      <c r="B74" s="2190"/>
      <c r="C74" s="2190"/>
      <c r="D74" s="2190"/>
      <c r="E74" s="2190"/>
      <c r="F74" s="2190"/>
      <c r="G74" s="2190"/>
      <c r="H74" s="2190"/>
      <c r="I74" s="2192"/>
      <c r="J74" s="2168"/>
      <c r="K74" s="2172"/>
      <c r="L74" s="108"/>
      <c r="M74" s="108"/>
      <c r="N74" s="108"/>
      <c r="O74" s="108"/>
      <c r="P74" s="109"/>
      <c r="Q74" s="108"/>
      <c r="R74" s="109"/>
      <c r="S74" s="109"/>
      <c r="T74" s="108"/>
      <c r="U74" s="317" t="s">
        <v>1526</v>
      </c>
      <c r="V74" s="221">
        <v>46037</v>
      </c>
      <c r="W74" s="222">
        <v>46064</v>
      </c>
      <c r="X74" s="222">
        <v>46061</v>
      </c>
      <c r="Y74" s="108"/>
      <c r="Z74" s="109"/>
      <c r="AA74" s="221"/>
      <c r="AB74" s="221"/>
      <c r="AC74" s="221"/>
      <c r="AD74" s="221"/>
      <c r="AE74" s="110"/>
      <c r="AF74" s="110"/>
      <c r="AG74" s="108"/>
      <c r="AH74" s="108"/>
      <c r="AI74" s="227"/>
      <c r="AJ74" s="227"/>
      <c r="AK74" s="112"/>
      <c r="AL74" s="1227"/>
      <c r="AM74" s="108"/>
      <c r="AN74" s="108"/>
      <c r="AO74" s="108"/>
      <c r="AP74" s="113"/>
      <c r="AQ74" s="113"/>
      <c r="AR74" s="113"/>
      <c r="AS74" s="114"/>
      <c r="AT74" s="227"/>
      <c r="AU74" s="227"/>
      <c r="AV74" s="227"/>
      <c r="AW74" s="227"/>
      <c r="AX74" s="394"/>
      <c r="AY74" s="108"/>
      <c r="AZ74" s="108"/>
      <c r="BA74" s="108"/>
      <c r="BB74" s="2198"/>
      <c r="BC74" s="2180"/>
      <c r="BD74" s="2184"/>
    </row>
    <row r="75" spans="1:56" ht="15.75">
      <c r="A75" s="2203"/>
      <c r="B75" s="2190"/>
      <c r="C75" s="2190"/>
      <c r="D75" s="2190"/>
      <c r="E75" s="2190"/>
      <c r="F75" s="2190"/>
      <c r="G75" s="2190"/>
      <c r="H75" s="2190"/>
      <c r="I75" s="2192"/>
      <c r="J75" s="2168"/>
      <c r="K75" s="2172"/>
      <c r="L75" s="108"/>
      <c r="M75" s="108"/>
      <c r="N75" s="108"/>
      <c r="O75" s="108"/>
      <c r="P75" s="109"/>
      <c r="Q75" s="108"/>
      <c r="R75" s="109"/>
      <c r="S75" s="109"/>
      <c r="T75" s="108"/>
      <c r="U75" s="317" t="s">
        <v>1527</v>
      </c>
      <c r="V75" s="221">
        <v>46138</v>
      </c>
      <c r="W75" s="222">
        <v>46142</v>
      </c>
      <c r="X75" s="222">
        <v>46141</v>
      </c>
      <c r="Y75" s="108"/>
      <c r="Z75" s="109"/>
      <c r="AA75" s="221"/>
      <c r="AB75" s="221"/>
      <c r="AC75" s="221"/>
      <c r="AD75" s="221"/>
      <c r="AE75" s="110"/>
      <c r="AF75" s="110"/>
      <c r="AG75" s="108"/>
      <c r="AH75" s="108"/>
      <c r="AI75" s="227"/>
      <c r="AJ75" s="227"/>
      <c r="AK75" s="112"/>
      <c r="AL75" s="1227"/>
      <c r="AM75" s="108"/>
      <c r="AN75" s="108"/>
      <c r="AO75" s="108"/>
      <c r="AP75" s="113"/>
      <c r="AQ75" s="113"/>
      <c r="AR75" s="113"/>
      <c r="AS75" s="114"/>
      <c r="AT75" s="227"/>
      <c r="AU75" s="227"/>
      <c r="AV75" s="227"/>
      <c r="AW75" s="227"/>
      <c r="AX75" s="394"/>
      <c r="AY75" s="108"/>
      <c r="AZ75" s="108"/>
      <c r="BA75" s="108"/>
      <c r="BB75" s="2198"/>
      <c r="BC75" s="2180"/>
      <c r="BD75" s="2184"/>
    </row>
    <row r="76" spans="1:56" ht="15.75">
      <c r="A76" s="2165"/>
      <c r="B76" s="2153"/>
      <c r="C76" s="2153"/>
      <c r="D76" s="2153"/>
      <c r="E76" s="2153"/>
      <c r="F76" s="2153"/>
      <c r="G76" s="2153"/>
      <c r="H76" s="2153"/>
      <c r="I76" s="2193"/>
      <c r="J76" s="2169"/>
      <c r="K76" s="2173"/>
      <c r="L76" s="118"/>
      <c r="M76" s="118"/>
      <c r="N76" s="118"/>
      <c r="O76" s="118"/>
      <c r="P76" s="119"/>
      <c r="Q76" s="118"/>
      <c r="R76" s="119"/>
      <c r="S76" s="119"/>
      <c r="T76" s="118"/>
      <c r="U76" s="120" t="s">
        <v>1528</v>
      </c>
      <c r="V76" s="223">
        <v>46218</v>
      </c>
      <c r="W76" s="223">
        <v>46218</v>
      </c>
      <c r="X76" s="223"/>
      <c r="Y76" s="121"/>
      <c r="Z76" s="119"/>
      <c r="AA76" s="224"/>
      <c r="AB76" s="224"/>
      <c r="AC76" s="224"/>
      <c r="AD76" s="224"/>
      <c r="AE76" s="121"/>
      <c r="AF76" s="121"/>
      <c r="AG76" s="118"/>
      <c r="AH76" s="118"/>
      <c r="AI76" s="228"/>
      <c r="AJ76" s="228"/>
      <c r="AK76" s="204"/>
      <c r="AL76" s="1231"/>
      <c r="AM76" s="118"/>
      <c r="AN76" s="118"/>
      <c r="AO76" s="118"/>
      <c r="AP76" s="205"/>
      <c r="AQ76" s="205"/>
      <c r="AR76" s="205"/>
      <c r="AS76" s="206"/>
      <c r="AT76" s="228"/>
      <c r="AU76" s="228"/>
      <c r="AV76" s="228"/>
      <c r="AW76" s="228"/>
      <c r="AX76" s="393"/>
      <c r="AY76" s="118"/>
      <c r="AZ76" s="118"/>
      <c r="BA76" s="118"/>
      <c r="BB76" s="2199"/>
      <c r="BC76" s="2181"/>
      <c r="BD76" s="2185"/>
    </row>
    <row r="77" spans="1:56" ht="24" customHeight="1">
      <c r="A77" s="2202">
        <v>8</v>
      </c>
      <c r="B77" s="2204" t="s">
        <v>1529</v>
      </c>
      <c r="C77" s="2204" t="s">
        <v>1530</v>
      </c>
      <c r="D77" s="2204">
        <v>5000108095</v>
      </c>
      <c r="E77" s="2204">
        <v>1</v>
      </c>
      <c r="F77" s="2204" t="s">
        <v>1531</v>
      </c>
      <c r="G77" s="2204" t="s">
        <v>1532</v>
      </c>
      <c r="H77" s="2204" t="s">
        <v>1533</v>
      </c>
      <c r="I77" s="2194">
        <v>45799</v>
      </c>
      <c r="J77" s="2194" t="s">
        <v>1534</v>
      </c>
      <c r="K77" s="2195" t="s">
        <v>1535</v>
      </c>
      <c r="L77" s="319"/>
      <c r="M77" s="386" t="s">
        <v>1536</v>
      </c>
      <c r="N77" s="386" t="s">
        <v>1537</v>
      </c>
      <c r="O77" s="386" t="s">
        <v>1537</v>
      </c>
      <c r="P77" s="322">
        <v>2</v>
      </c>
      <c r="Q77" s="387" t="s">
        <v>1055</v>
      </c>
      <c r="R77" s="322">
        <v>0</v>
      </c>
      <c r="S77" s="322">
        <v>2</v>
      </c>
      <c r="T77" s="319">
        <v>0</v>
      </c>
      <c r="U77" s="329" t="s">
        <v>42</v>
      </c>
      <c r="V77" s="349">
        <v>45812</v>
      </c>
      <c r="W77" s="349">
        <v>45812</v>
      </c>
      <c r="X77" s="349">
        <v>45812</v>
      </c>
      <c r="Y77" s="488" t="s">
        <v>1538</v>
      </c>
      <c r="Z77" s="489">
        <v>6</v>
      </c>
      <c r="AA77" s="490">
        <v>45853</v>
      </c>
      <c r="AB77" s="490">
        <v>45929</v>
      </c>
      <c r="AC77" s="490">
        <v>46038</v>
      </c>
      <c r="AD77" s="490">
        <v>46038</v>
      </c>
      <c r="AE77" s="387">
        <v>6</v>
      </c>
      <c r="AF77" s="491" t="s">
        <v>1539</v>
      </c>
      <c r="AG77" s="1203" t="s">
        <v>1540</v>
      </c>
      <c r="AH77" s="1280" t="s">
        <v>418</v>
      </c>
      <c r="AI77" s="1281" t="s">
        <v>418</v>
      </c>
      <c r="AJ77" s="1281" t="s">
        <v>418</v>
      </c>
      <c r="AK77" s="1280" t="s">
        <v>1541</v>
      </c>
      <c r="AL77" s="1282">
        <v>1</v>
      </c>
      <c r="AM77" s="1283" t="s">
        <v>1055</v>
      </c>
      <c r="AN77" s="1200">
        <v>1</v>
      </c>
      <c r="AO77" s="1203" t="s">
        <v>1107</v>
      </c>
      <c r="AP77" s="1204"/>
      <c r="AQ77" s="1230">
        <v>1</v>
      </c>
      <c r="AR77" s="1230">
        <v>1</v>
      </c>
      <c r="AS77" s="1203" t="s">
        <v>1055</v>
      </c>
      <c r="AT77" s="1202">
        <v>45958</v>
      </c>
      <c r="AU77" s="1202">
        <v>45958</v>
      </c>
      <c r="AV77" s="1202">
        <v>45958</v>
      </c>
      <c r="AW77" s="1202">
        <v>45958</v>
      </c>
      <c r="AX77" s="1214"/>
      <c r="AY77" s="388"/>
      <c r="AZ77" s="388"/>
      <c r="BA77" s="388"/>
      <c r="BB77" s="2276" t="s">
        <v>1542</v>
      </c>
      <c r="BC77" s="2200"/>
      <c r="BD77" s="2201"/>
    </row>
    <row r="78" spans="1:56" ht="24">
      <c r="A78" s="2164"/>
      <c r="B78" s="2152"/>
      <c r="C78" s="2152"/>
      <c r="D78" s="2152"/>
      <c r="E78" s="2152"/>
      <c r="F78" s="2152"/>
      <c r="G78" s="2152"/>
      <c r="H78" s="2152"/>
      <c r="I78" s="2191"/>
      <c r="J78" s="2167"/>
      <c r="K78" s="2171"/>
      <c r="L78" s="14"/>
      <c r="M78" s="15"/>
      <c r="N78" s="15"/>
      <c r="O78" s="15"/>
      <c r="P78" s="16"/>
      <c r="Q78" s="17"/>
      <c r="R78" s="16"/>
      <c r="S78" s="16"/>
      <c r="T78" s="14"/>
      <c r="U78" s="18" t="s">
        <v>1041</v>
      </c>
      <c r="V78" s="220">
        <v>45814</v>
      </c>
      <c r="W78" s="220">
        <v>45814</v>
      </c>
      <c r="X78" s="220">
        <v>45814</v>
      </c>
      <c r="Y78" s="498" t="s">
        <v>1543</v>
      </c>
      <c r="Z78" s="494">
        <v>86</v>
      </c>
      <c r="AA78" s="495">
        <v>45853</v>
      </c>
      <c r="AB78" s="496">
        <v>45946</v>
      </c>
      <c r="AC78" s="496">
        <v>46011</v>
      </c>
      <c r="AD78" s="496">
        <v>46042</v>
      </c>
      <c r="AE78" s="17">
        <v>86</v>
      </c>
      <c r="AF78" s="19" t="s">
        <v>1544</v>
      </c>
      <c r="AG78" s="1284" t="s">
        <v>1545</v>
      </c>
      <c r="AH78" s="876" t="s">
        <v>418</v>
      </c>
      <c r="AI78" s="1279" t="s">
        <v>418</v>
      </c>
      <c r="AJ78" s="1279" t="s">
        <v>418</v>
      </c>
      <c r="AK78" s="1209" t="s">
        <v>1546</v>
      </c>
      <c r="AL78" s="1221">
        <v>1</v>
      </c>
      <c r="AM78" s="877" t="s">
        <v>1055</v>
      </c>
      <c r="AN78" s="877">
        <v>2</v>
      </c>
      <c r="AO78" s="876" t="s">
        <v>1115</v>
      </c>
      <c r="AP78" s="887"/>
      <c r="AQ78" s="1221">
        <v>1</v>
      </c>
      <c r="AR78" s="1221">
        <v>1</v>
      </c>
      <c r="AS78" s="876" t="s">
        <v>1055</v>
      </c>
      <c r="AT78" s="874">
        <v>45960</v>
      </c>
      <c r="AU78" s="874">
        <v>45960</v>
      </c>
      <c r="AV78" s="874">
        <v>45964</v>
      </c>
      <c r="AW78" s="874">
        <v>45964</v>
      </c>
      <c r="AX78" s="1213"/>
      <c r="AY78" s="24"/>
      <c r="AZ78" s="24"/>
      <c r="BA78" s="24"/>
      <c r="BB78" s="2175"/>
      <c r="BC78" s="2179"/>
      <c r="BD78" s="2183"/>
    </row>
    <row r="79" spans="1:56" ht="24">
      <c r="A79" s="2164"/>
      <c r="B79" s="2152"/>
      <c r="C79" s="2152"/>
      <c r="D79" s="2152"/>
      <c r="E79" s="2152"/>
      <c r="F79" s="2152"/>
      <c r="G79" s="2152"/>
      <c r="H79" s="2152"/>
      <c r="I79" s="2191"/>
      <c r="J79" s="2167"/>
      <c r="K79" s="2171"/>
      <c r="L79" s="14"/>
      <c r="M79" s="14"/>
      <c r="N79" s="14"/>
      <c r="O79" s="14"/>
      <c r="P79" s="16"/>
      <c r="Q79" s="17"/>
      <c r="R79" s="16"/>
      <c r="S79" s="16"/>
      <c r="T79" s="14"/>
      <c r="U79" s="18" t="s">
        <v>1049</v>
      </c>
      <c r="V79" s="220">
        <v>45839</v>
      </c>
      <c r="W79" s="220">
        <v>45839</v>
      </c>
      <c r="X79" s="220">
        <v>45839</v>
      </c>
      <c r="Y79" s="498" t="s">
        <v>1547</v>
      </c>
      <c r="Z79" s="494">
        <v>1</v>
      </c>
      <c r="AA79" s="496">
        <v>45924</v>
      </c>
      <c r="AB79" s="496">
        <v>45924</v>
      </c>
      <c r="AC79" s="496">
        <v>46051</v>
      </c>
      <c r="AD79" s="496">
        <v>46051</v>
      </c>
      <c r="AE79" s="17"/>
      <c r="AF79" s="18" t="s">
        <v>1548</v>
      </c>
      <c r="AG79" s="883" t="s">
        <v>1549</v>
      </c>
      <c r="AH79" s="876" t="s">
        <v>418</v>
      </c>
      <c r="AI79" s="1279" t="s">
        <v>418</v>
      </c>
      <c r="AJ79" s="1279" t="s">
        <v>418</v>
      </c>
      <c r="AK79" s="1209" t="s">
        <v>1550</v>
      </c>
      <c r="AL79" s="1221">
        <v>1</v>
      </c>
      <c r="AM79" s="877" t="s">
        <v>1055</v>
      </c>
      <c r="AN79" s="877">
        <v>3</v>
      </c>
      <c r="AO79" s="876" t="s">
        <v>1551</v>
      </c>
      <c r="AP79" s="887"/>
      <c r="AQ79" s="1221">
        <v>1</v>
      </c>
      <c r="AR79" s="1221">
        <v>1</v>
      </c>
      <c r="AS79" s="876" t="s">
        <v>1055</v>
      </c>
      <c r="AT79" s="874">
        <v>45978</v>
      </c>
      <c r="AU79" s="874">
        <v>45978</v>
      </c>
      <c r="AV79" s="874">
        <v>46362</v>
      </c>
      <c r="AW79" s="874">
        <v>46363</v>
      </c>
      <c r="AX79" s="1213"/>
      <c r="AY79" s="14"/>
      <c r="AZ79" s="14"/>
      <c r="BA79" s="14"/>
      <c r="BB79" s="2175"/>
      <c r="BC79" s="2179"/>
      <c r="BD79" s="2183"/>
    </row>
    <row r="80" spans="1:56" ht="15.75">
      <c r="A80" s="2164"/>
      <c r="B80" s="2152"/>
      <c r="C80" s="2152"/>
      <c r="D80" s="2152"/>
      <c r="E80" s="2152"/>
      <c r="F80" s="2152"/>
      <c r="G80" s="2152"/>
      <c r="H80" s="2152"/>
      <c r="I80" s="2191"/>
      <c r="J80" s="2167"/>
      <c r="K80" s="2171"/>
      <c r="L80" s="14"/>
      <c r="M80" s="14"/>
      <c r="N80" s="14"/>
      <c r="O80" s="14"/>
      <c r="P80" s="16"/>
      <c r="Q80" s="14"/>
      <c r="R80" s="16"/>
      <c r="S80" s="16"/>
      <c r="T80" s="14"/>
      <c r="U80" s="18" t="s">
        <v>65</v>
      </c>
      <c r="V80" s="220">
        <v>45853</v>
      </c>
      <c r="W80" s="220">
        <v>45945</v>
      </c>
      <c r="X80" s="220">
        <v>45929</v>
      </c>
      <c r="Y80" s="498" t="s">
        <v>1552</v>
      </c>
      <c r="Z80" s="494">
        <v>88</v>
      </c>
      <c r="AA80" s="496">
        <v>45940</v>
      </c>
      <c r="AB80" s="496">
        <v>45940</v>
      </c>
      <c r="AC80" s="496">
        <v>46020</v>
      </c>
      <c r="AD80" s="496">
        <v>46357</v>
      </c>
      <c r="AE80" s="17">
        <v>2</v>
      </c>
      <c r="AF80" s="18" t="s">
        <v>1553</v>
      </c>
      <c r="AG80" s="883" t="s">
        <v>1554</v>
      </c>
      <c r="AH80" s="876" t="s">
        <v>418</v>
      </c>
      <c r="AI80" s="1279" t="s">
        <v>418</v>
      </c>
      <c r="AJ80" s="1279" t="s">
        <v>418</v>
      </c>
      <c r="AK80" s="884" t="s">
        <v>1555</v>
      </c>
      <c r="AL80" s="1221">
        <v>1</v>
      </c>
      <c r="AM80" s="877" t="s">
        <v>1055</v>
      </c>
      <c r="AN80" s="877">
        <v>4</v>
      </c>
      <c r="AO80" s="876" t="s">
        <v>1556</v>
      </c>
      <c r="AP80" s="887"/>
      <c r="AQ80" s="1221">
        <v>1</v>
      </c>
      <c r="AR80" s="1221">
        <v>1</v>
      </c>
      <c r="AS80" s="876" t="s">
        <v>1055</v>
      </c>
      <c r="AT80" s="874">
        <v>46046</v>
      </c>
      <c r="AU80" s="874">
        <v>46047</v>
      </c>
      <c r="AV80" s="874">
        <v>46047</v>
      </c>
      <c r="AW80" s="874">
        <v>46049</v>
      </c>
      <c r="AX80" s="1213"/>
      <c r="AY80" s="14"/>
      <c r="AZ80" s="14"/>
      <c r="BA80" s="14"/>
      <c r="BB80" s="2175"/>
      <c r="BC80" s="2179"/>
      <c r="BD80" s="2183"/>
    </row>
    <row r="81" spans="1:56" ht="36">
      <c r="A81" s="2164"/>
      <c r="B81" s="2152"/>
      <c r="C81" s="2152"/>
      <c r="D81" s="2152"/>
      <c r="E81" s="2152"/>
      <c r="F81" s="2152"/>
      <c r="G81" s="2152"/>
      <c r="H81" s="2152"/>
      <c r="I81" s="2191"/>
      <c r="J81" s="2167"/>
      <c r="K81" s="2171"/>
      <c r="L81" s="14"/>
      <c r="M81" s="14"/>
      <c r="N81" s="14"/>
      <c r="O81" s="14"/>
      <c r="P81" s="16"/>
      <c r="Q81" s="14"/>
      <c r="R81" s="16"/>
      <c r="S81" s="16"/>
      <c r="T81" s="14"/>
      <c r="U81" s="18" t="s">
        <v>75</v>
      </c>
      <c r="V81" s="220">
        <v>45899</v>
      </c>
      <c r="W81" s="220">
        <v>46038</v>
      </c>
      <c r="X81" s="220">
        <v>45978</v>
      </c>
      <c r="Y81" s="498" t="s">
        <v>1557</v>
      </c>
      <c r="Z81" s="494">
        <v>1</v>
      </c>
      <c r="AA81" s="495">
        <v>45968</v>
      </c>
      <c r="AB81" s="495">
        <v>45960</v>
      </c>
      <c r="AC81" s="496">
        <v>46024</v>
      </c>
      <c r="AD81" s="496">
        <v>45978</v>
      </c>
      <c r="AE81" s="17"/>
      <c r="AF81" s="18" t="s">
        <v>1558</v>
      </c>
      <c r="AG81" s="20" t="s">
        <v>1559</v>
      </c>
      <c r="AH81" s="14" t="s">
        <v>1560</v>
      </c>
      <c r="AI81" s="616" t="s">
        <v>1561</v>
      </c>
      <c r="AJ81" s="616" t="s">
        <v>1561</v>
      </c>
      <c r="AK81" s="15" t="s">
        <v>1562</v>
      </c>
      <c r="AL81" s="1225">
        <v>5</v>
      </c>
      <c r="AM81" s="15" t="s">
        <v>1563</v>
      </c>
      <c r="AN81" s="877">
        <v>5</v>
      </c>
      <c r="AO81" s="876" t="s">
        <v>1564</v>
      </c>
      <c r="AP81" s="887"/>
      <c r="AQ81" s="1221">
        <v>1</v>
      </c>
      <c r="AR81" s="1221">
        <v>1</v>
      </c>
      <c r="AS81" s="876" t="s">
        <v>1055</v>
      </c>
      <c r="AT81" s="874">
        <v>46095</v>
      </c>
      <c r="AU81" s="874">
        <v>46095</v>
      </c>
      <c r="AV81" s="874">
        <v>46122</v>
      </c>
      <c r="AW81" s="874">
        <v>46115</v>
      </c>
      <c r="AX81" s="1213"/>
      <c r="AY81" s="14"/>
      <c r="AZ81" s="14"/>
      <c r="BA81" s="14"/>
      <c r="BB81" s="2175"/>
      <c r="BC81" s="2179"/>
      <c r="BD81" s="2183"/>
    </row>
    <row r="82" spans="1:56" ht="48">
      <c r="A82" s="2164"/>
      <c r="B82" s="2152"/>
      <c r="C82" s="2152"/>
      <c r="D82" s="2152"/>
      <c r="E82" s="2152"/>
      <c r="F82" s="2152"/>
      <c r="G82" s="2152"/>
      <c r="H82" s="2152"/>
      <c r="I82" s="2191"/>
      <c r="J82" s="2167"/>
      <c r="K82" s="2171"/>
      <c r="L82" s="14"/>
      <c r="M82" s="14"/>
      <c r="N82" s="14"/>
      <c r="O82" s="14"/>
      <c r="P82" s="16"/>
      <c r="Q82" s="14"/>
      <c r="R82" s="16"/>
      <c r="S82" s="16"/>
      <c r="T82" s="14"/>
      <c r="U82" s="18" t="s">
        <v>1565</v>
      </c>
      <c r="V82" s="220">
        <v>45912</v>
      </c>
      <c r="W82" s="220">
        <v>46014</v>
      </c>
      <c r="X82" s="220">
        <v>46379</v>
      </c>
      <c r="Y82" s="498"/>
      <c r="Z82" s="494"/>
      <c r="AA82" s="496"/>
      <c r="AB82" s="496"/>
      <c r="AC82" s="496"/>
      <c r="AD82" s="496"/>
      <c r="AE82" s="18"/>
      <c r="AF82" s="18"/>
      <c r="AG82" s="883" t="s">
        <v>1566</v>
      </c>
      <c r="AH82" s="876" t="s">
        <v>1567</v>
      </c>
      <c r="AI82" s="1211" t="s">
        <v>1568</v>
      </c>
      <c r="AJ82" s="1211" t="s">
        <v>1568</v>
      </c>
      <c r="AK82" s="877" t="s">
        <v>1569</v>
      </c>
      <c r="AL82" s="1221">
        <v>1</v>
      </c>
      <c r="AM82" s="15" t="s">
        <v>1563</v>
      </c>
      <c r="AN82" s="15">
        <v>6</v>
      </c>
      <c r="AO82" s="14" t="s">
        <v>1570</v>
      </c>
      <c r="AP82" s="23"/>
      <c r="AQ82" s="1225">
        <v>1</v>
      </c>
      <c r="AR82" s="1225">
        <v>1</v>
      </c>
      <c r="AS82" s="14" t="s">
        <v>1055</v>
      </c>
      <c r="AT82" s="1062" t="s">
        <v>1571</v>
      </c>
      <c r="AU82" s="226"/>
      <c r="AV82" s="226" t="s">
        <v>451</v>
      </c>
      <c r="AW82" s="226"/>
      <c r="AX82" s="392"/>
      <c r="AY82" s="14"/>
      <c r="AZ82" s="14"/>
      <c r="BA82" s="14"/>
      <c r="BB82" s="2175"/>
      <c r="BC82" s="2179"/>
      <c r="BD82" s="2183"/>
    </row>
    <row r="83" spans="1:56" ht="36">
      <c r="A83" s="2164"/>
      <c r="B83" s="2152"/>
      <c r="C83" s="2152"/>
      <c r="D83" s="2152"/>
      <c r="E83" s="2152"/>
      <c r="F83" s="2152"/>
      <c r="G83" s="2152"/>
      <c r="H83" s="2152"/>
      <c r="I83" s="2191"/>
      <c r="J83" s="2167"/>
      <c r="K83" s="2171"/>
      <c r="L83" s="14"/>
      <c r="M83" s="14"/>
      <c r="N83" s="14"/>
      <c r="O83" s="14"/>
      <c r="P83" s="16"/>
      <c r="Q83" s="14"/>
      <c r="R83" s="16"/>
      <c r="S83" s="16"/>
      <c r="T83" s="14"/>
      <c r="U83" s="25" t="s">
        <v>1572</v>
      </c>
      <c r="V83" s="220">
        <v>46007</v>
      </c>
      <c r="W83" s="220">
        <v>46052</v>
      </c>
      <c r="X83" s="220">
        <v>46047</v>
      </c>
      <c r="Y83" s="18"/>
      <c r="Z83" s="16"/>
      <c r="AA83" s="220"/>
      <c r="AB83" s="220"/>
      <c r="AC83" s="220"/>
      <c r="AD83" s="220"/>
      <c r="AE83" s="18"/>
      <c r="AF83" s="18"/>
      <c r="AG83" s="14" t="s">
        <v>1573</v>
      </c>
      <c r="AH83" s="14" t="s">
        <v>1574</v>
      </c>
      <c r="AI83" s="616" t="s">
        <v>1575</v>
      </c>
      <c r="AJ83" s="616" t="s">
        <v>1575</v>
      </c>
      <c r="AK83" s="1435" t="s">
        <v>1576</v>
      </c>
      <c r="AL83" s="1225"/>
      <c r="AM83" s="14"/>
      <c r="AN83" s="877">
        <v>7</v>
      </c>
      <c r="AO83" s="876" t="s">
        <v>1577</v>
      </c>
      <c r="AP83" s="887"/>
      <c r="AQ83" s="1221">
        <v>1</v>
      </c>
      <c r="AR83" s="1221">
        <v>1</v>
      </c>
      <c r="AS83" s="876" t="s">
        <v>1055</v>
      </c>
      <c r="AT83" s="874">
        <v>46112</v>
      </c>
      <c r="AU83" s="874">
        <v>46112</v>
      </c>
      <c r="AV83" s="874">
        <v>46118</v>
      </c>
      <c r="AW83" s="874">
        <v>46115</v>
      </c>
      <c r="AX83" s="1213"/>
      <c r="AY83" s="14"/>
      <c r="AZ83" s="14"/>
      <c r="BA83" s="14"/>
      <c r="BB83" s="2175"/>
      <c r="BC83" s="2179"/>
      <c r="BD83" s="2183"/>
    </row>
    <row r="84" spans="1:56" ht="15.75">
      <c r="A84" s="2164"/>
      <c r="B84" s="2152"/>
      <c r="C84" s="2152"/>
      <c r="D84" s="2152"/>
      <c r="E84" s="2152"/>
      <c r="F84" s="2152"/>
      <c r="G84" s="2152"/>
      <c r="H84" s="2152"/>
      <c r="I84" s="2191"/>
      <c r="J84" s="2167"/>
      <c r="K84" s="2171"/>
      <c r="L84" s="14"/>
      <c r="M84" s="14"/>
      <c r="N84" s="14"/>
      <c r="O84" s="14"/>
      <c r="P84" s="16"/>
      <c r="Q84" s="14"/>
      <c r="R84" s="16"/>
      <c r="S84" s="16"/>
      <c r="T84" s="14"/>
      <c r="U84" s="25" t="s">
        <v>1578</v>
      </c>
      <c r="V84" s="220">
        <v>46010</v>
      </c>
      <c r="W84" s="220">
        <v>46048</v>
      </c>
      <c r="X84" s="220">
        <v>46048</v>
      </c>
      <c r="Y84" s="14"/>
      <c r="Z84" s="16"/>
      <c r="AA84" s="220"/>
      <c r="AB84" s="220"/>
      <c r="AC84" s="220"/>
      <c r="AD84" s="220"/>
      <c r="AE84" s="18"/>
      <c r="AF84" s="18"/>
      <c r="AG84" s="1360" t="s">
        <v>1579</v>
      </c>
      <c r="AH84" s="1360" t="s">
        <v>1580</v>
      </c>
      <c r="AI84" s="1432">
        <v>46177</v>
      </c>
      <c r="AJ84" s="226"/>
      <c r="AK84" s="22"/>
      <c r="AL84" s="1225"/>
      <c r="AM84" s="14"/>
      <c r="AN84" s="15">
        <v>8</v>
      </c>
      <c r="AO84" s="14" t="s">
        <v>1581</v>
      </c>
      <c r="AP84" s="23"/>
      <c r="AQ84" s="1225">
        <v>1</v>
      </c>
      <c r="AR84" s="1225">
        <v>1</v>
      </c>
      <c r="AS84" s="14" t="s">
        <v>1072</v>
      </c>
      <c r="AT84" s="1432">
        <v>46163</v>
      </c>
      <c r="AU84" s="1432">
        <v>46163</v>
      </c>
      <c r="AV84" s="1432">
        <v>46163</v>
      </c>
      <c r="AW84" s="226"/>
      <c r="AX84" s="1361" t="s">
        <v>1582</v>
      </c>
      <c r="AY84" s="14"/>
      <c r="AZ84" s="14"/>
      <c r="BA84" s="14"/>
      <c r="BB84" s="2175"/>
      <c r="BC84" s="2179"/>
      <c r="BD84" s="2183"/>
    </row>
    <row r="85" spans="1:56" ht="15.75">
      <c r="A85" s="2203"/>
      <c r="B85" s="2190"/>
      <c r="C85" s="2190"/>
      <c r="D85" s="2190"/>
      <c r="E85" s="2190"/>
      <c r="F85" s="2190"/>
      <c r="G85" s="2190"/>
      <c r="H85" s="2190"/>
      <c r="I85" s="2192"/>
      <c r="J85" s="2168"/>
      <c r="K85" s="2172"/>
      <c r="L85" s="108"/>
      <c r="M85" s="108"/>
      <c r="N85" s="108"/>
      <c r="O85" s="108"/>
      <c r="P85" s="109"/>
      <c r="Q85" s="108"/>
      <c r="R85" s="109"/>
      <c r="S85" s="109"/>
      <c r="T85" s="108"/>
      <c r="U85" s="317" t="s">
        <v>1583</v>
      </c>
      <c r="V85" s="221">
        <v>46052</v>
      </c>
      <c r="W85" s="221">
        <v>46095</v>
      </c>
      <c r="X85" s="221">
        <v>46095</v>
      </c>
      <c r="Y85" s="108"/>
      <c r="Z85" s="109"/>
      <c r="AA85" s="221"/>
      <c r="AB85" s="221"/>
      <c r="AC85" s="221"/>
      <c r="AD85" s="221"/>
      <c r="AE85" s="110"/>
      <c r="AF85" s="110"/>
      <c r="AG85" s="108"/>
      <c r="AH85" s="108"/>
      <c r="AI85" s="227"/>
      <c r="AJ85" s="227"/>
      <c r="AK85" s="112"/>
      <c r="AL85" s="1227"/>
      <c r="AM85" s="108"/>
      <c r="AN85" s="108"/>
      <c r="AO85" s="108"/>
      <c r="AP85" s="113"/>
      <c r="AQ85" s="113"/>
      <c r="AR85" s="113"/>
      <c r="AS85" s="114"/>
      <c r="AT85" s="227"/>
      <c r="AU85" s="227"/>
      <c r="AV85" s="227"/>
      <c r="AW85" s="227"/>
      <c r="AX85" s="394"/>
      <c r="AY85" s="108"/>
      <c r="AZ85" s="108"/>
      <c r="BA85" s="108"/>
      <c r="BB85" s="2176"/>
      <c r="BC85" s="2180"/>
      <c r="BD85" s="2184"/>
    </row>
    <row r="86" spans="1:56" ht="15.75">
      <c r="A86" s="2203"/>
      <c r="B86" s="2190"/>
      <c r="C86" s="2190"/>
      <c r="D86" s="2190"/>
      <c r="E86" s="2190"/>
      <c r="F86" s="2190"/>
      <c r="G86" s="2190"/>
      <c r="H86" s="2190"/>
      <c r="I86" s="2192"/>
      <c r="J86" s="2168"/>
      <c r="K86" s="2172"/>
      <c r="L86" s="108"/>
      <c r="M86" s="108"/>
      <c r="N86" s="108"/>
      <c r="O86" s="108"/>
      <c r="P86" s="109"/>
      <c r="Q86" s="108"/>
      <c r="R86" s="109"/>
      <c r="S86" s="109"/>
      <c r="T86" s="108"/>
      <c r="U86" s="317" t="s">
        <v>478</v>
      </c>
      <c r="V86" s="221">
        <v>46105</v>
      </c>
      <c r="W86" s="221">
        <v>46175</v>
      </c>
      <c r="X86" s="221"/>
      <c r="Y86" s="108"/>
      <c r="Z86" s="109"/>
      <c r="AA86" s="221"/>
      <c r="AB86" s="221"/>
      <c r="AC86" s="221"/>
      <c r="AD86" s="221"/>
      <c r="AE86" s="110"/>
      <c r="AF86" s="110"/>
      <c r="AG86" s="108"/>
      <c r="AH86" s="108"/>
      <c r="AI86" s="227"/>
      <c r="AJ86" s="227"/>
      <c r="AK86" s="112"/>
      <c r="AL86" s="1227"/>
      <c r="AM86" s="108"/>
      <c r="AN86" s="108"/>
      <c r="AO86" s="108"/>
      <c r="AP86" s="113"/>
      <c r="AQ86" s="113"/>
      <c r="AR86" s="113"/>
      <c r="AS86" s="114"/>
      <c r="AT86" s="227"/>
      <c r="AU86" s="227"/>
      <c r="AV86" s="227"/>
      <c r="AW86" s="227"/>
      <c r="AX86" s="394"/>
      <c r="AY86" s="108"/>
      <c r="AZ86" s="108"/>
      <c r="BA86" s="108"/>
      <c r="BB86" s="2176"/>
      <c r="BC86" s="2180"/>
      <c r="BD86" s="2184"/>
    </row>
    <row r="87" spans="1:56" ht="15.75">
      <c r="A87" s="2203"/>
      <c r="B87" s="2190"/>
      <c r="C87" s="2190"/>
      <c r="D87" s="2190"/>
      <c r="E87" s="2190"/>
      <c r="F87" s="2190"/>
      <c r="G87" s="2190"/>
      <c r="H87" s="2190"/>
      <c r="I87" s="2192"/>
      <c r="J87" s="2168"/>
      <c r="K87" s="2172"/>
      <c r="L87" s="108"/>
      <c r="M87" s="108"/>
      <c r="N87" s="108"/>
      <c r="O87" s="108"/>
      <c r="P87" s="109"/>
      <c r="Q87" s="108"/>
      <c r="R87" s="109"/>
      <c r="S87" s="109"/>
      <c r="T87" s="108"/>
      <c r="U87" s="317" t="s">
        <v>1584</v>
      </c>
      <c r="V87" s="221">
        <v>46105</v>
      </c>
      <c r="W87" s="221">
        <v>46341</v>
      </c>
      <c r="X87" s="221"/>
      <c r="Y87" s="108"/>
      <c r="Z87" s="109"/>
      <c r="AA87" s="221"/>
      <c r="AB87" s="221"/>
      <c r="AC87" s="221"/>
      <c r="AD87" s="221"/>
      <c r="AE87" s="110"/>
      <c r="AF87" s="110"/>
      <c r="AG87" s="108"/>
      <c r="AH87" s="108"/>
      <c r="AI87" s="227"/>
      <c r="AJ87" s="227"/>
      <c r="AK87" s="112"/>
      <c r="AL87" s="1227"/>
      <c r="AM87" s="108"/>
      <c r="AN87" s="108"/>
      <c r="AO87" s="108"/>
      <c r="AP87" s="113"/>
      <c r="AQ87" s="113"/>
      <c r="AR87" s="113"/>
      <c r="AS87" s="114"/>
      <c r="AT87" s="227"/>
      <c r="AU87" s="227"/>
      <c r="AV87" s="227"/>
      <c r="AW87" s="227"/>
      <c r="AX87" s="394"/>
      <c r="AY87" s="108"/>
      <c r="AZ87" s="108"/>
      <c r="BA87" s="108"/>
      <c r="BB87" s="2176"/>
      <c r="BC87" s="2180"/>
      <c r="BD87" s="2184"/>
    </row>
    <row r="88" spans="1:56" ht="15.75">
      <c r="A88" s="2165"/>
      <c r="B88" s="2153"/>
      <c r="C88" s="2153"/>
      <c r="D88" s="2153"/>
      <c r="E88" s="2153"/>
      <c r="F88" s="2153"/>
      <c r="G88" s="2153"/>
      <c r="H88" s="2153"/>
      <c r="I88" s="2193"/>
      <c r="J88" s="2169"/>
      <c r="K88" s="2173"/>
      <c r="L88" s="118"/>
      <c r="M88" s="118"/>
      <c r="N88" s="118"/>
      <c r="O88" s="118"/>
      <c r="P88" s="119"/>
      <c r="Q88" s="118"/>
      <c r="R88" s="119"/>
      <c r="S88" s="119"/>
      <c r="T88" s="118"/>
      <c r="U88" s="120" t="s">
        <v>1585</v>
      </c>
      <c r="V88" s="223">
        <v>46203</v>
      </c>
      <c r="W88" s="223">
        <v>46234</v>
      </c>
      <c r="X88" s="224"/>
      <c r="Y88" s="121"/>
      <c r="Z88" s="119"/>
      <c r="AA88" s="224"/>
      <c r="AB88" s="224"/>
      <c r="AC88" s="224"/>
      <c r="AD88" s="224"/>
      <c r="AE88" s="121"/>
      <c r="AF88" s="121"/>
      <c r="AG88" s="118"/>
      <c r="AH88" s="118"/>
      <c r="AI88" s="228"/>
      <c r="AJ88" s="228"/>
      <c r="AK88" s="204"/>
      <c r="AL88" s="1231"/>
      <c r="AM88" s="118"/>
      <c r="AN88" s="118"/>
      <c r="AO88" s="118"/>
      <c r="AP88" s="205"/>
      <c r="AQ88" s="205"/>
      <c r="AR88" s="205"/>
      <c r="AS88" s="206"/>
      <c r="AT88" s="228"/>
      <c r="AU88" s="228"/>
      <c r="AV88" s="228"/>
      <c r="AW88" s="228"/>
      <c r="AX88" s="393"/>
      <c r="AY88" s="118"/>
      <c r="AZ88" s="118"/>
      <c r="BA88" s="118"/>
      <c r="BB88" s="2177"/>
      <c r="BC88" s="2181"/>
      <c r="BD88" s="2185"/>
    </row>
    <row r="89" spans="1:56" ht="24" customHeight="1">
      <c r="A89" s="2163">
        <v>9</v>
      </c>
      <c r="B89" s="2151" t="s">
        <v>1586</v>
      </c>
      <c r="C89" s="2151" t="s">
        <v>1587</v>
      </c>
      <c r="D89" s="2151">
        <v>5000108061</v>
      </c>
      <c r="E89" s="2151">
        <v>2</v>
      </c>
      <c r="F89" s="2151" t="s">
        <v>1588</v>
      </c>
      <c r="G89" s="2151" t="s">
        <v>1532</v>
      </c>
      <c r="H89" s="2151" t="s">
        <v>1231</v>
      </c>
      <c r="I89" s="2166">
        <v>45806</v>
      </c>
      <c r="J89" s="2166">
        <v>45869</v>
      </c>
      <c r="K89" s="2170" t="s">
        <v>105</v>
      </c>
      <c r="L89" s="2"/>
      <c r="M89" s="9" t="s">
        <v>1589</v>
      </c>
      <c r="N89" s="9" t="s">
        <v>1590</v>
      </c>
      <c r="O89" s="9" t="s">
        <v>1591</v>
      </c>
      <c r="P89" s="4">
        <v>317</v>
      </c>
      <c r="Q89" s="5" t="s">
        <v>1072</v>
      </c>
      <c r="R89" s="4">
        <v>3</v>
      </c>
      <c r="S89" s="4">
        <v>314</v>
      </c>
      <c r="T89" s="2">
        <v>0.95</v>
      </c>
      <c r="U89" s="6" t="s">
        <v>42</v>
      </c>
      <c r="V89" s="219" t="s">
        <v>1347</v>
      </c>
      <c r="W89" s="219" t="s">
        <v>1347</v>
      </c>
      <c r="X89" s="219" t="s">
        <v>1347</v>
      </c>
      <c r="Y89" s="6" t="s">
        <v>1592</v>
      </c>
      <c r="Z89" s="4"/>
      <c r="AA89" s="219"/>
      <c r="AB89" s="219"/>
      <c r="AC89" s="219"/>
      <c r="AD89" s="219"/>
      <c r="AE89" s="6"/>
      <c r="AF89" s="7"/>
      <c r="AG89" s="2" t="s">
        <v>1505</v>
      </c>
      <c r="AH89" s="8" t="s">
        <v>1593</v>
      </c>
      <c r="AI89" s="332">
        <v>45877</v>
      </c>
      <c r="AJ89" s="316">
        <v>45877</v>
      </c>
      <c r="AK89" s="10" t="s">
        <v>1594</v>
      </c>
      <c r="AL89" s="1228">
        <v>3</v>
      </c>
      <c r="AM89" s="3" t="s">
        <v>1072</v>
      </c>
      <c r="AN89" s="863">
        <v>1</v>
      </c>
      <c r="AO89" s="867" t="s">
        <v>1595</v>
      </c>
      <c r="AP89" s="873">
        <v>0</v>
      </c>
      <c r="AQ89" s="873">
        <v>3</v>
      </c>
      <c r="AR89" s="873">
        <v>3</v>
      </c>
      <c r="AS89" s="863" t="s">
        <v>1072</v>
      </c>
      <c r="AT89" s="1208">
        <v>45929</v>
      </c>
      <c r="AU89" s="1208">
        <v>45928</v>
      </c>
      <c r="AV89" s="1208">
        <v>45959</v>
      </c>
      <c r="AW89" s="875">
        <v>45946</v>
      </c>
      <c r="AX89" s="869"/>
      <c r="AY89" s="13"/>
      <c r="AZ89" s="13"/>
      <c r="BA89" s="13"/>
      <c r="BB89" s="2236" t="s">
        <v>1596</v>
      </c>
      <c r="BC89" s="2178"/>
      <c r="BD89" s="2182"/>
    </row>
    <row r="90" spans="1:56" ht="24">
      <c r="A90" s="2164"/>
      <c r="B90" s="2152"/>
      <c r="C90" s="2152"/>
      <c r="D90" s="2152"/>
      <c r="E90" s="2152"/>
      <c r="F90" s="2152"/>
      <c r="G90" s="2152"/>
      <c r="H90" s="2152"/>
      <c r="I90" s="2191"/>
      <c r="J90" s="2167"/>
      <c r="K90" s="2171"/>
      <c r="L90" s="14"/>
      <c r="M90" s="15"/>
      <c r="N90" s="15"/>
      <c r="O90" s="15"/>
      <c r="P90" s="16"/>
      <c r="Q90" s="17"/>
      <c r="R90" s="16"/>
      <c r="S90" s="16"/>
      <c r="T90" s="14"/>
      <c r="U90" s="18" t="s">
        <v>1041</v>
      </c>
      <c r="V90" s="220">
        <v>45827</v>
      </c>
      <c r="W90" s="220">
        <v>45835</v>
      </c>
      <c r="X90" s="220">
        <v>45838</v>
      </c>
      <c r="Y90" s="18" t="s">
        <v>1597</v>
      </c>
      <c r="Z90" s="16"/>
      <c r="AA90" s="267"/>
      <c r="AB90" s="220"/>
      <c r="AC90" s="220"/>
      <c r="AD90" s="220"/>
      <c r="AE90" s="18"/>
      <c r="AF90" s="19"/>
      <c r="AG90" s="20" t="s">
        <v>1598</v>
      </c>
      <c r="AH90" s="351" t="s">
        <v>418</v>
      </c>
      <c r="AI90" s="556" t="s">
        <v>418</v>
      </c>
      <c r="AJ90" s="556" t="s">
        <v>418</v>
      </c>
      <c r="AK90" s="22" t="s">
        <v>1599</v>
      </c>
      <c r="AL90" s="1225">
        <v>20</v>
      </c>
      <c r="AM90" s="15" t="s">
        <v>1563</v>
      </c>
      <c r="AN90" s="877">
        <v>2</v>
      </c>
      <c r="AO90" s="1209" t="s">
        <v>1600</v>
      </c>
      <c r="AP90" s="887">
        <v>0</v>
      </c>
      <c r="AQ90" s="887">
        <v>20</v>
      </c>
      <c r="AR90" s="887">
        <v>20</v>
      </c>
      <c r="AS90" s="1210" t="s">
        <v>1072</v>
      </c>
      <c r="AT90" s="1211" t="s">
        <v>1601</v>
      </c>
      <c r="AU90" s="1211" t="s">
        <v>1602</v>
      </c>
      <c r="AV90" s="1211" t="s">
        <v>1603</v>
      </c>
      <c r="AW90" s="1212" t="s">
        <v>1604</v>
      </c>
      <c r="AX90" s="1213"/>
      <c r="AY90" s="24"/>
      <c r="AZ90" s="24"/>
      <c r="BA90" s="24"/>
      <c r="BB90" s="2197"/>
      <c r="BC90" s="2179"/>
      <c r="BD90" s="2183"/>
    </row>
    <row r="91" spans="1:56" ht="15.75">
      <c r="A91" s="2164"/>
      <c r="B91" s="2152"/>
      <c r="C91" s="2152"/>
      <c r="D91" s="2152"/>
      <c r="E91" s="2152"/>
      <c r="F91" s="2152"/>
      <c r="G91" s="2152"/>
      <c r="H91" s="2152"/>
      <c r="I91" s="2191"/>
      <c r="J91" s="2167"/>
      <c r="K91" s="2171"/>
      <c r="L91" s="14"/>
      <c r="M91" s="14"/>
      <c r="N91" s="14"/>
      <c r="O91" s="14"/>
      <c r="P91" s="16"/>
      <c r="Q91" s="17"/>
      <c r="R91" s="16"/>
      <c r="S91" s="16"/>
      <c r="T91" s="14"/>
      <c r="U91" s="18" t="s">
        <v>1049</v>
      </c>
      <c r="V91" s="220">
        <v>45836</v>
      </c>
      <c r="W91" s="220">
        <v>45836</v>
      </c>
      <c r="X91" s="220">
        <v>45838</v>
      </c>
      <c r="Y91" s="18" t="s">
        <v>1605</v>
      </c>
      <c r="Z91" s="16"/>
      <c r="AA91" s="220"/>
      <c r="AB91" s="220"/>
      <c r="AC91" s="220"/>
      <c r="AD91" s="220"/>
      <c r="AE91" s="18"/>
      <c r="AF91" s="18"/>
      <c r="AG91" s="20" t="s">
        <v>1606</v>
      </c>
      <c r="AH91" s="14" t="s">
        <v>1607</v>
      </c>
      <c r="AI91" s="320">
        <v>46171</v>
      </c>
      <c r="AJ91" s="226"/>
      <c r="AK91" s="22"/>
      <c r="AL91" s="1225"/>
      <c r="AM91" s="14"/>
      <c r="AN91" s="14"/>
      <c r="AO91" s="14"/>
      <c r="AP91" s="23"/>
      <c r="AQ91" s="23"/>
      <c r="AR91" s="23"/>
      <c r="AS91" s="15"/>
      <c r="AT91" s="320"/>
      <c r="AU91" s="320"/>
      <c r="AV91" s="320"/>
      <c r="AW91" s="226"/>
      <c r="AX91" s="392"/>
      <c r="AY91" s="14"/>
      <c r="AZ91" s="14"/>
      <c r="BA91" s="14"/>
      <c r="BB91" s="2197"/>
      <c r="BC91" s="2179"/>
      <c r="BD91" s="2183"/>
    </row>
    <row r="92" spans="1:56" ht="15.75">
      <c r="A92" s="2164"/>
      <c r="B92" s="2152"/>
      <c r="C92" s="2152"/>
      <c r="D92" s="2152"/>
      <c r="E92" s="2152"/>
      <c r="F92" s="2152"/>
      <c r="G92" s="2152"/>
      <c r="H92" s="2152"/>
      <c r="I92" s="2191"/>
      <c r="J92" s="2167"/>
      <c r="K92" s="2171"/>
      <c r="L92" s="14"/>
      <c r="M92" s="14"/>
      <c r="N92" s="14"/>
      <c r="O92" s="14"/>
      <c r="P92" s="16"/>
      <c r="Q92" s="14"/>
      <c r="R92" s="16"/>
      <c r="S92" s="16"/>
      <c r="T92" s="14"/>
      <c r="U92" s="18" t="s">
        <v>65</v>
      </c>
      <c r="V92" s="220">
        <v>45835</v>
      </c>
      <c r="W92" s="220">
        <v>45844</v>
      </c>
      <c r="X92" s="220">
        <v>45844</v>
      </c>
      <c r="Y92" s="18"/>
      <c r="Z92" s="16"/>
      <c r="AA92" s="220"/>
      <c r="AB92" s="220"/>
      <c r="AC92" s="220"/>
      <c r="AD92" s="220"/>
      <c r="AE92" s="18"/>
      <c r="AF92" s="18"/>
      <c r="AG92" s="20"/>
      <c r="AH92" s="14"/>
      <c r="AI92" s="226"/>
      <c r="AJ92" s="226"/>
      <c r="AK92" s="22"/>
      <c r="AL92" s="1225"/>
      <c r="AM92" s="14"/>
      <c r="AN92" s="14"/>
      <c r="AO92" s="14"/>
      <c r="AP92" s="23"/>
      <c r="AQ92" s="23"/>
      <c r="AR92" s="23"/>
      <c r="AS92" s="15"/>
      <c r="AT92" s="21"/>
      <c r="AU92" s="21"/>
      <c r="AV92" s="21"/>
      <c r="AW92" s="21"/>
      <c r="AX92" s="14"/>
      <c r="AY92" s="14"/>
      <c r="AZ92" s="14"/>
      <c r="BA92" s="14"/>
      <c r="BB92" s="2197"/>
      <c r="BC92" s="2179"/>
      <c r="BD92" s="2183"/>
    </row>
    <row r="93" spans="1:56" ht="15.75">
      <c r="A93" s="2164"/>
      <c r="B93" s="2152"/>
      <c r="C93" s="2152"/>
      <c r="D93" s="2152"/>
      <c r="E93" s="2152"/>
      <c r="F93" s="2152"/>
      <c r="G93" s="2152"/>
      <c r="H93" s="2152"/>
      <c r="I93" s="2191"/>
      <c r="J93" s="2167"/>
      <c r="K93" s="2171"/>
      <c r="L93" s="14"/>
      <c r="M93" s="14"/>
      <c r="N93" s="14"/>
      <c r="O93" s="14"/>
      <c r="P93" s="16"/>
      <c r="Q93" s="14"/>
      <c r="R93" s="16"/>
      <c r="S93" s="16"/>
      <c r="T93" s="14"/>
      <c r="U93" s="18" t="s">
        <v>75</v>
      </c>
      <c r="V93" s="220">
        <v>45835</v>
      </c>
      <c r="W93" s="220">
        <v>45844</v>
      </c>
      <c r="X93" s="220">
        <v>45844</v>
      </c>
      <c r="Y93" s="18"/>
      <c r="Z93" s="16"/>
      <c r="AA93" s="220"/>
      <c r="AB93" s="220"/>
      <c r="AC93" s="220"/>
      <c r="AD93" s="220"/>
      <c r="AE93" s="18"/>
      <c r="AF93" s="18"/>
      <c r="AG93" s="20"/>
      <c r="AH93" s="14"/>
      <c r="AI93" s="226"/>
      <c r="AJ93" s="226"/>
      <c r="AK93" s="22"/>
      <c r="AL93" s="1225"/>
      <c r="AM93" s="14"/>
      <c r="AN93" s="14"/>
      <c r="AO93" s="14"/>
      <c r="AP93" s="23"/>
      <c r="AQ93" s="23"/>
      <c r="AR93" s="23"/>
      <c r="AS93" s="15"/>
      <c r="AT93" s="21"/>
      <c r="AU93" s="21"/>
      <c r="AV93" s="21"/>
      <c r="AW93" s="21"/>
      <c r="AY93" s="14"/>
      <c r="AZ93" s="14"/>
      <c r="BA93" s="14"/>
      <c r="BB93" s="2197"/>
      <c r="BC93" s="2179"/>
      <c r="BD93" s="2183"/>
    </row>
    <row r="94" spans="1:56" ht="15.75">
      <c r="A94" s="2164"/>
      <c r="B94" s="2152"/>
      <c r="C94" s="2152"/>
      <c r="D94" s="2152"/>
      <c r="E94" s="2152"/>
      <c r="F94" s="2152"/>
      <c r="G94" s="2152"/>
      <c r="H94" s="2152"/>
      <c r="I94" s="2191"/>
      <c r="J94" s="2167"/>
      <c r="K94" s="2171"/>
      <c r="L94" s="14"/>
      <c r="M94" s="14"/>
      <c r="N94" s="14"/>
      <c r="O94" s="14"/>
      <c r="P94" s="16"/>
      <c r="Q94" s="14"/>
      <c r="R94" s="16"/>
      <c r="S94" s="16"/>
      <c r="T94" s="14"/>
      <c r="U94" s="18" t="s">
        <v>96</v>
      </c>
      <c r="V94" s="220">
        <v>45835</v>
      </c>
      <c r="W94" s="220">
        <v>45856</v>
      </c>
      <c r="X94" s="220">
        <v>45852</v>
      </c>
      <c r="Y94" s="18"/>
      <c r="Z94" s="16"/>
      <c r="AA94" s="220"/>
      <c r="AB94" s="220"/>
      <c r="AC94" s="220"/>
      <c r="AD94" s="220"/>
      <c r="AE94" s="18"/>
      <c r="AF94" s="18"/>
      <c r="AG94" s="20"/>
      <c r="AH94" s="14"/>
      <c r="AI94" s="226"/>
      <c r="AJ94" s="226"/>
      <c r="AK94" s="22"/>
      <c r="AL94" s="1225"/>
      <c r="AM94" s="14"/>
      <c r="AN94" s="14"/>
      <c r="AO94" s="14"/>
      <c r="AP94" s="23"/>
      <c r="AQ94" s="23"/>
      <c r="AR94" s="23"/>
      <c r="AS94" s="15"/>
      <c r="AT94" s="21"/>
      <c r="AU94" s="21"/>
      <c r="AV94" s="21"/>
      <c r="AW94" s="21"/>
      <c r="AX94" s="14"/>
      <c r="AY94" s="14"/>
      <c r="AZ94" s="14"/>
      <c r="BA94" s="14"/>
      <c r="BB94" s="2197"/>
      <c r="BC94" s="2179"/>
      <c r="BD94" s="2183"/>
    </row>
    <row r="95" spans="1:56" ht="15.75">
      <c r="A95" s="2164"/>
      <c r="B95" s="2152"/>
      <c r="C95" s="2152"/>
      <c r="D95" s="2152"/>
      <c r="E95" s="2152"/>
      <c r="F95" s="2152"/>
      <c r="G95" s="2152"/>
      <c r="H95" s="2152"/>
      <c r="I95" s="2191"/>
      <c r="J95" s="2167"/>
      <c r="K95" s="2171"/>
      <c r="L95" s="14"/>
      <c r="M95" s="14"/>
      <c r="N95" s="14"/>
      <c r="O95" s="14"/>
      <c r="P95" s="16"/>
      <c r="Q95" s="14"/>
      <c r="R95" s="16"/>
      <c r="S95" s="16"/>
      <c r="T95" s="14"/>
      <c r="U95" s="25" t="s">
        <v>1361</v>
      </c>
      <c r="V95" s="220">
        <v>45881</v>
      </c>
      <c r="W95" s="220">
        <v>45876</v>
      </c>
      <c r="X95" s="220">
        <v>45876</v>
      </c>
      <c r="Y95" s="18"/>
      <c r="Z95" s="16"/>
      <c r="AA95" s="220"/>
      <c r="AB95" s="220"/>
      <c r="AC95" s="220"/>
      <c r="AD95" s="220"/>
      <c r="AE95" s="18"/>
      <c r="AF95" s="18"/>
      <c r="AG95" s="14"/>
      <c r="AH95" s="14"/>
      <c r="AI95" s="226"/>
      <c r="AJ95" s="226"/>
      <c r="AK95" s="22"/>
      <c r="AL95" s="1225"/>
      <c r="AM95" s="14"/>
      <c r="AN95" s="14"/>
      <c r="AO95" s="14"/>
      <c r="AP95" s="23"/>
      <c r="AQ95" s="23"/>
      <c r="AR95" s="23"/>
      <c r="AS95" s="15"/>
      <c r="AT95" s="21"/>
      <c r="AU95" s="21"/>
      <c r="AV95" s="21"/>
      <c r="AW95" s="21"/>
      <c r="AX95" s="14"/>
      <c r="AY95" s="14"/>
      <c r="AZ95" s="14"/>
      <c r="BA95" s="14"/>
      <c r="BB95" s="2197"/>
      <c r="BC95" s="2179"/>
      <c r="BD95" s="2183"/>
    </row>
    <row r="96" spans="1:56" ht="15.75">
      <c r="A96" s="2164"/>
      <c r="B96" s="2152"/>
      <c r="C96" s="2152"/>
      <c r="D96" s="2152"/>
      <c r="E96" s="2152"/>
      <c r="F96" s="2152"/>
      <c r="G96" s="2152"/>
      <c r="H96" s="2152"/>
      <c r="I96" s="2191"/>
      <c r="J96" s="2167"/>
      <c r="K96" s="2171"/>
      <c r="L96" s="14"/>
      <c r="M96" s="14"/>
      <c r="N96" s="14"/>
      <c r="O96" s="14"/>
      <c r="P96" s="16"/>
      <c r="Q96" s="14"/>
      <c r="R96" s="16"/>
      <c r="S96" s="16"/>
      <c r="T96" s="14"/>
      <c r="U96" s="25" t="s">
        <v>472</v>
      </c>
      <c r="V96" s="220">
        <v>45882</v>
      </c>
      <c r="W96" s="220">
        <v>45877</v>
      </c>
      <c r="X96" s="220">
        <v>45877</v>
      </c>
      <c r="Y96" s="14"/>
      <c r="Z96" s="16"/>
      <c r="AA96" s="220"/>
      <c r="AB96" s="220"/>
      <c r="AC96" s="220"/>
      <c r="AD96" s="220"/>
      <c r="AE96" s="18"/>
      <c r="AF96" s="18"/>
      <c r="AG96" s="14"/>
      <c r="AH96" s="14"/>
      <c r="AI96" s="226"/>
      <c r="AJ96" s="226"/>
      <c r="AK96" s="22"/>
      <c r="AL96" s="1225"/>
      <c r="AM96" s="14"/>
      <c r="AN96" s="14"/>
      <c r="AO96" s="14"/>
      <c r="AP96" s="23"/>
      <c r="AQ96" s="23"/>
      <c r="AR96" s="23"/>
      <c r="AS96" s="15"/>
      <c r="AT96" s="21"/>
      <c r="AU96" s="21"/>
      <c r="AV96" s="21"/>
      <c r="AW96" s="21"/>
      <c r="AX96" s="14"/>
      <c r="AY96" s="14"/>
      <c r="AZ96" s="14"/>
      <c r="BA96" s="14"/>
      <c r="BB96" s="2197"/>
      <c r="BC96" s="2179"/>
      <c r="BD96" s="2183"/>
    </row>
    <row r="97" spans="1:56" ht="15.75">
      <c r="A97" s="2203"/>
      <c r="B97" s="2190"/>
      <c r="C97" s="2190"/>
      <c r="D97" s="2190"/>
      <c r="E97" s="2190"/>
      <c r="F97" s="2190"/>
      <c r="G97" s="2190"/>
      <c r="H97" s="2190"/>
      <c r="I97" s="2192"/>
      <c r="J97" s="2168"/>
      <c r="K97" s="2172"/>
      <c r="L97" s="108"/>
      <c r="M97" s="108"/>
      <c r="N97" s="108"/>
      <c r="O97" s="108"/>
      <c r="P97" s="109"/>
      <c r="Q97" s="108"/>
      <c r="R97" s="109"/>
      <c r="S97" s="109"/>
      <c r="T97" s="108"/>
      <c r="U97" s="317" t="s">
        <v>1608</v>
      </c>
      <c r="V97" s="221">
        <v>45869</v>
      </c>
      <c r="W97" s="221">
        <v>45929</v>
      </c>
      <c r="X97" s="221">
        <v>45928</v>
      </c>
      <c r="Y97" s="108"/>
      <c r="Z97" s="109"/>
      <c r="AA97" s="221"/>
      <c r="AB97" s="221"/>
      <c r="AC97" s="221"/>
      <c r="AD97" s="221"/>
      <c r="AE97" s="110"/>
      <c r="AF97" s="110"/>
      <c r="AG97" s="108"/>
      <c r="AH97" s="108"/>
      <c r="AI97" s="227"/>
      <c r="AJ97" s="227"/>
      <c r="AK97" s="112"/>
      <c r="AL97" s="1227"/>
      <c r="AM97" s="108"/>
      <c r="AN97" s="108"/>
      <c r="AO97" s="108"/>
      <c r="AP97" s="113"/>
      <c r="AQ97" s="113"/>
      <c r="AR97" s="113"/>
      <c r="AS97" s="114"/>
      <c r="AT97" s="111"/>
      <c r="AU97" s="111"/>
      <c r="AV97" s="111"/>
      <c r="AW97" s="111"/>
      <c r="AX97" s="108"/>
      <c r="AY97" s="108"/>
      <c r="AZ97" s="108"/>
      <c r="BA97" s="108"/>
      <c r="BB97" s="2198"/>
      <c r="BC97" s="2180"/>
      <c r="BD97" s="2184"/>
    </row>
    <row r="98" spans="1:56" ht="15.75">
      <c r="A98" s="2203"/>
      <c r="B98" s="2190"/>
      <c r="C98" s="2190"/>
      <c r="D98" s="2190"/>
      <c r="E98" s="2190"/>
      <c r="F98" s="2190"/>
      <c r="G98" s="2190"/>
      <c r="H98" s="2190"/>
      <c r="I98" s="2192"/>
      <c r="J98" s="2168"/>
      <c r="K98" s="2172"/>
      <c r="L98" s="108"/>
      <c r="M98" s="108"/>
      <c r="N98" s="108"/>
      <c r="O98" s="108"/>
      <c r="P98" s="109"/>
      <c r="Q98" s="108"/>
      <c r="R98" s="109"/>
      <c r="S98" s="109"/>
      <c r="T98" s="108"/>
      <c r="U98" s="317" t="s">
        <v>1609</v>
      </c>
      <c r="V98" s="221">
        <v>45960</v>
      </c>
      <c r="W98" s="222">
        <v>45992</v>
      </c>
      <c r="X98" s="222">
        <v>45992</v>
      </c>
      <c r="Y98" s="108"/>
      <c r="Z98" s="109"/>
      <c r="AA98" s="221"/>
      <c r="AB98" s="221"/>
      <c r="AC98" s="221"/>
      <c r="AD98" s="221"/>
      <c r="AE98" s="110"/>
      <c r="AF98" s="110"/>
      <c r="AG98" s="108"/>
      <c r="AH98" s="108"/>
      <c r="AI98" s="227"/>
      <c r="AJ98" s="227"/>
      <c r="AK98" s="112"/>
      <c r="AL98" s="1227"/>
      <c r="AM98" s="108"/>
      <c r="AN98" s="108"/>
      <c r="AO98" s="108"/>
      <c r="AP98" s="113"/>
      <c r="AQ98" s="113"/>
      <c r="AR98" s="113"/>
      <c r="AS98" s="114"/>
      <c r="AT98" s="111"/>
      <c r="AU98" s="111"/>
      <c r="AV98" s="111"/>
      <c r="AW98" s="111"/>
      <c r="AX98" s="108"/>
      <c r="AY98" s="108"/>
      <c r="AZ98" s="108"/>
      <c r="BA98" s="108"/>
      <c r="BB98" s="2198"/>
      <c r="BC98" s="2180"/>
      <c r="BD98" s="2184"/>
    </row>
    <row r="99" spans="1:56" ht="15.75">
      <c r="A99" s="2203"/>
      <c r="B99" s="2190"/>
      <c r="C99" s="2190"/>
      <c r="D99" s="2190"/>
      <c r="E99" s="2190"/>
      <c r="F99" s="2190"/>
      <c r="G99" s="2190"/>
      <c r="H99" s="2190"/>
      <c r="I99" s="2192"/>
      <c r="J99" s="2168"/>
      <c r="K99" s="2172"/>
      <c r="L99" s="108"/>
      <c r="M99" s="108"/>
      <c r="N99" s="108"/>
      <c r="O99" s="108"/>
      <c r="P99" s="109"/>
      <c r="Q99" s="108"/>
      <c r="R99" s="109"/>
      <c r="S99" s="109"/>
      <c r="T99" s="108"/>
      <c r="U99" s="110" t="s">
        <v>1610</v>
      </c>
      <c r="V99" s="221">
        <v>46096</v>
      </c>
      <c r="W99" s="221">
        <v>46193</v>
      </c>
      <c r="X99" s="222"/>
      <c r="Y99" s="485"/>
      <c r="Z99" s="109"/>
      <c r="AA99" s="222"/>
      <c r="AB99" s="222"/>
      <c r="AC99" s="222"/>
      <c r="AD99" s="222"/>
      <c r="AE99" s="485"/>
      <c r="AF99" s="485"/>
      <c r="AG99" s="108"/>
      <c r="AH99" s="108"/>
      <c r="AI99" s="227"/>
      <c r="AJ99" s="227"/>
      <c r="AK99" s="112"/>
      <c r="AL99" s="1227"/>
      <c r="AM99" s="108"/>
      <c r="AN99" s="108"/>
      <c r="AO99" s="108"/>
      <c r="AP99" s="113"/>
      <c r="AQ99" s="113"/>
      <c r="AR99" s="113"/>
      <c r="AS99" s="114"/>
      <c r="AT99" s="111"/>
      <c r="AU99" s="111"/>
      <c r="AV99" s="111"/>
      <c r="AW99" s="111"/>
      <c r="AX99" s="108"/>
      <c r="AY99" s="108"/>
      <c r="AZ99" s="108"/>
      <c r="BA99" s="108"/>
      <c r="BB99" s="2198"/>
      <c r="BC99" s="2180"/>
      <c r="BD99" s="2184"/>
    </row>
    <row r="100" spans="1:56" ht="36">
      <c r="A100" s="2186" t="s">
        <v>1611</v>
      </c>
      <c r="B100" s="2151" t="s">
        <v>1612</v>
      </c>
      <c r="C100" s="2151" t="s">
        <v>1613</v>
      </c>
      <c r="D100" s="2151">
        <v>5000108145</v>
      </c>
      <c r="E100" s="2151">
        <v>0</v>
      </c>
      <c r="F100" s="2151" t="s">
        <v>1614</v>
      </c>
      <c r="G100" s="2151" t="s">
        <v>1532</v>
      </c>
      <c r="H100" s="2151" t="s">
        <v>1231</v>
      </c>
      <c r="I100" s="2166">
        <v>45785</v>
      </c>
      <c r="J100" s="2166">
        <v>46142</v>
      </c>
      <c r="K100" s="2170" t="s">
        <v>105</v>
      </c>
      <c r="L100" s="2"/>
      <c r="M100" s="9" t="s">
        <v>1536</v>
      </c>
      <c r="N100" s="9" t="s">
        <v>1615</v>
      </c>
      <c r="O100" s="9" t="s">
        <v>1615</v>
      </c>
      <c r="P100" s="4">
        <v>3</v>
      </c>
      <c r="Q100" s="5" t="s">
        <v>1055</v>
      </c>
      <c r="R100" s="4">
        <v>0</v>
      </c>
      <c r="S100" s="4">
        <v>3</v>
      </c>
      <c r="T100" s="2">
        <v>0</v>
      </c>
      <c r="U100" s="6" t="s">
        <v>42</v>
      </c>
      <c r="V100" s="219">
        <v>45838</v>
      </c>
      <c r="W100" s="219">
        <v>45838</v>
      </c>
      <c r="X100" s="219">
        <v>45838</v>
      </c>
      <c r="Y100" s="6" t="s">
        <v>1616</v>
      </c>
      <c r="Z100" s="4">
        <v>16</v>
      </c>
      <c r="AA100" s="219">
        <v>45873</v>
      </c>
      <c r="AB100" s="219">
        <v>45873</v>
      </c>
      <c r="AC100" s="219">
        <v>46137</v>
      </c>
      <c r="AD100" s="219">
        <v>46121</v>
      </c>
      <c r="AE100" s="6">
        <v>8</v>
      </c>
      <c r="AF100" s="7" t="s">
        <v>627</v>
      </c>
      <c r="AG100" s="2" t="s">
        <v>1617</v>
      </c>
      <c r="AH100" s="8" t="s">
        <v>1618</v>
      </c>
      <c r="AI100" s="316" t="s">
        <v>1619</v>
      </c>
      <c r="AJ100" s="316" t="s">
        <v>1619</v>
      </c>
      <c r="AK100" s="1006" t="s">
        <v>1620</v>
      </c>
      <c r="AL100" s="642">
        <v>1</v>
      </c>
      <c r="AM100" s="3" t="s">
        <v>1563</v>
      </c>
      <c r="AN100" s="863">
        <v>1</v>
      </c>
      <c r="AO100" s="867" t="s">
        <v>1621</v>
      </c>
      <c r="AP100" s="873">
        <v>0</v>
      </c>
      <c r="AQ100" s="873">
        <v>1</v>
      </c>
      <c r="AR100" s="873">
        <v>1</v>
      </c>
      <c r="AS100" s="863"/>
      <c r="AT100" s="875">
        <v>46100</v>
      </c>
      <c r="AU100" s="875">
        <v>46099</v>
      </c>
      <c r="AV100" s="875">
        <v>46122</v>
      </c>
      <c r="AW100" s="864" t="s">
        <v>1622</v>
      </c>
      <c r="AX100" s="866" t="s">
        <v>237</v>
      </c>
      <c r="AY100" s="13"/>
      <c r="AZ100" s="13"/>
      <c r="BA100" s="13"/>
      <c r="BB100" s="2174" t="s">
        <v>1623</v>
      </c>
      <c r="BC100" s="2178"/>
      <c r="BD100" s="2182"/>
    </row>
    <row r="101" spans="1:56" ht="24">
      <c r="A101" s="2187"/>
      <c r="B101" s="2152"/>
      <c r="C101" s="2152"/>
      <c r="D101" s="2152"/>
      <c r="E101" s="2152"/>
      <c r="F101" s="2152"/>
      <c r="G101" s="2152"/>
      <c r="H101" s="2152"/>
      <c r="I101" s="2191"/>
      <c r="J101" s="2167"/>
      <c r="K101" s="2171"/>
      <c r="L101" s="14"/>
      <c r="M101" s="15"/>
      <c r="N101" s="15"/>
      <c r="O101" s="15"/>
      <c r="P101" s="16"/>
      <c r="Q101" s="17"/>
      <c r="R101" s="16"/>
      <c r="S101" s="16"/>
      <c r="T101" s="14"/>
      <c r="U101" s="18" t="s">
        <v>1041</v>
      </c>
      <c r="V101" s="220">
        <v>45785</v>
      </c>
      <c r="W101" s="220">
        <v>45835</v>
      </c>
      <c r="X101" s="220">
        <v>45840</v>
      </c>
      <c r="Y101" s="18" t="s">
        <v>1624</v>
      </c>
      <c r="Z101" s="16">
        <v>146</v>
      </c>
      <c r="AA101" s="267">
        <v>45895</v>
      </c>
      <c r="AB101" s="220">
        <v>45901</v>
      </c>
      <c r="AC101" s="1368">
        <v>46188</v>
      </c>
      <c r="AD101" s="220"/>
      <c r="AE101" s="18" t="s">
        <v>1625</v>
      </c>
      <c r="AF101" s="19" t="s">
        <v>1626</v>
      </c>
      <c r="AG101" s="20" t="s">
        <v>1627</v>
      </c>
      <c r="AH101" s="14" t="s">
        <v>1628</v>
      </c>
      <c r="AI101" s="331" t="s">
        <v>1629</v>
      </c>
      <c r="AJ101" s="331" t="s">
        <v>1629</v>
      </c>
      <c r="AK101" s="15" t="s">
        <v>418</v>
      </c>
      <c r="AL101" s="1232">
        <v>3</v>
      </c>
      <c r="AM101" s="15" t="s">
        <v>1072</v>
      </c>
      <c r="AN101" s="15">
        <v>2</v>
      </c>
      <c r="AO101" s="14" t="s">
        <v>1630</v>
      </c>
      <c r="AP101" s="23">
        <v>0</v>
      </c>
      <c r="AQ101" s="23">
        <v>2</v>
      </c>
      <c r="AR101" s="23">
        <v>2</v>
      </c>
      <c r="AS101" s="15" t="s">
        <v>1563</v>
      </c>
      <c r="AT101" s="21"/>
      <c r="AU101" s="21"/>
      <c r="AV101" s="21"/>
      <c r="AW101" s="21"/>
      <c r="AX101" s="14"/>
      <c r="AY101" s="24"/>
      <c r="AZ101" s="24"/>
      <c r="BA101" s="24"/>
      <c r="BB101" s="2175"/>
      <c r="BC101" s="2179"/>
      <c r="BD101" s="2183"/>
    </row>
    <row r="102" spans="1:56" ht="36">
      <c r="A102" s="2187"/>
      <c r="B102" s="2152"/>
      <c r="C102" s="2152"/>
      <c r="D102" s="2152"/>
      <c r="E102" s="2152"/>
      <c r="F102" s="2152"/>
      <c r="G102" s="2152"/>
      <c r="H102" s="2152"/>
      <c r="I102" s="2191"/>
      <c r="J102" s="2167"/>
      <c r="K102" s="2171"/>
      <c r="L102" s="14"/>
      <c r="M102" s="14"/>
      <c r="N102" s="14"/>
      <c r="O102" s="14"/>
      <c r="P102" s="16"/>
      <c r="Q102" s="17"/>
      <c r="R102" s="16"/>
      <c r="S102" s="16"/>
      <c r="T102" s="14"/>
      <c r="U102" s="18" t="s">
        <v>1049</v>
      </c>
      <c r="V102" s="220">
        <v>45838</v>
      </c>
      <c r="W102" s="220">
        <v>45838</v>
      </c>
      <c r="X102" s="220">
        <v>45838</v>
      </c>
      <c r="Y102" s="18" t="s">
        <v>1631</v>
      </c>
      <c r="Z102" s="16">
        <v>1</v>
      </c>
      <c r="AA102" s="220">
        <v>45903</v>
      </c>
      <c r="AB102" s="220">
        <v>45901</v>
      </c>
      <c r="AC102" s="220">
        <v>46127</v>
      </c>
      <c r="AD102" s="220">
        <v>46121</v>
      </c>
      <c r="AE102" s="18">
        <v>1</v>
      </c>
      <c r="AF102" s="18" t="s">
        <v>1632</v>
      </c>
      <c r="AG102" s="20" t="s">
        <v>1633</v>
      </c>
      <c r="AH102" s="14" t="s">
        <v>1634</v>
      </c>
      <c r="AI102" s="616" t="s">
        <v>1635</v>
      </c>
      <c r="AJ102" s="616" t="s">
        <v>1635</v>
      </c>
      <c r="AK102" s="15" t="s">
        <v>418</v>
      </c>
      <c r="AL102" s="1232">
        <v>1</v>
      </c>
      <c r="AM102" s="15" t="s">
        <v>1072</v>
      </c>
      <c r="AN102" s="15">
        <v>3</v>
      </c>
      <c r="AO102" s="14" t="s">
        <v>1636</v>
      </c>
      <c r="AP102" s="23">
        <v>0</v>
      </c>
      <c r="AQ102" s="23">
        <v>1</v>
      </c>
      <c r="AR102" s="23">
        <v>1</v>
      </c>
      <c r="AS102" s="15" t="s">
        <v>1563</v>
      </c>
      <c r="AT102" s="21"/>
      <c r="AU102" s="21"/>
      <c r="AV102" s="21"/>
      <c r="AW102" s="21"/>
      <c r="AX102" s="14"/>
      <c r="AY102" s="14"/>
      <c r="AZ102" s="14"/>
      <c r="BA102" s="14"/>
      <c r="BB102" s="2175"/>
      <c r="BC102" s="2179"/>
      <c r="BD102" s="2183"/>
    </row>
    <row r="103" spans="1:56" ht="15.75">
      <c r="A103" s="2187"/>
      <c r="B103" s="2152"/>
      <c r="C103" s="2152"/>
      <c r="D103" s="2152"/>
      <c r="E103" s="2152"/>
      <c r="F103" s="2152"/>
      <c r="G103" s="2152"/>
      <c r="H103" s="2152"/>
      <c r="I103" s="2191"/>
      <c r="J103" s="2167"/>
      <c r="K103" s="2171"/>
      <c r="L103" s="14"/>
      <c r="M103" s="14"/>
      <c r="N103" s="14"/>
      <c r="O103" s="14"/>
      <c r="P103" s="16"/>
      <c r="Q103" s="17"/>
      <c r="R103" s="16"/>
      <c r="S103" s="16"/>
      <c r="T103" s="14"/>
      <c r="U103" s="18" t="s">
        <v>1637</v>
      </c>
      <c r="V103" s="220">
        <v>45860</v>
      </c>
      <c r="W103" s="220">
        <v>45881</v>
      </c>
      <c r="X103" s="220">
        <v>45876</v>
      </c>
      <c r="Y103" s="18" t="s">
        <v>1638</v>
      </c>
      <c r="Z103" s="16"/>
      <c r="AA103" s="220">
        <v>45910</v>
      </c>
      <c r="AB103" s="220">
        <v>45902</v>
      </c>
      <c r="AC103" s="1368">
        <v>46188</v>
      </c>
      <c r="AD103" s="220"/>
      <c r="AE103" s="18" t="s">
        <v>1625</v>
      </c>
      <c r="AF103" s="18" t="s">
        <v>1639</v>
      </c>
      <c r="AG103" s="20" t="s">
        <v>1640</v>
      </c>
      <c r="AH103" s="14" t="s">
        <v>1641</v>
      </c>
      <c r="AI103" s="226">
        <v>46080</v>
      </c>
      <c r="AJ103" s="226">
        <v>46080</v>
      </c>
      <c r="AK103" s="15" t="s">
        <v>418</v>
      </c>
      <c r="AL103" s="1232">
        <v>3</v>
      </c>
      <c r="AM103" s="15" t="s">
        <v>1563</v>
      </c>
      <c r="AN103" s="14"/>
      <c r="AO103" s="14"/>
      <c r="AP103" s="23"/>
      <c r="AQ103" s="23"/>
      <c r="AR103" s="23"/>
      <c r="AS103" s="15"/>
      <c r="AT103" s="21"/>
      <c r="AU103" s="21"/>
      <c r="AV103" s="21"/>
      <c r="AW103" s="21"/>
      <c r="AX103" s="14"/>
      <c r="AY103" s="14"/>
      <c r="AZ103" s="14"/>
      <c r="BA103" s="14"/>
      <c r="BB103" s="2175"/>
      <c r="BC103" s="2179"/>
      <c r="BD103" s="2183"/>
    </row>
    <row r="104" spans="1:56" ht="42" customHeight="1">
      <c r="A104" s="2187"/>
      <c r="B104" s="2152"/>
      <c r="C104" s="2152"/>
      <c r="D104" s="2152"/>
      <c r="E104" s="2152"/>
      <c r="F104" s="2152"/>
      <c r="G104" s="2152"/>
      <c r="H104" s="2152"/>
      <c r="I104" s="2191"/>
      <c r="J104" s="2167"/>
      <c r="K104" s="2171"/>
      <c r="L104" s="14"/>
      <c r="M104" s="14"/>
      <c r="N104" s="14"/>
      <c r="O104" s="14"/>
      <c r="P104" s="16"/>
      <c r="Q104" s="17"/>
      <c r="R104" s="16"/>
      <c r="S104" s="16"/>
      <c r="T104" s="14"/>
      <c r="U104" s="18" t="s">
        <v>1642</v>
      </c>
      <c r="V104" s="220">
        <v>45875</v>
      </c>
      <c r="W104" s="220">
        <v>46035</v>
      </c>
      <c r="X104" s="220">
        <v>46035</v>
      </c>
      <c r="Y104" s="18" t="s">
        <v>1643</v>
      </c>
      <c r="Z104" s="16"/>
      <c r="AA104" s="220">
        <v>45910</v>
      </c>
      <c r="AB104" s="220">
        <v>45902</v>
      </c>
      <c r="AC104" s="1368">
        <v>46188</v>
      </c>
      <c r="AD104" s="220"/>
      <c r="AE104" s="18" t="s">
        <v>1625</v>
      </c>
      <c r="AF104" s="18" t="s">
        <v>1639</v>
      </c>
      <c r="AG104" s="20" t="s">
        <v>1644</v>
      </c>
      <c r="AH104" s="14" t="s">
        <v>1645</v>
      </c>
      <c r="AI104" s="616" t="s">
        <v>1646</v>
      </c>
      <c r="AJ104" s="616" t="s">
        <v>1647</v>
      </c>
      <c r="AK104" s="15" t="s">
        <v>418</v>
      </c>
      <c r="AL104" s="1232">
        <v>2</v>
      </c>
      <c r="AM104" s="15" t="s">
        <v>1563</v>
      </c>
      <c r="AN104" s="14"/>
      <c r="AO104" s="14"/>
      <c r="AP104" s="23"/>
      <c r="AQ104" s="23"/>
      <c r="AR104" s="23"/>
      <c r="AS104" s="15"/>
      <c r="AT104" s="21"/>
      <c r="AU104" s="21"/>
      <c r="AV104" s="21"/>
      <c r="AW104" s="21"/>
      <c r="AX104" s="14"/>
      <c r="AY104" s="14"/>
      <c r="AZ104" s="14"/>
      <c r="BA104" s="14"/>
      <c r="BB104" s="2175"/>
      <c r="BC104" s="2179"/>
      <c r="BD104" s="2183"/>
    </row>
    <row r="105" spans="1:56" ht="15.75">
      <c r="A105" s="2187"/>
      <c r="B105" s="2152"/>
      <c r="C105" s="2152"/>
      <c r="D105" s="2152"/>
      <c r="E105" s="2152"/>
      <c r="F105" s="2152"/>
      <c r="G105" s="2152"/>
      <c r="H105" s="2152"/>
      <c r="I105" s="2191"/>
      <c r="J105" s="2167"/>
      <c r="K105" s="2171"/>
      <c r="L105" s="14"/>
      <c r="M105" s="14"/>
      <c r="N105" s="14"/>
      <c r="O105" s="14"/>
      <c r="P105" s="16"/>
      <c r="Q105" s="17"/>
      <c r="R105" s="16"/>
      <c r="S105" s="16"/>
      <c r="T105" s="14"/>
      <c r="U105" s="18" t="s">
        <v>1648</v>
      </c>
      <c r="V105" s="220">
        <v>46034</v>
      </c>
      <c r="W105" s="220">
        <v>46034</v>
      </c>
      <c r="X105" s="220">
        <v>46034</v>
      </c>
      <c r="Y105" s="18" t="s">
        <v>1649</v>
      </c>
      <c r="Z105" s="16"/>
      <c r="AA105" s="267">
        <v>46006</v>
      </c>
      <c r="AB105" s="267">
        <v>46003</v>
      </c>
      <c r="AC105" s="1430">
        <v>46295</v>
      </c>
      <c r="AD105" s="220"/>
      <c r="AE105" s="18" t="s">
        <v>1625</v>
      </c>
      <c r="AF105" s="18" t="s">
        <v>1650</v>
      </c>
      <c r="AG105" s="20" t="s">
        <v>1651</v>
      </c>
      <c r="AH105" s="14" t="s">
        <v>1652</v>
      </c>
      <c r="AI105" s="616">
        <v>46127</v>
      </c>
      <c r="AJ105" s="616">
        <v>46127</v>
      </c>
      <c r="AK105" s="15" t="s">
        <v>418</v>
      </c>
      <c r="AL105" s="1225"/>
      <c r="AM105" s="14"/>
      <c r="AN105" s="14"/>
      <c r="AO105" s="14"/>
      <c r="AP105" s="23"/>
      <c r="AQ105" s="23"/>
      <c r="AR105" s="23"/>
      <c r="AS105" s="15"/>
      <c r="AT105" s="21"/>
      <c r="AU105" s="21"/>
      <c r="AV105" s="21"/>
      <c r="AW105" s="21"/>
      <c r="AX105" s="14"/>
      <c r="AY105" s="14"/>
      <c r="AZ105" s="14"/>
      <c r="BA105" s="14"/>
      <c r="BB105" s="2175"/>
      <c r="BC105" s="2179"/>
      <c r="BD105" s="2183"/>
    </row>
    <row r="106" spans="1:56" ht="15.75">
      <c r="A106" s="2187"/>
      <c r="B106" s="2152"/>
      <c r="C106" s="2152"/>
      <c r="D106" s="2152"/>
      <c r="E106" s="2152"/>
      <c r="F106" s="2152"/>
      <c r="G106" s="2152"/>
      <c r="H106" s="2152"/>
      <c r="I106" s="2191"/>
      <c r="J106" s="2167"/>
      <c r="K106" s="2171"/>
      <c r="L106" s="14"/>
      <c r="M106" s="14"/>
      <c r="N106" s="14"/>
      <c r="O106" s="14"/>
      <c r="P106" s="16"/>
      <c r="Q106" s="14"/>
      <c r="R106" s="16"/>
      <c r="S106" s="16"/>
      <c r="T106" s="14"/>
      <c r="U106" s="18" t="s">
        <v>1653</v>
      </c>
      <c r="V106" s="220">
        <v>45875</v>
      </c>
      <c r="W106" s="220">
        <v>46043</v>
      </c>
      <c r="X106" s="220">
        <v>46035</v>
      </c>
      <c r="Y106" s="14" t="s">
        <v>1654</v>
      </c>
      <c r="Z106" s="16"/>
      <c r="AA106" s="267">
        <v>46006</v>
      </c>
      <c r="AB106" s="267">
        <v>46003</v>
      </c>
      <c r="AC106" s="1430">
        <v>46295</v>
      </c>
      <c r="AD106" s="220"/>
      <c r="AE106" s="18" t="s">
        <v>1625</v>
      </c>
      <c r="AF106" s="18" t="s">
        <v>1650</v>
      </c>
      <c r="AG106" s="20" t="s">
        <v>1655</v>
      </c>
      <c r="AH106" s="14" t="s">
        <v>1656</v>
      </c>
      <c r="AI106" s="226">
        <v>46130</v>
      </c>
      <c r="AJ106" s="226">
        <v>46130</v>
      </c>
      <c r="AK106" s="15" t="s">
        <v>418</v>
      </c>
      <c r="AL106" s="1225"/>
      <c r="AM106" s="14"/>
      <c r="AN106" s="14"/>
      <c r="AO106" s="14"/>
      <c r="AP106" s="23"/>
      <c r="AQ106" s="23"/>
      <c r="AR106" s="23"/>
      <c r="AS106" s="15"/>
      <c r="AT106" s="21"/>
      <c r="AU106" s="21"/>
      <c r="AV106" s="21"/>
      <c r="AW106" s="21"/>
      <c r="AX106" s="14"/>
      <c r="AY106" s="14"/>
      <c r="AZ106" s="14"/>
      <c r="BA106" s="14"/>
      <c r="BB106" s="2175"/>
      <c r="BC106" s="2179"/>
      <c r="BD106" s="2183"/>
    </row>
    <row r="107" spans="1:56" ht="36">
      <c r="A107" s="2187"/>
      <c r="B107" s="2152"/>
      <c r="C107" s="2152"/>
      <c r="D107" s="2152"/>
      <c r="E107" s="2152"/>
      <c r="F107" s="2152"/>
      <c r="G107" s="2152"/>
      <c r="H107" s="2152"/>
      <c r="I107" s="2191"/>
      <c r="J107" s="2167"/>
      <c r="K107" s="2171"/>
      <c r="L107" s="14"/>
      <c r="M107" s="14"/>
      <c r="N107" s="14"/>
      <c r="O107" s="14"/>
      <c r="P107" s="16"/>
      <c r="Q107" s="14"/>
      <c r="R107" s="16"/>
      <c r="S107" s="16"/>
      <c r="T107" s="14"/>
      <c r="U107" s="18" t="s">
        <v>1657</v>
      </c>
      <c r="V107" s="220">
        <v>46053</v>
      </c>
      <c r="W107" s="220">
        <v>46054</v>
      </c>
      <c r="X107" s="220">
        <v>46054</v>
      </c>
      <c r="Y107" s="14" t="s">
        <v>1658</v>
      </c>
      <c r="Z107" s="16"/>
      <c r="AA107" s="220">
        <v>45895</v>
      </c>
      <c r="AB107" s="267">
        <v>45895</v>
      </c>
      <c r="AC107" s="220">
        <v>45954</v>
      </c>
      <c r="AD107" s="220">
        <v>46315</v>
      </c>
      <c r="AE107" s="18" t="s">
        <v>1625</v>
      </c>
      <c r="AF107" s="18" t="s">
        <v>1659</v>
      </c>
      <c r="AG107" s="20" t="s">
        <v>1660</v>
      </c>
      <c r="AH107" s="14" t="s">
        <v>1661</v>
      </c>
      <c r="AI107" s="616" t="s">
        <v>1662</v>
      </c>
      <c r="AJ107" s="616" t="s">
        <v>1662</v>
      </c>
      <c r="AK107" s="15" t="s">
        <v>418</v>
      </c>
      <c r="AL107" s="1225"/>
      <c r="AM107" s="14"/>
      <c r="AN107" s="14"/>
      <c r="AO107" s="14"/>
      <c r="AP107" s="23"/>
      <c r="AQ107" s="23"/>
      <c r="AR107" s="23"/>
      <c r="AS107" s="15"/>
      <c r="AT107" s="21"/>
      <c r="AU107" s="21"/>
      <c r="AV107" s="21"/>
      <c r="AW107" s="21"/>
      <c r="AX107" s="14"/>
      <c r="AY107" s="14"/>
      <c r="AZ107" s="14"/>
      <c r="BA107" s="14"/>
      <c r="BB107" s="2175"/>
      <c r="BC107" s="2179"/>
      <c r="BD107" s="2183"/>
    </row>
    <row r="108" spans="1:56" ht="36">
      <c r="A108" s="2187"/>
      <c r="B108" s="2152"/>
      <c r="C108" s="2152"/>
      <c r="D108" s="2152"/>
      <c r="E108" s="2152"/>
      <c r="F108" s="2152"/>
      <c r="G108" s="2152"/>
      <c r="H108" s="2152"/>
      <c r="I108" s="2191"/>
      <c r="J108" s="2167"/>
      <c r="K108" s="2171"/>
      <c r="L108" s="14"/>
      <c r="M108" s="14"/>
      <c r="N108" s="14"/>
      <c r="O108" s="14"/>
      <c r="P108" s="16"/>
      <c r="Q108" s="14"/>
      <c r="R108" s="16"/>
      <c r="S108" s="16"/>
      <c r="T108" s="14"/>
      <c r="U108" s="18" t="s">
        <v>1663</v>
      </c>
      <c r="V108" s="220">
        <v>46023</v>
      </c>
      <c r="W108" s="220">
        <v>46180</v>
      </c>
      <c r="X108" s="220"/>
      <c r="Y108" s="14" t="s">
        <v>1664</v>
      </c>
      <c r="Z108" s="16"/>
      <c r="AA108" s="220">
        <v>45873</v>
      </c>
      <c r="AB108" s="220">
        <v>45873</v>
      </c>
      <c r="AC108" s="220">
        <v>46203</v>
      </c>
      <c r="AD108" s="1430">
        <v>46162</v>
      </c>
      <c r="AE108" s="18">
        <v>14</v>
      </c>
      <c r="AF108" s="18" t="s">
        <v>1665</v>
      </c>
      <c r="AG108" s="20" t="s">
        <v>1666</v>
      </c>
      <c r="AH108" s="14" t="s">
        <v>1667</v>
      </c>
      <c r="AI108" s="616" t="s">
        <v>1668</v>
      </c>
      <c r="AJ108" s="616" t="s">
        <v>1668</v>
      </c>
      <c r="AK108" s="15" t="s">
        <v>418</v>
      </c>
      <c r="AL108" s="1225"/>
      <c r="AM108" s="14"/>
      <c r="AN108" s="14"/>
      <c r="AO108" s="14"/>
      <c r="AP108" s="23"/>
      <c r="AQ108" s="23"/>
      <c r="AR108" s="23"/>
      <c r="AS108" s="15"/>
      <c r="AT108" s="21"/>
      <c r="AU108" s="21"/>
      <c r="AV108" s="21"/>
      <c r="AW108" s="21"/>
      <c r="AX108" s="14"/>
      <c r="AY108" s="14"/>
      <c r="AZ108" s="14"/>
      <c r="BA108" s="14"/>
      <c r="BB108" s="2175"/>
      <c r="BC108" s="2179"/>
      <c r="BD108" s="2183"/>
    </row>
    <row r="109" spans="1:56" ht="15.75">
      <c r="A109" s="2187"/>
      <c r="B109" s="2152"/>
      <c r="C109" s="2152"/>
      <c r="D109" s="2152"/>
      <c r="E109" s="2152"/>
      <c r="F109" s="2152"/>
      <c r="G109" s="2152"/>
      <c r="H109" s="2152"/>
      <c r="I109" s="2191"/>
      <c r="J109" s="2167"/>
      <c r="K109" s="2171"/>
      <c r="L109" s="14"/>
      <c r="M109" s="14"/>
      <c r="N109" s="14"/>
      <c r="O109" s="14"/>
      <c r="P109" s="16"/>
      <c r="Q109" s="14"/>
      <c r="R109" s="16"/>
      <c r="S109" s="16"/>
      <c r="T109" s="14"/>
      <c r="U109" s="18" t="s">
        <v>1669</v>
      </c>
      <c r="V109" s="220">
        <v>46023</v>
      </c>
      <c r="W109" s="220">
        <v>46204</v>
      </c>
      <c r="X109" s="220"/>
      <c r="Y109" s="14" t="s">
        <v>1670</v>
      </c>
      <c r="Z109" s="16"/>
      <c r="AA109" s="220">
        <v>46027</v>
      </c>
      <c r="AB109" s="220">
        <v>46023</v>
      </c>
      <c r="AC109" s="220">
        <v>46127</v>
      </c>
      <c r="AD109" s="220">
        <v>46141</v>
      </c>
      <c r="AE109" s="110"/>
      <c r="AF109" s="18"/>
      <c r="AG109" s="20" t="s">
        <v>1671</v>
      </c>
      <c r="AH109" s="14" t="s">
        <v>1672</v>
      </c>
      <c r="AI109" s="226">
        <v>46155</v>
      </c>
      <c r="AJ109" s="1432">
        <v>46155</v>
      </c>
      <c r="AK109" s="1435" t="s">
        <v>418</v>
      </c>
      <c r="AL109" s="1225"/>
      <c r="AM109" s="14"/>
      <c r="AN109" s="14"/>
      <c r="AO109" s="14"/>
      <c r="AP109" s="23"/>
      <c r="AQ109" s="23"/>
      <c r="AR109" s="23"/>
      <c r="AS109" s="15"/>
      <c r="AT109" s="21"/>
      <c r="AU109" s="21"/>
      <c r="AV109" s="21"/>
      <c r="AW109" s="21"/>
      <c r="AX109" s="14"/>
      <c r="AY109" s="14"/>
      <c r="AZ109" s="14"/>
      <c r="BA109" s="14"/>
      <c r="BB109" s="2175"/>
      <c r="BC109" s="2179"/>
      <c r="BD109" s="2183"/>
    </row>
    <row r="110" spans="1:56" ht="15.75">
      <c r="A110" s="2187"/>
      <c r="B110" s="2152"/>
      <c r="C110" s="2152"/>
      <c r="D110" s="2152"/>
      <c r="E110" s="2152"/>
      <c r="F110" s="2152"/>
      <c r="G110" s="2152"/>
      <c r="H110" s="2152"/>
      <c r="I110" s="2191"/>
      <c r="J110" s="2167"/>
      <c r="K110" s="2171"/>
      <c r="L110" s="14"/>
      <c r="M110" s="14"/>
      <c r="N110" s="14"/>
      <c r="O110" s="14"/>
      <c r="P110" s="16"/>
      <c r="Q110" s="14"/>
      <c r="R110" s="16"/>
      <c r="S110" s="16"/>
      <c r="T110" s="14"/>
      <c r="U110" s="18" t="s">
        <v>1673</v>
      </c>
      <c r="V110" s="220">
        <v>46050</v>
      </c>
      <c r="W110" s="220">
        <v>46055</v>
      </c>
      <c r="X110" s="220">
        <v>46055</v>
      </c>
      <c r="Y110" s="14" t="s">
        <v>1674</v>
      </c>
      <c r="Z110" s="16"/>
      <c r="AA110" s="220">
        <v>45958</v>
      </c>
      <c r="AB110" s="220">
        <v>45958</v>
      </c>
      <c r="AC110" s="220">
        <v>45716</v>
      </c>
      <c r="AD110" s="220">
        <v>45716</v>
      </c>
      <c r="AE110" s="18">
        <v>1</v>
      </c>
      <c r="AF110" s="18"/>
      <c r="AG110" s="20" t="s">
        <v>1675</v>
      </c>
      <c r="AH110" s="14" t="s">
        <v>1676</v>
      </c>
      <c r="AI110" s="226">
        <v>46164</v>
      </c>
      <c r="AJ110" s="1432">
        <v>46164</v>
      </c>
      <c r="AK110" s="1435" t="s">
        <v>418</v>
      </c>
      <c r="AL110" s="1225"/>
      <c r="AM110" s="14"/>
      <c r="AN110" s="14"/>
      <c r="AO110" s="14"/>
      <c r="AP110" s="23"/>
      <c r="AQ110" s="23"/>
      <c r="AR110" s="23"/>
      <c r="AS110" s="15"/>
      <c r="AT110" s="21"/>
      <c r="AU110" s="21"/>
      <c r="AV110" s="21"/>
      <c r="AW110" s="21"/>
      <c r="AX110" s="14"/>
      <c r="AY110" s="14"/>
      <c r="AZ110" s="14"/>
      <c r="BA110" s="14"/>
      <c r="BB110" s="2175"/>
      <c r="BC110" s="2179"/>
      <c r="BD110" s="2183"/>
    </row>
    <row r="111" spans="1:56" ht="15.75">
      <c r="A111" s="2187"/>
      <c r="B111" s="2152"/>
      <c r="C111" s="2152"/>
      <c r="D111" s="2152"/>
      <c r="E111" s="2152"/>
      <c r="F111" s="2152"/>
      <c r="G111" s="2152"/>
      <c r="H111" s="2152"/>
      <c r="I111" s="2191"/>
      <c r="J111" s="2167"/>
      <c r="K111" s="2171"/>
      <c r="L111" s="14"/>
      <c r="M111" s="14"/>
      <c r="N111" s="14"/>
      <c r="O111" s="14"/>
      <c r="P111" s="16"/>
      <c r="Q111" s="14"/>
      <c r="R111" s="16"/>
      <c r="S111" s="16"/>
      <c r="T111" s="14"/>
      <c r="U111" s="18" t="s">
        <v>1677</v>
      </c>
      <c r="V111" s="220">
        <v>46032</v>
      </c>
      <c r="W111" s="220">
        <v>46193</v>
      </c>
      <c r="X111" s="220"/>
      <c r="Y111" s="108" t="s">
        <v>1678</v>
      </c>
      <c r="Z111" s="109"/>
      <c r="AA111" s="221">
        <v>45888</v>
      </c>
      <c r="AB111" s="221">
        <v>45888</v>
      </c>
      <c r="AC111" s="221">
        <v>46042</v>
      </c>
      <c r="AD111" s="221">
        <v>46035</v>
      </c>
      <c r="AE111" s="110" t="s">
        <v>1625</v>
      </c>
      <c r="AF111" s="110" t="s">
        <v>1679</v>
      </c>
      <c r="AG111" s="20" t="s">
        <v>1680</v>
      </c>
      <c r="AH111" s="14" t="s">
        <v>1681</v>
      </c>
      <c r="AI111" s="226">
        <v>46154</v>
      </c>
      <c r="AJ111" s="1432">
        <v>46154</v>
      </c>
      <c r="AK111" s="1435" t="s">
        <v>418</v>
      </c>
      <c r="AL111" s="1225"/>
      <c r="AM111" s="14"/>
      <c r="AN111" s="14"/>
      <c r="AO111" s="14"/>
      <c r="AP111" s="23"/>
      <c r="AQ111" s="23"/>
      <c r="AR111" s="23"/>
      <c r="AS111" s="15"/>
      <c r="AT111" s="21"/>
      <c r="AU111" s="21"/>
      <c r="AV111" s="21"/>
      <c r="AW111" s="21"/>
      <c r="AX111" s="14"/>
      <c r="AY111" s="14"/>
      <c r="AZ111" s="14"/>
      <c r="BA111" s="14"/>
      <c r="BB111" s="2175"/>
      <c r="BC111" s="2179"/>
      <c r="BD111" s="2183"/>
    </row>
    <row r="112" spans="1:56" ht="15.75">
      <c r="A112" s="2187"/>
      <c r="B112" s="2152"/>
      <c r="C112" s="2152"/>
      <c r="D112" s="2152"/>
      <c r="E112" s="2152"/>
      <c r="F112" s="2152"/>
      <c r="G112" s="2152"/>
      <c r="H112" s="2152"/>
      <c r="I112" s="2191"/>
      <c r="J112" s="2167"/>
      <c r="K112" s="2171"/>
      <c r="L112" s="14"/>
      <c r="M112" s="14"/>
      <c r="N112" s="14"/>
      <c r="O112" s="14"/>
      <c r="P112" s="16"/>
      <c r="Q112" s="14"/>
      <c r="R112" s="16"/>
      <c r="S112" s="16"/>
      <c r="T112" s="14"/>
      <c r="U112" s="18" t="s">
        <v>1682</v>
      </c>
      <c r="V112" s="220">
        <v>46032</v>
      </c>
      <c r="W112" s="220">
        <v>46216</v>
      </c>
      <c r="X112" s="1009"/>
      <c r="Y112" s="108" t="s">
        <v>1683</v>
      </c>
      <c r="Z112" s="109">
        <v>14</v>
      </c>
      <c r="AA112" s="221">
        <v>46136</v>
      </c>
      <c r="AB112" s="221">
        <v>46072</v>
      </c>
      <c r="AC112" s="1436">
        <v>46172</v>
      </c>
      <c r="AD112" s="318"/>
      <c r="AE112" s="318"/>
      <c r="AF112" s="18" t="s">
        <v>1684</v>
      </c>
      <c r="AG112" s="1303" t="s">
        <v>1685</v>
      </c>
      <c r="AH112" s="14" t="s">
        <v>1686</v>
      </c>
      <c r="AI112" s="226">
        <v>46153</v>
      </c>
      <c r="AJ112" s="1432">
        <v>46153</v>
      </c>
      <c r="AK112" s="1435" t="s">
        <v>418</v>
      </c>
      <c r="AL112" s="1225"/>
      <c r="AM112" s="14"/>
      <c r="AN112" s="14"/>
      <c r="AO112" s="14"/>
      <c r="AP112" s="23"/>
      <c r="AQ112" s="23"/>
      <c r="AR112" s="23"/>
      <c r="AS112" s="15"/>
      <c r="AT112" s="21"/>
      <c r="AU112" s="21"/>
      <c r="AV112" s="21"/>
      <c r="AW112" s="21"/>
      <c r="AX112" s="14"/>
      <c r="AY112" s="14"/>
      <c r="AZ112" s="14"/>
      <c r="BA112" s="14"/>
      <c r="BB112" s="2175"/>
      <c r="BC112" s="2179"/>
      <c r="BD112" s="2183"/>
    </row>
    <row r="113" spans="1:56" ht="15.75">
      <c r="A113" s="2187"/>
      <c r="B113" s="2152"/>
      <c r="C113" s="2152"/>
      <c r="D113" s="2152"/>
      <c r="E113" s="2152"/>
      <c r="F113" s="2152"/>
      <c r="G113" s="2152"/>
      <c r="H113" s="2152"/>
      <c r="I113" s="2191"/>
      <c r="J113" s="2167"/>
      <c r="K113" s="2171"/>
      <c r="L113" s="14"/>
      <c r="M113" s="14"/>
      <c r="N113" s="14"/>
      <c r="O113" s="14"/>
      <c r="P113" s="16"/>
      <c r="Q113" s="14"/>
      <c r="R113" s="16"/>
      <c r="S113" s="16"/>
      <c r="T113" s="14"/>
      <c r="U113" s="18" t="s">
        <v>1687</v>
      </c>
      <c r="V113" s="220">
        <v>46081</v>
      </c>
      <c r="W113" s="220">
        <v>46095</v>
      </c>
      <c r="X113" s="220">
        <v>46095</v>
      </c>
      <c r="Y113" s="318"/>
      <c r="Z113" s="318"/>
      <c r="AA113" s="318"/>
      <c r="AB113" s="318"/>
      <c r="AC113" s="1010"/>
      <c r="AD113" s="318"/>
      <c r="AE113" s="318"/>
      <c r="AF113" s="18"/>
      <c r="AG113" s="1357" t="s">
        <v>1688</v>
      </c>
      <c r="AH113" s="14"/>
      <c r="AI113" s="227" t="s">
        <v>1689</v>
      </c>
      <c r="AJ113" s="227"/>
      <c r="AK113" s="22"/>
      <c r="AL113" s="1225"/>
      <c r="AM113" s="14"/>
      <c r="AN113" s="14"/>
      <c r="AO113" s="14"/>
      <c r="AP113" s="23"/>
      <c r="AQ113" s="1233"/>
      <c r="AR113" s="23"/>
      <c r="AS113" s="15"/>
      <c r="AT113" s="21"/>
      <c r="AU113" s="21"/>
      <c r="AV113" s="21"/>
      <c r="AW113" s="21"/>
      <c r="AX113" s="14"/>
      <c r="AY113" s="14"/>
      <c r="AZ113" s="14"/>
      <c r="BA113" s="14"/>
      <c r="BB113" s="2175"/>
      <c r="BC113" s="2179"/>
      <c r="BD113" s="2183"/>
    </row>
    <row r="114" spans="1:56" ht="15.75">
      <c r="A114" s="2188"/>
      <c r="B114" s="2190"/>
      <c r="C114" s="2190"/>
      <c r="D114" s="2190"/>
      <c r="E114" s="2190"/>
      <c r="F114" s="2190"/>
      <c r="G114" s="2190"/>
      <c r="H114" s="2190"/>
      <c r="I114" s="2192"/>
      <c r="J114" s="2168"/>
      <c r="K114" s="2172"/>
      <c r="L114" s="108"/>
      <c r="M114" s="108"/>
      <c r="N114" s="108"/>
      <c r="O114" s="108"/>
      <c r="P114" s="109"/>
      <c r="Q114" s="108"/>
      <c r="R114" s="109"/>
      <c r="S114" s="109"/>
      <c r="T114" s="108"/>
      <c r="U114" s="110" t="s">
        <v>1690</v>
      </c>
      <c r="V114" s="221">
        <v>46142</v>
      </c>
      <c r="W114" s="221">
        <v>46206</v>
      </c>
      <c r="X114" s="221"/>
      <c r="Y114" s="549"/>
      <c r="Z114" s="492"/>
      <c r="AA114" s="523"/>
      <c r="AB114" s="523"/>
      <c r="AC114" s="1011"/>
      <c r="AD114" s="220"/>
      <c r="AE114" s="18"/>
      <c r="AF114" s="18"/>
      <c r="AG114" s="1358" t="s">
        <v>1691</v>
      </c>
      <c r="AH114" s="108"/>
      <c r="AI114" s="226" t="s">
        <v>1692</v>
      </c>
      <c r="AJ114" s="227"/>
      <c r="AK114" s="112"/>
      <c r="AL114" s="1227"/>
      <c r="AM114" s="108"/>
      <c r="AN114" s="108"/>
      <c r="AO114" s="108"/>
      <c r="AP114" s="113"/>
      <c r="AQ114" s="1233"/>
      <c r="AR114" s="113"/>
      <c r="AS114" s="114"/>
      <c r="AT114" s="111"/>
      <c r="AU114" s="111"/>
      <c r="AV114" s="111"/>
      <c r="AW114" s="111"/>
      <c r="AX114" s="108"/>
      <c r="AY114" s="108"/>
      <c r="AZ114" s="108"/>
      <c r="BA114" s="108"/>
      <c r="BB114" s="2176"/>
      <c r="BC114" s="2180"/>
      <c r="BD114" s="2184"/>
    </row>
    <row r="115" spans="1:56" ht="15.75">
      <c r="A115" s="2188"/>
      <c r="B115" s="2190"/>
      <c r="C115" s="2190"/>
      <c r="D115" s="2190"/>
      <c r="E115" s="2190"/>
      <c r="F115" s="2190"/>
      <c r="G115" s="2190"/>
      <c r="H115" s="2190"/>
      <c r="I115" s="2192"/>
      <c r="J115" s="2168"/>
      <c r="K115" s="2172"/>
      <c r="L115" s="108"/>
      <c r="M115" s="108"/>
      <c r="N115" s="108"/>
      <c r="O115" s="108"/>
      <c r="P115" s="109"/>
      <c r="Q115" s="108"/>
      <c r="R115" s="109"/>
      <c r="S115" s="109"/>
      <c r="T115" s="108"/>
      <c r="U115" s="110" t="s">
        <v>1693</v>
      </c>
      <c r="V115" s="221">
        <v>46142</v>
      </c>
      <c r="W115" s="221">
        <v>46231</v>
      </c>
      <c r="X115" s="221"/>
      <c r="Y115" s="549"/>
      <c r="Z115" s="492"/>
      <c r="AA115" s="523"/>
      <c r="AB115" s="523"/>
      <c r="AC115" s="1011"/>
      <c r="AD115" s="523"/>
      <c r="AE115" s="524"/>
      <c r="AF115" s="524"/>
      <c r="AG115" s="1358" t="s">
        <v>1694</v>
      </c>
      <c r="AH115" s="108"/>
      <c r="AI115" s="227" t="s">
        <v>1695</v>
      </c>
      <c r="AJ115" s="227"/>
      <c r="AK115" s="112"/>
      <c r="AL115" s="1227"/>
      <c r="AM115" s="108"/>
      <c r="AN115" s="108"/>
      <c r="AO115" s="108"/>
      <c r="AP115" s="113"/>
      <c r="AQ115" s="1233"/>
      <c r="AR115" s="113"/>
      <c r="AS115" s="114"/>
      <c r="AT115" s="111"/>
      <c r="AU115" s="111"/>
      <c r="AV115" s="111"/>
      <c r="AW115" s="111"/>
      <c r="AX115" s="108"/>
      <c r="AY115" s="108"/>
      <c r="AZ115" s="108"/>
      <c r="BA115" s="108"/>
      <c r="BB115" s="2176"/>
      <c r="BC115" s="2180"/>
      <c r="BD115" s="2184"/>
    </row>
    <row r="116" spans="1:56" ht="15.75">
      <c r="A116" s="2188"/>
      <c r="B116" s="2190"/>
      <c r="C116" s="2190"/>
      <c r="D116" s="2190"/>
      <c r="E116" s="2190"/>
      <c r="F116" s="2190"/>
      <c r="G116" s="2190"/>
      <c r="H116" s="2190"/>
      <c r="I116" s="2192"/>
      <c r="J116" s="2168"/>
      <c r="K116" s="2172"/>
      <c r="L116" s="108"/>
      <c r="M116" s="108"/>
      <c r="N116" s="108"/>
      <c r="O116" s="108"/>
      <c r="P116" s="109"/>
      <c r="Q116" s="108"/>
      <c r="R116" s="109"/>
      <c r="S116" s="109"/>
      <c r="T116" s="108"/>
      <c r="U116" s="1335" t="s">
        <v>656</v>
      </c>
      <c r="V116" s="1335" t="s">
        <v>656</v>
      </c>
      <c r="W116" s="1335" t="s">
        <v>656</v>
      </c>
      <c r="X116" s="1335" t="s">
        <v>656</v>
      </c>
      <c r="Y116" s="108"/>
      <c r="Z116" s="109"/>
      <c r="AA116" s="221"/>
      <c r="AB116" s="221"/>
      <c r="AC116" s="221"/>
      <c r="AD116" s="523"/>
      <c r="AE116" s="524"/>
      <c r="AF116" s="524"/>
      <c r="AG116" s="1359" t="s">
        <v>1696</v>
      </c>
      <c r="AH116" s="108"/>
      <c r="AI116" s="227" t="s">
        <v>1697</v>
      </c>
      <c r="AJ116" s="227"/>
      <c r="AK116" s="112"/>
      <c r="AL116" s="1227"/>
      <c r="AM116" s="108"/>
      <c r="AN116" s="108"/>
      <c r="AO116" s="108"/>
      <c r="AP116" s="113"/>
      <c r="AQ116" s="113"/>
      <c r="AR116" s="113"/>
      <c r="AS116" s="114"/>
      <c r="AT116" s="111"/>
      <c r="AU116" s="111"/>
      <c r="AV116" s="111"/>
      <c r="AW116" s="111"/>
      <c r="AX116" s="108"/>
      <c r="AY116" s="108"/>
      <c r="AZ116" s="108"/>
      <c r="BA116" s="108"/>
      <c r="BB116" s="2176"/>
      <c r="BC116" s="2180"/>
      <c r="BD116" s="2184"/>
    </row>
    <row r="117" spans="1:56" ht="24" customHeight="1">
      <c r="A117" s="2186" t="s">
        <v>1698</v>
      </c>
      <c r="B117" s="2151" t="s">
        <v>1612</v>
      </c>
      <c r="C117" s="2151" t="s">
        <v>1699</v>
      </c>
      <c r="D117" s="2151">
        <v>5000108145</v>
      </c>
      <c r="E117" s="2151">
        <v>0</v>
      </c>
      <c r="F117" s="2151" t="s">
        <v>1614</v>
      </c>
      <c r="G117" s="2151" t="s">
        <v>1532</v>
      </c>
      <c r="H117" s="2151" t="s">
        <v>1231</v>
      </c>
      <c r="I117" s="2166">
        <v>45785</v>
      </c>
      <c r="J117" s="2166" t="s">
        <v>1700</v>
      </c>
      <c r="K117" s="2170" t="s">
        <v>105</v>
      </c>
      <c r="L117" s="2"/>
      <c r="M117" s="9" t="s">
        <v>1536</v>
      </c>
      <c r="N117" s="9" t="s">
        <v>1615</v>
      </c>
      <c r="O117" s="9" t="s">
        <v>1615</v>
      </c>
      <c r="P117" s="4">
        <v>3</v>
      </c>
      <c r="Q117" s="5" t="s">
        <v>1055</v>
      </c>
      <c r="R117" s="4">
        <v>0</v>
      </c>
      <c r="S117" s="4">
        <v>3</v>
      </c>
      <c r="T117" s="2">
        <v>0</v>
      </c>
      <c r="U117" s="6" t="s">
        <v>42</v>
      </c>
      <c r="V117" s="219">
        <v>45838</v>
      </c>
      <c r="W117" s="219">
        <v>45838</v>
      </c>
      <c r="X117" s="219">
        <v>45838</v>
      </c>
      <c r="Y117" s="6" t="s">
        <v>1701</v>
      </c>
      <c r="Z117" s="4">
        <v>2</v>
      </c>
      <c r="AA117" s="219">
        <v>45903</v>
      </c>
      <c r="AB117" s="219">
        <v>45901</v>
      </c>
      <c r="AC117" s="219">
        <v>46118</v>
      </c>
      <c r="AD117" s="219">
        <v>46121</v>
      </c>
      <c r="AE117" s="6">
        <v>2</v>
      </c>
      <c r="AF117" s="6" t="s">
        <v>1702</v>
      </c>
      <c r="AG117" s="2" t="s">
        <v>1703</v>
      </c>
      <c r="AH117" s="8" t="s">
        <v>1628</v>
      </c>
      <c r="AI117" s="911" t="s">
        <v>1629</v>
      </c>
      <c r="AJ117" s="911" t="s">
        <v>1629</v>
      </c>
      <c r="AK117" s="1006" t="s">
        <v>418</v>
      </c>
      <c r="AL117" s="1228"/>
      <c r="AM117" s="2"/>
      <c r="AN117" s="2"/>
      <c r="AO117" s="2"/>
      <c r="AP117" s="11"/>
      <c r="AQ117" s="11"/>
      <c r="AR117" s="11"/>
      <c r="AS117" s="3"/>
      <c r="AT117" s="9"/>
      <c r="AU117" s="9"/>
      <c r="AV117" s="9"/>
      <c r="AW117" s="9"/>
      <c r="AX117" s="12"/>
      <c r="AY117" s="13"/>
      <c r="AZ117" s="13"/>
      <c r="BA117" s="13"/>
      <c r="BB117" s="2174" t="s">
        <v>1704</v>
      </c>
      <c r="BC117" s="2178"/>
      <c r="BD117" s="2182"/>
    </row>
    <row r="118" spans="1:56" ht="24">
      <c r="A118" s="2187"/>
      <c r="B118" s="2152"/>
      <c r="C118" s="2152"/>
      <c r="D118" s="2152"/>
      <c r="E118" s="2152"/>
      <c r="F118" s="2152"/>
      <c r="G118" s="2152"/>
      <c r="H118" s="2152"/>
      <c r="I118" s="2191"/>
      <c r="J118" s="2167"/>
      <c r="K118" s="2171"/>
      <c r="L118" s="14"/>
      <c r="M118" s="15"/>
      <c r="N118" s="15"/>
      <c r="O118" s="15"/>
      <c r="P118" s="16"/>
      <c r="Q118" s="17"/>
      <c r="R118" s="16"/>
      <c r="S118" s="16"/>
      <c r="T118" s="14"/>
      <c r="U118" s="18" t="s">
        <v>1041</v>
      </c>
      <c r="V118" s="220">
        <v>45785</v>
      </c>
      <c r="W118" s="220">
        <v>45835</v>
      </c>
      <c r="X118" s="220">
        <v>45840</v>
      </c>
      <c r="Y118" s="18" t="s">
        <v>1705</v>
      </c>
      <c r="Z118" s="16">
        <v>2</v>
      </c>
      <c r="AA118" s="220">
        <v>45877</v>
      </c>
      <c r="AB118" s="220">
        <v>45877</v>
      </c>
      <c r="AC118" s="220">
        <v>46108</v>
      </c>
      <c r="AD118" s="267">
        <v>46121</v>
      </c>
      <c r="AE118" s="18">
        <v>2</v>
      </c>
      <c r="AF118" s="18" t="s">
        <v>1706</v>
      </c>
      <c r="AG118" s="20" t="s">
        <v>1707</v>
      </c>
      <c r="AH118" s="1367" t="s">
        <v>1708</v>
      </c>
      <c r="AI118" s="1368" t="s">
        <v>1709</v>
      </c>
      <c r="AJ118" s="383"/>
      <c r="AK118" s="22"/>
      <c r="AL118" s="1225"/>
      <c r="AM118" s="14"/>
      <c r="AN118" s="14"/>
      <c r="AO118" s="14"/>
      <c r="AP118" s="23"/>
      <c r="AQ118" s="23"/>
      <c r="AR118" s="23"/>
      <c r="AS118" s="15"/>
      <c r="AT118" s="21"/>
      <c r="AU118" s="21"/>
      <c r="AV118" s="21"/>
      <c r="AW118" s="21"/>
      <c r="AX118" s="14"/>
      <c r="AY118" s="24"/>
      <c r="AZ118" s="24"/>
      <c r="BA118" s="24"/>
      <c r="BB118" s="2175"/>
      <c r="BC118" s="2179"/>
      <c r="BD118" s="2183"/>
    </row>
    <row r="119" spans="1:56" ht="15.75">
      <c r="A119" s="2187"/>
      <c r="B119" s="2152"/>
      <c r="C119" s="2152"/>
      <c r="D119" s="2152"/>
      <c r="E119" s="2152"/>
      <c r="F119" s="2152"/>
      <c r="G119" s="2152"/>
      <c r="H119" s="2152"/>
      <c r="I119" s="2191"/>
      <c r="J119" s="2167"/>
      <c r="K119" s="2171"/>
      <c r="L119" s="14"/>
      <c r="M119" s="14"/>
      <c r="N119" s="14"/>
      <c r="O119" s="14"/>
      <c r="P119" s="16"/>
      <c r="Q119" s="17"/>
      <c r="R119" s="16"/>
      <c r="S119" s="16"/>
      <c r="T119" s="14"/>
      <c r="U119" s="18" t="s">
        <v>1049</v>
      </c>
      <c r="V119" s="220">
        <v>45838</v>
      </c>
      <c r="W119" s="220">
        <v>45838</v>
      </c>
      <c r="X119" s="220">
        <v>45838</v>
      </c>
      <c r="Y119" s="18" t="s">
        <v>1710</v>
      </c>
      <c r="Z119" s="16">
        <v>1</v>
      </c>
      <c r="AA119" s="220">
        <v>45880</v>
      </c>
      <c r="AB119" s="220">
        <v>45880</v>
      </c>
      <c r="AC119" s="220">
        <v>45994</v>
      </c>
      <c r="AD119" s="220">
        <v>45958</v>
      </c>
      <c r="AE119" s="18">
        <v>2</v>
      </c>
      <c r="AF119" s="18" t="s">
        <v>1711</v>
      </c>
      <c r="AG119" s="20" t="s">
        <v>1712</v>
      </c>
      <c r="AH119" s="14"/>
      <c r="AI119" s="320" t="s">
        <v>1713</v>
      </c>
      <c r="AJ119" s="226"/>
      <c r="AK119" s="22"/>
      <c r="AL119" s="1225"/>
      <c r="AM119" s="14"/>
      <c r="AN119" s="14"/>
      <c r="AO119" s="14"/>
      <c r="AP119" s="23"/>
      <c r="AQ119" s="23"/>
      <c r="AR119" s="23"/>
      <c r="AS119" s="15"/>
      <c r="AT119" s="21"/>
      <c r="AU119" s="21"/>
      <c r="AV119" s="21"/>
      <c r="AW119" s="21"/>
      <c r="AX119" s="14"/>
      <c r="AY119" s="14"/>
      <c r="AZ119" s="14"/>
      <c r="BA119" s="14"/>
      <c r="BB119" s="2175"/>
      <c r="BC119" s="2179"/>
      <c r="BD119" s="2183"/>
    </row>
    <row r="120" spans="1:56" ht="15.75">
      <c r="A120" s="2187"/>
      <c r="B120" s="2152"/>
      <c r="C120" s="2152"/>
      <c r="D120" s="2152"/>
      <c r="E120" s="2152"/>
      <c r="F120" s="2152"/>
      <c r="G120" s="2152"/>
      <c r="H120" s="2152"/>
      <c r="I120" s="2191"/>
      <c r="J120" s="2167"/>
      <c r="K120" s="2171"/>
      <c r="L120" s="14"/>
      <c r="M120" s="14"/>
      <c r="N120" s="14"/>
      <c r="O120" s="14"/>
      <c r="P120" s="16"/>
      <c r="Q120" s="17"/>
      <c r="R120" s="16"/>
      <c r="S120" s="16"/>
      <c r="T120" s="14"/>
      <c r="U120" s="18" t="s">
        <v>65</v>
      </c>
      <c r="V120" s="221">
        <v>45873</v>
      </c>
      <c r="W120" s="222">
        <v>45884</v>
      </c>
      <c r="X120" s="554">
        <v>45880</v>
      </c>
      <c r="Y120" s="18" t="s">
        <v>1714</v>
      </c>
      <c r="Z120" s="16">
        <v>2</v>
      </c>
      <c r="AA120" s="221">
        <v>45883</v>
      </c>
      <c r="AB120" s="221">
        <v>45883</v>
      </c>
      <c r="AC120" s="221">
        <v>46211</v>
      </c>
      <c r="AD120" s="220"/>
      <c r="AE120" s="18">
        <v>2</v>
      </c>
      <c r="AF120" s="18" t="s">
        <v>1659</v>
      </c>
      <c r="AG120" s="20" t="s">
        <v>1715</v>
      </c>
      <c r="AH120" s="14"/>
      <c r="AI120" s="320" t="s">
        <v>1716</v>
      </c>
      <c r="AJ120" s="226"/>
      <c r="AK120" s="22"/>
      <c r="AL120" s="1225"/>
      <c r="AM120" s="14"/>
      <c r="AN120" s="14"/>
      <c r="AO120" s="14"/>
      <c r="AP120" s="23"/>
      <c r="AQ120" s="23"/>
      <c r="AR120" s="23"/>
      <c r="AS120" s="15"/>
      <c r="AT120" s="21"/>
      <c r="AU120" s="21"/>
      <c r="AV120" s="21"/>
      <c r="AW120" s="21"/>
      <c r="AX120" s="14"/>
      <c r="AY120" s="14"/>
      <c r="AZ120" s="14"/>
      <c r="BA120" s="14"/>
      <c r="BB120" s="2175"/>
      <c r="BC120" s="2179"/>
      <c r="BD120" s="2183"/>
    </row>
    <row r="121" spans="1:56" ht="15.75">
      <c r="A121" s="2187"/>
      <c r="B121" s="2152"/>
      <c r="C121" s="2152"/>
      <c r="D121" s="2152"/>
      <c r="E121" s="2152"/>
      <c r="F121" s="2152"/>
      <c r="G121" s="2152"/>
      <c r="H121" s="2152"/>
      <c r="I121" s="2191"/>
      <c r="J121" s="2167"/>
      <c r="K121" s="2171"/>
      <c r="L121" s="14"/>
      <c r="M121" s="14"/>
      <c r="N121" s="14"/>
      <c r="O121" s="14"/>
      <c r="P121" s="16"/>
      <c r="Q121" s="17"/>
      <c r="R121" s="16"/>
      <c r="S121" s="16"/>
      <c r="T121" s="14"/>
      <c r="U121" s="18" t="s">
        <v>1717</v>
      </c>
      <c r="V121" s="221">
        <v>46126</v>
      </c>
      <c r="W121" s="221">
        <v>46182</v>
      </c>
      <c r="X121" s="554"/>
      <c r="Y121" s="108" t="s">
        <v>1718</v>
      </c>
      <c r="Z121" s="1170">
        <v>1</v>
      </c>
      <c r="AA121" s="220">
        <v>45945</v>
      </c>
      <c r="AB121" s="220">
        <v>45938</v>
      </c>
      <c r="AC121" s="1430">
        <v>46226</v>
      </c>
      <c r="AD121" s="1012"/>
      <c r="AE121" s="110"/>
      <c r="AF121" s="18" t="s">
        <v>1719</v>
      </c>
      <c r="AG121" s="20"/>
      <c r="AH121" s="14"/>
      <c r="AI121" s="226"/>
      <c r="AJ121" s="226"/>
      <c r="AK121" s="22"/>
      <c r="AL121" s="1225"/>
      <c r="AM121" s="14"/>
      <c r="AN121" s="14"/>
      <c r="AO121" s="14"/>
      <c r="AP121" s="23"/>
      <c r="AQ121" s="23"/>
      <c r="AR121" s="23"/>
      <c r="AS121" s="15"/>
      <c r="AT121" s="21"/>
      <c r="AU121" s="21"/>
      <c r="AV121" s="21"/>
      <c r="AW121" s="21"/>
      <c r="AX121" s="14"/>
      <c r="AY121" s="14"/>
      <c r="AZ121" s="14"/>
      <c r="BA121" s="14"/>
      <c r="BB121" s="2175"/>
      <c r="BC121" s="2179"/>
      <c r="BD121" s="2183"/>
    </row>
    <row r="122" spans="1:56" ht="15.75">
      <c r="A122" s="2187"/>
      <c r="B122" s="2152"/>
      <c r="C122" s="2152"/>
      <c r="D122" s="2152"/>
      <c r="E122" s="2152"/>
      <c r="F122" s="2152"/>
      <c r="G122" s="2152"/>
      <c r="H122" s="2152"/>
      <c r="I122" s="2191"/>
      <c r="J122" s="2167"/>
      <c r="K122" s="2171"/>
      <c r="L122" s="14"/>
      <c r="M122" s="14"/>
      <c r="N122" s="14"/>
      <c r="O122" s="14"/>
      <c r="P122" s="16"/>
      <c r="Q122" s="17"/>
      <c r="R122" s="16"/>
      <c r="S122" s="16"/>
      <c r="T122" s="14"/>
      <c r="U122" s="25" t="s">
        <v>1720</v>
      </c>
      <c r="V122" s="221">
        <v>46126</v>
      </c>
      <c r="W122" s="221">
        <v>46251</v>
      </c>
      <c r="X122" s="1009"/>
      <c r="Y122" s="14" t="s">
        <v>1721</v>
      </c>
      <c r="Z122" s="1171">
        <v>1</v>
      </c>
      <c r="AA122" s="220">
        <v>46142</v>
      </c>
      <c r="AB122" s="220">
        <v>46120</v>
      </c>
      <c r="AC122" s="220">
        <v>46234</v>
      </c>
      <c r="AD122" s="1012"/>
      <c r="AE122" s="110"/>
      <c r="AF122" s="18" t="s">
        <v>1722</v>
      </c>
      <c r="AG122" s="20"/>
      <c r="AH122" s="14"/>
      <c r="AI122" s="226"/>
      <c r="AJ122" s="226"/>
      <c r="AK122" s="22"/>
      <c r="AL122" s="1225"/>
      <c r="AM122" s="14"/>
      <c r="AN122" s="14"/>
      <c r="AO122" s="14"/>
      <c r="AP122" s="23"/>
      <c r="AQ122" s="23"/>
      <c r="AR122" s="23"/>
      <c r="AS122" s="15"/>
      <c r="AT122" s="21"/>
      <c r="AU122" s="21"/>
      <c r="AV122" s="21"/>
      <c r="AW122" s="21"/>
      <c r="AX122" s="14"/>
      <c r="AY122" s="14"/>
      <c r="AZ122" s="14"/>
      <c r="BA122" s="14"/>
      <c r="BB122" s="2175"/>
      <c r="BC122" s="2179"/>
      <c r="BD122" s="2183"/>
    </row>
    <row r="123" spans="1:56" ht="15.75">
      <c r="A123" s="2188"/>
      <c r="B123" s="2190"/>
      <c r="C123" s="2190"/>
      <c r="D123" s="2190"/>
      <c r="E123" s="2190"/>
      <c r="F123" s="2190"/>
      <c r="G123" s="2190"/>
      <c r="H123" s="2190"/>
      <c r="I123" s="2192"/>
      <c r="J123" s="2168"/>
      <c r="K123" s="2172"/>
      <c r="L123" s="108"/>
      <c r="M123" s="108"/>
      <c r="N123" s="108"/>
      <c r="O123" s="108"/>
      <c r="P123" s="109"/>
      <c r="Q123" s="585"/>
      <c r="R123" s="109"/>
      <c r="S123" s="109"/>
      <c r="T123" s="108"/>
      <c r="U123" s="317" t="s">
        <v>1723</v>
      </c>
      <c r="V123" s="221">
        <v>46157</v>
      </c>
      <c r="W123" s="221">
        <v>46195</v>
      </c>
      <c r="X123" s="995"/>
      <c r="Y123" s="14" t="s">
        <v>1724</v>
      </c>
      <c r="Z123" s="1171">
        <v>147</v>
      </c>
      <c r="AA123" s="220">
        <v>46142</v>
      </c>
      <c r="AB123" s="220">
        <v>46119</v>
      </c>
      <c r="AC123" s="220">
        <v>46234</v>
      </c>
      <c r="AD123" s="1012"/>
      <c r="AE123" s="110"/>
      <c r="AF123" s="18" t="s">
        <v>1722</v>
      </c>
      <c r="AG123" s="996"/>
      <c r="AH123" s="108"/>
      <c r="AI123" s="227"/>
      <c r="AJ123" s="227"/>
      <c r="AK123" s="112"/>
      <c r="AL123" s="1227"/>
      <c r="AM123" s="108"/>
      <c r="AN123" s="108"/>
      <c r="AO123" s="108"/>
      <c r="AP123" s="113"/>
      <c r="AQ123" s="113"/>
      <c r="AR123" s="113"/>
      <c r="AS123" s="114"/>
      <c r="AT123" s="111"/>
      <c r="AU123" s="111"/>
      <c r="AV123" s="111"/>
      <c r="AW123" s="111"/>
      <c r="AX123" s="108"/>
      <c r="AY123" s="108"/>
      <c r="AZ123" s="108"/>
      <c r="BA123" s="108"/>
      <c r="BB123" s="2176"/>
      <c r="BC123" s="2180"/>
      <c r="BD123" s="2184"/>
    </row>
    <row r="124" spans="1:56" ht="126.75" customHeight="1">
      <c r="A124" s="2189"/>
      <c r="B124" s="2153"/>
      <c r="C124" s="2153"/>
      <c r="D124" s="2153"/>
      <c r="E124" s="2153"/>
      <c r="F124" s="2153"/>
      <c r="G124" s="2153"/>
      <c r="H124" s="2153"/>
      <c r="I124" s="2193"/>
      <c r="J124" s="2169"/>
      <c r="K124" s="2173"/>
      <c r="L124" s="118"/>
      <c r="M124" s="118"/>
      <c r="N124" s="118"/>
      <c r="O124" s="118"/>
      <c r="P124" s="119"/>
      <c r="Q124" s="809"/>
      <c r="R124" s="119"/>
      <c r="S124" s="119"/>
      <c r="T124" s="118"/>
      <c r="U124" s="1007" t="s">
        <v>1725</v>
      </c>
      <c r="V124" s="223">
        <v>46157</v>
      </c>
      <c r="W124" s="223">
        <v>46272</v>
      </c>
      <c r="X124" s="810"/>
      <c r="Y124" s="1016"/>
      <c r="Z124" s="551"/>
      <c r="AA124" s="1018"/>
      <c r="AB124" s="1018"/>
      <c r="AC124" s="1018"/>
      <c r="AD124" s="811"/>
      <c r="AE124" s="811"/>
      <c r="AF124" s="120"/>
      <c r="AG124" s="812"/>
      <c r="AH124" s="118"/>
      <c r="AI124" s="228"/>
      <c r="AJ124" s="228"/>
      <c r="AK124" s="204"/>
      <c r="AL124" s="1231"/>
      <c r="AM124" s="118"/>
      <c r="AN124" s="118"/>
      <c r="AO124" s="118"/>
      <c r="AP124" s="205"/>
      <c r="AQ124" s="205"/>
      <c r="AR124" s="205"/>
      <c r="AS124" s="206"/>
      <c r="AT124" s="203"/>
      <c r="AU124" s="203"/>
      <c r="AV124" s="203"/>
      <c r="AW124" s="203"/>
      <c r="AX124" s="118"/>
      <c r="AY124" s="118"/>
      <c r="AZ124" s="118"/>
      <c r="BA124" s="118"/>
      <c r="BB124" s="2177"/>
      <c r="BC124" s="2181"/>
      <c r="BD124" s="2185"/>
    </row>
    <row r="125" spans="1:56" ht="24" customHeight="1">
      <c r="A125" s="2202">
        <v>11</v>
      </c>
      <c r="B125" s="2204" t="s">
        <v>1726</v>
      </c>
      <c r="C125" s="2204" t="s">
        <v>1727</v>
      </c>
      <c r="D125" s="2204">
        <v>5000108080</v>
      </c>
      <c r="E125" s="2204">
        <v>1</v>
      </c>
      <c r="F125" s="2204" t="s">
        <v>1281</v>
      </c>
      <c r="G125" s="2204" t="s">
        <v>1532</v>
      </c>
      <c r="H125" s="2204" t="s">
        <v>1282</v>
      </c>
      <c r="I125" s="2194" t="s">
        <v>1728</v>
      </c>
      <c r="J125" s="2194" t="s">
        <v>1729</v>
      </c>
      <c r="K125" s="2195" t="s">
        <v>105</v>
      </c>
      <c r="L125" s="319"/>
      <c r="M125" s="386" t="s">
        <v>1730</v>
      </c>
      <c r="N125" s="386" t="s">
        <v>1731</v>
      </c>
      <c r="O125" s="386" t="s">
        <v>1732</v>
      </c>
      <c r="P125" s="322">
        <v>2697</v>
      </c>
      <c r="Q125" s="387" t="s">
        <v>1072</v>
      </c>
      <c r="R125" s="322">
        <v>28</v>
      </c>
      <c r="S125" s="322">
        <v>2669</v>
      </c>
      <c r="T125" s="319">
        <v>1.04</v>
      </c>
      <c r="U125" s="329" t="s">
        <v>42</v>
      </c>
      <c r="V125" s="349" t="s">
        <v>1347</v>
      </c>
      <c r="W125" s="349" t="s">
        <v>1347</v>
      </c>
      <c r="X125" s="349" t="s">
        <v>1347</v>
      </c>
      <c r="Y125" s="329"/>
      <c r="Z125" s="322"/>
      <c r="AA125" s="349"/>
      <c r="AB125" s="349"/>
      <c r="AC125" s="349"/>
      <c r="AD125" s="349"/>
      <c r="AE125" s="329"/>
      <c r="AF125" s="491"/>
      <c r="AG125" s="1203" t="s">
        <v>1733</v>
      </c>
      <c r="AH125" s="1197" t="s">
        <v>418</v>
      </c>
      <c r="AI125" s="1280" t="s">
        <v>418</v>
      </c>
      <c r="AJ125" s="1197" t="s">
        <v>418</v>
      </c>
      <c r="AK125" s="1199" t="s">
        <v>1734</v>
      </c>
      <c r="AL125" s="1230">
        <v>28</v>
      </c>
      <c r="AM125" s="1200" t="s">
        <v>1072</v>
      </c>
      <c r="AN125" s="1200">
        <v>1</v>
      </c>
      <c r="AO125" s="1203" t="s">
        <v>1735</v>
      </c>
      <c r="AP125" s="1204">
        <v>0</v>
      </c>
      <c r="AQ125" s="1204">
        <v>28</v>
      </c>
      <c r="AR125" s="1204">
        <v>28</v>
      </c>
      <c r="AS125" s="1200" t="s">
        <v>1072</v>
      </c>
      <c r="AT125" s="1202">
        <v>45889</v>
      </c>
      <c r="AU125" s="1202">
        <v>45889</v>
      </c>
      <c r="AV125" s="1202">
        <v>45894</v>
      </c>
      <c r="AW125" s="1202">
        <v>45894</v>
      </c>
      <c r="AX125" s="1206"/>
      <c r="AY125" s="388"/>
      <c r="AZ125" s="388"/>
      <c r="BA125" s="388"/>
      <c r="BB125" s="2196" t="s">
        <v>1736</v>
      </c>
      <c r="BC125" s="2200"/>
      <c r="BD125" s="2201"/>
    </row>
    <row r="126" spans="1:56" ht="24">
      <c r="A126" s="2164"/>
      <c r="B126" s="2152"/>
      <c r="C126" s="2152"/>
      <c r="D126" s="2152"/>
      <c r="E126" s="2152"/>
      <c r="F126" s="2152"/>
      <c r="G126" s="2152"/>
      <c r="H126" s="2152"/>
      <c r="I126" s="2191"/>
      <c r="J126" s="2167"/>
      <c r="K126" s="2171"/>
      <c r="L126" s="14"/>
      <c r="M126" s="15"/>
      <c r="N126" s="15"/>
      <c r="O126" s="15"/>
      <c r="P126" s="16"/>
      <c r="Q126" s="17"/>
      <c r="R126" s="16"/>
      <c r="S126" s="16"/>
      <c r="T126" s="14"/>
      <c r="U126" s="18" t="s">
        <v>1041</v>
      </c>
      <c r="V126" s="220">
        <v>45835</v>
      </c>
      <c r="W126" s="220">
        <v>45847</v>
      </c>
      <c r="X126" s="220">
        <v>45847</v>
      </c>
      <c r="Y126" s="18"/>
      <c r="Z126" s="16"/>
      <c r="AA126" s="267"/>
      <c r="AB126" s="220"/>
      <c r="AC126" s="220"/>
      <c r="AD126" s="220"/>
      <c r="AE126" s="18"/>
      <c r="AF126" s="19"/>
      <c r="AG126" s="20" t="s">
        <v>1737</v>
      </c>
      <c r="AH126" s="906" t="s">
        <v>418</v>
      </c>
      <c r="AI126" s="907" t="s">
        <v>418</v>
      </c>
      <c r="AJ126" s="908" t="s">
        <v>418</v>
      </c>
      <c r="AK126" s="22" t="s">
        <v>1738</v>
      </c>
      <c r="AL126" s="1225">
        <v>2192</v>
      </c>
      <c r="AM126" s="15" t="s">
        <v>1072</v>
      </c>
      <c r="AN126" s="15">
        <v>2</v>
      </c>
      <c r="AO126" s="497" t="s">
        <v>1739</v>
      </c>
      <c r="AP126" s="23">
        <v>1701</v>
      </c>
      <c r="AQ126" s="23">
        <v>968</v>
      </c>
      <c r="AR126" s="23">
        <v>2669</v>
      </c>
      <c r="AS126" s="15" t="s">
        <v>1072</v>
      </c>
      <c r="AT126" s="226">
        <v>46124</v>
      </c>
      <c r="AU126" s="226">
        <v>46124</v>
      </c>
      <c r="AV126" s="226">
        <v>46218</v>
      </c>
      <c r="AW126" s="21"/>
      <c r="AX126" s="14"/>
      <c r="AY126" s="24"/>
      <c r="AZ126" s="24"/>
      <c r="BA126" s="24"/>
      <c r="BB126" s="2197"/>
      <c r="BC126" s="2179"/>
      <c r="BD126" s="2183"/>
    </row>
    <row r="127" spans="1:56" ht="15.75">
      <c r="A127" s="2164"/>
      <c r="B127" s="2152"/>
      <c r="C127" s="2152"/>
      <c r="D127" s="2152"/>
      <c r="E127" s="2152"/>
      <c r="F127" s="2152"/>
      <c r="G127" s="2152"/>
      <c r="H127" s="2152"/>
      <c r="I127" s="2191"/>
      <c r="J127" s="2167"/>
      <c r="K127" s="2171"/>
      <c r="L127" s="14"/>
      <c r="M127" s="14"/>
      <c r="N127" s="14"/>
      <c r="O127" s="14"/>
      <c r="P127" s="16"/>
      <c r="Q127" s="17"/>
      <c r="R127" s="16"/>
      <c r="S127" s="16"/>
      <c r="T127" s="14"/>
      <c r="U127" s="18" t="s">
        <v>1049</v>
      </c>
      <c r="V127" s="220">
        <v>45818</v>
      </c>
      <c r="W127" s="220">
        <v>45847</v>
      </c>
      <c r="X127" s="220">
        <v>45847</v>
      </c>
      <c r="Y127" s="18"/>
      <c r="Z127" s="16"/>
      <c r="AA127" s="220"/>
      <c r="AB127" s="220"/>
      <c r="AC127" s="220"/>
      <c r="AD127" s="220"/>
      <c r="AE127" s="18"/>
      <c r="AF127" s="18"/>
      <c r="AG127" s="20"/>
      <c r="AH127" s="351"/>
      <c r="AI127" s="226"/>
      <c r="AJ127" s="383"/>
      <c r="AK127" s="22"/>
      <c r="AL127" s="1225"/>
      <c r="AM127" s="14"/>
      <c r="AN127" s="14"/>
      <c r="AO127" s="14"/>
      <c r="AP127" s="23"/>
      <c r="AQ127" s="23"/>
      <c r="AR127" s="23"/>
      <c r="AS127" s="15"/>
      <c r="AT127" s="21"/>
      <c r="AU127" s="21"/>
      <c r="AV127" s="21"/>
      <c r="AW127" s="21"/>
      <c r="AX127" s="14"/>
      <c r="AY127" s="14"/>
      <c r="AZ127" s="14"/>
      <c r="BA127" s="14"/>
      <c r="BB127" s="2197"/>
      <c r="BC127" s="2179"/>
      <c r="BD127" s="2183"/>
    </row>
    <row r="128" spans="1:56" ht="15.75">
      <c r="A128" s="2164"/>
      <c r="B128" s="2152"/>
      <c r="C128" s="2152"/>
      <c r="D128" s="2152"/>
      <c r="E128" s="2152"/>
      <c r="F128" s="2152"/>
      <c r="G128" s="2152"/>
      <c r="H128" s="2152"/>
      <c r="I128" s="2191"/>
      <c r="J128" s="2167"/>
      <c r="K128" s="2171"/>
      <c r="L128" s="14"/>
      <c r="M128" s="14"/>
      <c r="N128" s="14"/>
      <c r="O128" s="14"/>
      <c r="P128" s="16"/>
      <c r="Q128" s="14"/>
      <c r="R128" s="16"/>
      <c r="S128" s="16"/>
      <c r="T128" s="14"/>
      <c r="U128" s="18" t="s">
        <v>65</v>
      </c>
      <c r="V128" s="220">
        <v>45825</v>
      </c>
      <c r="W128" s="220">
        <v>45849</v>
      </c>
      <c r="X128" s="220">
        <v>45849</v>
      </c>
      <c r="Y128" s="18"/>
      <c r="Z128" s="16"/>
      <c r="AA128" s="220"/>
      <c r="AB128" s="220"/>
      <c r="AC128" s="220"/>
      <c r="AD128" s="220"/>
      <c r="AE128" s="18"/>
      <c r="AF128" s="18"/>
      <c r="AG128" s="20"/>
      <c r="AH128" s="351"/>
      <c r="AI128" s="226"/>
      <c r="AJ128" s="383"/>
      <c r="AK128" s="22"/>
      <c r="AL128" s="1225"/>
      <c r="AM128" s="14"/>
      <c r="AN128" s="14"/>
      <c r="AO128" s="14"/>
      <c r="AP128" s="23"/>
      <c r="AQ128" s="23"/>
      <c r="AR128" s="23"/>
      <c r="AS128" s="15"/>
      <c r="AT128" s="21"/>
      <c r="AU128" s="21"/>
      <c r="AV128" s="21"/>
      <c r="AW128" s="21"/>
      <c r="AX128" s="14"/>
      <c r="AY128" s="14"/>
      <c r="AZ128" s="14"/>
      <c r="BA128" s="14"/>
      <c r="BB128" s="2197"/>
      <c r="BC128" s="2179"/>
      <c r="BD128" s="2183"/>
    </row>
    <row r="129" spans="1:56" ht="15.75">
      <c r="A129" s="2164"/>
      <c r="B129" s="2152"/>
      <c r="C129" s="2152"/>
      <c r="D129" s="2152"/>
      <c r="E129" s="2152"/>
      <c r="F129" s="2152"/>
      <c r="G129" s="2152"/>
      <c r="H129" s="2152"/>
      <c r="I129" s="2191"/>
      <c r="J129" s="2167"/>
      <c r="K129" s="2171"/>
      <c r="L129" s="14"/>
      <c r="M129" s="14"/>
      <c r="N129" s="14"/>
      <c r="O129" s="14"/>
      <c r="P129" s="16"/>
      <c r="Q129" s="14"/>
      <c r="R129" s="16"/>
      <c r="S129" s="16"/>
      <c r="T129" s="14"/>
      <c r="U129" s="18" t="s">
        <v>75</v>
      </c>
      <c r="V129" s="220">
        <v>45856</v>
      </c>
      <c r="W129" s="220">
        <v>45856</v>
      </c>
      <c r="X129" s="220">
        <v>45855</v>
      </c>
      <c r="Y129" s="18"/>
      <c r="Z129" s="16"/>
      <c r="AA129" s="220"/>
      <c r="AB129" s="220"/>
      <c r="AC129" s="220"/>
      <c r="AD129" s="220"/>
      <c r="AE129" s="18"/>
      <c r="AF129" s="18"/>
      <c r="AG129" s="20"/>
      <c r="AH129" s="14"/>
      <c r="AI129" s="320"/>
      <c r="AJ129" s="226"/>
      <c r="AK129" s="22"/>
      <c r="AL129" s="1225"/>
      <c r="AM129" s="14"/>
      <c r="AN129" s="14"/>
      <c r="AO129" s="14"/>
      <c r="AP129" s="23"/>
      <c r="AQ129" s="23"/>
      <c r="AR129" s="23"/>
      <c r="AS129" s="15"/>
      <c r="AT129" s="21"/>
      <c r="AU129" s="21"/>
      <c r="AV129" s="21"/>
      <c r="AW129" s="21"/>
      <c r="AX129" s="14"/>
      <c r="AY129" s="14"/>
      <c r="AZ129" s="14"/>
      <c r="BA129" s="14"/>
      <c r="BB129" s="2197"/>
      <c r="BC129" s="2179"/>
      <c r="BD129" s="2183"/>
    </row>
    <row r="130" spans="1:56" ht="15.75">
      <c r="A130" s="2164"/>
      <c r="B130" s="2152"/>
      <c r="C130" s="2152"/>
      <c r="D130" s="2152"/>
      <c r="E130" s="2152"/>
      <c r="F130" s="2152"/>
      <c r="G130" s="2152"/>
      <c r="H130" s="2152"/>
      <c r="I130" s="2191"/>
      <c r="J130" s="2167"/>
      <c r="K130" s="2171"/>
      <c r="L130" s="14"/>
      <c r="M130" s="14"/>
      <c r="N130" s="14"/>
      <c r="O130" s="14"/>
      <c r="P130" s="16"/>
      <c r="Q130" s="14"/>
      <c r="R130" s="16"/>
      <c r="S130" s="16"/>
      <c r="T130" s="14"/>
      <c r="U130" s="18" t="s">
        <v>96</v>
      </c>
      <c r="V130" s="220">
        <v>45859</v>
      </c>
      <c r="W130" s="220">
        <v>45859</v>
      </c>
      <c r="X130" s="220">
        <v>45856</v>
      </c>
      <c r="Y130" s="18"/>
      <c r="Z130" s="16"/>
      <c r="AA130" s="14"/>
      <c r="AB130" s="220"/>
      <c r="AC130" s="220"/>
      <c r="AD130" s="220"/>
      <c r="AE130" s="18"/>
      <c r="AF130" s="18"/>
      <c r="AG130" s="20"/>
      <c r="AH130" s="14"/>
      <c r="AI130" s="226"/>
      <c r="AJ130" s="226"/>
      <c r="AK130" s="22"/>
      <c r="AL130" s="1225"/>
      <c r="AM130" s="14"/>
      <c r="AN130" s="14"/>
      <c r="AO130" s="14"/>
      <c r="AP130" s="23"/>
      <c r="AQ130" s="23"/>
      <c r="AR130" s="23"/>
      <c r="AS130" s="15"/>
      <c r="AT130" s="21"/>
      <c r="AU130" s="21"/>
      <c r="AV130" s="21"/>
      <c r="AW130" s="21"/>
      <c r="AX130" s="14"/>
      <c r="AY130" s="14"/>
      <c r="AZ130" s="14"/>
      <c r="BA130" s="14"/>
      <c r="BB130" s="2197"/>
      <c r="BC130" s="2179"/>
      <c r="BD130" s="2183"/>
    </row>
    <row r="131" spans="1:56" ht="15.75">
      <c r="A131" s="2164"/>
      <c r="B131" s="2152"/>
      <c r="C131" s="2152"/>
      <c r="D131" s="2152"/>
      <c r="E131" s="2152"/>
      <c r="F131" s="2152"/>
      <c r="G131" s="2152"/>
      <c r="H131" s="2152"/>
      <c r="I131" s="2191"/>
      <c r="J131" s="2167"/>
      <c r="K131" s="2171"/>
      <c r="L131" s="14"/>
      <c r="M131" s="14"/>
      <c r="N131" s="14"/>
      <c r="O131" s="14"/>
      <c r="P131" s="16"/>
      <c r="Q131" s="14"/>
      <c r="R131" s="16"/>
      <c r="S131" s="16"/>
      <c r="T131" s="14"/>
      <c r="U131" s="25" t="s">
        <v>1361</v>
      </c>
      <c r="V131" s="220">
        <v>45862</v>
      </c>
      <c r="W131" s="220">
        <v>45860</v>
      </c>
      <c r="X131" s="220">
        <v>45860</v>
      </c>
      <c r="Y131" s="18"/>
      <c r="Z131" s="16"/>
      <c r="AA131" s="220"/>
      <c r="AB131" s="220"/>
      <c r="AC131" s="220"/>
      <c r="AD131" s="220"/>
      <c r="AE131" s="18"/>
      <c r="AF131" s="18"/>
      <c r="AH131" s="14"/>
      <c r="AI131" s="226"/>
      <c r="AJ131" s="226"/>
      <c r="AK131" s="22"/>
      <c r="AL131" s="1225"/>
      <c r="AM131" s="14"/>
      <c r="AN131" s="14"/>
      <c r="AO131" s="14"/>
      <c r="AP131" s="23"/>
      <c r="AQ131" s="23"/>
      <c r="AR131" s="23"/>
      <c r="AS131" s="15"/>
      <c r="AT131" s="21"/>
      <c r="AU131" s="21"/>
      <c r="AV131" s="21"/>
      <c r="AW131" s="21"/>
      <c r="AX131" s="14"/>
      <c r="AY131" s="14"/>
      <c r="AZ131" s="14"/>
      <c r="BA131" s="14"/>
      <c r="BB131" s="2197"/>
      <c r="BC131" s="2179"/>
      <c r="BD131" s="2183"/>
    </row>
    <row r="132" spans="1:56" ht="15.75">
      <c r="A132" s="2164"/>
      <c r="B132" s="2152"/>
      <c r="C132" s="2152"/>
      <c r="D132" s="2152"/>
      <c r="E132" s="2152"/>
      <c r="F132" s="2152"/>
      <c r="G132" s="2152"/>
      <c r="H132" s="2152"/>
      <c r="I132" s="2191"/>
      <c r="J132" s="2167"/>
      <c r="K132" s="2171"/>
      <c r="L132" s="14"/>
      <c r="M132" s="14"/>
      <c r="N132" s="14"/>
      <c r="O132" s="14"/>
      <c r="P132" s="16"/>
      <c r="Q132" s="14"/>
      <c r="R132" s="16"/>
      <c r="S132" s="16"/>
      <c r="T132" s="14"/>
      <c r="U132" s="25" t="s">
        <v>472</v>
      </c>
      <c r="V132" s="220">
        <v>45863</v>
      </c>
      <c r="W132" s="220">
        <v>45862</v>
      </c>
      <c r="X132" s="220">
        <v>45862</v>
      </c>
      <c r="Y132" s="14"/>
      <c r="Z132" s="16"/>
      <c r="AA132" s="220"/>
      <c r="AB132" s="220"/>
      <c r="AC132" s="220"/>
      <c r="AD132" s="220"/>
      <c r="AE132" s="18"/>
      <c r="AF132" s="18"/>
      <c r="AG132" s="14"/>
      <c r="AH132" s="14"/>
      <c r="AI132" s="226"/>
      <c r="AJ132" s="226"/>
      <c r="AK132" s="22"/>
      <c r="AL132" s="1225"/>
      <c r="AM132" s="14"/>
      <c r="AN132" s="14"/>
      <c r="AO132" s="14"/>
      <c r="AP132" s="23"/>
      <c r="AQ132" s="23"/>
      <c r="AR132" s="23"/>
      <c r="AS132" s="15"/>
      <c r="AT132" s="21"/>
      <c r="AU132" s="21"/>
      <c r="AV132" s="21"/>
      <c r="AW132" s="21"/>
      <c r="AX132" s="14"/>
      <c r="AY132" s="14"/>
      <c r="AZ132" s="14"/>
      <c r="BA132" s="14"/>
      <c r="BB132" s="2197"/>
      <c r="BC132" s="2179"/>
      <c r="BD132" s="2183"/>
    </row>
    <row r="133" spans="1:56" ht="15.75">
      <c r="A133" s="2203"/>
      <c r="B133" s="2190"/>
      <c r="C133" s="2190"/>
      <c r="D133" s="2190"/>
      <c r="E133" s="2190"/>
      <c r="F133" s="2190"/>
      <c r="G133" s="2190"/>
      <c r="H133" s="2190"/>
      <c r="I133" s="2192"/>
      <c r="J133" s="2168"/>
      <c r="K133" s="2172"/>
      <c r="L133" s="108"/>
      <c r="M133" s="108"/>
      <c r="N133" s="108"/>
      <c r="O133" s="108"/>
      <c r="P133" s="109"/>
      <c r="Q133" s="108"/>
      <c r="R133" s="109"/>
      <c r="S133" s="109"/>
      <c r="T133" s="108"/>
      <c r="U133" s="317" t="s">
        <v>1740</v>
      </c>
      <c r="V133" s="221">
        <v>45868</v>
      </c>
      <c r="W133" s="221">
        <v>45868</v>
      </c>
      <c r="X133" s="221">
        <v>45868</v>
      </c>
      <c r="Y133" s="108"/>
      <c r="Z133" s="109"/>
      <c r="AA133" s="221"/>
      <c r="AB133" s="221"/>
      <c r="AC133" s="221"/>
      <c r="AD133" s="221"/>
      <c r="AE133" s="110"/>
      <c r="AF133" s="110"/>
      <c r="AG133" s="108"/>
      <c r="AH133" s="108"/>
      <c r="AI133" s="227"/>
      <c r="AJ133" s="227"/>
      <c r="AK133" s="112"/>
      <c r="AL133" s="1227"/>
      <c r="AM133" s="108"/>
      <c r="AN133" s="108"/>
      <c r="AO133" s="108"/>
      <c r="AP133" s="113"/>
      <c r="AQ133" s="113"/>
      <c r="AR133" s="113"/>
      <c r="AS133" s="114"/>
      <c r="AT133" s="111"/>
      <c r="AU133" s="111"/>
      <c r="AV133" s="111"/>
      <c r="AW133" s="111"/>
      <c r="AX133" s="108"/>
      <c r="AY133" s="108"/>
      <c r="AZ133" s="108"/>
      <c r="BA133" s="108"/>
      <c r="BB133" s="2198"/>
      <c r="BC133" s="2180"/>
      <c r="BD133" s="2184"/>
    </row>
    <row r="134" spans="1:56" ht="15.75">
      <c r="A134" s="2165"/>
      <c r="B134" s="2153"/>
      <c r="C134" s="2153"/>
      <c r="D134" s="2153"/>
      <c r="E134" s="2153"/>
      <c r="F134" s="2153"/>
      <c r="G134" s="2153"/>
      <c r="H134" s="2153"/>
      <c r="I134" s="2193"/>
      <c r="J134" s="2169"/>
      <c r="K134" s="2173"/>
      <c r="L134" s="118"/>
      <c r="M134" s="118"/>
      <c r="N134" s="118"/>
      <c r="O134" s="118"/>
      <c r="P134" s="119"/>
      <c r="Q134" s="118"/>
      <c r="R134" s="119"/>
      <c r="S134" s="119"/>
      <c r="T134" s="118"/>
      <c r="U134" s="120" t="s">
        <v>1127</v>
      </c>
      <c r="V134" s="223">
        <v>46073</v>
      </c>
      <c r="W134" s="223">
        <v>46089</v>
      </c>
      <c r="X134" s="224">
        <v>46083</v>
      </c>
      <c r="Y134" s="121"/>
      <c r="Z134" s="119"/>
      <c r="AA134" s="224"/>
      <c r="AB134" s="224"/>
      <c r="AC134" s="224"/>
      <c r="AD134" s="224"/>
      <c r="AE134" s="121"/>
      <c r="AF134" s="121"/>
      <c r="AG134" s="118"/>
      <c r="AH134" s="118"/>
      <c r="AI134" s="228"/>
      <c r="AJ134" s="228"/>
      <c r="AK134" s="204"/>
      <c r="AL134" s="1231"/>
      <c r="AM134" s="118"/>
      <c r="AN134" s="118"/>
      <c r="AO134" s="118"/>
      <c r="AP134" s="205"/>
      <c r="AQ134" s="205"/>
      <c r="AR134" s="205"/>
      <c r="AS134" s="206"/>
      <c r="AT134" s="203"/>
      <c r="AU134" s="203"/>
      <c r="AV134" s="203"/>
      <c r="AW134" s="203"/>
      <c r="AX134" s="118"/>
      <c r="AY134" s="118"/>
      <c r="AZ134" s="118"/>
      <c r="BA134" s="118"/>
      <c r="BB134" s="2199"/>
      <c r="BC134" s="2181"/>
      <c r="BD134" s="2185"/>
    </row>
    <row r="135" spans="1:56" ht="15.75" customHeight="1">
      <c r="A135" s="2219">
        <v>12</v>
      </c>
      <c r="B135" s="2222" t="s">
        <v>1741</v>
      </c>
      <c r="C135" s="2222" t="s">
        <v>1742</v>
      </c>
      <c r="D135" s="2222">
        <v>5000108629</v>
      </c>
      <c r="E135" s="2222">
        <v>1</v>
      </c>
      <c r="F135" s="2222" t="s">
        <v>1743</v>
      </c>
      <c r="G135" s="2222" t="s">
        <v>1744</v>
      </c>
      <c r="H135" s="2222" t="s">
        <v>1744</v>
      </c>
      <c r="I135" s="2277">
        <v>45866</v>
      </c>
      <c r="J135" s="2277">
        <v>46082</v>
      </c>
      <c r="K135" s="2211" t="s">
        <v>105</v>
      </c>
      <c r="L135" s="3" t="s">
        <v>1409</v>
      </c>
      <c r="M135" s="9" t="s">
        <v>1745</v>
      </c>
      <c r="N135" s="9" t="s">
        <v>1746</v>
      </c>
      <c r="O135" s="9" t="s">
        <v>1746</v>
      </c>
      <c r="P135" s="4">
        <v>4</v>
      </c>
      <c r="Q135" s="5" t="s">
        <v>1072</v>
      </c>
      <c r="R135" s="4">
        <v>4</v>
      </c>
      <c r="S135" s="4" t="s">
        <v>1346</v>
      </c>
      <c r="T135" s="2">
        <v>100</v>
      </c>
      <c r="U135" s="6" t="s">
        <v>42</v>
      </c>
      <c r="V135" s="219" t="s">
        <v>1347</v>
      </c>
      <c r="W135" s="219" t="s">
        <v>1347</v>
      </c>
      <c r="X135" s="219" t="s">
        <v>1347</v>
      </c>
      <c r="Y135" s="6" t="s">
        <v>1747</v>
      </c>
      <c r="Z135" s="4">
        <v>60</v>
      </c>
      <c r="AA135" s="219">
        <v>46024</v>
      </c>
      <c r="AB135" s="219">
        <v>46042</v>
      </c>
      <c r="AC135" s="219">
        <v>46082</v>
      </c>
      <c r="AD135" s="219"/>
      <c r="AE135" s="6"/>
      <c r="AF135" s="7" t="s">
        <v>1748</v>
      </c>
      <c r="AG135" s="867" t="s">
        <v>1749</v>
      </c>
      <c r="AH135" s="871" t="s">
        <v>1750</v>
      </c>
      <c r="AI135" s="875" t="s">
        <v>1751</v>
      </c>
      <c r="AJ135" s="875" t="s">
        <v>1751</v>
      </c>
      <c r="AK135" s="872" t="s">
        <v>1752</v>
      </c>
      <c r="AL135" s="1220">
        <v>2</v>
      </c>
      <c r="AM135" s="867" t="s">
        <v>1072</v>
      </c>
      <c r="AN135" s="2">
        <v>1</v>
      </c>
      <c r="AO135" s="2" t="s">
        <v>1753</v>
      </c>
      <c r="AP135" s="11" t="s">
        <v>1355</v>
      </c>
      <c r="AQ135" s="11">
        <v>2</v>
      </c>
      <c r="AR135" s="11">
        <v>2</v>
      </c>
      <c r="AS135" s="3" t="s">
        <v>1072</v>
      </c>
      <c r="AT135" s="225">
        <v>46129</v>
      </c>
      <c r="AU135" s="225">
        <v>46126</v>
      </c>
      <c r="AV135" s="1451">
        <v>46171</v>
      </c>
      <c r="AW135" s="9"/>
      <c r="AX135" s="12"/>
      <c r="AY135" s="13"/>
      <c r="AZ135" s="13"/>
      <c r="BA135" s="13"/>
      <c r="BB135" s="2157"/>
      <c r="BC135" s="2280"/>
      <c r="BD135" s="2216"/>
    </row>
    <row r="136" spans="1:56" ht="15.75">
      <c r="A136" s="2220"/>
      <c r="B136" s="2223"/>
      <c r="C136" s="2223"/>
      <c r="D136" s="2223"/>
      <c r="E136" s="2223"/>
      <c r="F136" s="2223"/>
      <c r="G136" s="2223"/>
      <c r="H136" s="2223"/>
      <c r="I136" s="2278"/>
      <c r="J136" s="2278"/>
      <c r="K136" s="2205"/>
      <c r="L136" s="15" t="s">
        <v>1754</v>
      </c>
      <c r="M136" s="15" t="s">
        <v>1745</v>
      </c>
      <c r="N136" s="15" t="s">
        <v>1755</v>
      </c>
      <c r="O136" s="15" t="s">
        <v>1755</v>
      </c>
      <c r="P136" s="16">
        <v>2</v>
      </c>
      <c r="Q136" s="17" t="s">
        <v>1353</v>
      </c>
      <c r="R136" s="16">
        <v>2</v>
      </c>
      <c r="S136" s="16" t="s">
        <v>1346</v>
      </c>
      <c r="T136" s="14">
        <v>100</v>
      </c>
      <c r="U136" s="18" t="s">
        <v>1041</v>
      </c>
      <c r="V136" s="220">
        <v>45854</v>
      </c>
      <c r="W136" s="220">
        <v>45854</v>
      </c>
      <c r="X136" s="220">
        <v>45854</v>
      </c>
      <c r="Y136" s="18" t="s">
        <v>1756</v>
      </c>
      <c r="Z136" s="16">
        <v>6</v>
      </c>
      <c r="AA136" s="267">
        <v>46042</v>
      </c>
      <c r="AB136" s="220">
        <v>46042</v>
      </c>
      <c r="AC136" s="220">
        <v>46082</v>
      </c>
      <c r="AD136" s="220"/>
      <c r="AE136" s="18"/>
      <c r="AF136" s="19" t="s">
        <v>1748</v>
      </c>
      <c r="AG136" s="883" t="s">
        <v>1757</v>
      </c>
      <c r="AH136" s="876" t="s">
        <v>1758</v>
      </c>
      <c r="AI136" s="1198">
        <v>46078</v>
      </c>
      <c r="AJ136" s="874">
        <v>46078</v>
      </c>
      <c r="AK136" s="884" t="s">
        <v>418</v>
      </c>
      <c r="AL136" s="1221"/>
      <c r="AM136" s="876"/>
      <c r="AN136" s="1132">
        <v>2</v>
      </c>
      <c r="AO136" s="876" t="s">
        <v>1759</v>
      </c>
      <c r="AP136" s="887" t="s">
        <v>1355</v>
      </c>
      <c r="AQ136" s="887">
        <v>4</v>
      </c>
      <c r="AR136" s="887">
        <v>4</v>
      </c>
      <c r="AS136" s="877" t="s">
        <v>1072</v>
      </c>
      <c r="AT136" s="874">
        <v>46126</v>
      </c>
      <c r="AU136" s="874">
        <v>46125</v>
      </c>
      <c r="AV136" s="874">
        <v>46126</v>
      </c>
      <c r="AW136" s="874">
        <v>46128</v>
      </c>
      <c r="AX136" s="876"/>
      <c r="AY136" s="24"/>
      <c r="AZ136" s="24"/>
      <c r="BA136" s="24"/>
      <c r="BB136" s="2158"/>
      <c r="BC136" s="2281"/>
      <c r="BD136" s="2217"/>
    </row>
    <row r="137" spans="1:56" ht="15.75">
      <c r="A137" s="2220"/>
      <c r="B137" s="2223"/>
      <c r="C137" s="2223"/>
      <c r="D137" s="2223"/>
      <c r="E137" s="2223"/>
      <c r="F137" s="2223"/>
      <c r="G137" s="2223"/>
      <c r="H137" s="2223"/>
      <c r="I137" s="2278"/>
      <c r="J137" s="2278"/>
      <c r="K137" s="2205"/>
      <c r="L137" s="14"/>
      <c r="M137" s="14"/>
      <c r="N137" s="14"/>
      <c r="O137" s="14"/>
      <c r="P137" s="16"/>
      <c r="Q137" s="17"/>
      <c r="R137" s="16"/>
      <c r="S137" s="16"/>
      <c r="T137" s="14"/>
      <c r="U137" s="18" t="s">
        <v>1049</v>
      </c>
      <c r="V137" s="220">
        <v>45859</v>
      </c>
      <c r="W137" s="220">
        <v>45879</v>
      </c>
      <c r="X137" s="220">
        <v>45873</v>
      </c>
      <c r="Y137" s="18" t="s">
        <v>1760</v>
      </c>
      <c r="Z137" s="16">
        <v>2</v>
      </c>
      <c r="AA137" s="220">
        <v>46042</v>
      </c>
      <c r="AB137" s="220">
        <v>46042</v>
      </c>
      <c r="AC137" s="220">
        <v>46082</v>
      </c>
      <c r="AD137" s="220"/>
      <c r="AE137" s="18"/>
      <c r="AF137" s="18" t="s">
        <v>1748</v>
      </c>
      <c r="AG137" s="883" t="s">
        <v>1761</v>
      </c>
      <c r="AH137" s="876" t="s">
        <v>1762</v>
      </c>
      <c r="AI137" s="874">
        <v>46086</v>
      </c>
      <c r="AJ137" s="874">
        <v>46086</v>
      </c>
      <c r="AK137" s="884" t="s">
        <v>1763</v>
      </c>
      <c r="AL137" s="1221">
        <v>4</v>
      </c>
      <c r="AM137" s="876" t="s">
        <v>1072</v>
      </c>
      <c r="AN137" s="14"/>
      <c r="AO137" s="14"/>
      <c r="AP137" s="23"/>
      <c r="AQ137" s="23"/>
      <c r="AR137" s="23"/>
      <c r="AS137" s="15"/>
      <c r="AT137" s="21"/>
      <c r="AU137" s="21"/>
      <c r="AV137" s="21"/>
      <c r="AW137" s="21"/>
      <c r="AX137" s="14"/>
      <c r="AY137" s="14"/>
      <c r="AZ137" s="14"/>
      <c r="BA137" s="14"/>
      <c r="BB137" s="2158"/>
      <c r="BC137" s="2281"/>
      <c r="BD137" s="2217"/>
    </row>
    <row r="138" spans="1:56" ht="15.75">
      <c r="A138" s="2220"/>
      <c r="B138" s="2223"/>
      <c r="C138" s="2223"/>
      <c r="D138" s="2223"/>
      <c r="E138" s="2223"/>
      <c r="F138" s="2223"/>
      <c r="G138" s="2223"/>
      <c r="H138" s="2223"/>
      <c r="I138" s="2278"/>
      <c r="J138" s="2278"/>
      <c r="K138" s="2205"/>
      <c r="L138" s="14"/>
      <c r="M138" s="14"/>
      <c r="N138" s="14"/>
      <c r="O138" s="14"/>
      <c r="P138" s="16"/>
      <c r="Q138" s="14"/>
      <c r="R138" s="16"/>
      <c r="S138" s="16"/>
      <c r="T138" s="14"/>
      <c r="U138" s="18" t="s">
        <v>65</v>
      </c>
      <c r="V138" s="220">
        <v>45901</v>
      </c>
      <c r="W138" s="267">
        <v>45991</v>
      </c>
      <c r="X138" s="267">
        <v>45978</v>
      </c>
      <c r="Y138" s="18" t="s">
        <v>1764</v>
      </c>
      <c r="Z138" s="16">
        <v>14</v>
      </c>
      <c r="AA138" s="220">
        <v>46042</v>
      </c>
      <c r="AB138" s="220">
        <v>46042</v>
      </c>
      <c r="AC138" s="220">
        <v>46082</v>
      </c>
      <c r="AD138" s="220"/>
      <c r="AE138" s="18"/>
      <c r="AF138" s="18" t="s">
        <v>1748</v>
      </c>
      <c r="AG138" s="20"/>
      <c r="AH138" s="14"/>
      <c r="AI138" s="226"/>
      <c r="AJ138" s="226"/>
      <c r="AK138" s="22"/>
      <c r="AL138" s="1225"/>
      <c r="AM138" s="14"/>
      <c r="AN138" s="14"/>
      <c r="AO138" s="14"/>
      <c r="AP138" s="23"/>
      <c r="AQ138" s="23"/>
      <c r="AR138" s="23"/>
      <c r="AS138" s="15"/>
      <c r="AT138" s="21"/>
      <c r="AU138" s="21"/>
      <c r="AV138" s="21"/>
      <c r="AW138" s="21"/>
      <c r="AX138" s="14"/>
      <c r="AY138" s="14"/>
      <c r="AZ138" s="14"/>
      <c r="BA138" s="14"/>
      <c r="BB138" s="2158"/>
      <c r="BC138" s="2281"/>
      <c r="BD138" s="2217"/>
    </row>
    <row r="139" spans="1:56" ht="15.75">
      <c r="A139" s="2220"/>
      <c r="B139" s="2223"/>
      <c r="C139" s="2223"/>
      <c r="D139" s="2223"/>
      <c r="E139" s="2223"/>
      <c r="F139" s="2223"/>
      <c r="G139" s="2223"/>
      <c r="H139" s="2223"/>
      <c r="I139" s="2278"/>
      <c r="J139" s="2278"/>
      <c r="K139" s="2205"/>
      <c r="L139" s="14"/>
      <c r="M139" s="14"/>
      <c r="N139" s="14"/>
      <c r="O139" s="14"/>
      <c r="P139" s="16"/>
      <c r="Q139" s="14"/>
      <c r="R139" s="16"/>
      <c r="S139" s="16"/>
      <c r="T139" s="14"/>
      <c r="U139" s="18" t="s">
        <v>75</v>
      </c>
      <c r="V139" s="220">
        <v>45931</v>
      </c>
      <c r="W139" s="220">
        <v>46029</v>
      </c>
      <c r="X139" s="220">
        <v>46029</v>
      </c>
      <c r="Y139" s="18" t="s">
        <v>1765</v>
      </c>
      <c r="Z139" s="16">
        <v>2</v>
      </c>
      <c r="AA139" s="220">
        <v>45978</v>
      </c>
      <c r="AB139" s="220">
        <v>45978</v>
      </c>
      <c r="AC139" s="220">
        <v>46029</v>
      </c>
      <c r="AD139" s="220">
        <v>46029</v>
      </c>
      <c r="AE139" s="18">
        <v>2</v>
      </c>
      <c r="AF139" s="18" t="s">
        <v>1766</v>
      </c>
      <c r="AG139" s="20"/>
      <c r="AH139" s="14"/>
      <c r="AI139" s="226"/>
      <c r="AJ139" s="226"/>
      <c r="AK139" s="22"/>
      <c r="AL139" s="1225"/>
      <c r="AM139" s="14"/>
      <c r="AN139" s="14"/>
      <c r="AO139" s="14"/>
      <c r="AP139" s="23"/>
      <c r="AQ139" s="23"/>
      <c r="AR139" s="23"/>
      <c r="AS139" s="15"/>
      <c r="AT139" s="21"/>
      <c r="AU139" s="21"/>
      <c r="AV139" s="21"/>
      <c r="AW139" s="21"/>
      <c r="AX139" s="14"/>
      <c r="AY139" s="14"/>
      <c r="AZ139" s="14"/>
      <c r="BA139" s="14"/>
      <c r="BB139" s="2158"/>
      <c r="BC139" s="2281"/>
      <c r="BD139" s="2217"/>
    </row>
    <row r="140" spans="1:56" ht="15.75">
      <c r="A140" s="2220"/>
      <c r="B140" s="2223"/>
      <c r="C140" s="2223"/>
      <c r="D140" s="2223"/>
      <c r="E140" s="2223"/>
      <c r="F140" s="2223"/>
      <c r="G140" s="2223"/>
      <c r="H140" s="2223"/>
      <c r="I140" s="2278"/>
      <c r="J140" s="2278"/>
      <c r="K140" s="2205"/>
      <c r="L140" s="14"/>
      <c r="M140" s="14"/>
      <c r="N140" s="14"/>
      <c r="O140" s="14"/>
      <c r="P140" s="16"/>
      <c r="Q140" s="14"/>
      <c r="R140" s="16"/>
      <c r="S140" s="16"/>
      <c r="T140" s="14"/>
      <c r="U140" s="18" t="s">
        <v>96</v>
      </c>
      <c r="V140" s="220">
        <v>45962</v>
      </c>
      <c r="W140" s="220">
        <v>46032</v>
      </c>
      <c r="X140" s="220">
        <v>46032</v>
      </c>
      <c r="Y140" s="18" t="s">
        <v>1767</v>
      </c>
      <c r="Z140" s="16">
        <v>8</v>
      </c>
      <c r="AA140" s="220">
        <v>45930</v>
      </c>
      <c r="AB140" s="220">
        <v>45930</v>
      </c>
      <c r="AC140" s="220">
        <v>46029</v>
      </c>
      <c r="AD140" s="220">
        <v>46029</v>
      </c>
      <c r="AE140" s="18">
        <v>8</v>
      </c>
      <c r="AF140" s="18" t="s">
        <v>1768</v>
      </c>
      <c r="AG140" s="20"/>
      <c r="AH140" s="14"/>
      <c r="AI140" s="226"/>
      <c r="AJ140" s="226"/>
      <c r="AK140" s="22"/>
      <c r="AL140" s="1225"/>
      <c r="AM140" s="14"/>
      <c r="AN140" s="14"/>
      <c r="AO140" s="14"/>
      <c r="AP140" s="23"/>
      <c r="AQ140" s="23"/>
      <c r="AR140" s="23"/>
      <c r="AS140" s="15"/>
      <c r="AT140" s="21"/>
      <c r="AU140" s="21"/>
      <c r="AV140" s="21"/>
      <c r="AW140" s="21"/>
      <c r="AX140" s="14"/>
      <c r="AY140" s="14"/>
      <c r="AZ140" s="14"/>
      <c r="BA140" s="14"/>
      <c r="BB140" s="2158"/>
      <c r="BC140" s="2281"/>
      <c r="BD140" s="2217"/>
    </row>
    <row r="141" spans="1:56" ht="15.75">
      <c r="A141" s="2220"/>
      <c r="B141" s="2223"/>
      <c r="C141" s="2223"/>
      <c r="D141" s="2223"/>
      <c r="E141" s="2223"/>
      <c r="F141" s="2223"/>
      <c r="G141" s="2223"/>
      <c r="H141" s="2223"/>
      <c r="I141" s="2278"/>
      <c r="J141" s="2278"/>
      <c r="K141" s="2205"/>
      <c r="L141" s="14"/>
      <c r="M141" s="14"/>
      <c r="N141" s="14"/>
      <c r="O141" s="14"/>
      <c r="P141" s="16"/>
      <c r="Q141" s="14"/>
      <c r="R141" s="16"/>
      <c r="S141" s="16"/>
      <c r="T141" s="14"/>
      <c r="U141" s="25" t="s">
        <v>1361</v>
      </c>
      <c r="V141" s="220">
        <v>46022</v>
      </c>
      <c r="W141" s="220">
        <v>46045</v>
      </c>
      <c r="X141" s="220">
        <v>46045</v>
      </c>
      <c r="Y141" s="18"/>
      <c r="Z141" s="16"/>
      <c r="AA141" s="220"/>
      <c r="AB141" s="220"/>
      <c r="AC141" s="220"/>
      <c r="AD141" s="220"/>
      <c r="AE141" s="18"/>
      <c r="AF141" s="18"/>
      <c r="AG141" s="14"/>
      <c r="AH141" s="14"/>
      <c r="AI141" s="226"/>
      <c r="AJ141" s="226"/>
      <c r="AK141" s="22"/>
      <c r="AL141" s="1225"/>
      <c r="AM141" s="14"/>
      <c r="AN141" s="14"/>
      <c r="AO141" s="14"/>
      <c r="AP141" s="23"/>
      <c r="AQ141" s="23"/>
      <c r="AR141" s="23"/>
      <c r="AS141" s="15"/>
      <c r="AT141" s="21"/>
      <c r="AU141" s="21"/>
      <c r="AV141" s="21"/>
      <c r="AW141" s="21"/>
      <c r="AX141" s="14"/>
      <c r="AY141" s="14"/>
      <c r="AZ141" s="14"/>
      <c r="BA141" s="14"/>
      <c r="BB141" s="2158"/>
      <c r="BC141" s="2281"/>
      <c r="BD141" s="2217"/>
    </row>
    <row r="142" spans="1:56" ht="15.75">
      <c r="A142" s="2220"/>
      <c r="B142" s="2223"/>
      <c r="C142" s="2223"/>
      <c r="D142" s="2223"/>
      <c r="E142" s="2223"/>
      <c r="F142" s="2223"/>
      <c r="G142" s="2223"/>
      <c r="H142" s="2223"/>
      <c r="I142" s="2278"/>
      <c r="J142" s="2278"/>
      <c r="K142" s="2205"/>
      <c r="L142" s="14"/>
      <c r="M142" s="14"/>
      <c r="N142" s="14"/>
      <c r="O142" s="14"/>
      <c r="P142" s="16"/>
      <c r="Q142" s="14"/>
      <c r="R142" s="16"/>
      <c r="S142" s="16"/>
      <c r="T142" s="14"/>
      <c r="U142" s="25" t="s">
        <v>472</v>
      </c>
      <c r="V142" s="220">
        <v>46054</v>
      </c>
      <c r="W142" s="220">
        <v>46073</v>
      </c>
      <c r="X142" s="220">
        <v>46073</v>
      </c>
      <c r="Y142" s="14"/>
      <c r="Z142" s="16"/>
      <c r="AA142" s="220"/>
      <c r="AB142" s="220"/>
      <c r="AC142" s="220"/>
      <c r="AD142" s="220"/>
      <c r="AE142" s="18"/>
      <c r="AF142" s="18"/>
      <c r="AG142" s="14"/>
      <c r="AH142" s="14"/>
      <c r="AI142" s="226"/>
      <c r="AJ142" s="226"/>
      <c r="AK142" s="22"/>
      <c r="AL142" s="1225"/>
      <c r="AM142" s="14"/>
      <c r="AN142" s="14"/>
      <c r="AO142" s="14"/>
      <c r="AP142" s="23"/>
      <c r="AQ142" s="23"/>
      <c r="AR142" s="23"/>
      <c r="AS142" s="15"/>
      <c r="AT142" s="21"/>
      <c r="AU142" s="21"/>
      <c r="AV142" s="21"/>
      <c r="AW142" s="21"/>
      <c r="AX142" s="14"/>
      <c r="AY142" s="14"/>
      <c r="AZ142" s="14"/>
      <c r="BA142" s="14"/>
      <c r="BB142" s="2158"/>
      <c r="BC142" s="2281"/>
      <c r="BD142" s="2217"/>
    </row>
    <row r="143" spans="1:56" ht="15.75">
      <c r="A143" s="2220"/>
      <c r="B143" s="2223"/>
      <c r="C143" s="2223"/>
      <c r="D143" s="2223"/>
      <c r="E143" s="2223"/>
      <c r="F143" s="2223"/>
      <c r="G143" s="2223"/>
      <c r="H143" s="2223"/>
      <c r="I143" s="2278"/>
      <c r="J143" s="2278"/>
      <c r="K143" s="2205"/>
      <c r="L143" s="108"/>
      <c r="M143" s="108"/>
      <c r="N143" s="108"/>
      <c r="O143" s="108"/>
      <c r="P143" s="109"/>
      <c r="Q143" s="108"/>
      <c r="R143" s="109"/>
      <c r="S143" s="109"/>
      <c r="T143" s="108"/>
      <c r="U143" s="317" t="s">
        <v>1769</v>
      </c>
      <c r="V143" s="221">
        <v>46082</v>
      </c>
      <c r="W143" s="222">
        <v>46091</v>
      </c>
      <c r="X143" s="222">
        <v>46091</v>
      </c>
      <c r="Y143" s="108"/>
      <c r="Z143" s="109"/>
      <c r="AA143" s="221"/>
      <c r="AB143" s="221"/>
      <c r="AC143" s="221"/>
      <c r="AD143" s="221"/>
      <c r="AE143" s="110"/>
      <c r="AF143" s="110"/>
      <c r="AG143" s="108"/>
      <c r="AH143" s="108"/>
      <c r="AI143" s="227"/>
      <c r="AJ143" s="227"/>
      <c r="AK143" s="112"/>
      <c r="AL143" s="1227"/>
      <c r="AM143" s="108"/>
      <c r="AN143" s="108"/>
      <c r="AO143" s="108"/>
      <c r="AP143" s="113"/>
      <c r="AQ143" s="113"/>
      <c r="AR143" s="113"/>
      <c r="AS143" s="114"/>
      <c r="AT143" s="111"/>
      <c r="AU143" s="111"/>
      <c r="AV143" s="111"/>
      <c r="AW143" s="111"/>
      <c r="AX143" s="108"/>
      <c r="AY143" s="108"/>
      <c r="AZ143" s="108"/>
      <c r="BA143" s="108"/>
      <c r="BB143" s="2158"/>
      <c r="BC143" s="2281"/>
      <c r="BD143" s="2217"/>
    </row>
    <row r="144" spans="1:56" ht="15.75">
      <c r="A144" s="2221"/>
      <c r="B144" s="2224"/>
      <c r="C144" s="2224"/>
      <c r="D144" s="2224"/>
      <c r="E144" s="2224"/>
      <c r="F144" s="2224"/>
      <c r="G144" s="2224"/>
      <c r="H144" s="2224"/>
      <c r="I144" s="2279"/>
      <c r="J144" s="2279"/>
      <c r="K144" s="2225"/>
      <c r="L144" s="118"/>
      <c r="M144" s="118"/>
      <c r="N144" s="118"/>
      <c r="O144" s="118"/>
      <c r="P144" s="119"/>
      <c r="Q144" s="118"/>
      <c r="R144" s="119"/>
      <c r="S144" s="119"/>
      <c r="T144" s="118"/>
      <c r="U144" s="120" t="s">
        <v>1770</v>
      </c>
      <c r="V144" s="223">
        <v>46091</v>
      </c>
      <c r="W144" s="224">
        <v>46101</v>
      </c>
      <c r="X144" s="224">
        <v>46101</v>
      </c>
      <c r="Y144" s="121"/>
      <c r="Z144" s="119"/>
      <c r="AA144" s="224"/>
      <c r="AB144" s="224"/>
      <c r="AC144" s="224"/>
      <c r="AD144" s="224"/>
      <c r="AE144" s="121"/>
      <c r="AF144" s="121"/>
      <c r="AG144" s="118"/>
      <c r="AH144" s="118"/>
      <c r="AI144" s="228"/>
      <c r="AJ144" s="228"/>
      <c r="AK144" s="204"/>
      <c r="AL144" s="1231"/>
      <c r="AM144" s="118"/>
      <c r="AN144" s="118"/>
      <c r="AO144" s="118"/>
      <c r="AP144" s="205"/>
      <c r="AQ144" s="205"/>
      <c r="AR144" s="205"/>
      <c r="AS144" s="206"/>
      <c r="AT144" s="203"/>
      <c r="AU144" s="203"/>
      <c r="AV144" s="203"/>
      <c r="AW144" s="203"/>
      <c r="AX144" s="118"/>
      <c r="AY144" s="118"/>
      <c r="AZ144" s="118"/>
      <c r="BA144" s="118"/>
      <c r="BB144" s="2159"/>
      <c r="BC144" s="2282"/>
      <c r="BD144" s="2218"/>
    </row>
    <row r="145" spans="1:56" ht="24" customHeight="1">
      <c r="A145" s="2163">
        <v>13</v>
      </c>
      <c r="B145" s="2151" t="s">
        <v>1771</v>
      </c>
      <c r="C145" s="2151" t="s">
        <v>1772</v>
      </c>
      <c r="D145" s="2151">
        <v>5000108715</v>
      </c>
      <c r="E145" s="2151">
        <v>0</v>
      </c>
      <c r="F145" s="2151" t="s">
        <v>1773</v>
      </c>
      <c r="G145" s="2151" t="s">
        <v>1167</v>
      </c>
      <c r="H145" s="2151" t="s">
        <v>1774</v>
      </c>
      <c r="I145" s="2166">
        <v>45848</v>
      </c>
      <c r="J145" s="2166">
        <v>45748</v>
      </c>
      <c r="K145" s="2170" t="s">
        <v>629</v>
      </c>
      <c r="L145" s="2"/>
      <c r="M145" s="9"/>
      <c r="N145" s="9"/>
      <c r="O145" s="9"/>
      <c r="P145" s="4"/>
      <c r="Q145" s="5"/>
      <c r="R145" s="4"/>
      <c r="S145" s="4"/>
      <c r="T145" s="2"/>
      <c r="U145" s="6" t="s">
        <v>42</v>
      </c>
      <c r="V145" s="219">
        <v>45875</v>
      </c>
      <c r="W145" s="219">
        <v>45875</v>
      </c>
      <c r="X145" s="219">
        <v>45875</v>
      </c>
      <c r="Y145" s="580" t="s">
        <v>1775</v>
      </c>
      <c r="Z145" s="581">
        <v>26</v>
      </c>
      <c r="AA145" s="219">
        <v>45952</v>
      </c>
      <c r="AB145" s="219">
        <v>46013</v>
      </c>
      <c r="AC145" s="1429">
        <v>46188</v>
      </c>
      <c r="AD145" s="219"/>
      <c r="AE145" s="5">
        <v>26</v>
      </c>
      <c r="AF145" s="7"/>
      <c r="AG145" s="2"/>
      <c r="AH145" s="8"/>
      <c r="AI145" s="332"/>
      <c r="AJ145" s="225"/>
      <c r="AK145" s="10"/>
      <c r="AL145" s="1228"/>
      <c r="AM145" s="2"/>
      <c r="AN145" s="2"/>
      <c r="AO145" s="2"/>
      <c r="AP145" s="11"/>
      <c r="AQ145" s="11"/>
      <c r="AR145" s="11"/>
      <c r="AS145" s="3"/>
      <c r="AT145" s="9"/>
      <c r="AU145" s="9"/>
      <c r="AV145" s="9"/>
      <c r="AW145" s="9"/>
      <c r="AX145" s="12"/>
      <c r="AY145" s="13"/>
      <c r="AZ145" s="13"/>
      <c r="BA145" s="13"/>
      <c r="BB145" s="2174" t="s">
        <v>1776</v>
      </c>
      <c r="BC145" s="2178"/>
      <c r="BD145" s="2182"/>
    </row>
    <row r="146" spans="1:56" ht="15.75">
      <c r="A146" s="2164"/>
      <c r="B146" s="2152"/>
      <c r="C146" s="2152"/>
      <c r="D146" s="2152"/>
      <c r="E146" s="2152"/>
      <c r="F146" s="2152"/>
      <c r="G146" s="2152"/>
      <c r="H146" s="2152"/>
      <c r="I146" s="2191"/>
      <c r="J146" s="2167"/>
      <c r="K146" s="2171"/>
      <c r="L146" s="14"/>
      <c r="M146" s="15"/>
      <c r="N146" s="15"/>
      <c r="O146" s="15"/>
      <c r="P146" s="16"/>
      <c r="Q146" s="17"/>
      <c r="R146" s="16"/>
      <c r="S146" s="16"/>
      <c r="T146" s="14"/>
      <c r="U146" s="18" t="s">
        <v>1041</v>
      </c>
      <c r="V146" s="220">
        <v>45870</v>
      </c>
      <c r="W146" s="267">
        <v>45884</v>
      </c>
      <c r="X146" s="267">
        <v>45890</v>
      </c>
      <c r="Y146" s="582" t="s">
        <v>1777</v>
      </c>
      <c r="Z146" s="583">
        <v>39</v>
      </c>
      <c r="AA146" s="267">
        <v>45952</v>
      </c>
      <c r="AB146" s="220">
        <v>46013</v>
      </c>
      <c r="AC146" s="1430">
        <v>46188</v>
      </c>
      <c r="AD146" s="220"/>
      <c r="AE146" s="17">
        <v>39</v>
      </c>
      <c r="AF146" s="19"/>
      <c r="AG146" s="20"/>
      <c r="AH146" s="351"/>
      <c r="AI146" s="331"/>
      <c r="AJ146" s="383"/>
      <c r="AK146" s="22"/>
      <c r="AL146" s="1225"/>
      <c r="AM146" s="14"/>
      <c r="AN146" s="14"/>
      <c r="AO146" s="14"/>
      <c r="AP146" s="23"/>
      <c r="AQ146" s="23"/>
      <c r="AR146" s="23"/>
      <c r="AS146" s="15"/>
      <c r="AT146" s="21"/>
      <c r="AU146" s="21"/>
      <c r="AV146" s="21"/>
      <c r="AW146" s="21"/>
      <c r="AX146" s="14"/>
      <c r="AY146" s="24"/>
      <c r="AZ146" s="24"/>
      <c r="BA146" s="24"/>
      <c r="BB146" s="2175"/>
      <c r="BC146" s="2179"/>
      <c r="BD146" s="2183"/>
    </row>
    <row r="147" spans="1:56" ht="15.75">
      <c r="A147" s="2164"/>
      <c r="B147" s="2152"/>
      <c r="C147" s="2152"/>
      <c r="D147" s="2152"/>
      <c r="E147" s="2152"/>
      <c r="F147" s="2152"/>
      <c r="G147" s="2152"/>
      <c r="H147" s="2152"/>
      <c r="I147" s="2191"/>
      <c r="J147" s="2167"/>
      <c r="K147" s="2171"/>
      <c r="L147" s="14"/>
      <c r="M147" s="14"/>
      <c r="N147" s="14"/>
      <c r="O147" s="14"/>
      <c r="P147" s="16"/>
      <c r="Q147" s="17"/>
      <c r="R147" s="16"/>
      <c r="S147" s="16"/>
      <c r="T147" s="14"/>
      <c r="U147" s="18" t="s">
        <v>1049</v>
      </c>
      <c r="V147" s="220">
        <v>45909</v>
      </c>
      <c r="W147" s="267">
        <v>45915</v>
      </c>
      <c r="X147" s="267">
        <v>45917</v>
      </c>
      <c r="Y147" s="582" t="s">
        <v>1778</v>
      </c>
      <c r="Z147" s="583">
        <v>12</v>
      </c>
      <c r="AA147" s="220">
        <v>45952</v>
      </c>
      <c r="AB147" s="220">
        <v>46013</v>
      </c>
      <c r="AC147" s="1430">
        <v>46188</v>
      </c>
      <c r="AD147" s="220"/>
      <c r="AE147" s="17">
        <v>12</v>
      </c>
      <c r="AF147" s="18"/>
      <c r="AG147" s="20"/>
      <c r="AH147" s="351"/>
      <c r="AI147" s="226"/>
      <c r="AJ147" s="383"/>
      <c r="AK147" s="22"/>
      <c r="AL147" s="1225"/>
      <c r="AM147" s="14"/>
      <c r="AN147" s="14"/>
      <c r="AO147" s="14"/>
      <c r="AP147" s="23"/>
      <c r="AQ147" s="23"/>
      <c r="AR147" s="23"/>
      <c r="AS147" s="15"/>
      <c r="AT147" s="21"/>
      <c r="AU147" s="21"/>
      <c r="AV147" s="21"/>
      <c r="AW147" s="21"/>
      <c r="AX147" s="14"/>
      <c r="AY147" s="14"/>
      <c r="AZ147" s="14"/>
      <c r="BA147" s="14"/>
      <c r="BB147" s="2175"/>
      <c r="BC147" s="2179"/>
      <c r="BD147" s="2183"/>
    </row>
    <row r="148" spans="1:56" ht="15.75">
      <c r="A148" s="2164"/>
      <c r="B148" s="2152"/>
      <c r="C148" s="2152"/>
      <c r="D148" s="2152"/>
      <c r="E148" s="2152"/>
      <c r="F148" s="2152"/>
      <c r="G148" s="2152"/>
      <c r="H148" s="2152"/>
      <c r="I148" s="2191"/>
      <c r="J148" s="2167"/>
      <c r="K148" s="2171"/>
      <c r="L148" s="14"/>
      <c r="M148" s="14"/>
      <c r="N148" s="14"/>
      <c r="O148" s="14"/>
      <c r="P148" s="16"/>
      <c r="Q148" s="14"/>
      <c r="R148" s="16"/>
      <c r="S148" s="16"/>
      <c r="T148" s="14"/>
      <c r="U148" s="18" t="s">
        <v>65</v>
      </c>
      <c r="V148" s="220">
        <v>45944</v>
      </c>
      <c r="W148" s="267">
        <v>46021</v>
      </c>
      <c r="X148" s="267">
        <v>46013</v>
      </c>
      <c r="Y148" s="547" t="s">
        <v>1779</v>
      </c>
      <c r="Z148" s="583">
        <v>12</v>
      </c>
      <c r="AA148" s="220">
        <v>45952</v>
      </c>
      <c r="AB148" s="220">
        <v>46013</v>
      </c>
      <c r="AC148" s="1430">
        <v>46188</v>
      </c>
      <c r="AD148" s="220"/>
      <c r="AE148" s="17">
        <v>12</v>
      </c>
      <c r="AF148" s="18"/>
      <c r="AG148" s="20"/>
      <c r="AH148" s="14"/>
      <c r="AI148" s="320"/>
      <c r="AJ148" s="226"/>
      <c r="AK148" s="22"/>
      <c r="AL148" s="1225"/>
      <c r="AM148" s="14"/>
      <c r="AN148" s="14"/>
      <c r="AO148" s="14"/>
      <c r="AP148" s="23"/>
      <c r="AQ148" s="23"/>
      <c r="AR148" s="23"/>
      <c r="AS148" s="15"/>
      <c r="AT148" s="21"/>
      <c r="AU148" s="21"/>
      <c r="AV148" s="21"/>
      <c r="AW148" s="21"/>
      <c r="AX148" s="14"/>
      <c r="AY148" s="14"/>
      <c r="AZ148" s="14"/>
      <c r="BA148" s="14"/>
      <c r="BB148" s="2175"/>
      <c r="BC148" s="2179"/>
      <c r="BD148" s="2183"/>
    </row>
    <row r="149" spans="1:56" ht="15.75">
      <c r="A149" s="2164"/>
      <c r="B149" s="2152"/>
      <c r="C149" s="2152"/>
      <c r="D149" s="2152"/>
      <c r="E149" s="2152"/>
      <c r="F149" s="2152"/>
      <c r="G149" s="2152"/>
      <c r="H149" s="2152"/>
      <c r="I149" s="2191"/>
      <c r="J149" s="2167"/>
      <c r="K149" s="2171"/>
      <c r="L149" s="14"/>
      <c r="M149" s="14"/>
      <c r="N149" s="14"/>
      <c r="O149" s="14"/>
      <c r="P149" s="16"/>
      <c r="Q149" s="14"/>
      <c r="R149" s="16"/>
      <c r="S149" s="16"/>
      <c r="T149" s="14"/>
      <c r="U149" s="25" t="s">
        <v>1361</v>
      </c>
      <c r="V149" s="220">
        <v>46054</v>
      </c>
      <c r="W149" s="1430">
        <v>46188</v>
      </c>
      <c r="X149" s="220"/>
      <c r="Y149" s="582" t="s">
        <v>1780</v>
      </c>
      <c r="Z149" s="583">
        <v>2</v>
      </c>
      <c r="AA149" s="220">
        <v>45952</v>
      </c>
      <c r="AB149" s="220">
        <v>46013</v>
      </c>
      <c r="AC149" s="1430">
        <v>46188</v>
      </c>
      <c r="AD149" s="220"/>
      <c r="AE149" s="17">
        <v>2</v>
      </c>
      <c r="AF149" s="18"/>
      <c r="AG149" s="14"/>
      <c r="AH149" s="14"/>
      <c r="AI149" s="226"/>
      <c r="AJ149" s="226"/>
      <c r="AK149" s="22"/>
      <c r="AL149" s="1225"/>
      <c r="AM149" s="14"/>
      <c r="AN149" s="14"/>
      <c r="AO149" s="14"/>
      <c r="AP149" s="23"/>
      <c r="AQ149" s="23"/>
      <c r="AR149" s="23"/>
      <c r="AS149" s="15"/>
      <c r="AT149" s="21"/>
      <c r="AU149" s="21"/>
      <c r="AV149" s="21"/>
      <c r="AW149" s="21"/>
      <c r="AX149" s="14"/>
      <c r="AY149" s="14"/>
      <c r="AZ149" s="14"/>
      <c r="BA149" s="14"/>
      <c r="BB149" s="2175"/>
      <c r="BC149" s="2179"/>
      <c r="BD149" s="2183"/>
    </row>
    <row r="150" spans="1:56" ht="15.75">
      <c r="A150" s="2164"/>
      <c r="B150" s="2152"/>
      <c r="C150" s="2152"/>
      <c r="D150" s="2152"/>
      <c r="E150" s="2152"/>
      <c r="F150" s="2152"/>
      <c r="G150" s="2152"/>
      <c r="H150" s="2152"/>
      <c r="I150" s="2191"/>
      <c r="J150" s="2167"/>
      <c r="K150" s="2171"/>
      <c r="L150" s="14"/>
      <c r="M150" s="14"/>
      <c r="N150" s="14"/>
      <c r="O150" s="14"/>
      <c r="P150" s="16"/>
      <c r="Q150" s="14"/>
      <c r="R150" s="16"/>
      <c r="S150" s="16"/>
      <c r="T150" s="14"/>
      <c r="U150" s="25" t="s">
        <v>472</v>
      </c>
      <c r="V150" s="220">
        <v>45724</v>
      </c>
      <c r="W150" s="1430">
        <v>46193</v>
      </c>
      <c r="X150" s="220"/>
      <c r="Y150" s="14" t="s">
        <v>1777</v>
      </c>
      <c r="Z150" s="583">
        <v>8</v>
      </c>
      <c r="AA150" s="220">
        <v>45952</v>
      </c>
      <c r="AB150" s="220">
        <v>46013</v>
      </c>
      <c r="AC150" s="1430">
        <v>46188</v>
      </c>
      <c r="AD150" s="220"/>
      <c r="AE150" s="17">
        <v>8</v>
      </c>
      <c r="AF150" s="18"/>
      <c r="AG150" s="14"/>
      <c r="AH150" s="14"/>
      <c r="AI150" s="226"/>
      <c r="AJ150" s="226"/>
      <c r="AK150" s="22"/>
      <c r="AL150" s="1225"/>
      <c r="AM150" s="14"/>
      <c r="AN150" s="14"/>
      <c r="AO150" s="14"/>
      <c r="AP150" s="23"/>
      <c r="AQ150" s="23"/>
      <c r="AR150" s="23"/>
      <c r="AS150" s="15"/>
      <c r="AT150" s="21"/>
      <c r="AU150" s="21"/>
      <c r="AV150" s="21"/>
      <c r="AW150" s="21"/>
      <c r="AX150" s="14"/>
      <c r="AY150" s="14"/>
      <c r="AZ150" s="14"/>
      <c r="BA150" s="14"/>
      <c r="BB150" s="2175"/>
      <c r="BC150" s="2179"/>
      <c r="BD150" s="2183"/>
    </row>
    <row r="151" spans="1:56" ht="15.75">
      <c r="A151" s="2203"/>
      <c r="B151" s="2190"/>
      <c r="C151" s="2190"/>
      <c r="D151" s="2190"/>
      <c r="E151" s="2190"/>
      <c r="F151" s="2190"/>
      <c r="G151" s="2190"/>
      <c r="H151" s="2190"/>
      <c r="I151" s="2192"/>
      <c r="J151" s="2168"/>
      <c r="K151" s="2172"/>
      <c r="L151" s="108"/>
      <c r="M151" s="108"/>
      <c r="N151" s="108"/>
      <c r="O151" s="108"/>
      <c r="P151" s="109"/>
      <c r="Q151" s="108"/>
      <c r="R151" s="109"/>
      <c r="S151" s="109"/>
      <c r="T151" s="108"/>
      <c r="U151" s="317" t="s">
        <v>478</v>
      </c>
      <c r="V151" s="221">
        <v>46113</v>
      </c>
      <c r="W151" s="1436">
        <v>46203</v>
      </c>
      <c r="X151" s="221"/>
      <c r="Y151" s="108" t="s">
        <v>1781</v>
      </c>
      <c r="Z151" s="584">
        <v>8</v>
      </c>
      <c r="AA151" s="221">
        <v>45952</v>
      </c>
      <c r="AB151" s="221">
        <v>46001</v>
      </c>
      <c r="AC151" s="221">
        <v>46157</v>
      </c>
      <c r="AD151" s="221">
        <v>46113</v>
      </c>
      <c r="AE151" s="585">
        <v>8</v>
      </c>
      <c r="AF151" s="110"/>
      <c r="AG151" s="108"/>
      <c r="AH151" s="108"/>
      <c r="AI151" s="227"/>
      <c r="AJ151" s="227"/>
      <c r="AK151" s="112"/>
      <c r="AL151" s="1227"/>
      <c r="AM151" s="108"/>
      <c r="AN151" s="108"/>
      <c r="AO151" s="108"/>
      <c r="AP151" s="113"/>
      <c r="AQ151" s="113"/>
      <c r="AR151" s="113"/>
      <c r="AS151" s="114"/>
      <c r="AT151" s="111"/>
      <c r="AU151" s="111"/>
      <c r="AV151" s="111"/>
      <c r="AW151" s="111"/>
      <c r="AX151" s="108"/>
      <c r="AY151" s="108"/>
      <c r="AZ151" s="108"/>
      <c r="BA151" s="108"/>
      <c r="BB151" s="2176"/>
      <c r="BC151" s="2180"/>
      <c r="BD151" s="2184"/>
    </row>
    <row r="152" spans="1:56" ht="15.75">
      <c r="A152" s="2203"/>
      <c r="B152" s="2190"/>
      <c r="C152" s="2190"/>
      <c r="D152" s="2190"/>
      <c r="E152" s="2190"/>
      <c r="F152" s="2190"/>
      <c r="G152" s="2190"/>
      <c r="H152" s="2190"/>
      <c r="I152" s="2192"/>
      <c r="J152" s="2168"/>
      <c r="K152" s="2172"/>
      <c r="L152" s="108"/>
      <c r="M152" s="108"/>
      <c r="N152" s="108"/>
      <c r="O152" s="108"/>
      <c r="P152" s="109"/>
      <c r="Q152" s="108"/>
      <c r="R152" s="109"/>
      <c r="S152" s="109"/>
      <c r="T152" s="108"/>
      <c r="U152" s="317" t="s">
        <v>656</v>
      </c>
      <c r="V152" s="221"/>
      <c r="W152" s="221"/>
      <c r="X152" s="221"/>
      <c r="Y152" s="108" t="s">
        <v>1782</v>
      </c>
      <c r="Z152" s="584">
        <v>15</v>
      </c>
      <c r="AA152" s="221">
        <v>45952</v>
      </c>
      <c r="AB152" s="221">
        <v>46001</v>
      </c>
      <c r="AC152" s="221">
        <v>46157</v>
      </c>
      <c r="AD152" s="221">
        <v>46113</v>
      </c>
      <c r="AE152" s="585">
        <v>15</v>
      </c>
      <c r="AF152" s="110"/>
      <c r="AG152" s="108"/>
      <c r="AH152" s="108"/>
      <c r="AI152" s="227"/>
      <c r="AJ152" s="227"/>
      <c r="AK152" s="112"/>
      <c r="AL152" s="1227"/>
      <c r="AM152" s="108"/>
      <c r="AN152" s="108"/>
      <c r="AO152" s="108"/>
      <c r="AP152" s="113"/>
      <c r="AQ152" s="113"/>
      <c r="AR152" s="113"/>
      <c r="AS152" s="114"/>
      <c r="AT152" s="111"/>
      <c r="AU152" s="111"/>
      <c r="AV152" s="111"/>
      <c r="AW152" s="111"/>
      <c r="AX152" s="108"/>
      <c r="AY152" s="108"/>
      <c r="AZ152" s="108"/>
      <c r="BA152" s="108"/>
      <c r="BB152" s="2176"/>
      <c r="BC152" s="2180"/>
      <c r="BD152" s="2184"/>
    </row>
    <row r="153" spans="1:56" ht="15.75">
      <c r="A153" s="2165"/>
      <c r="B153" s="2153"/>
      <c r="C153" s="2153"/>
      <c r="D153" s="2153"/>
      <c r="E153" s="2153"/>
      <c r="F153" s="2153"/>
      <c r="G153" s="2153"/>
      <c r="H153" s="2153"/>
      <c r="I153" s="2193"/>
      <c r="J153" s="2169"/>
      <c r="K153" s="2173"/>
      <c r="L153" s="118"/>
      <c r="M153" s="118"/>
      <c r="N153" s="118"/>
      <c r="O153" s="118"/>
      <c r="P153" s="119"/>
      <c r="Q153" s="118"/>
      <c r="R153" s="119"/>
      <c r="S153" s="119"/>
      <c r="T153" s="118"/>
      <c r="U153" s="120" t="s">
        <v>656</v>
      </c>
      <c r="V153" s="223"/>
      <c r="W153" s="223"/>
      <c r="X153" s="224"/>
      <c r="Y153" s="121" t="s">
        <v>1783</v>
      </c>
      <c r="Z153" s="586">
        <v>13</v>
      </c>
      <c r="AA153" s="224">
        <v>45952</v>
      </c>
      <c r="AB153" s="224">
        <v>46001</v>
      </c>
      <c r="AC153" s="224">
        <v>46157</v>
      </c>
      <c r="AD153" s="224">
        <v>46113</v>
      </c>
      <c r="AE153" s="587">
        <v>13</v>
      </c>
      <c r="AF153" s="121"/>
      <c r="AG153" s="118"/>
      <c r="AH153" s="118"/>
      <c r="AI153" s="228"/>
      <c r="AJ153" s="228"/>
      <c r="AK153" s="204"/>
      <c r="AL153" s="1231"/>
      <c r="AM153" s="118"/>
      <c r="AN153" s="108"/>
      <c r="AO153" s="108"/>
      <c r="AP153" s="113"/>
      <c r="AQ153" s="113"/>
      <c r="AR153" s="113"/>
      <c r="AS153" s="114"/>
      <c r="AT153" s="111"/>
      <c r="AU153" s="111"/>
      <c r="AV153" s="111"/>
      <c r="AW153" s="111"/>
      <c r="AX153" s="118"/>
      <c r="AY153" s="118"/>
      <c r="AZ153" s="118"/>
      <c r="BA153" s="118"/>
      <c r="BB153" s="2177"/>
      <c r="BC153" s="2181"/>
      <c r="BD153" s="2185"/>
    </row>
    <row r="154" spans="1:56" ht="24">
      <c r="A154" s="2219">
        <v>14</v>
      </c>
      <c r="B154" s="2222" t="s">
        <v>1784</v>
      </c>
      <c r="C154" s="2222" t="s">
        <v>1785</v>
      </c>
      <c r="D154" s="2222">
        <v>5000109996</v>
      </c>
      <c r="E154" s="2222">
        <v>1</v>
      </c>
      <c r="F154" s="2222" t="s">
        <v>1786</v>
      </c>
      <c r="G154" s="2222" t="s">
        <v>1392</v>
      </c>
      <c r="H154" s="2222" t="s">
        <v>1392</v>
      </c>
      <c r="I154" s="2277">
        <v>45869</v>
      </c>
      <c r="J154" s="2277">
        <v>46037</v>
      </c>
      <c r="K154" s="2211" t="s">
        <v>105</v>
      </c>
      <c r="L154" s="2" t="s">
        <v>1393</v>
      </c>
      <c r="M154" s="9" t="s">
        <v>1787</v>
      </c>
      <c r="N154" s="9" t="s">
        <v>1788</v>
      </c>
      <c r="O154" s="9" t="s">
        <v>1789</v>
      </c>
      <c r="P154" s="4">
        <v>8165</v>
      </c>
      <c r="Q154" s="5" t="s">
        <v>1072</v>
      </c>
      <c r="R154" s="4">
        <v>3426</v>
      </c>
      <c r="S154" s="4">
        <v>4739</v>
      </c>
      <c r="T154" s="2">
        <v>0.419595836</v>
      </c>
      <c r="U154" s="6" t="s">
        <v>42</v>
      </c>
      <c r="V154" s="219">
        <v>45945</v>
      </c>
      <c r="W154" s="219">
        <v>45950</v>
      </c>
      <c r="X154" s="219">
        <v>45946</v>
      </c>
      <c r="Y154" s="6"/>
      <c r="Z154" s="4"/>
      <c r="AA154" s="219"/>
      <c r="AB154" s="219"/>
      <c r="AC154" s="219"/>
      <c r="AD154" s="219"/>
      <c r="AE154" s="6"/>
      <c r="AF154" s="7"/>
      <c r="AG154" s="2" t="s">
        <v>1790</v>
      </c>
      <c r="AH154" s="8" t="s">
        <v>1489</v>
      </c>
      <c r="AI154" s="332">
        <v>46031</v>
      </c>
      <c r="AJ154" s="225">
        <v>46034</v>
      </c>
      <c r="AK154" s="10" t="s">
        <v>1791</v>
      </c>
      <c r="AL154" s="1228">
        <v>3585</v>
      </c>
      <c r="AM154" s="930" t="s">
        <v>1072</v>
      </c>
      <c r="AN154" s="2179">
        <v>1</v>
      </c>
      <c r="AO154" s="876" t="s">
        <v>1792</v>
      </c>
      <c r="AP154" s="887">
        <v>3011</v>
      </c>
      <c r="AQ154" s="887" t="s">
        <v>1355</v>
      </c>
      <c r="AR154" s="887">
        <v>3011</v>
      </c>
      <c r="AS154" s="877" t="s">
        <v>1072</v>
      </c>
      <c r="AT154" s="2285">
        <v>46058</v>
      </c>
      <c r="AU154" s="2285">
        <v>46061</v>
      </c>
      <c r="AV154" s="2285">
        <v>46152</v>
      </c>
      <c r="AW154" s="2285">
        <v>46154</v>
      </c>
      <c r="AX154" s="1326"/>
      <c r="AY154" s="13"/>
      <c r="AZ154" s="13"/>
      <c r="BA154" s="13"/>
      <c r="BB154" s="2157"/>
      <c r="BC154" s="2280"/>
      <c r="BD154" s="2216"/>
    </row>
    <row r="155" spans="1:56" ht="15.75">
      <c r="A155" s="2220"/>
      <c r="B155" s="2223"/>
      <c r="C155" s="2223"/>
      <c r="D155" s="2223"/>
      <c r="E155" s="2223"/>
      <c r="F155" s="2223"/>
      <c r="G155" s="2223"/>
      <c r="H155" s="2223"/>
      <c r="I155" s="2278"/>
      <c r="J155" s="2278"/>
      <c r="K155" s="2205"/>
      <c r="L155" s="14"/>
      <c r="M155" s="15"/>
      <c r="N155" s="15"/>
      <c r="O155" s="15"/>
      <c r="P155" s="16"/>
      <c r="Q155" s="17"/>
      <c r="R155" s="16"/>
      <c r="S155" s="16"/>
      <c r="T155" s="14"/>
      <c r="U155" s="18" t="s">
        <v>1041</v>
      </c>
      <c r="V155" s="220">
        <v>45960</v>
      </c>
      <c r="W155" s="220">
        <v>45960</v>
      </c>
      <c r="X155" s="220">
        <v>45947</v>
      </c>
      <c r="Y155" s="18"/>
      <c r="Z155" s="16"/>
      <c r="AA155" s="267"/>
      <c r="AB155" s="220"/>
      <c r="AC155" s="220"/>
      <c r="AD155" s="220"/>
      <c r="AE155" s="18"/>
      <c r="AF155" s="19"/>
      <c r="AG155" s="323" t="s">
        <v>1793</v>
      </c>
      <c r="AH155" s="1026" t="s">
        <v>1489</v>
      </c>
      <c r="AI155" s="1027">
        <v>46113</v>
      </c>
      <c r="AJ155" s="383">
        <v>46119</v>
      </c>
      <c r="AK155" s="22" t="s">
        <v>1794</v>
      </c>
      <c r="AL155" s="1225">
        <v>1626</v>
      </c>
      <c r="AM155" s="556" t="s">
        <v>1072</v>
      </c>
      <c r="AN155" s="2179"/>
      <c r="AO155" s="876" t="s">
        <v>1795</v>
      </c>
      <c r="AP155" s="887" t="s">
        <v>1355</v>
      </c>
      <c r="AQ155" s="887">
        <v>574</v>
      </c>
      <c r="AR155" s="887">
        <v>574</v>
      </c>
      <c r="AS155" s="877" t="s">
        <v>1072</v>
      </c>
      <c r="AT155" s="2285"/>
      <c r="AU155" s="2285"/>
      <c r="AV155" s="2285"/>
      <c r="AW155" s="2285"/>
      <c r="AX155" s="1327"/>
      <c r="AY155" s="24"/>
      <c r="AZ155" s="24"/>
      <c r="BA155" s="24"/>
      <c r="BB155" s="2158"/>
      <c r="BC155" s="2281"/>
      <c r="BD155" s="2217"/>
    </row>
    <row r="156" spans="1:56" ht="15.75">
      <c r="A156" s="2220"/>
      <c r="B156" s="2223"/>
      <c r="C156" s="2223"/>
      <c r="D156" s="2223"/>
      <c r="E156" s="2223"/>
      <c r="F156" s="2223"/>
      <c r="G156" s="2223"/>
      <c r="H156" s="2223"/>
      <c r="I156" s="2278"/>
      <c r="J156" s="2278"/>
      <c r="K156" s="2205"/>
      <c r="L156" s="14"/>
      <c r="M156" s="14"/>
      <c r="N156" s="14"/>
      <c r="O156" s="14"/>
      <c r="P156" s="16"/>
      <c r="Q156" s="17"/>
      <c r="R156" s="16"/>
      <c r="S156" s="16"/>
      <c r="T156" s="14"/>
      <c r="U156" s="18" t="s">
        <v>1049</v>
      </c>
      <c r="V156" s="220">
        <v>45960</v>
      </c>
      <c r="W156" s="220">
        <v>45968</v>
      </c>
      <c r="X156" s="220">
        <v>45959</v>
      </c>
      <c r="Y156" s="18"/>
      <c r="Z156" s="16"/>
      <c r="AA156" s="220"/>
      <c r="AB156" s="220"/>
      <c r="AC156" s="220"/>
      <c r="AD156" s="220"/>
      <c r="AE156" s="18"/>
      <c r="AF156" s="912"/>
      <c r="AG156" s="20" t="s">
        <v>1796</v>
      </c>
      <c r="AH156" s="14" t="s">
        <v>1489</v>
      </c>
      <c r="AI156" s="226">
        <v>46147</v>
      </c>
      <c r="AJ156" s="1453">
        <v>46161</v>
      </c>
      <c r="AK156" s="22"/>
      <c r="AL156" s="1225"/>
      <c r="AM156" s="351"/>
      <c r="AN156" s="2286">
        <v>2</v>
      </c>
      <c r="AO156" s="14" t="s">
        <v>1797</v>
      </c>
      <c r="AP156" s="23">
        <v>1173</v>
      </c>
      <c r="AQ156" s="23" t="s">
        <v>1355</v>
      </c>
      <c r="AR156" s="23">
        <v>1173</v>
      </c>
      <c r="AS156" s="15" t="s">
        <v>1072</v>
      </c>
      <c r="AT156" s="226">
        <v>46153</v>
      </c>
      <c r="AU156" s="226">
        <v>46154</v>
      </c>
      <c r="AV156" s="226">
        <v>46217</v>
      </c>
      <c r="AW156" s="21"/>
      <c r="AX156" s="325"/>
      <c r="AY156" s="14"/>
      <c r="AZ156" s="14"/>
      <c r="BA156" s="14"/>
      <c r="BB156" s="2158"/>
      <c r="BC156" s="2281"/>
      <c r="BD156" s="2217"/>
    </row>
    <row r="157" spans="1:56" ht="15.75">
      <c r="A157" s="2220"/>
      <c r="B157" s="2223"/>
      <c r="C157" s="2223"/>
      <c r="D157" s="2223"/>
      <c r="E157" s="2223"/>
      <c r="F157" s="2223"/>
      <c r="G157" s="2223"/>
      <c r="H157" s="2223"/>
      <c r="I157" s="2278"/>
      <c r="J157" s="2278"/>
      <c r="K157" s="2205"/>
      <c r="L157" s="14"/>
      <c r="M157" s="14"/>
      <c r="N157" s="14"/>
      <c r="O157" s="14"/>
      <c r="P157" s="16"/>
      <c r="Q157" s="14"/>
      <c r="R157" s="16"/>
      <c r="S157" s="16"/>
      <c r="T157" s="14"/>
      <c r="U157" s="18" t="s">
        <v>65</v>
      </c>
      <c r="V157" s="220">
        <v>45991</v>
      </c>
      <c r="W157" s="220">
        <v>45976</v>
      </c>
      <c r="X157" s="267">
        <v>45946</v>
      </c>
      <c r="Y157" s="18"/>
      <c r="Z157" s="16"/>
      <c r="AA157" s="220"/>
      <c r="AB157" s="220"/>
      <c r="AC157" s="220"/>
      <c r="AD157" s="220"/>
      <c r="AE157" s="18"/>
      <c r="AF157" s="912"/>
      <c r="AG157" s="20" t="s">
        <v>1798</v>
      </c>
      <c r="AH157" s="14" t="s">
        <v>1489</v>
      </c>
      <c r="AI157" s="226">
        <v>46239</v>
      </c>
      <c r="AJ157" s="383"/>
      <c r="AK157" s="22"/>
      <c r="AL157" s="1225"/>
      <c r="AM157" s="351"/>
      <c r="AN157" s="2286"/>
      <c r="AO157" s="14" t="s">
        <v>1799</v>
      </c>
      <c r="AP157" s="23" t="s">
        <v>1355</v>
      </c>
      <c r="AQ157" s="23">
        <v>453</v>
      </c>
      <c r="AR157" s="23">
        <v>453</v>
      </c>
      <c r="AS157" s="15" t="s">
        <v>1072</v>
      </c>
      <c r="AT157" s="226">
        <v>46153</v>
      </c>
      <c r="AU157" s="226">
        <v>46154</v>
      </c>
      <c r="AV157" s="226">
        <v>46217</v>
      </c>
      <c r="AW157" s="21"/>
      <c r="AX157" s="325"/>
      <c r="AY157" s="14"/>
      <c r="AZ157" s="14"/>
      <c r="BA157" s="14"/>
      <c r="BB157" s="2158"/>
      <c r="BC157" s="2281"/>
      <c r="BD157" s="2217"/>
    </row>
    <row r="158" spans="1:56" ht="15.75">
      <c r="A158" s="2220"/>
      <c r="B158" s="2223"/>
      <c r="C158" s="2223"/>
      <c r="D158" s="2223"/>
      <c r="E158" s="2223"/>
      <c r="F158" s="2223"/>
      <c r="G158" s="2223"/>
      <c r="H158" s="2223"/>
      <c r="I158" s="2278"/>
      <c r="J158" s="2278"/>
      <c r="K158" s="2205"/>
      <c r="L158" s="14"/>
      <c r="M158" s="14"/>
      <c r="N158" s="14"/>
      <c r="O158" s="14"/>
      <c r="P158" s="16"/>
      <c r="Q158" s="14"/>
      <c r="R158" s="16"/>
      <c r="S158" s="16"/>
      <c r="T158" s="14"/>
      <c r="U158" s="18" t="s">
        <v>75</v>
      </c>
      <c r="V158" s="220">
        <v>46021</v>
      </c>
      <c r="W158" s="220">
        <v>46001</v>
      </c>
      <c r="X158" s="267">
        <v>45947</v>
      </c>
      <c r="Y158" s="18"/>
      <c r="Z158" s="16"/>
      <c r="AA158" s="220"/>
      <c r="AB158" s="220"/>
      <c r="AC158" s="220"/>
      <c r="AD158" s="220"/>
      <c r="AE158" s="18"/>
      <c r="AF158" s="18"/>
      <c r="AG158" s="330"/>
      <c r="AH158" s="319"/>
      <c r="AI158" s="553"/>
      <c r="AJ158" s="227"/>
      <c r="AK158" s="112"/>
      <c r="AL158" s="1227"/>
      <c r="AM158" s="108"/>
      <c r="AN158" s="549"/>
      <c r="AO158" s="549"/>
      <c r="AP158" s="1328"/>
      <c r="AQ158" s="1328"/>
      <c r="AR158" s="1328"/>
      <c r="AS158" s="1299"/>
      <c r="AT158" s="1329"/>
      <c r="AU158" s="386"/>
      <c r="AV158" s="386"/>
      <c r="AW158" s="386"/>
      <c r="AX158" s="14"/>
      <c r="AY158" s="14"/>
      <c r="AZ158" s="14"/>
      <c r="BA158" s="14"/>
      <c r="BB158" s="2158"/>
      <c r="BC158" s="2281"/>
      <c r="BD158" s="2217"/>
    </row>
    <row r="159" spans="1:56" ht="15.75">
      <c r="A159" s="2220"/>
      <c r="B159" s="2223"/>
      <c r="C159" s="2223"/>
      <c r="D159" s="2223"/>
      <c r="E159" s="2223"/>
      <c r="F159" s="2223"/>
      <c r="G159" s="2223"/>
      <c r="H159" s="2223"/>
      <c r="I159" s="2278"/>
      <c r="J159" s="2278"/>
      <c r="K159" s="2205"/>
      <c r="L159" s="14"/>
      <c r="M159" s="14"/>
      <c r="N159" s="14"/>
      <c r="O159" s="14"/>
      <c r="P159" s="16"/>
      <c r="Q159" s="14"/>
      <c r="R159" s="16"/>
      <c r="S159" s="16"/>
      <c r="T159" s="14"/>
      <c r="U159" s="18" t="s">
        <v>96</v>
      </c>
      <c r="V159" s="220">
        <v>46037</v>
      </c>
      <c r="W159" s="220">
        <v>46001</v>
      </c>
      <c r="X159" s="267">
        <v>45950</v>
      </c>
      <c r="Y159" s="18"/>
      <c r="Z159" s="16"/>
      <c r="AA159" s="220"/>
      <c r="AB159" s="220"/>
      <c r="AC159" s="220"/>
      <c r="AD159" s="220"/>
      <c r="AE159" s="18"/>
      <c r="AF159" s="18"/>
      <c r="AG159" s="20"/>
      <c r="AH159" s="351"/>
      <c r="AI159" s="226"/>
      <c r="AJ159" s="226"/>
      <c r="AK159" s="22"/>
      <c r="AL159" s="1225"/>
      <c r="AM159" s="14"/>
      <c r="AN159" s="14"/>
      <c r="AO159" s="14"/>
      <c r="AP159" s="23"/>
      <c r="AQ159" s="23"/>
      <c r="AR159" s="23"/>
      <c r="AS159" s="15"/>
      <c r="AT159" s="21"/>
      <c r="AU159" s="615"/>
      <c r="AV159" s="21"/>
      <c r="AW159" s="21"/>
      <c r="AX159" s="14"/>
      <c r="AY159" s="14"/>
      <c r="AZ159" s="14"/>
      <c r="BA159" s="14"/>
      <c r="BB159" s="2158"/>
      <c r="BC159" s="2281"/>
      <c r="BD159" s="2217"/>
    </row>
    <row r="160" spans="1:56" ht="15.75">
      <c r="A160" s="2220"/>
      <c r="B160" s="2223"/>
      <c r="C160" s="2223"/>
      <c r="D160" s="2223"/>
      <c r="E160" s="2223"/>
      <c r="F160" s="2223"/>
      <c r="G160" s="2223"/>
      <c r="H160" s="2223"/>
      <c r="I160" s="2278"/>
      <c r="J160" s="2278"/>
      <c r="K160" s="2205"/>
      <c r="L160" s="14"/>
      <c r="M160" s="14"/>
      <c r="N160" s="14"/>
      <c r="O160" s="14"/>
      <c r="P160" s="16"/>
      <c r="Q160" s="14"/>
      <c r="R160" s="16"/>
      <c r="S160" s="16"/>
      <c r="T160" s="14"/>
      <c r="U160" s="25" t="s">
        <v>1361</v>
      </c>
      <c r="V160" s="220">
        <v>46068</v>
      </c>
      <c r="W160" s="220">
        <v>46029</v>
      </c>
      <c r="X160" s="267">
        <v>46029</v>
      </c>
      <c r="Y160" s="18"/>
      <c r="Z160" s="16"/>
      <c r="AA160" s="220"/>
      <c r="AB160" s="220"/>
      <c r="AC160" s="220"/>
      <c r="AD160" s="220"/>
      <c r="AE160" s="18"/>
      <c r="AF160" s="18"/>
      <c r="AG160" s="14"/>
      <c r="AH160" s="351"/>
      <c r="AI160" s="318"/>
      <c r="AJ160" s="318"/>
      <c r="AK160" s="318"/>
      <c r="AL160" s="1207"/>
      <c r="AM160" s="318"/>
      <c r="AN160" s="318"/>
      <c r="AO160" s="318"/>
      <c r="AP160" s="1207"/>
      <c r="AQ160" s="1207"/>
      <c r="AR160" s="1207"/>
      <c r="AS160" s="318"/>
      <c r="AT160" s="318"/>
      <c r="AV160" s="21"/>
      <c r="AW160" s="21"/>
      <c r="AX160" s="14"/>
      <c r="AY160" s="14"/>
      <c r="AZ160" s="14"/>
      <c r="BA160" s="14"/>
      <c r="BB160" s="2158"/>
      <c r="BC160" s="2281"/>
      <c r="BD160" s="2217"/>
    </row>
    <row r="161" spans="1:56" ht="15.75">
      <c r="A161" s="2220"/>
      <c r="B161" s="2223"/>
      <c r="C161" s="2223"/>
      <c r="D161" s="2223"/>
      <c r="E161" s="2223"/>
      <c r="F161" s="2223"/>
      <c r="G161" s="2223"/>
      <c r="H161" s="2223"/>
      <c r="I161" s="2278"/>
      <c r="J161" s="2278"/>
      <c r="K161" s="2205"/>
      <c r="L161" s="14"/>
      <c r="M161" s="14"/>
      <c r="N161" s="14"/>
      <c r="O161" s="14"/>
      <c r="P161" s="16"/>
      <c r="Q161" s="14"/>
      <c r="R161" s="16"/>
      <c r="S161" s="16"/>
      <c r="T161" s="14"/>
      <c r="U161" s="25" t="s">
        <v>472</v>
      </c>
      <c r="V161" s="220">
        <v>46082</v>
      </c>
      <c r="W161" s="220">
        <v>46031</v>
      </c>
      <c r="X161" s="220">
        <v>46031</v>
      </c>
      <c r="Y161" s="14"/>
      <c r="Z161" s="16"/>
      <c r="AA161" s="220"/>
      <c r="AB161" s="220"/>
      <c r="AC161" s="220"/>
      <c r="AD161" s="220"/>
      <c r="AE161" s="18"/>
      <c r="AF161" s="18"/>
      <c r="AG161" s="14"/>
      <c r="AH161" s="14"/>
      <c r="AI161" s="320"/>
      <c r="AJ161" s="320"/>
      <c r="AK161" s="321"/>
      <c r="AL161" s="1226"/>
      <c r="AM161" s="319"/>
      <c r="AN161" s="319"/>
      <c r="AO161" s="319"/>
      <c r="AP161" s="493"/>
      <c r="AQ161" s="493"/>
      <c r="AR161" s="493"/>
      <c r="AS161" s="381"/>
      <c r="AT161" s="386"/>
      <c r="AU161" s="21"/>
      <c r="AV161" s="21"/>
      <c r="AW161" s="21"/>
      <c r="AX161" s="14"/>
      <c r="AY161" s="14"/>
      <c r="AZ161" s="14"/>
      <c r="BA161" s="14"/>
      <c r="BB161" s="2158"/>
      <c r="BC161" s="2281"/>
      <c r="BD161" s="2217"/>
    </row>
    <row r="162" spans="1:56" ht="15.75">
      <c r="A162" s="2220"/>
      <c r="B162" s="2223"/>
      <c r="C162" s="2223"/>
      <c r="D162" s="2223"/>
      <c r="E162" s="2223"/>
      <c r="F162" s="2223"/>
      <c r="G162" s="2223"/>
      <c r="H162" s="2223"/>
      <c r="I162" s="2278"/>
      <c r="J162" s="2278"/>
      <c r="K162" s="2205"/>
      <c r="L162" s="108"/>
      <c r="M162" s="108"/>
      <c r="N162" s="108"/>
      <c r="O162" s="108"/>
      <c r="P162" s="109"/>
      <c r="Q162" s="108"/>
      <c r="R162" s="109"/>
      <c r="S162" s="109"/>
      <c r="T162" s="108"/>
      <c r="U162" s="317" t="s">
        <v>1800</v>
      </c>
      <c r="V162" s="221">
        <v>46037</v>
      </c>
      <c r="W162" s="221">
        <v>46060</v>
      </c>
      <c r="X162" s="221">
        <v>46061</v>
      </c>
      <c r="Y162" s="108"/>
      <c r="Z162" s="109"/>
      <c r="AA162" s="221"/>
      <c r="AB162" s="221"/>
      <c r="AC162" s="221"/>
      <c r="AD162" s="221"/>
      <c r="AE162" s="110"/>
      <c r="AF162" s="110"/>
      <c r="AG162" s="108"/>
      <c r="AH162" s="108"/>
      <c r="AI162" s="227"/>
      <c r="AJ162" s="227"/>
      <c r="AK162" s="112"/>
      <c r="AL162" s="1227"/>
      <c r="AM162" s="108"/>
      <c r="AN162" s="108"/>
      <c r="AO162" s="108"/>
      <c r="AP162" s="113"/>
      <c r="AQ162" s="113"/>
      <c r="AR162" s="113"/>
      <c r="AS162" s="114"/>
      <c r="AT162" s="111"/>
      <c r="AU162" s="111"/>
      <c r="AV162" s="111"/>
      <c r="AW162" s="111"/>
      <c r="AX162" s="108"/>
      <c r="AY162" s="108"/>
      <c r="AZ162" s="108"/>
      <c r="BA162" s="108"/>
      <c r="BB162" s="2158"/>
      <c r="BC162" s="2281"/>
      <c r="BD162" s="2217"/>
    </row>
    <row r="163" spans="1:56" ht="15.75">
      <c r="A163" s="2220"/>
      <c r="B163" s="2223"/>
      <c r="C163" s="2223"/>
      <c r="D163" s="2223"/>
      <c r="E163" s="2223"/>
      <c r="F163" s="2223"/>
      <c r="G163" s="2223"/>
      <c r="H163" s="2223"/>
      <c r="I163" s="2278"/>
      <c r="J163" s="2278"/>
      <c r="K163" s="2205"/>
      <c r="L163" s="108"/>
      <c r="M163" s="108"/>
      <c r="N163" s="108"/>
      <c r="O163" s="108"/>
      <c r="P163" s="109"/>
      <c r="Q163" s="108"/>
      <c r="R163" s="109"/>
      <c r="S163" s="109"/>
      <c r="T163" s="108"/>
      <c r="U163" s="317" t="s">
        <v>1801</v>
      </c>
      <c r="V163" s="221">
        <v>46096</v>
      </c>
      <c r="W163" s="222">
        <v>46153</v>
      </c>
      <c r="X163" s="221">
        <v>46154</v>
      </c>
      <c r="Y163" s="108"/>
      <c r="Z163" s="109"/>
      <c r="AA163" s="221"/>
      <c r="AB163" s="221"/>
      <c r="AC163" s="221"/>
      <c r="AD163" s="221"/>
      <c r="AE163" s="110"/>
      <c r="AF163" s="110"/>
      <c r="AG163" s="108"/>
      <c r="AH163" s="108"/>
      <c r="AI163" s="227"/>
      <c r="AJ163" s="227"/>
      <c r="AK163" s="112"/>
      <c r="AL163" s="1227"/>
      <c r="AM163" s="108"/>
      <c r="AN163" s="108"/>
      <c r="AO163" s="108"/>
      <c r="AP163" s="113"/>
      <c r="AQ163" s="113"/>
      <c r="AR163" s="113"/>
      <c r="AS163" s="114"/>
      <c r="AT163" s="111"/>
      <c r="AU163" s="111"/>
      <c r="AV163" s="111"/>
      <c r="AW163" s="111"/>
      <c r="AX163" s="108"/>
      <c r="AY163" s="108"/>
      <c r="AZ163" s="108"/>
      <c r="BA163" s="108"/>
      <c r="BB163" s="2158"/>
      <c r="BC163" s="2281"/>
      <c r="BD163" s="2217"/>
    </row>
    <row r="164" spans="1:56" ht="15.75">
      <c r="A164" s="2220"/>
      <c r="B164" s="2223"/>
      <c r="C164" s="2223"/>
      <c r="D164" s="2223"/>
      <c r="E164" s="2223"/>
      <c r="F164" s="2223"/>
      <c r="G164" s="2223"/>
      <c r="H164" s="2223"/>
      <c r="I164" s="2278"/>
      <c r="J164" s="2278"/>
      <c r="K164" s="2205"/>
      <c r="L164" s="108"/>
      <c r="M164" s="108"/>
      <c r="N164" s="108"/>
      <c r="O164" s="108"/>
      <c r="P164" s="109"/>
      <c r="Q164" s="108"/>
      <c r="R164" s="109"/>
      <c r="S164" s="109"/>
      <c r="T164" s="108"/>
      <c r="U164" s="317" t="s">
        <v>1802</v>
      </c>
      <c r="V164" s="221">
        <v>46157</v>
      </c>
      <c r="W164" s="221">
        <v>46172</v>
      </c>
      <c r="X164" s="221"/>
      <c r="Y164" s="108"/>
      <c r="Z164" s="109"/>
      <c r="AA164" s="221"/>
      <c r="AB164" s="221"/>
      <c r="AC164" s="221"/>
      <c r="AD164" s="221"/>
      <c r="AE164" s="110"/>
      <c r="AF164" s="110"/>
      <c r="AG164" s="108"/>
      <c r="AH164" s="108"/>
      <c r="AI164" s="227"/>
      <c r="AJ164" s="227"/>
      <c r="AK164" s="112"/>
      <c r="AL164" s="1227"/>
      <c r="AM164" s="108"/>
      <c r="AN164" s="108"/>
      <c r="AO164" s="108"/>
      <c r="AP164" s="113"/>
      <c r="AQ164" s="113"/>
      <c r="AR164" s="113"/>
      <c r="AS164" s="114"/>
      <c r="AT164" s="111"/>
      <c r="AU164" s="111"/>
      <c r="AV164" s="111"/>
      <c r="AW164" s="111"/>
      <c r="AX164" s="108"/>
      <c r="AY164" s="108"/>
      <c r="AZ164" s="108"/>
      <c r="BA164" s="108"/>
      <c r="BB164" s="2158"/>
      <c r="BC164" s="2281"/>
      <c r="BD164" s="2217"/>
    </row>
    <row r="165" spans="1:56" ht="15.75">
      <c r="A165" s="2221"/>
      <c r="B165" s="2224"/>
      <c r="C165" s="2224"/>
      <c r="D165" s="2224"/>
      <c r="E165" s="2224"/>
      <c r="F165" s="2224"/>
      <c r="G165" s="2224"/>
      <c r="H165" s="2224"/>
      <c r="I165" s="2279"/>
      <c r="J165" s="2279"/>
      <c r="K165" s="2225"/>
      <c r="L165" s="118"/>
      <c r="M165" s="118"/>
      <c r="N165" s="118"/>
      <c r="O165" s="118"/>
      <c r="P165" s="119"/>
      <c r="Q165" s="118"/>
      <c r="R165" s="119"/>
      <c r="S165" s="119"/>
      <c r="T165" s="118"/>
      <c r="U165" s="120" t="s">
        <v>1803</v>
      </c>
      <c r="V165" s="223">
        <v>46249</v>
      </c>
      <c r="W165" s="223">
        <v>46249</v>
      </c>
      <c r="X165" s="224"/>
      <c r="Y165" s="121"/>
      <c r="Z165" s="119"/>
      <c r="AA165" s="224"/>
      <c r="AB165" s="224"/>
      <c r="AC165" s="224"/>
      <c r="AD165" s="224"/>
      <c r="AE165" s="121"/>
      <c r="AF165" s="121"/>
      <c r="AG165" s="118"/>
      <c r="AH165" s="118"/>
      <c r="AI165" s="228"/>
      <c r="AJ165" s="228"/>
      <c r="AK165" s="204"/>
      <c r="AL165" s="1231"/>
      <c r="AM165" s="118"/>
      <c r="AN165" s="118"/>
      <c r="AO165" s="118"/>
      <c r="AP165" s="205"/>
      <c r="AQ165" s="205"/>
      <c r="AR165" s="205"/>
      <c r="AS165" s="206"/>
      <c r="AT165" s="203"/>
      <c r="AU165" s="203"/>
      <c r="AV165" s="203"/>
      <c r="AW165" s="203"/>
      <c r="AX165" s="118"/>
      <c r="AY165" s="118"/>
      <c r="AZ165" s="118"/>
      <c r="BA165" s="118"/>
      <c r="BB165" s="2159"/>
      <c r="BC165" s="2282"/>
      <c r="BD165" s="2218"/>
    </row>
    <row r="166" spans="1:56" ht="15.75">
      <c r="A166" s="2219">
        <v>15</v>
      </c>
      <c r="B166" s="2222" t="s">
        <v>1804</v>
      </c>
      <c r="C166" s="2222" t="s">
        <v>1805</v>
      </c>
      <c r="D166" s="2222" t="s">
        <v>1806</v>
      </c>
      <c r="E166" s="2222">
        <v>0</v>
      </c>
      <c r="F166" s="2222" t="s">
        <v>1807</v>
      </c>
      <c r="G166" s="2222" t="s">
        <v>1808</v>
      </c>
      <c r="H166" s="2222" t="s">
        <v>1363</v>
      </c>
      <c r="I166" s="2277">
        <v>45960</v>
      </c>
      <c r="J166" s="2277">
        <v>46112</v>
      </c>
      <c r="K166" s="2211" t="s">
        <v>769</v>
      </c>
      <c r="L166" s="3" t="s">
        <v>1363</v>
      </c>
      <c r="M166" s="9" t="s">
        <v>1536</v>
      </c>
      <c r="N166" s="9" t="s">
        <v>1809</v>
      </c>
      <c r="O166" s="9" t="s">
        <v>1809</v>
      </c>
      <c r="P166" s="4">
        <v>1</v>
      </c>
      <c r="Q166" s="5" t="s">
        <v>1072</v>
      </c>
      <c r="R166" s="4">
        <v>0</v>
      </c>
      <c r="S166" s="4">
        <v>1</v>
      </c>
      <c r="T166" s="2">
        <v>0</v>
      </c>
      <c r="U166" s="6" t="s">
        <v>42</v>
      </c>
      <c r="V166" s="219">
        <v>45960</v>
      </c>
      <c r="W166" s="219">
        <v>45960</v>
      </c>
      <c r="X166" s="219">
        <v>45960</v>
      </c>
      <c r="Y166" s="6"/>
      <c r="Z166" s="4"/>
      <c r="AA166" s="219"/>
      <c r="AB166" s="219"/>
      <c r="AC166" s="219"/>
      <c r="AD166" s="219"/>
      <c r="AE166" s="6"/>
      <c r="AF166" s="7"/>
      <c r="AG166" s="2" t="s">
        <v>1810</v>
      </c>
      <c r="AH166" s="8" t="s">
        <v>1811</v>
      </c>
      <c r="AI166" s="332">
        <v>46104</v>
      </c>
      <c r="AJ166" s="225">
        <v>46104</v>
      </c>
      <c r="AK166" s="10" t="s">
        <v>418</v>
      </c>
      <c r="AL166" s="1228">
        <v>2</v>
      </c>
      <c r="AM166" s="3" t="s">
        <v>1072</v>
      </c>
      <c r="AN166" s="2">
        <v>1</v>
      </c>
      <c r="AO166" s="2" t="s">
        <v>1812</v>
      </c>
      <c r="AP166" s="11">
        <v>0</v>
      </c>
      <c r="AQ166" s="11">
        <v>1</v>
      </c>
      <c r="AR166" s="11">
        <v>1</v>
      </c>
      <c r="AS166" s="3" t="s">
        <v>1072</v>
      </c>
      <c r="AT166" s="1432" t="s">
        <v>1813</v>
      </c>
      <c r="AU166" s="226"/>
      <c r="AV166" s="226" t="s">
        <v>1814</v>
      </c>
      <c r="AW166" s="9"/>
      <c r="AX166" s="12"/>
      <c r="AY166" s="13"/>
      <c r="AZ166" s="13"/>
      <c r="BA166" s="13"/>
      <c r="BB166" s="2154" t="s">
        <v>1815</v>
      </c>
      <c r="BC166" s="2280"/>
      <c r="BD166" s="2216"/>
    </row>
    <row r="167" spans="1:56" ht="15.75">
      <c r="A167" s="2220"/>
      <c r="B167" s="2223"/>
      <c r="C167" s="2223"/>
      <c r="D167" s="2223"/>
      <c r="E167" s="2223"/>
      <c r="F167" s="2223"/>
      <c r="G167" s="2223"/>
      <c r="H167" s="2223"/>
      <c r="I167" s="2278"/>
      <c r="J167" s="2278"/>
      <c r="K167" s="2205"/>
      <c r="L167" s="14"/>
      <c r="M167" s="15"/>
      <c r="N167" s="15"/>
      <c r="O167" s="15"/>
      <c r="P167" s="16"/>
      <c r="Q167" s="17"/>
      <c r="R167" s="16"/>
      <c r="S167" s="16"/>
      <c r="T167" s="14"/>
      <c r="U167" s="18" t="s">
        <v>1041</v>
      </c>
      <c r="V167" s="220">
        <v>45992</v>
      </c>
      <c r="W167" s="267">
        <v>45999</v>
      </c>
      <c r="X167" s="267">
        <v>45999</v>
      </c>
      <c r="Y167" s="18"/>
      <c r="Z167" s="16"/>
      <c r="AA167" s="267"/>
      <c r="AB167" s="220"/>
      <c r="AC167" s="220"/>
      <c r="AD167" s="220"/>
      <c r="AE167" s="18"/>
      <c r="AF167" s="19"/>
      <c r="AG167" s="20" t="s">
        <v>680</v>
      </c>
      <c r="AH167" s="351" t="s">
        <v>1816</v>
      </c>
      <c r="AI167" s="331">
        <v>46139</v>
      </c>
      <c r="AJ167" s="1368">
        <v>46139</v>
      </c>
      <c r="AK167" s="22"/>
      <c r="AL167" s="1225"/>
      <c r="AM167" s="14"/>
      <c r="AN167" s="14"/>
      <c r="AO167" s="14"/>
      <c r="AP167" s="23"/>
      <c r="AQ167" s="23"/>
      <c r="AR167" s="23"/>
      <c r="AS167" s="15"/>
      <c r="AT167" s="21"/>
      <c r="AU167" s="21"/>
      <c r="AV167" s="21"/>
      <c r="AW167" s="21"/>
      <c r="AX167" s="14"/>
      <c r="AY167" s="24"/>
      <c r="AZ167" s="24"/>
      <c r="BA167" s="24"/>
      <c r="BB167" s="2155"/>
      <c r="BC167" s="2281"/>
      <c r="BD167" s="2217"/>
    </row>
    <row r="168" spans="1:56" ht="15.75">
      <c r="A168" s="2220"/>
      <c r="B168" s="2223"/>
      <c r="C168" s="2223"/>
      <c r="D168" s="2223"/>
      <c r="E168" s="2223"/>
      <c r="F168" s="2223"/>
      <c r="G168" s="2223"/>
      <c r="H168" s="2223"/>
      <c r="I168" s="2278"/>
      <c r="J168" s="2278"/>
      <c r="K168" s="2205"/>
      <c r="L168" s="14"/>
      <c r="M168" s="14"/>
      <c r="N168" s="14"/>
      <c r="O168" s="14"/>
      <c r="P168" s="16"/>
      <c r="Q168" s="17"/>
      <c r="R168" s="16"/>
      <c r="S168" s="16"/>
      <c r="T168" s="14"/>
      <c r="U168" s="18" t="s">
        <v>1049</v>
      </c>
      <c r="V168" s="220">
        <v>45992</v>
      </c>
      <c r="W168" s="267">
        <v>45999</v>
      </c>
      <c r="X168" s="267">
        <v>45999</v>
      </c>
      <c r="Y168" s="18"/>
      <c r="Z168" s="16"/>
      <c r="AA168" s="220"/>
      <c r="AB168" s="220"/>
      <c r="AC168" s="220"/>
      <c r="AD168" s="220"/>
      <c r="AE168" s="18"/>
      <c r="AF168" s="18"/>
      <c r="AG168" s="20"/>
      <c r="AH168" s="351"/>
      <c r="AI168" s="226"/>
      <c r="AJ168" s="383"/>
      <c r="AK168" s="22"/>
      <c r="AL168" s="1225"/>
      <c r="AM168" s="14"/>
      <c r="AN168" s="14"/>
      <c r="AO168" s="14"/>
      <c r="AP168" s="23"/>
      <c r="AQ168" s="23"/>
      <c r="AR168" s="23"/>
      <c r="AS168" s="15"/>
      <c r="AT168" s="21"/>
      <c r="AU168" s="21"/>
      <c r="AV168" s="21"/>
      <c r="AW168" s="21"/>
      <c r="AX168" s="14"/>
      <c r="AY168" s="14"/>
      <c r="AZ168" s="14"/>
      <c r="BA168" s="14"/>
      <c r="BB168" s="2155"/>
      <c r="BC168" s="2281"/>
      <c r="BD168" s="2217"/>
    </row>
    <row r="169" spans="1:56" ht="15.75">
      <c r="A169" s="2220"/>
      <c r="B169" s="2223"/>
      <c r="C169" s="2223"/>
      <c r="D169" s="2223"/>
      <c r="E169" s="2223"/>
      <c r="F169" s="2223"/>
      <c r="G169" s="2223"/>
      <c r="H169" s="2223"/>
      <c r="I169" s="2278"/>
      <c r="J169" s="2278"/>
      <c r="K169" s="2205"/>
      <c r="L169" s="14"/>
      <c r="M169" s="14"/>
      <c r="N169" s="14"/>
      <c r="O169" s="14"/>
      <c r="P169" s="16"/>
      <c r="Q169" s="14"/>
      <c r="R169" s="16"/>
      <c r="S169" s="16"/>
      <c r="T169" s="14"/>
      <c r="U169" s="18" t="s">
        <v>65</v>
      </c>
      <c r="V169" s="220">
        <v>46006</v>
      </c>
      <c r="W169" s="267">
        <v>46022</v>
      </c>
      <c r="X169" s="220">
        <v>46029</v>
      </c>
      <c r="Y169" s="18"/>
      <c r="Z169" s="16"/>
      <c r="AA169" s="220"/>
      <c r="AB169" s="220"/>
      <c r="AC169" s="220"/>
      <c r="AD169" s="220"/>
      <c r="AE169" s="18"/>
      <c r="AF169" s="18"/>
      <c r="AG169" s="20"/>
      <c r="AH169" s="14"/>
      <c r="AI169" s="320"/>
      <c r="AJ169" s="226"/>
      <c r="AK169" s="22"/>
      <c r="AL169" s="1225"/>
      <c r="AM169" s="14"/>
      <c r="AN169" s="14"/>
      <c r="AO169" s="14"/>
      <c r="AP169" s="23"/>
      <c r="AQ169" s="23"/>
      <c r="AR169" s="23"/>
      <c r="AS169" s="15"/>
      <c r="AT169" s="21"/>
      <c r="AU169" s="21"/>
      <c r="AV169" s="21"/>
      <c r="AW169" s="21"/>
      <c r="AX169" s="14"/>
      <c r="AY169" s="14"/>
      <c r="AZ169" s="14"/>
      <c r="BA169" s="14"/>
      <c r="BB169" s="2155"/>
      <c r="BC169" s="2281"/>
      <c r="BD169" s="2217"/>
    </row>
    <row r="170" spans="1:56" ht="15.75">
      <c r="A170" s="2220"/>
      <c r="B170" s="2223"/>
      <c r="C170" s="2223"/>
      <c r="D170" s="2223"/>
      <c r="E170" s="2223"/>
      <c r="F170" s="2223"/>
      <c r="G170" s="2223"/>
      <c r="H170" s="2223"/>
      <c r="I170" s="2278"/>
      <c r="J170" s="2278"/>
      <c r="K170" s="2205"/>
      <c r="L170" s="14"/>
      <c r="M170" s="14"/>
      <c r="N170" s="14"/>
      <c r="O170" s="14"/>
      <c r="P170" s="16"/>
      <c r="Q170" s="14"/>
      <c r="R170" s="16"/>
      <c r="S170" s="16"/>
      <c r="T170" s="14"/>
      <c r="U170" s="18" t="s">
        <v>75</v>
      </c>
      <c r="V170" s="220">
        <v>46011</v>
      </c>
      <c r="W170" s="267">
        <v>46087</v>
      </c>
      <c r="X170" s="267">
        <v>46087</v>
      </c>
      <c r="Y170" s="18"/>
      <c r="Z170" s="16"/>
      <c r="AA170" s="220"/>
      <c r="AB170" s="220"/>
      <c r="AC170" s="220"/>
      <c r="AD170" s="220"/>
      <c r="AE170" s="18"/>
      <c r="AF170" s="18"/>
      <c r="AG170" s="20"/>
      <c r="AH170" s="14"/>
      <c r="AI170" s="226"/>
      <c r="AJ170" s="226"/>
      <c r="AK170" s="22"/>
      <c r="AL170" s="1225"/>
      <c r="AM170" s="14"/>
      <c r="AN170" s="14"/>
      <c r="AO170" s="14"/>
      <c r="AP170" s="23"/>
      <c r="AQ170" s="23"/>
      <c r="AR170" s="23"/>
      <c r="AS170" s="15"/>
      <c r="AT170" s="21"/>
      <c r="AU170" s="21"/>
      <c r="AV170" s="21"/>
      <c r="AW170" s="21"/>
      <c r="AX170" s="14"/>
      <c r="AY170" s="14"/>
      <c r="AZ170" s="14"/>
      <c r="BA170" s="14"/>
      <c r="BB170" s="2155"/>
      <c r="BC170" s="2281"/>
      <c r="BD170" s="2217"/>
    </row>
    <row r="171" spans="1:56" ht="15.75">
      <c r="A171" s="2220"/>
      <c r="B171" s="2223"/>
      <c r="C171" s="2223"/>
      <c r="D171" s="2223"/>
      <c r="E171" s="2223"/>
      <c r="F171" s="2223"/>
      <c r="G171" s="2223"/>
      <c r="H171" s="2223"/>
      <c r="I171" s="2278"/>
      <c r="J171" s="2278"/>
      <c r="K171" s="2205"/>
      <c r="L171" s="14"/>
      <c r="M171" s="14"/>
      <c r="N171" s="14"/>
      <c r="O171" s="14"/>
      <c r="P171" s="16"/>
      <c r="Q171" s="14"/>
      <c r="R171" s="16"/>
      <c r="S171" s="16"/>
      <c r="T171" s="14"/>
      <c r="U171" s="18" t="s">
        <v>96</v>
      </c>
      <c r="V171" s="220">
        <v>46011</v>
      </c>
      <c r="W171" s="267">
        <v>46106</v>
      </c>
      <c r="X171" s="220">
        <v>46094</v>
      </c>
      <c r="Y171" s="18"/>
      <c r="Z171" s="16"/>
      <c r="AA171" s="220"/>
      <c r="AB171" s="220"/>
      <c r="AC171" s="220"/>
      <c r="AD171" s="220"/>
      <c r="AE171" s="18"/>
      <c r="AF171" s="14"/>
      <c r="AG171" s="20"/>
      <c r="AH171" s="14"/>
      <c r="AI171" s="226"/>
      <c r="AJ171" s="226"/>
      <c r="AK171" s="22"/>
      <c r="AL171" s="1225"/>
      <c r="AM171" s="14"/>
      <c r="AN171" s="14"/>
      <c r="AO171" s="14"/>
      <c r="AP171" s="23"/>
      <c r="AQ171" s="23"/>
      <c r="AR171" s="23"/>
      <c r="AS171" s="15"/>
      <c r="AT171" s="21"/>
      <c r="AU171" s="21"/>
      <c r="AV171" s="21"/>
      <c r="AW171" s="21"/>
      <c r="AX171" s="14"/>
      <c r="AY171" s="14"/>
      <c r="AZ171" s="14"/>
      <c r="BA171" s="14"/>
      <c r="BB171" s="2155"/>
      <c r="BC171" s="2281"/>
      <c r="BD171" s="2217"/>
    </row>
    <row r="172" spans="1:56" ht="15.75">
      <c r="A172" s="2220"/>
      <c r="B172" s="2223"/>
      <c r="C172" s="2223"/>
      <c r="D172" s="2223"/>
      <c r="E172" s="2223"/>
      <c r="F172" s="2223"/>
      <c r="G172" s="2223"/>
      <c r="H172" s="2223"/>
      <c r="I172" s="2278"/>
      <c r="J172" s="2278"/>
      <c r="K172" s="2205"/>
      <c r="L172" s="14"/>
      <c r="M172" s="14"/>
      <c r="N172" s="14"/>
      <c r="O172" s="14"/>
      <c r="P172" s="16"/>
      <c r="Q172" s="14"/>
      <c r="R172" s="16"/>
      <c r="S172" s="16"/>
      <c r="T172" s="14"/>
      <c r="U172" s="25" t="s">
        <v>1361</v>
      </c>
      <c r="V172" s="220">
        <v>46082</v>
      </c>
      <c r="W172" s="220">
        <v>46112</v>
      </c>
      <c r="X172" s="220">
        <v>46112</v>
      </c>
      <c r="Y172" s="18"/>
      <c r="Z172" s="16"/>
      <c r="AA172" s="220"/>
      <c r="AB172" s="220"/>
      <c r="AC172" s="220"/>
      <c r="AD172" s="220"/>
      <c r="AE172" s="18"/>
      <c r="AF172" s="18"/>
      <c r="AG172" s="14"/>
      <c r="AH172" s="14"/>
      <c r="AI172" s="226"/>
      <c r="AJ172" s="226"/>
      <c r="AK172" s="22"/>
      <c r="AL172" s="1225"/>
      <c r="AM172" s="14"/>
      <c r="AN172" s="14"/>
      <c r="AO172" s="14"/>
      <c r="AP172" s="23"/>
      <c r="AQ172" s="23"/>
      <c r="AR172" s="23"/>
      <c r="AS172" s="15"/>
      <c r="AT172" s="21"/>
      <c r="AU172" s="21"/>
      <c r="AV172" s="21"/>
      <c r="AW172" s="21"/>
      <c r="AX172" s="14"/>
      <c r="AY172" s="14"/>
      <c r="AZ172" s="14"/>
      <c r="BA172" s="14"/>
      <c r="BB172" s="2155"/>
      <c r="BC172" s="2281"/>
      <c r="BD172" s="2217"/>
    </row>
    <row r="173" spans="1:56" ht="15.75">
      <c r="A173" s="2220"/>
      <c r="B173" s="2223"/>
      <c r="C173" s="2223"/>
      <c r="D173" s="2223"/>
      <c r="E173" s="2223"/>
      <c r="F173" s="2223"/>
      <c r="G173" s="2223"/>
      <c r="H173" s="2223"/>
      <c r="I173" s="2278"/>
      <c r="J173" s="2278"/>
      <c r="K173" s="2205"/>
      <c r="L173" s="14"/>
      <c r="M173" s="14"/>
      <c r="N173" s="14"/>
      <c r="O173" s="14"/>
      <c r="P173" s="16"/>
      <c r="Q173" s="14"/>
      <c r="R173" s="16"/>
      <c r="S173" s="16"/>
      <c r="T173" s="14"/>
      <c r="U173" s="25" t="s">
        <v>472</v>
      </c>
      <c r="V173" s="220">
        <v>46088</v>
      </c>
      <c r="W173" s="220">
        <v>46139</v>
      </c>
      <c r="X173" s="220">
        <v>46139</v>
      </c>
      <c r="Y173" s="14"/>
      <c r="Z173" s="16"/>
      <c r="AA173" s="220"/>
      <c r="AB173" s="220"/>
      <c r="AC173" s="220"/>
      <c r="AD173" s="220"/>
      <c r="AE173" s="18"/>
      <c r="AF173" s="18"/>
      <c r="AH173" s="14"/>
      <c r="AI173" s="226"/>
      <c r="AJ173" s="226"/>
      <c r="AK173" s="22"/>
      <c r="AL173" s="1225"/>
      <c r="AM173" s="14"/>
      <c r="AN173" s="14"/>
      <c r="AO173" s="14"/>
      <c r="AP173" s="23"/>
      <c r="AQ173" s="23"/>
      <c r="AR173" s="23"/>
      <c r="AS173" s="15"/>
      <c r="AT173" s="21"/>
      <c r="AU173" s="21"/>
      <c r="AV173" s="21"/>
      <c r="AW173" s="21"/>
      <c r="AX173" s="14"/>
      <c r="AY173" s="14"/>
      <c r="AZ173" s="14"/>
      <c r="BA173" s="14"/>
      <c r="BB173" s="2155"/>
      <c r="BC173" s="2281"/>
      <c r="BD173" s="2217"/>
    </row>
    <row r="174" spans="1:56" ht="15.75">
      <c r="A174" s="2220"/>
      <c r="B174" s="2223"/>
      <c r="C174" s="2223"/>
      <c r="D174" s="2223"/>
      <c r="E174" s="2223"/>
      <c r="F174" s="2223"/>
      <c r="G174" s="2223"/>
      <c r="H174" s="2223"/>
      <c r="I174" s="2278"/>
      <c r="J174" s="2278"/>
      <c r="K174" s="2205"/>
      <c r="L174" s="108"/>
      <c r="M174" s="108"/>
      <c r="N174" s="108"/>
      <c r="O174" s="108"/>
      <c r="P174" s="109"/>
      <c r="Q174" s="108"/>
      <c r="R174" s="109"/>
      <c r="S174" s="109"/>
      <c r="T174" s="108"/>
      <c r="U174" s="110" t="s">
        <v>478</v>
      </c>
      <c r="V174" s="221">
        <v>46096</v>
      </c>
      <c r="W174" s="1436">
        <v>46175</v>
      </c>
      <c r="X174" s="222"/>
      <c r="Y174" s="485"/>
      <c r="Z174" s="109"/>
      <c r="AA174" s="222"/>
      <c r="AB174" s="222"/>
      <c r="AC174" s="222"/>
      <c r="AD174" s="222"/>
      <c r="AE174" s="485"/>
      <c r="AF174" s="485"/>
      <c r="AG174" s="108"/>
      <c r="AH174" s="108"/>
      <c r="AI174" s="227"/>
      <c r="AJ174" s="227"/>
      <c r="AK174" s="112"/>
      <c r="AL174" s="1227"/>
      <c r="AM174" s="108"/>
      <c r="AN174" s="108"/>
      <c r="AO174" s="108"/>
      <c r="AP174" s="113"/>
      <c r="AQ174" s="113"/>
      <c r="AR174" s="113"/>
      <c r="AS174" s="114"/>
      <c r="AT174" s="111"/>
      <c r="AU174" s="111"/>
      <c r="AV174" s="111"/>
      <c r="AW174" s="111"/>
      <c r="AX174" s="108"/>
      <c r="AY174" s="108"/>
      <c r="AZ174" s="108"/>
      <c r="BA174" s="108"/>
      <c r="BB174" s="2155"/>
      <c r="BC174" s="2281"/>
      <c r="BD174" s="2217"/>
    </row>
    <row r="175" spans="1:56" ht="15.75" customHeight="1">
      <c r="A175" s="2163">
        <v>16</v>
      </c>
      <c r="B175" s="2151" t="s">
        <v>1804</v>
      </c>
      <c r="C175" s="2151" t="s">
        <v>1817</v>
      </c>
      <c r="D175" s="2151">
        <v>5000110841</v>
      </c>
      <c r="E175" s="2151">
        <v>0</v>
      </c>
      <c r="F175" s="2151" t="s">
        <v>1818</v>
      </c>
      <c r="G175" s="2151" t="s">
        <v>1819</v>
      </c>
      <c r="H175" s="2151" t="s">
        <v>1819</v>
      </c>
      <c r="I175" s="2151">
        <v>45934</v>
      </c>
      <c r="J175" s="2151">
        <v>46213</v>
      </c>
      <c r="K175" s="2151" t="s">
        <v>769</v>
      </c>
      <c r="L175" s="2" t="s">
        <v>1819</v>
      </c>
      <c r="M175" s="9" t="s">
        <v>1536</v>
      </c>
      <c r="N175" s="9" t="s">
        <v>1537</v>
      </c>
      <c r="O175" s="9" t="s">
        <v>1537</v>
      </c>
      <c r="P175" s="4">
        <v>2</v>
      </c>
      <c r="Q175" s="5" t="s">
        <v>1072</v>
      </c>
      <c r="R175" s="4">
        <v>0</v>
      </c>
      <c r="S175" s="4">
        <v>2</v>
      </c>
      <c r="T175" s="2">
        <v>0</v>
      </c>
      <c r="U175" s="6" t="s">
        <v>42</v>
      </c>
      <c r="V175" s="219">
        <v>45988</v>
      </c>
      <c r="W175" s="391">
        <v>45988</v>
      </c>
      <c r="X175" s="391">
        <v>45988</v>
      </c>
      <c r="Y175" s="6" t="s">
        <v>1820</v>
      </c>
      <c r="Z175" s="4">
        <v>1</v>
      </c>
      <c r="AA175" s="219">
        <v>46052</v>
      </c>
      <c r="AB175" s="219">
        <v>46052</v>
      </c>
      <c r="AC175" s="1429">
        <v>46173</v>
      </c>
      <c r="AD175" s="219"/>
      <c r="AE175" s="6"/>
      <c r="AF175" s="7" t="s">
        <v>1821</v>
      </c>
      <c r="AG175" s="2" t="s">
        <v>1822</v>
      </c>
      <c r="AH175" s="8" t="s">
        <v>1823</v>
      </c>
      <c r="AI175" s="316">
        <v>46136</v>
      </c>
      <c r="AJ175" s="225"/>
      <c r="AK175" s="10"/>
      <c r="AL175" s="1228"/>
      <c r="AM175" s="2"/>
      <c r="AN175" s="2"/>
      <c r="AO175" s="2"/>
      <c r="AP175" s="11"/>
      <c r="AQ175" s="11"/>
      <c r="AR175" s="11"/>
      <c r="AS175" s="3"/>
      <c r="AT175" s="9"/>
      <c r="AU175" s="9"/>
      <c r="AV175" s="9"/>
      <c r="AW175" s="9"/>
      <c r="AX175" s="12"/>
      <c r="AY175" s="13"/>
      <c r="AZ175" s="13"/>
      <c r="BA175" s="13"/>
      <c r="BB175" s="2154" t="s">
        <v>1824</v>
      </c>
      <c r="BC175" s="2157"/>
      <c r="BD175" s="2160"/>
    </row>
    <row r="176" spans="1:56" ht="14.25" customHeight="1">
      <c r="A176" s="2164"/>
      <c r="B176" s="2152"/>
      <c r="C176" s="2152"/>
      <c r="D176" s="2152"/>
      <c r="E176" s="2152"/>
      <c r="F176" s="2152"/>
      <c r="G176" s="2152"/>
      <c r="H176" s="2152"/>
      <c r="I176" s="2152"/>
      <c r="J176" s="2152"/>
      <c r="K176" s="2152"/>
      <c r="L176" s="14"/>
      <c r="M176" s="15"/>
      <c r="N176" s="15"/>
      <c r="O176" s="15"/>
      <c r="P176" s="16"/>
      <c r="Q176" s="17"/>
      <c r="R176" s="16"/>
      <c r="S176" s="16"/>
      <c r="T176" s="14"/>
      <c r="U176" s="18" t="s">
        <v>1041</v>
      </c>
      <c r="V176" s="220">
        <v>46001</v>
      </c>
      <c r="W176" s="220">
        <v>46017</v>
      </c>
      <c r="X176" s="220">
        <v>46013</v>
      </c>
      <c r="Y176" s="18" t="s">
        <v>1825</v>
      </c>
      <c r="Z176" s="16">
        <v>1</v>
      </c>
      <c r="AA176" s="220">
        <v>46052</v>
      </c>
      <c r="AB176" s="220">
        <v>46052</v>
      </c>
      <c r="AC176" s="1430">
        <v>46173</v>
      </c>
      <c r="AD176" s="220"/>
      <c r="AE176" s="18"/>
      <c r="AF176" s="19"/>
      <c r="AG176" s="20"/>
      <c r="AH176" s="14"/>
      <c r="AI176" s="331"/>
      <c r="AJ176" s="226"/>
      <c r="AK176" s="22"/>
      <c r="AL176" s="1225"/>
      <c r="AM176" s="14"/>
      <c r="AN176" s="14"/>
      <c r="AO176" s="14"/>
      <c r="AP176" s="23"/>
      <c r="AQ176" s="23"/>
      <c r="AR176" s="23"/>
      <c r="AS176" s="15"/>
      <c r="AT176" s="21"/>
      <c r="AU176" s="21"/>
      <c r="AV176" s="21"/>
      <c r="AW176" s="21"/>
      <c r="AX176" s="14"/>
      <c r="AY176" s="24"/>
      <c r="AZ176" s="24"/>
      <c r="BA176" s="24"/>
      <c r="BB176" s="2155"/>
      <c r="BC176" s="2158"/>
      <c r="BD176" s="2161"/>
    </row>
    <row r="177" spans="1:56" ht="15.75">
      <c r="A177" s="2164"/>
      <c r="B177" s="2152"/>
      <c r="C177" s="2152"/>
      <c r="D177" s="2152"/>
      <c r="E177" s="2152"/>
      <c r="F177" s="2152"/>
      <c r="G177" s="2152"/>
      <c r="H177" s="2152"/>
      <c r="I177" s="2152"/>
      <c r="J177" s="2152"/>
      <c r="K177" s="2152"/>
      <c r="L177" s="14"/>
      <c r="M177" s="14"/>
      <c r="N177" s="14"/>
      <c r="O177" s="14"/>
      <c r="P177" s="16"/>
      <c r="Q177" s="17"/>
      <c r="R177" s="16"/>
      <c r="S177" s="16"/>
      <c r="T177" s="14"/>
      <c r="U177" s="18" t="s">
        <v>1049</v>
      </c>
      <c r="V177" s="220">
        <v>46001</v>
      </c>
      <c r="W177" s="220">
        <v>46001</v>
      </c>
      <c r="X177" s="220">
        <v>46001</v>
      </c>
      <c r="Y177" s="18" t="s">
        <v>1826</v>
      </c>
      <c r="Z177" s="16">
        <v>1</v>
      </c>
      <c r="AA177" s="220">
        <v>46052</v>
      </c>
      <c r="AB177" s="220">
        <v>46052</v>
      </c>
      <c r="AC177" s="1430">
        <v>46173</v>
      </c>
      <c r="AD177" s="220"/>
      <c r="AE177" s="18"/>
      <c r="AF177" s="18"/>
      <c r="AG177" s="20"/>
      <c r="AH177" s="14"/>
      <c r="AI177" s="226"/>
      <c r="AJ177" s="226"/>
      <c r="AK177" s="22"/>
      <c r="AL177" s="1225"/>
      <c r="AM177" s="14"/>
      <c r="AN177" s="14"/>
      <c r="AO177" s="14"/>
      <c r="AP177" s="23"/>
      <c r="AQ177" s="23"/>
      <c r="AR177" s="23"/>
      <c r="AS177" s="15"/>
      <c r="AT177" s="21"/>
      <c r="AU177" s="21"/>
      <c r="AV177" s="21"/>
      <c r="AW177" s="21"/>
      <c r="AX177" s="14"/>
      <c r="AY177" s="14"/>
      <c r="AZ177" s="14"/>
      <c r="BA177" s="14"/>
      <c r="BB177" s="2155"/>
      <c r="BC177" s="2158"/>
      <c r="BD177" s="2161"/>
    </row>
    <row r="178" spans="1:56" ht="15.75">
      <c r="A178" s="2164"/>
      <c r="B178" s="2152"/>
      <c r="C178" s="2152"/>
      <c r="D178" s="2152"/>
      <c r="E178" s="2152"/>
      <c r="F178" s="2152"/>
      <c r="G178" s="2152"/>
      <c r="H178" s="2152"/>
      <c r="I178" s="2152"/>
      <c r="J178" s="2152"/>
      <c r="K178" s="2152"/>
      <c r="L178" s="14"/>
      <c r="M178" s="14"/>
      <c r="N178" s="14"/>
      <c r="O178" s="14"/>
      <c r="P178" s="16"/>
      <c r="Q178" s="14"/>
      <c r="R178" s="16"/>
      <c r="S178" s="16"/>
      <c r="T178" s="14"/>
      <c r="U178" s="18" t="s">
        <v>65</v>
      </c>
      <c r="V178" s="220">
        <v>46037</v>
      </c>
      <c r="W178" s="220">
        <v>46052</v>
      </c>
      <c r="X178" s="220">
        <v>46063</v>
      </c>
      <c r="Y178" s="18" t="s">
        <v>1827</v>
      </c>
      <c r="Z178" s="16">
        <v>1</v>
      </c>
      <c r="AA178" s="220">
        <v>46052</v>
      </c>
      <c r="AB178" s="220">
        <v>46052</v>
      </c>
      <c r="AC178" s="1430">
        <v>46173</v>
      </c>
      <c r="AD178" s="220"/>
      <c r="AE178" s="18"/>
      <c r="AF178" s="18"/>
      <c r="AG178" s="20"/>
      <c r="AH178" s="14"/>
      <c r="AI178" s="226"/>
      <c r="AJ178" s="226"/>
      <c r="AK178" s="22"/>
      <c r="AL178" s="1225"/>
      <c r="AM178" s="14"/>
      <c r="AN178" s="14"/>
      <c r="AO178" s="14"/>
      <c r="AP178" s="23"/>
      <c r="AQ178" s="23"/>
      <c r="AR178" s="23"/>
      <c r="AS178" s="15"/>
      <c r="AT178" s="21"/>
      <c r="AU178" s="21"/>
      <c r="AV178" s="21"/>
      <c r="AW178" s="21"/>
      <c r="AX178" s="14"/>
      <c r="AY178" s="14"/>
      <c r="AZ178" s="14"/>
      <c r="BA178" s="14"/>
      <c r="BB178" s="2155"/>
      <c r="BC178" s="2158"/>
      <c r="BD178" s="2161"/>
    </row>
    <row r="179" spans="1:56" ht="15.75">
      <c r="A179" s="2164"/>
      <c r="B179" s="2152"/>
      <c r="C179" s="2152"/>
      <c r="D179" s="2152"/>
      <c r="E179" s="2152"/>
      <c r="F179" s="2152"/>
      <c r="G179" s="2152"/>
      <c r="H179" s="2152"/>
      <c r="I179" s="2152"/>
      <c r="J179" s="2152"/>
      <c r="K179" s="2152"/>
      <c r="L179" s="14"/>
      <c r="M179" s="14"/>
      <c r="N179" s="14"/>
      <c r="O179" s="14"/>
      <c r="P179" s="16"/>
      <c r="Q179" s="14"/>
      <c r="R179" s="16"/>
      <c r="S179" s="16"/>
      <c r="T179" s="14"/>
      <c r="U179" s="18" t="s">
        <v>75</v>
      </c>
      <c r="V179" s="220">
        <v>46042</v>
      </c>
      <c r="W179" s="1430">
        <v>46173</v>
      </c>
      <c r="X179" s="220"/>
      <c r="Y179" s="18" t="s">
        <v>1828</v>
      </c>
      <c r="Z179" s="16">
        <v>1</v>
      </c>
      <c r="AA179" s="220">
        <v>46055</v>
      </c>
      <c r="AB179" s="220">
        <v>46055</v>
      </c>
      <c r="AC179" s="1430">
        <v>46173</v>
      </c>
      <c r="AD179" s="220"/>
      <c r="AE179" s="18"/>
      <c r="AF179" s="18"/>
      <c r="AG179" s="20"/>
      <c r="AH179" s="14"/>
      <c r="AI179" s="226"/>
      <c r="AJ179" s="226"/>
      <c r="AK179" s="22"/>
      <c r="AL179" s="1225"/>
      <c r="AM179" s="14"/>
      <c r="AN179" s="14"/>
      <c r="AO179" s="14"/>
      <c r="AP179" s="23"/>
      <c r="AQ179" s="23"/>
      <c r="AR179" s="23"/>
      <c r="AS179" s="15"/>
      <c r="AT179" s="21"/>
      <c r="AU179" s="21"/>
      <c r="AV179" s="21"/>
      <c r="AW179" s="21"/>
      <c r="AX179" s="14"/>
      <c r="AY179" s="14"/>
      <c r="AZ179" s="14"/>
      <c r="BA179" s="14"/>
      <c r="BB179" s="2155"/>
      <c r="BC179" s="2158"/>
      <c r="BD179" s="2161"/>
    </row>
    <row r="180" spans="1:56" ht="15.75">
      <c r="A180" s="2164"/>
      <c r="B180" s="2152"/>
      <c r="C180" s="2152"/>
      <c r="D180" s="2152"/>
      <c r="E180" s="2152"/>
      <c r="F180" s="2152"/>
      <c r="G180" s="2152"/>
      <c r="H180" s="2152"/>
      <c r="I180" s="2152"/>
      <c r="J180" s="2152"/>
      <c r="K180" s="2152"/>
      <c r="L180" s="14"/>
      <c r="M180" s="14"/>
      <c r="N180" s="14"/>
      <c r="O180" s="14"/>
      <c r="P180" s="16"/>
      <c r="Q180" s="14"/>
      <c r="R180" s="16"/>
      <c r="S180" s="16"/>
      <c r="T180" s="14"/>
      <c r="U180" s="18" t="s">
        <v>96</v>
      </c>
      <c r="V180" s="220">
        <v>46047</v>
      </c>
      <c r="W180" s="220">
        <v>46183</v>
      </c>
      <c r="X180" s="220"/>
      <c r="Y180" s="18" t="s">
        <v>1829</v>
      </c>
      <c r="Z180" s="16">
        <v>1</v>
      </c>
      <c r="AA180" s="220">
        <v>46055</v>
      </c>
      <c r="AB180" s="220">
        <v>46055</v>
      </c>
      <c r="AC180" s="1430">
        <v>46173</v>
      </c>
      <c r="AD180" s="220"/>
      <c r="AE180" s="18"/>
      <c r="AF180" s="18"/>
      <c r="AG180" s="20"/>
      <c r="AH180" s="14"/>
      <c r="AI180" s="226"/>
      <c r="AJ180" s="226"/>
      <c r="AK180" s="22"/>
      <c r="AL180" s="1225"/>
      <c r="AM180" s="14"/>
      <c r="AN180" s="14"/>
      <c r="AO180" s="14"/>
      <c r="AP180" s="23"/>
      <c r="AQ180" s="23"/>
      <c r="AR180" s="23"/>
      <c r="AS180" s="15"/>
      <c r="AT180" s="21"/>
      <c r="AU180" s="21"/>
      <c r="AV180" s="21"/>
      <c r="AW180" s="21"/>
      <c r="AX180" s="14"/>
      <c r="AY180" s="14"/>
      <c r="AZ180" s="14"/>
      <c r="BA180" s="14"/>
      <c r="BB180" s="2155"/>
      <c r="BC180" s="2158"/>
      <c r="BD180" s="2161"/>
    </row>
    <row r="181" spans="1:56" ht="15.75">
      <c r="A181" s="2164"/>
      <c r="B181" s="2152"/>
      <c r="C181" s="2152"/>
      <c r="D181" s="2152"/>
      <c r="E181" s="2152"/>
      <c r="F181" s="2152"/>
      <c r="G181" s="2152"/>
      <c r="H181" s="2152"/>
      <c r="I181" s="2152"/>
      <c r="J181" s="2152"/>
      <c r="K181" s="2152"/>
      <c r="L181" s="14"/>
      <c r="M181" s="14"/>
      <c r="N181" s="14"/>
      <c r="O181" s="14"/>
      <c r="P181" s="16"/>
      <c r="Q181" s="14"/>
      <c r="R181" s="16"/>
      <c r="S181" s="16"/>
      <c r="T181" s="14"/>
      <c r="U181" s="25" t="s">
        <v>1361</v>
      </c>
      <c r="V181" s="220">
        <v>46188</v>
      </c>
      <c r="W181" s="220">
        <v>46187</v>
      </c>
      <c r="X181" s="220"/>
      <c r="Y181" s="18" t="s">
        <v>1830</v>
      </c>
      <c r="Z181" s="16">
        <v>1</v>
      </c>
      <c r="AA181" s="220">
        <v>46055</v>
      </c>
      <c r="AB181" s="220">
        <v>46055</v>
      </c>
      <c r="AC181" s="1430">
        <v>46173</v>
      </c>
      <c r="AD181" s="220"/>
      <c r="AE181" s="18"/>
      <c r="AF181" s="18"/>
      <c r="AG181" s="14"/>
      <c r="AH181" s="14"/>
      <c r="AI181" s="226"/>
      <c r="AJ181" s="226"/>
      <c r="AK181" s="22"/>
      <c r="AL181" s="1225"/>
      <c r="AM181" s="14"/>
      <c r="AN181" s="14"/>
      <c r="AO181" s="14"/>
      <c r="AP181" s="23"/>
      <c r="AQ181" s="23"/>
      <c r="AR181" s="23"/>
      <c r="AS181" s="15"/>
      <c r="AT181" s="21"/>
      <c r="AU181" s="21"/>
      <c r="AV181" s="21"/>
      <c r="AW181" s="21"/>
      <c r="AX181" s="14"/>
      <c r="AY181" s="14"/>
      <c r="AZ181" s="14"/>
      <c r="BA181" s="14"/>
      <c r="BB181" s="2155"/>
      <c r="BC181" s="2158"/>
      <c r="BD181" s="2161"/>
    </row>
    <row r="182" spans="1:56" ht="15.75">
      <c r="A182" s="2164"/>
      <c r="B182" s="2152"/>
      <c r="C182" s="2152"/>
      <c r="D182" s="2152"/>
      <c r="E182" s="2152"/>
      <c r="F182" s="2152"/>
      <c r="G182" s="2152"/>
      <c r="H182" s="2152"/>
      <c r="I182" s="2152"/>
      <c r="J182" s="2152"/>
      <c r="K182" s="2152"/>
      <c r="L182" s="14"/>
      <c r="M182" s="14"/>
      <c r="N182" s="14"/>
      <c r="O182" s="14"/>
      <c r="P182" s="16"/>
      <c r="Q182" s="14"/>
      <c r="R182" s="16"/>
      <c r="S182" s="16"/>
      <c r="T182" s="14"/>
      <c r="U182" s="25" t="s">
        <v>472</v>
      </c>
      <c r="V182" s="220">
        <v>46193</v>
      </c>
      <c r="W182" s="220">
        <v>46188</v>
      </c>
      <c r="X182" s="220"/>
      <c r="Y182" s="18" t="s">
        <v>1831</v>
      </c>
      <c r="Z182" s="16">
        <v>1</v>
      </c>
      <c r="AA182" s="220">
        <v>46055</v>
      </c>
      <c r="AB182" s="220">
        <v>46055</v>
      </c>
      <c r="AC182" s="1430">
        <v>46173</v>
      </c>
      <c r="AD182" s="220"/>
      <c r="AE182" s="18"/>
      <c r="AF182" s="18"/>
      <c r="AG182" s="14"/>
      <c r="AH182" s="14"/>
      <c r="AI182" s="226"/>
      <c r="AJ182" s="226"/>
      <c r="AK182" s="22"/>
      <c r="AL182" s="1225"/>
      <c r="AM182" s="14"/>
      <c r="AN182" s="14"/>
      <c r="AO182" s="14"/>
      <c r="AP182" s="23"/>
      <c r="AQ182" s="23"/>
      <c r="AR182" s="23"/>
      <c r="AS182" s="15"/>
      <c r="AT182" s="21"/>
      <c r="AU182" s="21"/>
      <c r="AV182" s="21"/>
      <c r="AW182" s="21"/>
      <c r="AX182" s="14"/>
      <c r="AY182" s="14"/>
      <c r="AZ182" s="14"/>
      <c r="BA182" s="14"/>
      <c r="BB182" s="2155"/>
      <c r="BC182" s="2158"/>
      <c r="BD182" s="2161"/>
    </row>
    <row r="183" spans="1:56" ht="15.75">
      <c r="A183" s="2164"/>
      <c r="B183" s="2152"/>
      <c r="C183" s="2152"/>
      <c r="D183" s="2152"/>
      <c r="E183" s="2152"/>
      <c r="F183" s="2152"/>
      <c r="G183" s="2152"/>
      <c r="H183" s="2152"/>
      <c r="I183" s="2152"/>
      <c r="J183" s="2152"/>
      <c r="K183" s="2152"/>
      <c r="L183" s="14"/>
      <c r="M183" s="14"/>
      <c r="N183" s="14"/>
      <c r="O183" s="14"/>
      <c r="P183" s="16"/>
      <c r="Q183" s="14"/>
      <c r="R183" s="16"/>
      <c r="S183" s="16"/>
      <c r="T183" s="14"/>
      <c r="U183" s="18" t="s">
        <v>478</v>
      </c>
      <c r="V183" s="220">
        <v>46213</v>
      </c>
      <c r="W183" s="220">
        <v>46213</v>
      </c>
      <c r="X183" s="267"/>
      <c r="Y183" s="18" t="s">
        <v>1832</v>
      </c>
      <c r="Z183" s="16">
        <v>1</v>
      </c>
      <c r="AA183" s="220">
        <v>46055</v>
      </c>
      <c r="AB183" s="220">
        <v>46055</v>
      </c>
      <c r="AC183" s="1430">
        <v>46173</v>
      </c>
      <c r="AD183" s="267"/>
      <c r="AE183" s="546"/>
      <c r="AF183" s="546"/>
      <c r="AG183" s="14"/>
      <c r="AH183" s="14"/>
      <c r="AI183" s="226"/>
      <c r="AJ183" s="226"/>
      <c r="AK183" s="22"/>
      <c r="AL183" s="1225"/>
      <c r="AM183" s="14"/>
      <c r="AN183" s="14"/>
      <c r="AO183" s="14"/>
      <c r="AP183" s="23"/>
      <c r="AQ183" s="23"/>
      <c r="AR183" s="23"/>
      <c r="AS183" s="15"/>
      <c r="AT183" s="21"/>
      <c r="AU183" s="21"/>
      <c r="AV183" s="21"/>
      <c r="AW183" s="21"/>
      <c r="AX183" s="14"/>
      <c r="AY183" s="14"/>
      <c r="AZ183" s="14"/>
      <c r="BA183" s="14"/>
      <c r="BB183" s="2155"/>
      <c r="BC183" s="2158"/>
      <c r="BD183" s="2161"/>
    </row>
    <row r="184" spans="1:56" ht="14.85" customHeight="1">
      <c r="A184" s="2164"/>
      <c r="B184" s="2152"/>
      <c r="C184" s="2152"/>
      <c r="D184" s="2152"/>
      <c r="E184" s="2152"/>
      <c r="F184" s="2152"/>
      <c r="G184" s="2152"/>
      <c r="H184" s="2152"/>
      <c r="I184" s="2152"/>
      <c r="J184" s="2152"/>
      <c r="K184" s="2152"/>
      <c r="L184" s="318"/>
      <c r="M184" s="318"/>
      <c r="N184" s="318"/>
      <c r="O184" s="318"/>
      <c r="P184" s="318"/>
      <c r="Q184" s="318"/>
      <c r="R184" s="318"/>
      <c r="S184" s="318"/>
      <c r="T184" s="318"/>
      <c r="U184" s="1161" t="s">
        <v>656</v>
      </c>
      <c r="V184" s="318"/>
      <c r="W184" s="318"/>
      <c r="X184" s="318"/>
      <c r="Y184" s="18" t="s">
        <v>1833</v>
      </c>
      <c r="Z184" s="16">
        <v>1</v>
      </c>
      <c r="AA184" s="220">
        <v>46055</v>
      </c>
      <c r="AB184" s="220">
        <v>46055</v>
      </c>
      <c r="AC184" s="1430">
        <v>46173</v>
      </c>
      <c r="AD184" s="318"/>
      <c r="AE184" s="318"/>
      <c r="AF184" s="318"/>
      <c r="AG184" s="318"/>
      <c r="AH184" s="318"/>
      <c r="AI184" s="318"/>
      <c r="AJ184" s="318"/>
      <c r="AK184" s="318"/>
      <c r="AL184" s="1207"/>
      <c r="AM184" s="318"/>
      <c r="AN184" s="318"/>
      <c r="AO184" s="318"/>
      <c r="AP184" s="1207"/>
      <c r="AQ184" s="1207"/>
      <c r="AR184" s="1207"/>
      <c r="AS184" s="318"/>
      <c r="AT184" s="318"/>
      <c r="AU184" s="318"/>
      <c r="AV184" s="318"/>
      <c r="AW184" s="318"/>
      <c r="AX184" s="318"/>
      <c r="AY184" s="318"/>
      <c r="AZ184" s="318"/>
      <c r="BA184" s="318"/>
      <c r="BB184" s="2155"/>
      <c r="BC184" s="2158"/>
      <c r="BD184" s="2161"/>
    </row>
    <row r="185" spans="1:56" ht="14.85" customHeight="1">
      <c r="A185" s="2164"/>
      <c r="B185" s="2152"/>
      <c r="C185" s="2152"/>
      <c r="D185" s="2152"/>
      <c r="E185" s="2152"/>
      <c r="F185" s="2152"/>
      <c r="G185" s="2152"/>
      <c r="H185" s="2152"/>
      <c r="I185" s="2152"/>
      <c r="J185" s="2152"/>
      <c r="K185" s="2152"/>
      <c r="L185" s="318"/>
      <c r="M185" s="318"/>
      <c r="N185" s="318"/>
      <c r="O185" s="318"/>
      <c r="P185" s="318"/>
      <c r="Q185" s="318"/>
      <c r="R185" s="318"/>
      <c r="S185" s="318"/>
      <c r="T185" s="318"/>
      <c r="U185" s="1161" t="s">
        <v>656</v>
      </c>
      <c r="V185" s="318"/>
      <c r="W185" s="318"/>
      <c r="X185" s="318"/>
      <c r="Y185" s="18" t="s">
        <v>1834</v>
      </c>
      <c r="Z185" s="16">
        <v>1</v>
      </c>
      <c r="AA185" s="220">
        <v>46050</v>
      </c>
      <c r="AB185" s="220">
        <v>46050</v>
      </c>
      <c r="AC185" s="1430">
        <v>46173</v>
      </c>
      <c r="AD185" s="318"/>
      <c r="AE185" s="318"/>
      <c r="AF185" s="318"/>
      <c r="AG185" s="318"/>
      <c r="AH185" s="318"/>
      <c r="AI185" s="318"/>
      <c r="AJ185" s="318"/>
      <c r="AK185" s="318"/>
      <c r="AL185" s="1207"/>
      <c r="AM185" s="318"/>
      <c r="AN185" s="318"/>
      <c r="AO185" s="318"/>
      <c r="AP185" s="1207"/>
      <c r="AQ185" s="1207"/>
      <c r="AR185" s="1207"/>
      <c r="AS185" s="318"/>
      <c r="AT185" s="318"/>
      <c r="AU185" s="318"/>
      <c r="AV185" s="318"/>
      <c r="AW185" s="318"/>
      <c r="AX185" s="318"/>
      <c r="AY185" s="318"/>
      <c r="AZ185" s="318"/>
      <c r="BA185" s="318"/>
      <c r="BB185" s="2155"/>
      <c r="BC185" s="2158"/>
      <c r="BD185" s="2161"/>
    </row>
    <row r="186" spans="1:56" ht="14.85" customHeight="1">
      <c r="A186" s="2164"/>
      <c r="B186" s="2152"/>
      <c r="C186" s="2152"/>
      <c r="D186" s="2152"/>
      <c r="E186" s="2152"/>
      <c r="F186" s="2152"/>
      <c r="G186" s="2152"/>
      <c r="H186" s="2152"/>
      <c r="I186" s="2152"/>
      <c r="J186" s="2152"/>
      <c r="K186" s="2152"/>
      <c r="L186" s="318"/>
      <c r="M186" s="318"/>
      <c r="N186" s="318"/>
      <c r="O186" s="318"/>
      <c r="P186" s="318"/>
      <c r="Q186" s="318"/>
      <c r="R186" s="318"/>
      <c r="S186" s="318"/>
      <c r="T186" s="318"/>
      <c r="U186" s="1161" t="s">
        <v>656</v>
      </c>
      <c r="V186" s="318"/>
      <c r="W186" s="318"/>
      <c r="X186" s="318"/>
      <c r="Y186" s="18" t="s">
        <v>1835</v>
      </c>
      <c r="Z186" s="16">
        <v>1</v>
      </c>
      <c r="AA186" s="220">
        <v>46050</v>
      </c>
      <c r="AB186" s="220">
        <v>46050</v>
      </c>
      <c r="AC186" s="1430">
        <v>46173</v>
      </c>
      <c r="AD186" s="318"/>
      <c r="AE186" s="318"/>
      <c r="AF186" s="318"/>
      <c r="AG186" s="318"/>
      <c r="AH186" s="318"/>
      <c r="AI186" s="318"/>
      <c r="AJ186" s="318"/>
      <c r="AK186" s="318"/>
      <c r="AL186" s="1207"/>
      <c r="AM186" s="318"/>
      <c r="AN186" s="318"/>
      <c r="AO186" s="318"/>
      <c r="AP186" s="318"/>
      <c r="AQ186" s="318"/>
      <c r="AR186" s="318"/>
      <c r="AS186" s="318"/>
      <c r="AT186" s="318"/>
      <c r="AU186" s="318"/>
      <c r="AV186" s="318"/>
      <c r="AW186" s="318"/>
      <c r="AX186" s="318"/>
      <c r="AY186" s="318"/>
      <c r="AZ186" s="318"/>
      <c r="BA186" s="318"/>
      <c r="BB186" s="2155"/>
      <c r="BC186" s="2158"/>
      <c r="BD186" s="2161"/>
    </row>
    <row r="187" spans="1:56" ht="14.85" customHeight="1">
      <c r="A187" s="2164"/>
      <c r="B187" s="2152"/>
      <c r="C187" s="2152"/>
      <c r="D187" s="2152"/>
      <c r="E187" s="2152"/>
      <c r="F187" s="2152"/>
      <c r="G187" s="2152"/>
      <c r="H187" s="2152"/>
      <c r="I187" s="2152"/>
      <c r="J187" s="2152"/>
      <c r="K187" s="2152"/>
      <c r="L187" s="318"/>
      <c r="M187" s="318"/>
      <c r="N187" s="318"/>
      <c r="O187" s="318"/>
      <c r="P187" s="318"/>
      <c r="Q187" s="318"/>
      <c r="R187" s="318"/>
      <c r="S187" s="318"/>
      <c r="T187" s="318"/>
      <c r="U187" s="1161" t="s">
        <v>656</v>
      </c>
      <c r="V187" s="318"/>
      <c r="W187" s="318"/>
      <c r="X187" s="318"/>
      <c r="Y187" s="18" t="s">
        <v>1836</v>
      </c>
      <c r="Z187" s="16">
        <v>1</v>
      </c>
      <c r="AA187" s="220">
        <v>45986</v>
      </c>
      <c r="AB187" s="220">
        <v>45986</v>
      </c>
      <c r="AC187" s="1430">
        <v>46183</v>
      </c>
      <c r="AD187" s="318"/>
      <c r="AE187" s="318"/>
      <c r="AF187" s="318"/>
      <c r="AG187" s="318"/>
      <c r="AH187" s="318"/>
      <c r="AI187" s="318"/>
      <c r="AJ187" s="318"/>
      <c r="AK187" s="318"/>
      <c r="AL187" s="1207"/>
      <c r="AM187" s="318"/>
      <c r="AN187" s="318"/>
      <c r="AO187" s="318"/>
      <c r="AP187" s="318"/>
      <c r="AQ187" s="318"/>
      <c r="AR187" s="318"/>
      <c r="AS187" s="318"/>
      <c r="AT187" s="318"/>
      <c r="AU187" s="318"/>
      <c r="AV187" s="318"/>
      <c r="AW187" s="318"/>
      <c r="AX187" s="318"/>
      <c r="AY187" s="318"/>
      <c r="AZ187" s="318"/>
      <c r="BA187" s="318"/>
      <c r="BB187" s="2155"/>
      <c r="BC187" s="2158"/>
      <c r="BD187" s="2161"/>
    </row>
    <row r="188" spans="1:56" ht="14.85" customHeight="1">
      <c r="A188" s="2165"/>
      <c r="B188" s="2153"/>
      <c r="C188" s="2153"/>
      <c r="D188" s="2153"/>
      <c r="E188" s="2153"/>
      <c r="F188" s="2153"/>
      <c r="G188" s="2153"/>
      <c r="H188" s="2153"/>
      <c r="I188" s="2153"/>
      <c r="J188" s="2153"/>
      <c r="K188" s="2153"/>
      <c r="L188" s="811"/>
      <c r="M188" s="811"/>
      <c r="N188" s="811"/>
      <c r="O188" s="811"/>
      <c r="P188" s="811"/>
      <c r="Q188" s="811"/>
      <c r="R188" s="811"/>
      <c r="S188" s="811"/>
      <c r="T188" s="811"/>
      <c r="U188" s="1162" t="s">
        <v>656</v>
      </c>
      <c r="V188" s="811"/>
      <c r="W188" s="811"/>
      <c r="X188" s="811"/>
      <c r="Y188" s="120" t="s">
        <v>1837</v>
      </c>
      <c r="Z188" s="119">
        <v>1</v>
      </c>
      <c r="AA188" s="223">
        <v>45986</v>
      </c>
      <c r="AB188" s="223">
        <v>45986</v>
      </c>
      <c r="AC188" s="1431">
        <v>46183</v>
      </c>
      <c r="AD188" s="811"/>
      <c r="AE188" s="811"/>
      <c r="AF188" s="811"/>
      <c r="AG188" s="811"/>
      <c r="AH188" s="811"/>
      <c r="AI188" s="811"/>
      <c r="AJ188" s="811"/>
      <c r="AK188" s="811"/>
      <c r="AL188" s="811"/>
      <c r="AM188" s="811"/>
      <c r="AN188" s="811"/>
      <c r="AO188" s="811"/>
      <c r="AP188" s="811"/>
      <c r="AQ188" s="811"/>
      <c r="AR188" s="811"/>
      <c r="AS188" s="811"/>
      <c r="AT188" s="811"/>
      <c r="AU188" s="811"/>
      <c r="AV188" s="811"/>
      <c r="AW188" s="811"/>
      <c r="AX188" s="811"/>
      <c r="AY188" s="811"/>
      <c r="AZ188" s="811"/>
      <c r="BA188" s="811"/>
      <c r="BB188" s="2156"/>
      <c r="BC188" s="2159"/>
      <c r="BD188" s="2162"/>
    </row>
  </sheetData>
  <mergeCells count="302">
    <mergeCell ref="A166:A174"/>
    <mergeCell ref="B166:B174"/>
    <mergeCell ref="C166:C174"/>
    <mergeCell ref="D166:D174"/>
    <mergeCell ref="E166:E174"/>
    <mergeCell ref="F166:F174"/>
    <mergeCell ref="G166:G174"/>
    <mergeCell ref="H166:H174"/>
    <mergeCell ref="I166:I174"/>
    <mergeCell ref="J154:J165"/>
    <mergeCell ref="K154:K165"/>
    <mergeCell ref="BB154:BB165"/>
    <mergeCell ref="BC154:BC165"/>
    <mergeCell ref="BD154:BD165"/>
    <mergeCell ref="J166:J174"/>
    <mergeCell ref="K166:K174"/>
    <mergeCell ref="BB166:BB174"/>
    <mergeCell ref="BC166:BC174"/>
    <mergeCell ref="BD166:BD174"/>
    <mergeCell ref="AN154:AN155"/>
    <mergeCell ref="AT154:AT155"/>
    <mergeCell ref="AV154:AV155"/>
    <mergeCell ref="AU154:AU155"/>
    <mergeCell ref="AW154:AW155"/>
    <mergeCell ref="AN156:AN157"/>
    <mergeCell ref="A154:A165"/>
    <mergeCell ref="B154:B165"/>
    <mergeCell ref="C154:C165"/>
    <mergeCell ref="D154:D165"/>
    <mergeCell ref="E154:E165"/>
    <mergeCell ref="F154:F165"/>
    <mergeCell ref="G154:G165"/>
    <mergeCell ref="H154:H165"/>
    <mergeCell ref="I154:I165"/>
    <mergeCell ref="J145:J153"/>
    <mergeCell ref="K145:K153"/>
    <mergeCell ref="BB145:BB153"/>
    <mergeCell ref="BC145:BC153"/>
    <mergeCell ref="BD145:BD153"/>
    <mergeCell ref="A145:A153"/>
    <mergeCell ref="B145:B153"/>
    <mergeCell ref="C145:C153"/>
    <mergeCell ref="D145:D153"/>
    <mergeCell ref="E145:E153"/>
    <mergeCell ref="F145:F153"/>
    <mergeCell ref="G145:G153"/>
    <mergeCell ref="H145:H153"/>
    <mergeCell ref="I145:I153"/>
    <mergeCell ref="J135:J144"/>
    <mergeCell ref="K135:K144"/>
    <mergeCell ref="BB135:BB144"/>
    <mergeCell ref="BC135:BC144"/>
    <mergeCell ref="BD135:BD144"/>
    <mergeCell ref="AN65:AN68"/>
    <mergeCell ref="A135:A144"/>
    <mergeCell ref="B135:B144"/>
    <mergeCell ref="C135:C144"/>
    <mergeCell ref="D135:D144"/>
    <mergeCell ref="E135:E144"/>
    <mergeCell ref="F135:F144"/>
    <mergeCell ref="G135:G144"/>
    <mergeCell ref="H135:H144"/>
    <mergeCell ref="I135:I144"/>
    <mergeCell ref="J100:J116"/>
    <mergeCell ref="K100:K116"/>
    <mergeCell ref="BB100:BB116"/>
    <mergeCell ref="BC100:BC116"/>
    <mergeCell ref="BD100:BD116"/>
    <mergeCell ref="A100:A116"/>
    <mergeCell ref="B100:B116"/>
    <mergeCell ref="C100:C116"/>
    <mergeCell ref="D100:D116"/>
    <mergeCell ref="E100:E116"/>
    <mergeCell ref="F100:F116"/>
    <mergeCell ref="G100:G116"/>
    <mergeCell ref="H100:H116"/>
    <mergeCell ref="I100:I116"/>
    <mergeCell ref="J77:J88"/>
    <mergeCell ref="K77:K88"/>
    <mergeCell ref="BB77:BB88"/>
    <mergeCell ref="BC77:BC88"/>
    <mergeCell ref="J89:J99"/>
    <mergeCell ref="K89:K99"/>
    <mergeCell ref="BB89:BB99"/>
    <mergeCell ref="BC89:BC99"/>
    <mergeCell ref="BD89:BD99"/>
    <mergeCell ref="A77:A88"/>
    <mergeCell ref="B77:B88"/>
    <mergeCell ref="C77:C88"/>
    <mergeCell ref="D77:D88"/>
    <mergeCell ref="E77:E88"/>
    <mergeCell ref="F77:F88"/>
    <mergeCell ref="G77:G88"/>
    <mergeCell ref="H77:H88"/>
    <mergeCell ref="I77:I88"/>
    <mergeCell ref="A89:A99"/>
    <mergeCell ref="B89:B99"/>
    <mergeCell ref="C89:C99"/>
    <mergeCell ref="D89:D99"/>
    <mergeCell ref="E89:E99"/>
    <mergeCell ref="F89:F99"/>
    <mergeCell ref="G89:G99"/>
    <mergeCell ref="H89:H99"/>
    <mergeCell ref="I89:I99"/>
    <mergeCell ref="AI2:AJ2"/>
    <mergeCell ref="BD77:BD88"/>
    <mergeCell ref="AK2:AM2"/>
    <mergeCell ref="AN2:AN3"/>
    <mergeCell ref="AO2:AO3"/>
    <mergeCell ref="AP2:AS2"/>
    <mergeCell ref="AT2:AU2"/>
    <mergeCell ref="Z2:Z3"/>
    <mergeCell ref="AA2:AB2"/>
    <mergeCell ref="BC22:BC31"/>
    <mergeCell ref="BD22:BD31"/>
    <mergeCell ref="BD42:BD52"/>
    <mergeCell ref="AN19:AN20"/>
    <mergeCell ref="AI43:AI44"/>
    <mergeCell ref="AJ43:AJ44"/>
    <mergeCell ref="A1:A3"/>
    <mergeCell ref="B1:C1"/>
    <mergeCell ref="D1:O1"/>
    <mergeCell ref="P1:T1"/>
    <mergeCell ref="U1:X1"/>
    <mergeCell ref="G2:H2"/>
    <mergeCell ref="I2:I3"/>
    <mergeCell ref="J2:J3"/>
    <mergeCell ref="K2:K3"/>
    <mergeCell ref="L2:L3"/>
    <mergeCell ref="M2:O2"/>
    <mergeCell ref="P2:P3"/>
    <mergeCell ref="Q2:Q3"/>
    <mergeCell ref="R2:R3"/>
    <mergeCell ref="S2:S3"/>
    <mergeCell ref="T2:T3"/>
    <mergeCell ref="V2:V3"/>
    <mergeCell ref="W2:W3"/>
    <mergeCell ref="X2:X3"/>
    <mergeCell ref="B2:B3"/>
    <mergeCell ref="C2:C3"/>
    <mergeCell ref="D2:D3"/>
    <mergeCell ref="E2:E3"/>
    <mergeCell ref="F2:F3"/>
    <mergeCell ref="K13:K21"/>
    <mergeCell ref="BD13:BD21"/>
    <mergeCell ref="BB13:BB21"/>
    <mergeCell ref="BC13:BC21"/>
    <mergeCell ref="AN13:AN16"/>
    <mergeCell ref="BB2:BB3"/>
    <mergeCell ref="BD1:BD3"/>
    <mergeCell ref="Y1:AF1"/>
    <mergeCell ref="AG1:AM1"/>
    <mergeCell ref="AN1:AW1"/>
    <mergeCell ref="AY1:BA1"/>
    <mergeCell ref="AC2:AE2"/>
    <mergeCell ref="AF2:AF3"/>
    <mergeCell ref="AG2:AG3"/>
    <mergeCell ref="AH2:AH3"/>
    <mergeCell ref="U2:U3"/>
    <mergeCell ref="BC2:BC3"/>
    <mergeCell ref="AX2:AX3"/>
    <mergeCell ref="AY2:AY3"/>
    <mergeCell ref="AZ2:AZ3"/>
    <mergeCell ref="BA2:BA3"/>
    <mergeCell ref="BB1:BC1"/>
    <mergeCell ref="Y2:Y3"/>
    <mergeCell ref="AV2:AW2"/>
    <mergeCell ref="A4:A12"/>
    <mergeCell ref="B4:B12"/>
    <mergeCell ref="C4:C12"/>
    <mergeCell ref="D4:D12"/>
    <mergeCell ref="E4:E12"/>
    <mergeCell ref="BB4:BB12"/>
    <mergeCell ref="BC4:BC12"/>
    <mergeCell ref="BD4:BD12"/>
    <mergeCell ref="K4:K12"/>
    <mergeCell ref="J4:J12"/>
    <mergeCell ref="F4:F12"/>
    <mergeCell ref="G4:G12"/>
    <mergeCell ref="H4:H12"/>
    <mergeCell ref="I4:I12"/>
    <mergeCell ref="AP5:AR5"/>
    <mergeCell ref="F13:F21"/>
    <mergeCell ref="G13:G21"/>
    <mergeCell ref="H13:H21"/>
    <mergeCell ref="I13:I21"/>
    <mergeCell ref="J13:J21"/>
    <mergeCell ref="A13:A21"/>
    <mergeCell ref="B13:B21"/>
    <mergeCell ref="G22:G31"/>
    <mergeCell ref="H22:H31"/>
    <mergeCell ref="I22:I31"/>
    <mergeCell ref="D13:D21"/>
    <mergeCell ref="E13:E21"/>
    <mergeCell ref="E22:E31"/>
    <mergeCell ref="F22:F31"/>
    <mergeCell ref="C13:C21"/>
    <mergeCell ref="A22:A31"/>
    <mergeCell ref="B22:B31"/>
    <mergeCell ref="C22:C31"/>
    <mergeCell ref="D22:D31"/>
    <mergeCell ref="A32:A41"/>
    <mergeCell ref="B32:B41"/>
    <mergeCell ref="C32:C41"/>
    <mergeCell ref="D32:D41"/>
    <mergeCell ref="E32:E41"/>
    <mergeCell ref="C42:C52"/>
    <mergeCell ref="D42:D52"/>
    <mergeCell ref="E42:E52"/>
    <mergeCell ref="J32:J41"/>
    <mergeCell ref="K32:K41"/>
    <mergeCell ref="BB32:BB41"/>
    <mergeCell ref="BC32:BC41"/>
    <mergeCell ref="BD32:BD41"/>
    <mergeCell ref="J22:J31"/>
    <mergeCell ref="K22:K31"/>
    <mergeCell ref="BB22:BB31"/>
    <mergeCell ref="F32:F41"/>
    <mergeCell ref="G32:G41"/>
    <mergeCell ref="H32:H41"/>
    <mergeCell ref="I32:I41"/>
    <mergeCell ref="K42:K52"/>
    <mergeCell ref="BB42:BB52"/>
    <mergeCell ref="BC42:BC52"/>
    <mergeCell ref="J53:J64"/>
    <mergeCell ref="K53:K64"/>
    <mergeCell ref="BB53:BB64"/>
    <mergeCell ref="BC53:BC64"/>
    <mergeCell ref="BD53:BD64"/>
    <mergeCell ref="A53:A64"/>
    <mergeCell ref="B53:B64"/>
    <mergeCell ref="C53:C64"/>
    <mergeCell ref="D53:D64"/>
    <mergeCell ref="E53:E64"/>
    <mergeCell ref="F53:F64"/>
    <mergeCell ref="G53:G64"/>
    <mergeCell ref="H53:H64"/>
    <mergeCell ref="I53:I64"/>
    <mergeCell ref="F42:F52"/>
    <mergeCell ref="G42:G52"/>
    <mergeCell ref="H42:H52"/>
    <mergeCell ref="I42:I52"/>
    <mergeCell ref="J42:J52"/>
    <mergeCell ref="A42:A52"/>
    <mergeCell ref="B42:B52"/>
    <mergeCell ref="J65:J76"/>
    <mergeCell ref="K65:K76"/>
    <mergeCell ref="BB65:BB76"/>
    <mergeCell ref="BC65:BC76"/>
    <mergeCell ref="BD65:BD76"/>
    <mergeCell ref="A65:A76"/>
    <mergeCell ref="B65:B76"/>
    <mergeCell ref="C65:C76"/>
    <mergeCell ref="D65:D76"/>
    <mergeCell ref="E65:E76"/>
    <mergeCell ref="F65:F76"/>
    <mergeCell ref="G65:G76"/>
    <mergeCell ref="H65:H76"/>
    <mergeCell ref="I65:I76"/>
    <mergeCell ref="AN69:AN70"/>
    <mergeCell ref="J125:J134"/>
    <mergeCell ref="K125:K134"/>
    <mergeCell ref="BB125:BB134"/>
    <mergeCell ref="BC125:BC134"/>
    <mergeCell ref="BD125:BD134"/>
    <mergeCell ref="A125:A134"/>
    <mergeCell ref="B125:B134"/>
    <mergeCell ref="C125:C134"/>
    <mergeCell ref="D125:D134"/>
    <mergeCell ref="E125:E134"/>
    <mergeCell ref="F125:F134"/>
    <mergeCell ref="G125:G134"/>
    <mergeCell ref="H125:H134"/>
    <mergeCell ref="I125:I134"/>
    <mergeCell ref="J117:J124"/>
    <mergeCell ref="K117:K124"/>
    <mergeCell ref="BB117:BB124"/>
    <mergeCell ref="BC117:BC124"/>
    <mergeCell ref="BD117:BD124"/>
    <mergeCell ref="A117:A124"/>
    <mergeCell ref="B117:B124"/>
    <mergeCell ref="C117:C124"/>
    <mergeCell ref="D117:D124"/>
    <mergeCell ref="E117:E124"/>
    <mergeCell ref="F117:F124"/>
    <mergeCell ref="G117:G124"/>
    <mergeCell ref="H117:H124"/>
    <mergeCell ref="I117:I124"/>
    <mergeCell ref="K175:K188"/>
    <mergeCell ref="BB175:BB188"/>
    <mergeCell ref="BC175:BC188"/>
    <mergeCell ref="BD175:BD188"/>
    <mergeCell ref="A175:A188"/>
    <mergeCell ref="B175:B188"/>
    <mergeCell ref="C175:C188"/>
    <mergeCell ref="E175:E188"/>
    <mergeCell ref="F175:F188"/>
    <mergeCell ref="G175:G188"/>
    <mergeCell ref="H175:H188"/>
    <mergeCell ref="I175:I188"/>
    <mergeCell ref="J175:J188"/>
    <mergeCell ref="D175:D188"/>
  </mergeCells>
  <phoneticPr fontId="5" type="noConversion"/>
  <pageMargins left="0.7" right="0.7" top="0.75" bottom="0.75" header="0.3" footer="0.3"/>
  <pageSetup paperSize="8" scale="22" orientation="landscape" verticalDpi="12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2D0FF-315D-4BEC-92E4-8D17F3280B80}">
  <dimension ref="A1:P38"/>
  <sheetViews>
    <sheetView zoomScale="85" zoomScaleNormal="85" workbookViewId="0" xr3:uid="{FC65B870-88D7-5EFE-AFD8-C90B4A7DDEBE}">
      <pane xSplit="5" ySplit="2" topLeftCell="F3" activePane="bottomRight" state="frozen"/>
      <selection pane="bottomRight" activeCell="K18" sqref="K18"/>
      <selection pane="bottomLeft" activeCell="A3" sqref="A3"/>
      <selection pane="topRight" activeCell="F1" sqref="F1"/>
    </sheetView>
  </sheetViews>
  <sheetFormatPr defaultColWidth="9.140625" defaultRowHeight="14.45"/>
  <cols>
    <col min="1" max="1" width="11.42578125" style="282" customWidth="1"/>
    <col min="2" max="2" width="29.85546875" style="282" customWidth="1"/>
    <col min="3" max="3" width="9.140625" style="282"/>
    <col min="4" max="4" width="13.42578125" style="282" customWidth="1"/>
    <col min="5" max="5" width="27.42578125" style="282" customWidth="1"/>
    <col min="6" max="6" width="13" style="282" customWidth="1"/>
    <col min="7" max="14" width="14.42578125" style="282" customWidth="1"/>
    <col min="15" max="15" width="39.140625" style="282" customWidth="1"/>
    <col min="16" max="16" width="18.85546875" style="282" customWidth="1"/>
    <col min="17" max="16384" width="9.140625" style="282"/>
  </cols>
  <sheetData>
    <row r="1" spans="1:16">
      <c r="A1" s="2289" t="s">
        <v>1838</v>
      </c>
      <c r="B1" s="2291" t="s">
        <v>1839</v>
      </c>
      <c r="C1" s="2287" t="s">
        <v>1840</v>
      </c>
      <c r="D1" s="2287" t="s">
        <v>1841</v>
      </c>
      <c r="E1" s="2293" t="s">
        <v>1842</v>
      </c>
      <c r="F1" s="2287" t="s">
        <v>1843</v>
      </c>
      <c r="G1" s="2287" t="s">
        <v>105</v>
      </c>
      <c r="H1" s="2287" t="s">
        <v>1844</v>
      </c>
      <c r="I1" s="2287" t="s">
        <v>1845</v>
      </c>
      <c r="J1" s="2287"/>
      <c r="K1" s="2287"/>
      <c r="L1" s="2298" t="s">
        <v>1846</v>
      </c>
      <c r="M1" s="2291" t="s">
        <v>1847</v>
      </c>
      <c r="N1" s="2300" t="s">
        <v>1848</v>
      </c>
      <c r="O1" s="2287" t="s">
        <v>1849</v>
      </c>
      <c r="P1" s="2295" t="s">
        <v>1850</v>
      </c>
    </row>
    <row r="2" spans="1:16" ht="29.1">
      <c r="A2" s="2290"/>
      <c r="B2" s="2292"/>
      <c r="C2" s="2288"/>
      <c r="D2" s="2288"/>
      <c r="E2" s="2294"/>
      <c r="F2" s="2288"/>
      <c r="G2" s="2288"/>
      <c r="H2" s="2288"/>
      <c r="I2" s="283" t="s">
        <v>1851</v>
      </c>
      <c r="J2" s="283" t="s">
        <v>1852</v>
      </c>
      <c r="K2" s="284" t="s">
        <v>1853</v>
      </c>
      <c r="L2" s="2299"/>
      <c r="M2" s="2288"/>
      <c r="N2" s="2301"/>
      <c r="O2" s="2288"/>
      <c r="P2" s="2295"/>
    </row>
    <row r="3" spans="1:16">
      <c r="A3" s="2296" t="s">
        <v>1854</v>
      </c>
      <c r="B3" s="2297" t="s">
        <v>1855</v>
      </c>
      <c r="C3" s="286">
        <v>1</v>
      </c>
      <c r="D3" s="286" t="s">
        <v>1856</v>
      </c>
      <c r="E3" s="287" t="s">
        <v>1857</v>
      </c>
      <c r="F3" s="286" t="s">
        <v>1858</v>
      </c>
      <c r="G3" s="288">
        <v>45731</v>
      </c>
      <c r="H3" s="288">
        <v>45831</v>
      </c>
      <c r="I3" s="288" t="s">
        <v>418</v>
      </c>
      <c r="J3" s="288"/>
      <c r="K3" s="288" t="s">
        <v>1859</v>
      </c>
      <c r="L3" s="288" t="s">
        <v>1859</v>
      </c>
      <c r="M3" s="288">
        <v>45666</v>
      </c>
      <c r="N3" s="288">
        <v>45698</v>
      </c>
      <c r="O3" s="289"/>
      <c r="P3" s="2296" t="s">
        <v>1860</v>
      </c>
    </row>
    <row r="4" spans="1:16">
      <c r="A4" s="2296"/>
      <c r="B4" s="2297"/>
      <c r="C4" s="285">
        <v>2</v>
      </c>
      <c r="D4" s="285" t="s">
        <v>1861</v>
      </c>
      <c r="E4" s="289" t="s">
        <v>1862</v>
      </c>
      <c r="F4" s="285" t="s">
        <v>1858</v>
      </c>
      <c r="G4" s="290" t="s">
        <v>1863</v>
      </c>
      <c r="H4" s="290" t="s">
        <v>1863</v>
      </c>
      <c r="I4" s="288"/>
      <c r="J4" s="288"/>
      <c r="K4" s="288">
        <v>45827</v>
      </c>
      <c r="L4" s="290" t="s">
        <v>1863</v>
      </c>
      <c r="M4" s="290" t="s">
        <v>1863</v>
      </c>
      <c r="N4" s="290"/>
      <c r="O4" s="289"/>
      <c r="P4" s="2296"/>
    </row>
    <row r="5" spans="1:16">
      <c r="A5" s="2296"/>
      <c r="B5" s="2297"/>
      <c r="C5" s="285">
        <v>3</v>
      </c>
      <c r="D5" s="280" t="s">
        <v>1856</v>
      </c>
      <c r="E5" s="291">
        <v>1</v>
      </c>
      <c r="F5" s="285" t="s">
        <v>1858</v>
      </c>
      <c r="G5" s="290">
        <v>45930</v>
      </c>
      <c r="H5" s="290">
        <v>46054</v>
      </c>
      <c r="I5" s="313">
        <v>45828</v>
      </c>
      <c r="J5" s="292">
        <v>45962</v>
      </c>
      <c r="K5" s="290">
        <f>J5+7+7</f>
        <v>45976</v>
      </c>
      <c r="L5" s="290">
        <f>K5+7</f>
        <v>45983</v>
      </c>
      <c r="M5" s="290">
        <f>L5+7</f>
        <v>45990</v>
      </c>
      <c r="N5" s="290"/>
      <c r="O5" s="281"/>
      <c r="P5" s="2296"/>
    </row>
    <row r="6" spans="1:16">
      <c r="A6" s="2296" t="s">
        <v>1128</v>
      </c>
      <c r="B6" s="2297" t="s">
        <v>1864</v>
      </c>
      <c r="C6" s="286">
        <v>1</v>
      </c>
      <c r="D6" s="286" t="s">
        <v>1865</v>
      </c>
      <c r="E6" s="293" t="s">
        <v>1866</v>
      </c>
      <c r="F6" s="286" t="s">
        <v>1867</v>
      </c>
      <c r="G6" s="288">
        <v>45823</v>
      </c>
      <c r="H6" s="288">
        <v>45884</v>
      </c>
      <c r="I6" s="288" t="s">
        <v>1868</v>
      </c>
      <c r="J6" s="288" t="s">
        <v>418</v>
      </c>
      <c r="K6" s="288" t="s">
        <v>1859</v>
      </c>
      <c r="L6" s="288" t="s">
        <v>1859</v>
      </c>
      <c r="M6" s="288">
        <v>45726</v>
      </c>
      <c r="N6" s="288">
        <v>45835</v>
      </c>
      <c r="O6" s="289"/>
      <c r="P6" s="2296" t="s">
        <v>1869</v>
      </c>
    </row>
    <row r="7" spans="1:16">
      <c r="A7" s="2296"/>
      <c r="B7" s="2297"/>
      <c r="C7" s="286">
        <v>2</v>
      </c>
      <c r="D7" s="294" t="s">
        <v>1856</v>
      </c>
      <c r="E7" s="287" t="s">
        <v>1870</v>
      </c>
      <c r="F7" s="286" t="s">
        <v>1867</v>
      </c>
      <c r="G7" s="288">
        <v>45823</v>
      </c>
      <c r="H7" s="288">
        <v>46051</v>
      </c>
      <c r="I7" s="288" t="s">
        <v>1868</v>
      </c>
      <c r="J7" s="288" t="s">
        <v>418</v>
      </c>
      <c r="K7" s="288" t="s">
        <v>1859</v>
      </c>
      <c r="L7" s="288" t="s">
        <v>1859</v>
      </c>
      <c r="M7" s="288">
        <v>45726</v>
      </c>
      <c r="N7" s="288"/>
      <c r="O7" s="289"/>
      <c r="P7" s="2296"/>
    </row>
    <row r="8" spans="1:16">
      <c r="A8" s="2296"/>
      <c r="B8" s="2297"/>
      <c r="C8" s="285">
        <v>3</v>
      </c>
      <c r="D8" s="285" t="s">
        <v>1856</v>
      </c>
      <c r="E8" s="289" t="s">
        <v>1871</v>
      </c>
      <c r="F8" s="285" t="s">
        <v>1867</v>
      </c>
      <c r="G8" s="290"/>
      <c r="H8" s="290"/>
      <c r="I8" s="290" t="s">
        <v>1868</v>
      </c>
      <c r="J8" s="290" t="s">
        <v>418</v>
      </c>
      <c r="K8" s="290">
        <v>45991</v>
      </c>
      <c r="L8" s="290">
        <f>K8+7</f>
        <v>45998</v>
      </c>
      <c r="M8" s="292">
        <f>L8+7</f>
        <v>46005</v>
      </c>
      <c r="N8" s="292"/>
      <c r="O8" s="281"/>
      <c r="P8" s="2296"/>
    </row>
    <row r="9" spans="1:16" ht="31.5">
      <c r="A9" s="2296"/>
      <c r="B9" s="2297"/>
      <c r="C9" s="285">
        <v>4</v>
      </c>
      <c r="D9" s="285" t="s">
        <v>1856</v>
      </c>
      <c r="E9" s="295" t="s">
        <v>1872</v>
      </c>
      <c r="F9" s="296" t="s">
        <v>1873</v>
      </c>
      <c r="G9" s="297">
        <f>H9-45</f>
        <v>45931</v>
      </c>
      <c r="H9" s="297">
        <v>45976</v>
      </c>
      <c r="I9" s="314">
        <v>45828</v>
      </c>
      <c r="J9" s="298">
        <v>45838</v>
      </c>
      <c r="K9" s="298">
        <f>J9+7</f>
        <v>45845</v>
      </c>
      <c r="L9" s="298">
        <f t="shared" ref="L9:M21" si="0">K9+7</f>
        <v>45852</v>
      </c>
      <c r="M9" s="298">
        <f t="shared" si="0"/>
        <v>45859</v>
      </c>
      <c r="N9" s="298"/>
      <c r="O9" s="281" t="s">
        <v>1874</v>
      </c>
      <c r="P9" s="2296"/>
    </row>
    <row r="10" spans="1:16">
      <c r="A10" s="2296"/>
      <c r="B10" s="2297"/>
      <c r="C10" s="285">
        <v>5</v>
      </c>
      <c r="D10" s="285" t="s">
        <v>1856</v>
      </c>
      <c r="E10" s="299" t="s">
        <v>1875</v>
      </c>
      <c r="F10" s="296" t="s">
        <v>1873</v>
      </c>
      <c r="G10" s="297">
        <f>H10-45</f>
        <v>46060</v>
      </c>
      <c r="H10" s="297">
        <v>46105</v>
      </c>
      <c r="I10" s="314">
        <v>45828</v>
      </c>
      <c r="J10" s="298">
        <v>45838</v>
      </c>
      <c r="K10" s="298">
        <f>J10+1</f>
        <v>45839</v>
      </c>
      <c r="L10" s="298">
        <f t="shared" si="0"/>
        <v>45846</v>
      </c>
      <c r="M10" s="297">
        <f t="shared" si="0"/>
        <v>45853</v>
      </c>
      <c r="N10" s="298"/>
      <c r="O10" s="289" t="s">
        <v>1876</v>
      </c>
      <c r="P10" s="2296"/>
    </row>
    <row r="11" spans="1:16">
      <c r="A11" s="2296" t="s">
        <v>1278</v>
      </c>
      <c r="B11" s="2297" t="s">
        <v>1877</v>
      </c>
      <c r="C11" s="285">
        <v>1</v>
      </c>
      <c r="D11" s="285" t="s">
        <v>1856</v>
      </c>
      <c r="E11" s="300">
        <v>0.4</v>
      </c>
      <c r="F11" s="296" t="s">
        <v>1858</v>
      </c>
      <c r="G11" s="298">
        <v>45976</v>
      </c>
      <c r="H11" s="298">
        <v>46030</v>
      </c>
      <c r="I11" s="301">
        <v>45828</v>
      </c>
      <c r="J11" s="301">
        <v>45868</v>
      </c>
      <c r="K11" s="298"/>
      <c r="L11" s="298"/>
      <c r="M11" s="298">
        <v>45835</v>
      </c>
      <c r="N11" s="298">
        <v>45835</v>
      </c>
      <c r="O11" s="289" t="s">
        <v>1878</v>
      </c>
      <c r="P11" s="2296" t="s">
        <v>1879</v>
      </c>
    </row>
    <row r="12" spans="1:16">
      <c r="A12" s="2296"/>
      <c r="B12" s="2297"/>
      <c r="C12" s="285">
        <v>2</v>
      </c>
      <c r="D12" s="285" t="s">
        <v>1856</v>
      </c>
      <c r="E12" s="300">
        <v>1</v>
      </c>
      <c r="F12" s="296" t="s">
        <v>1858</v>
      </c>
      <c r="G12" s="298"/>
      <c r="H12" s="298"/>
      <c r="I12" s="314">
        <v>45828</v>
      </c>
      <c r="J12" s="298">
        <v>45976</v>
      </c>
      <c r="K12" s="298">
        <f>I12+7</f>
        <v>45835</v>
      </c>
      <c r="L12" s="298">
        <f t="shared" si="0"/>
        <v>45842</v>
      </c>
      <c r="M12" s="297">
        <f t="shared" si="0"/>
        <v>45849</v>
      </c>
      <c r="N12" s="297"/>
      <c r="O12" s="289"/>
      <c r="P12" s="2296"/>
    </row>
    <row r="13" spans="1:16">
      <c r="A13" s="2296" t="s">
        <v>1880</v>
      </c>
      <c r="B13" s="2297" t="s">
        <v>1881</v>
      </c>
      <c r="C13" s="285">
        <v>1</v>
      </c>
      <c r="D13" s="285" t="s">
        <v>1856</v>
      </c>
      <c r="E13" s="300">
        <v>0.7</v>
      </c>
      <c r="F13" s="296" t="s">
        <v>1858</v>
      </c>
      <c r="G13" s="298" t="s">
        <v>1882</v>
      </c>
      <c r="H13" s="298">
        <v>46068</v>
      </c>
      <c r="I13" s="301">
        <v>45828</v>
      </c>
      <c r="J13" s="301">
        <v>45868</v>
      </c>
      <c r="K13" s="298"/>
      <c r="L13" s="298"/>
      <c r="M13" s="297">
        <v>45838</v>
      </c>
      <c r="N13" s="297">
        <v>45835</v>
      </c>
      <c r="O13" s="289" t="s">
        <v>1878</v>
      </c>
      <c r="P13" s="2297" t="s">
        <v>1883</v>
      </c>
    </row>
    <row r="14" spans="1:16">
      <c r="A14" s="2296"/>
      <c r="B14" s="2297"/>
      <c r="C14" s="285">
        <v>2</v>
      </c>
      <c r="D14" s="285" t="s">
        <v>1884</v>
      </c>
      <c r="E14" s="299" t="s">
        <v>1885</v>
      </c>
      <c r="F14" s="296" t="s">
        <v>1867</v>
      </c>
      <c r="G14" s="298"/>
      <c r="H14" s="298"/>
      <c r="I14" s="298" t="s">
        <v>1868</v>
      </c>
      <c r="J14" s="298" t="s">
        <v>418</v>
      </c>
      <c r="K14" s="298">
        <v>45899</v>
      </c>
      <c r="L14" s="298">
        <f t="shared" si="0"/>
        <v>45906</v>
      </c>
      <c r="M14" s="297">
        <f t="shared" si="0"/>
        <v>45913</v>
      </c>
      <c r="N14" s="297"/>
      <c r="O14" s="281"/>
      <c r="P14" s="2297"/>
    </row>
    <row r="15" spans="1:16">
      <c r="A15" s="2296"/>
      <c r="B15" s="2297"/>
      <c r="C15" s="285">
        <v>3</v>
      </c>
      <c r="D15" s="280" t="s">
        <v>1856</v>
      </c>
      <c r="E15" s="302">
        <v>1</v>
      </c>
      <c r="F15" s="296" t="s">
        <v>1858</v>
      </c>
      <c r="G15" s="298"/>
      <c r="H15" s="298"/>
      <c r="I15" s="314">
        <v>45828</v>
      </c>
      <c r="J15" s="297">
        <v>45976</v>
      </c>
      <c r="K15" s="298">
        <f>J15+1+1</f>
        <v>45978</v>
      </c>
      <c r="L15" s="297">
        <f t="shared" si="0"/>
        <v>45985</v>
      </c>
      <c r="M15" s="298">
        <f t="shared" si="0"/>
        <v>45992</v>
      </c>
      <c r="N15" s="298"/>
      <c r="O15" s="281"/>
      <c r="P15" s="2297"/>
    </row>
    <row r="16" spans="1:16">
      <c r="A16" s="2296" t="s">
        <v>1886</v>
      </c>
      <c r="B16" s="2297" t="s">
        <v>1887</v>
      </c>
      <c r="C16" s="285">
        <v>1</v>
      </c>
      <c r="D16" s="280" t="s">
        <v>1856</v>
      </c>
      <c r="E16" s="302">
        <v>0.7</v>
      </c>
      <c r="F16" s="296" t="s">
        <v>1858</v>
      </c>
      <c r="G16" s="298">
        <v>45992</v>
      </c>
      <c r="H16" s="298">
        <v>46080</v>
      </c>
      <c r="I16" s="298" t="s">
        <v>1868</v>
      </c>
      <c r="J16" s="298" t="s">
        <v>1868</v>
      </c>
      <c r="K16" s="301">
        <v>45834</v>
      </c>
      <c r="L16" s="315">
        <v>45834</v>
      </c>
      <c r="M16" s="301">
        <v>45841</v>
      </c>
      <c r="N16" s="298">
        <v>45835</v>
      </c>
      <c r="O16" s="289" t="s">
        <v>1888</v>
      </c>
      <c r="P16" s="280" t="s">
        <v>1889</v>
      </c>
    </row>
    <row r="17" spans="1:16">
      <c r="A17" s="2296"/>
      <c r="B17" s="2297"/>
      <c r="C17" s="285">
        <v>2</v>
      </c>
      <c r="D17" s="280" t="s">
        <v>1856</v>
      </c>
      <c r="E17" s="302">
        <v>1</v>
      </c>
      <c r="F17" s="296" t="s">
        <v>1858</v>
      </c>
      <c r="G17" s="298"/>
      <c r="H17" s="298"/>
      <c r="I17" s="314">
        <v>45828</v>
      </c>
      <c r="J17" s="298">
        <v>46022</v>
      </c>
      <c r="K17" s="298">
        <f>J17+7</f>
        <v>46029</v>
      </c>
      <c r="L17" s="298">
        <f t="shared" si="0"/>
        <v>46036</v>
      </c>
      <c r="M17" s="298">
        <f t="shared" si="0"/>
        <v>46043</v>
      </c>
      <c r="N17" s="298"/>
      <c r="O17" s="289"/>
      <c r="P17" s="289"/>
    </row>
    <row r="18" spans="1:16">
      <c r="A18" s="2296" t="s">
        <v>1880</v>
      </c>
      <c r="B18" s="2297" t="s">
        <v>1890</v>
      </c>
      <c r="C18" s="285">
        <v>1</v>
      </c>
      <c r="D18" s="280" t="s">
        <v>1856</v>
      </c>
      <c r="E18" s="302">
        <v>0.7</v>
      </c>
      <c r="F18" s="296" t="s">
        <v>1858</v>
      </c>
      <c r="G18" s="298">
        <v>45992</v>
      </c>
      <c r="H18" s="298">
        <v>46080</v>
      </c>
      <c r="I18" s="301">
        <v>45828</v>
      </c>
      <c r="J18" s="301">
        <v>45848</v>
      </c>
      <c r="K18" s="298">
        <f t="shared" ref="K18:K20" si="1">I18+7</f>
        <v>45835</v>
      </c>
      <c r="L18" s="297">
        <f t="shared" si="0"/>
        <v>45842</v>
      </c>
      <c r="M18" s="298">
        <v>45835</v>
      </c>
      <c r="N18" s="298">
        <v>45835</v>
      </c>
      <c r="O18" s="289" t="s">
        <v>1878</v>
      </c>
      <c r="P18" s="280" t="s">
        <v>1891</v>
      </c>
    </row>
    <row r="19" spans="1:16">
      <c r="A19" s="2296"/>
      <c r="B19" s="2297"/>
      <c r="C19" s="285">
        <v>2</v>
      </c>
      <c r="D19" s="280" t="s">
        <v>1856</v>
      </c>
      <c r="E19" s="302">
        <v>1</v>
      </c>
      <c r="F19" s="296" t="s">
        <v>1858</v>
      </c>
      <c r="G19" s="298"/>
      <c r="H19" s="298"/>
      <c r="I19" s="314">
        <v>45828</v>
      </c>
      <c r="J19" s="298">
        <v>46006</v>
      </c>
      <c r="K19" s="298">
        <f>J19+7</f>
        <v>46013</v>
      </c>
      <c r="L19" s="298">
        <f t="shared" si="0"/>
        <v>46020</v>
      </c>
      <c r="M19" s="298">
        <f t="shared" si="0"/>
        <v>46027</v>
      </c>
      <c r="N19" s="298"/>
      <c r="O19" s="289"/>
      <c r="P19" s="289"/>
    </row>
    <row r="20" spans="1:16">
      <c r="A20" s="2296" t="s">
        <v>1892</v>
      </c>
      <c r="B20" s="2297" t="s">
        <v>1893</v>
      </c>
      <c r="C20" s="285">
        <v>1</v>
      </c>
      <c r="D20" s="280" t="s">
        <v>1856</v>
      </c>
      <c r="E20" s="302">
        <v>0.7</v>
      </c>
      <c r="F20" s="296" t="s">
        <v>1858</v>
      </c>
      <c r="G20" s="298">
        <v>45992</v>
      </c>
      <c r="H20" s="298">
        <v>46080</v>
      </c>
      <c r="I20" s="301">
        <v>45828</v>
      </c>
      <c r="J20" s="301">
        <v>45870</v>
      </c>
      <c r="K20" s="298">
        <f t="shared" si="1"/>
        <v>45835</v>
      </c>
      <c r="L20" s="297">
        <f t="shared" si="0"/>
        <v>45842</v>
      </c>
      <c r="M20" s="298">
        <v>45835</v>
      </c>
      <c r="N20" s="298">
        <v>45835</v>
      </c>
      <c r="O20" s="289" t="s">
        <v>1878</v>
      </c>
      <c r="P20" s="2296" t="s">
        <v>1894</v>
      </c>
    </row>
    <row r="21" spans="1:16">
      <c r="A21" s="2296"/>
      <c r="B21" s="2297"/>
      <c r="C21" s="285">
        <v>2</v>
      </c>
      <c r="D21" s="280" t="s">
        <v>1856</v>
      </c>
      <c r="E21" s="302">
        <v>1</v>
      </c>
      <c r="F21" s="296" t="s">
        <v>1858</v>
      </c>
      <c r="G21" s="298"/>
      <c r="H21" s="298"/>
      <c r="I21" s="314">
        <v>45828</v>
      </c>
      <c r="J21" s="298">
        <v>45991</v>
      </c>
      <c r="K21" s="298">
        <f>J21+7</f>
        <v>45998</v>
      </c>
      <c r="L21" s="298">
        <f t="shared" si="0"/>
        <v>46005</v>
      </c>
      <c r="M21" s="298">
        <f t="shared" si="0"/>
        <v>46012</v>
      </c>
      <c r="N21" s="298"/>
      <c r="O21" s="289"/>
      <c r="P21" s="2296"/>
    </row>
    <row r="22" spans="1:16">
      <c r="A22" s="303"/>
      <c r="B22" s="304"/>
      <c r="C22" s="303"/>
      <c r="D22" s="304"/>
      <c r="E22" s="305"/>
      <c r="F22" s="303"/>
      <c r="G22" s="306"/>
      <c r="H22" s="306"/>
      <c r="I22" s="307"/>
      <c r="J22" s="307"/>
      <c r="K22" s="306"/>
      <c r="L22" s="306"/>
      <c r="M22" s="306"/>
      <c r="N22" s="306"/>
      <c r="O22" s="308"/>
      <c r="P22" s="308"/>
    </row>
    <row r="23" spans="1:16">
      <c r="A23" s="303"/>
      <c r="B23" s="304"/>
      <c r="C23" s="303"/>
      <c r="D23" s="304"/>
      <c r="E23" s="305"/>
      <c r="F23" s="303"/>
      <c r="G23" s="306"/>
      <c r="H23" s="306"/>
      <c r="I23" s="307"/>
      <c r="J23" s="307"/>
      <c r="K23" s="306"/>
      <c r="L23" s="306"/>
      <c r="M23" s="306"/>
      <c r="N23" s="306"/>
      <c r="O23" s="308"/>
      <c r="P23" s="308"/>
    </row>
    <row r="24" spans="1:16">
      <c r="A24" s="2296" t="s">
        <v>1895</v>
      </c>
      <c r="B24" s="2297" t="s">
        <v>1896</v>
      </c>
      <c r="C24" s="286">
        <v>1</v>
      </c>
      <c r="D24" s="286" t="s">
        <v>1897</v>
      </c>
      <c r="E24" s="287" t="s">
        <v>1898</v>
      </c>
      <c r="F24" s="286" t="s">
        <v>1867</v>
      </c>
      <c r="G24" s="288">
        <v>45823</v>
      </c>
      <c r="H24" s="288">
        <v>45884</v>
      </c>
      <c r="I24" s="288" t="s">
        <v>1859</v>
      </c>
      <c r="J24" s="288"/>
      <c r="K24" s="288" t="s">
        <v>1859</v>
      </c>
      <c r="L24" s="288" t="s">
        <v>1859</v>
      </c>
      <c r="M24" s="288">
        <v>45756</v>
      </c>
      <c r="N24" s="288">
        <v>45866</v>
      </c>
      <c r="O24" s="289"/>
      <c r="P24" s="2296" t="s">
        <v>1869</v>
      </c>
    </row>
    <row r="25" spans="1:16">
      <c r="A25" s="2296"/>
      <c r="B25" s="2297"/>
      <c r="C25" s="286">
        <v>2</v>
      </c>
      <c r="D25" s="286" t="s">
        <v>1856</v>
      </c>
      <c r="E25" s="309">
        <v>0.8</v>
      </c>
      <c r="F25" s="286" t="s">
        <v>1858</v>
      </c>
      <c r="G25" s="288">
        <v>45823</v>
      </c>
      <c r="H25" s="288">
        <v>46048</v>
      </c>
      <c r="I25" s="288" t="s">
        <v>1899</v>
      </c>
      <c r="J25" s="288"/>
      <c r="K25" s="288">
        <v>45820</v>
      </c>
      <c r="L25" s="288">
        <v>45820</v>
      </c>
      <c r="M25" s="290">
        <v>45838</v>
      </c>
      <c r="N25" s="290"/>
      <c r="O25" s="289" t="s">
        <v>1900</v>
      </c>
      <c r="P25" s="2296"/>
    </row>
    <row r="26" spans="1:16">
      <c r="A26" s="2296"/>
      <c r="B26" s="2297"/>
      <c r="C26" s="285">
        <v>3</v>
      </c>
      <c r="D26" s="285" t="s">
        <v>1856</v>
      </c>
      <c r="E26" s="310">
        <v>1</v>
      </c>
      <c r="F26" s="285" t="s">
        <v>1858</v>
      </c>
      <c r="G26" s="290"/>
      <c r="H26" s="290"/>
      <c r="I26" s="290">
        <v>45915</v>
      </c>
      <c r="J26" s="290"/>
      <c r="K26" s="290">
        <f>I26+7</f>
        <v>45922</v>
      </c>
      <c r="L26" s="290">
        <f>K26+7</f>
        <v>45929</v>
      </c>
      <c r="M26" s="290"/>
      <c r="N26" s="290"/>
      <c r="O26" s="289"/>
      <c r="P26" s="2296"/>
    </row>
    <row r="27" spans="1:16">
      <c r="A27" s="2296" t="s">
        <v>1499</v>
      </c>
      <c r="B27" s="2297" t="s">
        <v>1901</v>
      </c>
      <c r="C27" s="286">
        <v>1</v>
      </c>
      <c r="D27" s="286" t="s">
        <v>1865</v>
      </c>
      <c r="E27" s="287" t="s">
        <v>1898</v>
      </c>
      <c r="F27" s="286" t="s">
        <v>1902</v>
      </c>
      <c r="G27" s="288">
        <v>45859</v>
      </c>
      <c r="H27" s="288">
        <v>45884</v>
      </c>
      <c r="I27" s="288" t="s">
        <v>1859</v>
      </c>
      <c r="J27" s="288"/>
      <c r="K27" s="288" t="s">
        <v>1859</v>
      </c>
      <c r="L27" s="288" t="s">
        <v>1859</v>
      </c>
      <c r="M27" s="288">
        <v>45785</v>
      </c>
      <c r="N27" s="288">
        <v>45869</v>
      </c>
      <c r="O27" s="289"/>
      <c r="P27" s="2296" t="s">
        <v>1903</v>
      </c>
    </row>
    <row r="28" spans="1:16">
      <c r="A28" s="2296"/>
      <c r="B28" s="2297"/>
      <c r="C28" s="285">
        <v>2</v>
      </c>
      <c r="D28" s="285" t="s">
        <v>1856</v>
      </c>
      <c r="E28" s="291">
        <v>0.6</v>
      </c>
      <c r="F28" s="285" t="s">
        <v>1858</v>
      </c>
      <c r="G28" s="290"/>
      <c r="H28" s="290">
        <v>46110</v>
      </c>
      <c r="I28" s="311" t="s">
        <v>1899</v>
      </c>
      <c r="J28" s="311"/>
      <c r="K28" s="290">
        <v>45826</v>
      </c>
      <c r="L28" s="290">
        <f>K28+7</f>
        <v>45833</v>
      </c>
      <c r="M28" s="290">
        <f>L28+7</f>
        <v>45840</v>
      </c>
      <c r="N28" s="290"/>
      <c r="O28" s="289"/>
      <c r="P28" s="2296"/>
    </row>
    <row r="29" spans="1:16">
      <c r="A29" s="2296"/>
      <c r="B29" s="2297"/>
      <c r="C29" s="285">
        <v>3</v>
      </c>
      <c r="D29" s="285" t="s">
        <v>1856</v>
      </c>
      <c r="E29" s="291">
        <v>1</v>
      </c>
      <c r="F29" s="285" t="s">
        <v>1858</v>
      </c>
      <c r="G29" s="292"/>
      <c r="H29" s="292"/>
      <c r="I29" s="290">
        <v>45931</v>
      </c>
      <c r="J29" s="290"/>
      <c r="K29" s="290">
        <f>I29+7</f>
        <v>45938</v>
      </c>
      <c r="L29" s="290">
        <f>K29+7</f>
        <v>45945</v>
      </c>
      <c r="M29" s="290">
        <f>L29+7</f>
        <v>45952</v>
      </c>
      <c r="N29" s="290"/>
      <c r="O29" s="289"/>
      <c r="P29" s="2296"/>
    </row>
    <row r="30" spans="1:16">
      <c r="A30" s="2296" t="s">
        <v>1586</v>
      </c>
      <c r="B30" s="2297" t="s">
        <v>1587</v>
      </c>
      <c r="C30" s="286">
        <v>1</v>
      </c>
      <c r="D30" s="286" t="s">
        <v>1865</v>
      </c>
      <c r="E30" s="287" t="s">
        <v>1904</v>
      </c>
      <c r="F30" s="286" t="s">
        <v>1867</v>
      </c>
      <c r="G30" s="288">
        <v>45869</v>
      </c>
      <c r="H30" s="288">
        <v>45931</v>
      </c>
      <c r="I30" s="288" t="s">
        <v>1859</v>
      </c>
      <c r="J30" s="288"/>
      <c r="K30" s="288" t="s">
        <v>1859</v>
      </c>
      <c r="L30" s="288" t="s">
        <v>1859</v>
      </c>
      <c r="M30" s="288">
        <v>45806</v>
      </c>
      <c r="N30" s="288">
        <v>45864</v>
      </c>
      <c r="O30" s="285"/>
      <c r="P30" s="285"/>
    </row>
    <row r="31" spans="1:16">
      <c r="A31" s="2296"/>
      <c r="B31" s="2297"/>
      <c r="C31" s="285">
        <v>2</v>
      </c>
      <c r="D31" s="285" t="s">
        <v>1856</v>
      </c>
      <c r="E31" s="310">
        <v>0.8</v>
      </c>
      <c r="F31" s="285" t="s">
        <v>1858</v>
      </c>
      <c r="G31" s="290"/>
      <c r="H31" s="290">
        <v>45800</v>
      </c>
      <c r="I31" s="290">
        <v>45833</v>
      </c>
      <c r="J31" s="290"/>
      <c r="K31" s="290">
        <f>I31+7</f>
        <v>45840</v>
      </c>
      <c r="L31" s="290">
        <f t="shared" ref="L31:M35" si="2">K31+7</f>
        <v>45847</v>
      </c>
      <c r="M31" s="290">
        <f t="shared" si="2"/>
        <v>45854</v>
      </c>
      <c r="N31" s="290"/>
      <c r="O31" s="285"/>
      <c r="P31" s="285"/>
    </row>
    <row r="32" spans="1:16">
      <c r="A32" s="2296"/>
      <c r="B32" s="2297"/>
      <c r="C32" s="285">
        <v>3</v>
      </c>
      <c r="D32" s="285" t="s">
        <v>1856</v>
      </c>
      <c r="E32" s="310">
        <v>1</v>
      </c>
      <c r="F32" s="285" t="s">
        <v>1858</v>
      </c>
      <c r="G32" s="290"/>
      <c r="H32" s="290"/>
      <c r="I32" s="290">
        <v>45937</v>
      </c>
      <c r="J32" s="290"/>
      <c r="K32" s="290">
        <f>I32+7</f>
        <v>45944</v>
      </c>
      <c r="L32" s="290">
        <f t="shared" si="2"/>
        <v>45951</v>
      </c>
      <c r="M32" s="290">
        <f t="shared" si="2"/>
        <v>45958</v>
      </c>
      <c r="N32" s="290"/>
      <c r="O32" s="285"/>
      <c r="P32" s="285"/>
    </row>
    <row r="33" spans="1:16" ht="43.5">
      <c r="A33" s="2296" t="s">
        <v>1784</v>
      </c>
      <c r="B33" s="2297" t="s">
        <v>1785</v>
      </c>
      <c r="C33" s="285">
        <v>1</v>
      </c>
      <c r="D33" s="285" t="s">
        <v>1865</v>
      </c>
      <c r="E33" s="289" t="s">
        <v>1905</v>
      </c>
      <c r="F33" s="285" t="s">
        <v>1867</v>
      </c>
      <c r="G33" s="290" t="s">
        <v>451</v>
      </c>
      <c r="H33" s="290" t="s">
        <v>451</v>
      </c>
      <c r="I33" s="290" t="s">
        <v>1868</v>
      </c>
      <c r="J33" s="290"/>
      <c r="K33" s="290">
        <v>45840</v>
      </c>
      <c r="L33" s="290">
        <f t="shared" si="2"/>
        <v>45847</v>
      </c>
      <c r="M33" s="312">
        <f t="shared" si="2"/>
        <v>45854</v>
      </c>
      <c r="N33" s="290">
        <v>45869</v>
      </c>
      <c r="O33" s="281" t="s">
        <v>1906</v>
      </c>
      <c r="P33" s="2296" t="s">
        <v>1907</v>
      </c>
    </row>
    <row r="34" spans="1:16">
      <c r="A34" s="2296"/>
      <c r="B34" s="2297"/>
      <c r="C34" s="285">
        <v>2</v>
      </c>
      <c r="D34" s="285" t="s">
        <v>1856</v>
      </c>
      <c r="E34" s="310">
        <v>0.8</v>
      </c>
      <c r="F34" s="285" t="s">
        <v>1858</v>
      </c>
      <c r="G34" s="290"/>
      <c r="H34" s="290">
        <v>46239</v>
      </c>
      <c r="I34" s="290">
        <v>45840</v>
      </c>
      <c r="J34" s="290"/>
      <c r="K34" s="290">
        <f>I34+7</f>
        <v>45847</v>
      </c>
      <c r="L34" s="290">
        <f t="shared" si="2"/>
        <v>45854</v>
      </c>
      <c r="M34" s="290">
        <f t="shared" si="2"/>
        <v>45861</v>
      </c>
      <c r="N34" s="290">
        <v>45869</v>
      </c>
      <c r="O34" s="289" t="s">
        <v>1908</v>
      </c>
      <c r="P34" s="2296"/>
    </row>
    <row r="35" spans="1:16">
      <c r="A35" s="2296"/>
      <c r="B35" s="2297"/>
      <c r="C35" s="285">
        <v>3</v>
      </c>
      <c r="D35" s="285" t="s">
        <v>1856</v>
      </c>
      <c r="E35" s="310">
        <v>1</v>
      </c>
      <c r="F35" s="285" t="s">
        <v>1909</v>
      </c>
      <c r="G35" s="290"/>
      <c r="H35" s="290"/>
      <c r="I35" s="290">
        <v>45938</v>
      </c>
      <c r="J35" s="290"/>
      <c r="K35" s="290">
        <f>I35+7</f>
        <v>45945</v>
      </c>
      <c r="L35" s="290">
        <f t="shared" si="2"/>
        <v>45952</v>
      </c>
      <c r="M35" s="290">
        <f t="shared" si="2"/>
        <v>45959</v>
      </c>
      <c r="N35" s="290"/>
      <c r="O35" s="289"/>
      <c r="P35" s="2296"/>
    </row>
    <row r="36" spans="1:16">
      <c r="A36" s="2296" t="s">
        <v>1726</v>
      </c>
      <c r="B36" s="2297" t="s">
        <v>1910</v>
      </c>
      <c r="C36" s="286">
        <v>1</v>
      </c>
      <c r="D36" s="294" t="s">
        <v>1865</v>
      </c>
      <c r="E36" s="293" t="s">
        <v>1905</v>
      </c>
      <c r="F36" s="286" t="s">
        <v>1911</v>
      </c>
      <c r="G36" s="288">
        <v>45869</v>
      </c>
      <c r="H36" s="288">
        <v>45884</v>
      </c>
      <c r="I36" s="288" t="s">
        <v>1859</v>
      </c>
      <c r="J36" s="288"/>
      <c r="K36" s="288" t="s">
        <v>1859</v>
      </c>
      <c r="L36" s="288" t="s">
        <v>1859</v>
      </c>
      <c r="M36" s="288">
        <v>45799</v>
      </c>
      <c r="N36" s="288">
        <v>45878</v>
      </c>
      <c r="O36" s="289"/>
      <c r="P36" s="2296" t="s">
        <v>1879</v>
      </c>
    </row>
    <row r="37" spans="1:16">
      <c r="A37" s="2296"/>
      <c r="B37" s="2297"/>
      <c r="C37" s="285">
        <v>2</v>
      </c>
      <c r="D37" s="285" t="s">
        <v>1856</v>
      </c>
      <c r="E37" s="310">
        <v>0.8</v>
      </c>
      <c r="F37" s="285" t="s">
        <v>1858</v>
      </c>
      <c r="G37" s="290"/>
      <c r="H37" s="290">
        <v>46160</v>
      </c>
      <c r="I37" s="290">
        <v>45833</v>
      </c>
      <c r="J37" s="290"/>
      <c r="K37" s="290">
        <f>I37+7</f>
        <v>45840</v>
      </c>
      <c r="L37" s="290">
        <f t="shared" ref="L37:M38" si="3">K37+7</f>
        <v>45847</v>
      </c>
      <c r="M37" s="290">
        <f t="shared" si="3"/>
        <v>45854</v>
      </c>
      <c r="N37" s="290"/>
      <c r="O37" s="289"/>
      <c r="P37" s="2296"/>
    </row>
    <row r="38" spans="1:16">
      <c r="A38" s="2296"/>
      <c r="B38" s="2297"/>
      <c r="C38" s="285">
        <v>3</v>
      </c>
      <c r="D38" s="285" t="s">
        <v>1856</v>
      </c>
      <c r="E38" s="310">
        <v>1</v>
      </c>
      <c r="F38" s="285" t="s">
        <v>1858</v>
      </c>
      <c r="G38" s="290"/>
      <c r="H38" s="290"/>
      <c r="I38" s="290">
        <v>45937</v>
      </c>
      <c r="J38" s="290"/>
      <c r="K38" s="290">
        <f>I38+7</f>
        <v>45944</v>
      </c>
      <c r="L38" s="290">
        <f t="shared" si="3"/>
        <v>45951</v>
      </c>
      <c r="M38" s="290">
        <f t="shared" si="3"/>
        <v>45958</v>
      </c>
      <c r="N38" s="290"/>
      <c r="O38" s="289"/>
      <c r="P38" s="2296"/>
    </row>
  </sheetData>
  <mergeCells count="47">
    <mergeCell ref="P36:P38"/>
    <mergeCell ref="P20:P21"/>
    <mergeCell ref="A24:A26"/>
    <mergeCell ref="B24:B26"/>
    <mergeCell ref="P24:P26"/>
    <mergeCell ref="A27:A29"/>
    <mergeCell ref="B27:B29"/>
    <mergeCell ref="P27:P29"/>
    <mergeCell ref="A30:A32"/>
    <mergeCell ref="B30:B32"/>
    <mergeCell ref="A33:A35"/>
    <mergeCell ref="B33:B35"/>
    <mergeCell ref="P33:P35"/>
    <mergeCell ref="A18:A19"/>
    <mergeCell ref="B18:B19"/>
    <mergeCell ref="A20:A21"/>
    <mergeCell ref="B20:B21"/>
    <mergeCell ref="A36:A38"/>
    <mergeCell ref="B36:B38"/>
    <mergeCell ref="A13:A15"/>
    <mergeCell ref="B13:B15"/>
    <mergeCell ref="P13:P15"/>
    <mergeCell ref="A16:A17"/>
    <mergeCell ref="B16:B17"/>
    <mergeCell ref="P1:P2"/>
    <mergeCell ref="A3:A5"/>
    <mergeCell ref="B3:B5"/>
    <mergeCell ref="P3:P5"/>
    <mergeCell ref="A11:A12"/>
    <mergeCell ref="B11:B12"/>
    <mergeCell ref="P11:P12"/>
    <mergeCell ref="A6:A10"/>
    <mergeCell ref="B6:B10"/>
    <mergeCell ref="P6:P10"/>
    <mergeCell ref="G1:G2"/>
    <mergeCell ref="H1:H2"/>
    <mergeCell ref="I1:K1"/>
    <mergeCell ref="L1:L2"/>
    <mergeCell ref="M1:M2"/>
    <mergeCell ref="N1:N2"/>
    <mergeCell ref="F1:F2"/>
    <mergeCell ref="O1:O2"/>
    <mergeCell ref="A1:A2"/>
    <mergeCell ref="B1:B2"/>
    <mergeCell ref="C1:C2"/>
    <mergeCell ref="D1:D2"/>
    <mergeCell ref="E1:E2"/>
  </mergeCells>
  <phoneticPr fontId="5"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5D87-1740-4629-A078-CABBEBB31F39}">
  <dimension ref="A2:K43"/>
  <sheetViews>
    <sheetView workbookViewId="0" xr3:uid="{57ED6716-3211-51F4-A4BC-5C8CC6330FD5}">
      <pane xSplit="6" ySplit="4" topLeftCell="G13" activePane="bottomRight" state="frozen"/>
      <selection pane="bottomRight" activeCell="L46" sqref="L46"/>
      <selection pane="bottomLeft" activeCell="A2" sqref="A2"/>
      <selection pane="topRight" activeCell="G1" sqref="G1"/>
    </sheetView>
  </sheetViews>
  <sheetFormatPr defaultColWidth="9.140625" defaultRowHeight="14.45"/>
  <cols>
    <col min="1" max="1" width="9.42578125" style="731" bestFit="1" customWidth="1"/>
    <col min="2" max="2" width="12.85546875" style="731" bestFit="1" customWidth="1"/>
    <col min="3" max="3" width="30.5703125" style="732" customWidth="1"/>
    <col min="4" max="4" width="14.85546875" style="732" bestFit="1" customWidth="1"/>
    <col min="5" max="5" width="10.85546875" style="732" customWidth="1"/>
    <col min="6" max="6" width="28.85546875" style="733" bestFit="1" customWidth="1"/>
    <col min="7" max="7" width="14.28515625" style="734" customWidth="1"/>
    <col min="8" max="8" width="15" style="734" bestFit="1" customWidth="1"/>
    <col min="9" max="9" width="15.5703125" style="734" customWidth="1"/>
    <col min="10" max="10" width="10.28515625" style="734" bestFit="1" customWidth="1"/>
    <col min="11" max="11" width="33.42578125" style="732" customWidth="1"/>
    <col min="12" max="16384" width="9.140625" style="735"/>
  </cols>
  <sheetData>
    <row r="2" spans="1:11">
      <c r="A2" s="730" t="s">
        <v>1912</v>
      </c>
    </row>
    <row r="4" spans="1:11">
      <c r="A4" s="736" t="s">
        <v>1913</v>
      </c>
      <c r="B4" s="736" t="s">
        <v>1914</v>
      </c>
      <c r="C4" s="737" t="s">
        <v>1915</v>
      </c>
      <c r="D4" s="737" t="s">
        <v>1916</v>
      </c>
      <c r="E4" s="737" t="s">
        <v>1917</v>
      </c>
      <c r="F4" s="738" t="s">
        <v>1918</v>
      </c>
      <c r="G4" s="739" t="s">
        <v>1919</v>
      </c>
      <c r="H4" s="739" t="s">
        <v>1920</v>
      </c>
      <c r="I4" s="739" t="s">
        <v>1921</v>
      </c>
      <c r="J4" s="739" t="s">
        <v>29</v>
      </c>
      <c r="K4" s="737" t="s">
        <v>1922</v>
      </c>
    </row>
    <row r="5" spans="1:11" ht="29.1">
      <c r="A5" s="740" t="s">
        <v>1923</v>
      </c>
      <c r="B5" s="741">
        <v>5000105899</v>
      </c>
      <c r="C5" s="742" t="s">
        <v>1021</v>
      </c>
      <c r="D5" s="742" t="s">
        <v>1924</v>
      </c>
      <c r="E5" s="742" t="s">
        <v>1023</v>
      </c>
      <c r="F5" s="743" t="s">
        <v>1925</v>
      </c>
      <c r="G5" s="647">
        <v>45666</v>
      </c>
      <c r="H5" s="647">
        <v>45791</v>
      </c>
      <c r="I5" s="647">
        <v>45797</v>
      </c>
      <c r="J5" s="647">
        <v>45809</v>
      </c>
      <c r="K5" s="648"/>
    </row>
    <row r="6" spans="1:11" ht="29.1">
      <c r="A6" s="744" t="s">
        <v>1923</v>
      </c>
      <c r="B6" s="745">
        <v>5000105899</v>
      </c>
      <c r="C6" s="746" t="s">
        <v>1021</v>
      </c>
      <c r="D6" s="746" t="s">
        <v>1924</v>
      </c>
      <c r="E6" s="746" t="s">
        <v>1023</v>
      </c>
      <c r="F6" s="747" t="s">
        <v>1926</v>
      </c>
      <c r="G6" s="646">
        <v>45666</v>
      </c>
      <c r="H6" s="646">
        <v>45924</v>
      </c>
      <c r="I6" s="646">
        <v>45960</v>
      </c>
      <c r="J6" s="646" t="s">
        <v>656</v>
      </c>
      <c r="K6" s="748"/>
    </row>
    <row r="7" spans="1:11" ht="29.1">
      <c r="A7" s="749" t="s">
        <v>1927</v>
      </c>
      <c r="B7" s="750">
        <v>5000105899</v>
      </c>
      <c r="C7" s="751" t="s">
        <v>1021</v>
      </c>
      <c r="D7" s="751" t="s">
        <v>1924</v>
      </c>
      <c r="E7" s="751" t="s">
        <v>1023</v>
      </c>
      <c r="F7" s="752" t="s">
        <v>1928</v>
      </c>
      <c r="G7" s="662">
        <v>45666</v>
      </c>
      <c r="H7" s="646">
        <v>46005</v>
      </c>
      <c r="I7" s="646">
        <v>46044</v>
      </c>
      <c r="J7" s="646" t="s">
        <v>656</v>
      </c>
      <c r="K7" s="753"/>
    </row>
    <row r="8" spans="1:11" ht="30">
      <c r="A8" s="754" t="s">
        <v>1927</v>
      </c>
      <c r="B8" s="755">
        <v>5000105899</v>
      </c>
      <c r="C8" s="756" t="s">
        <v>1929</v>
      </c>
      <c r="D8" s="756" t="s">
        <v>1924</v>
      </c>
      <c r="E8" s="756" t="s">
        <v>1023</v>
      </c>
      <c r="F8" s="655" t="s">
        <v>1930</v>
      </c>
      <c r="G8" s="652">
        <v>46098</v>
      </c>
      <c r="H8" s="1285">
        <v>46161</v>
      </c>
      <c r="I8" s="1285">
        <v>46218</v>
      </c>
      <c r="J8" s="652"/>
      <c r="K8" s="656" t="s">
        <v>1931</v>
      </c>
    </row>
    <row r="9" spans="1:11">
      <c r="A9" s="757" t="s">
        <v>1927</v>
      </c>
      <c r="B9" s="758">
        <v>5000108773</v>
      </c>
      <c r="C9" s="759" t="s">
        <v>1165</v>
      </c>
      <c r="D9" s="759" t="s">
        <v>1932</v>
      </c>
      <c r="E9" s="759" t="s">
        <v>1167</v>
      </c>
      <c r="F9" s="760" t="s">
        <v>1933</v>
      </c>
      <c r="G9" s="661">
        <v>45841</v>
      </c>
      <c r="H9" s="647">
        <v>46023</v>
      </c>
      <c r="I9" s="647">
        <v>46023</v>
      </c>
      <c r="J9" s="647">
        <v>46042</v>
      </c>
      <c r="K9" s="648" t="s">
        <v>1934</v>
      </c>
    </row>
    <row r="10" spans="1:11" ht="29.1">
      <c r="A10" s="749" t="s">
        <v>1927</v>
      </c>
      <c r="B10" s="750">
        <v>5000108773</v>
      </c>
      <c r="C10" s="751" t="s">
        <v>1165</v>
      </c>
      <c r="D10" s="751" t="s">
        <v>1935</v>
      </c>
      <c r="E10" s="751" t="s">
        <v>1167</v>
      </c>
      <c r="F10" s="752" t="s">
        <v>1936</v>
      </c>
      <c r="G10" s="662">
        <v>45965</v>
      </c>
      <c r="H10" s="997" t="s">
        <v>1937</v>
      </c>
      <c r="I10" s="997" t="s">
        <v>1937</v>
      </c>
      <c r="J10" s="646">
        <v>46081</v>
      </c>
      <c r="K10" s="748" t="s">
        <v>1938</v>
      </c>
    </row>
    <row r="11" spans="1:11" ht="15">
      <c r="A11" s="761" t="s">
        <v>1927</v>
      </c>
      <c r="B11" s="762" t="s">
        <v>1939</v>
      </c>
      <c r="C11" s="763" t="s">
        <v>1940</v>
      </c>
      <c r="D11" s="763" t="s">
        <v>1935</v>
      </c>
      <c r="E11" s="763" t="s">
        <v>1167</v>
      </c>
      <c r="F11" s="764" t="s">
        <v>1941</v>
      </c>
      <c r="G11" s="663">
        <v>46030</v>
      </c>
      <c r="H11" s="997">
        <v>46110</v>
      </c>
      <c r="I11" s="997">
        <v>46110</v>
      </c>
      <c r="J11" s="646">
        <v>46119</v>
      </c>
      <c r="K11" s="748" t="s">
        <v>1931</v>
      </c>
    </row>
    <row r="12" spans="1:11" ht="15">
      <c r="A12" s="761" t="s">
        <v>1927</v>
      </c>
      <c r="B12" s="762" t="s">
        <v>1939</v>
      </c>
      <c r="C12" s="763" t="s">
        <v>1940</v>
      </c>
      <c r="D12" s="763" t="s">
        <v>1935</v>
      </c>
      <c r="E12" s="763" t="s">
        <v>1167</v>
      </c>
      <c r="F12" s="764" t="s">
        <v>1942</v>
      </c>
      <c r="G12" s="998">
        <v>46030</v>
      </c>
      <c r="H12" s="997">
        <v>46130</v>
      </c>
      <c r="I12" s="997">
        <v>46130</v>
      </c>
      <c r="J12" s="646">
        <v>46119</v>
      </c>
      <c r="K12" s="748" t="s">
        <v>1931</v>
      </c>
    </row>
    <row r="13" spans="1:11" ht="15">
      <c r="A13" s="913" t="s">
        <v>1927</v>
      </c>
      <c r="B13" s="914">
        <v>5000108773</v>
      </c>
      <c r="C13" s="915" t="s">
        <v>1940</v>
      </c>
      <c r="D13" s="915" t="s">
        <v>1935</v>
      </c>
      <c r="E13" s="915" t="s">
        <v>1167</v>
      </c>
      <c r="F13" s="916" t="s">
        <v>1943</v>
      </c>
      <c r="G13" s="998">
        <v>46109</v>
      </c>
      <c r="H13" s="998">
        <v>46090</v>
      </c>
      <c r="I13" s="998">
        <v>46090</v>
      </c>
      <c r="J13" s="917">
        <v>46053</v>
      </c>
      <c r="K13" s="1163" t="s">
        <v>1931</v>
      </c>
    </row>
    <row r="14" spans="1:11" ht="15">
      <c r="A14" s="754" t="s">
        <v>1927</v>
      </c>
      <c r="B14" s="755">
        <v>5000108773</v>
      </c>
      <c r="C14" s="756" t="s">
        <v>1940</v>
      </c>
      <c r="D14" s="756" t="s">
        <v>1935</v>
      </c>
      <c r="E14" s="756" t="s">
        <v>1167</v>
      </c>
      <c r="F14" s="655" t="s">
        <v>1944</v>
      </c>
      <c r="G14" s="664" t="s">
        <v>451</v>
      </c>
      <c r="H14" s="651" t="s">
        <v>1223</v>
      </c>
      <c r="I14" s="651" t="s">
        <v>1945</v>
      </c>
      <c r="J14" s="651" t="s">
        <v>451</v>
      </c>
      <c r="K14" s="656" t="s">
        <v>1946</v>
      </c>
    </row>
    <row r="15" spans="1:11" ht="45">
      <c r="A15" s="757" t="s">
        <v>1927</v>
      </c>
      <c r="B15" s="758" t="s">
        <v>1947</v>
      </c>
      <c r="C15" s="759" t="s">
        <v>1948</v>
      </c>
      <c r="D15" s="759" t="s">
        <v>1949</v>
      </c>
      <c r="E15" s="759" t="s">
        <v>689</v>
      </c>
      <c r="F15" s="760" t="s">
        <v>1950</v>
      </c>
      <c r="G15" s="775">
        <v>46380</v>
      </c>
      <c r="H15" s="817">
        <v>46061</v>
      </c>
      <c r="I15" s="653" t="s">
        <v>451</v>
      </c>
      <c r="J15" s="653">
        <v>46081</v>
      </c>
      <c r="K15" s="654" t="s">
        <v>1951</v>
      </c>
    </row>
    <row r="16" spans="1:11" ht="30">
      <c r="A16" s="1033" t="s">
        <v>1927</v>
      </c>
      <c r="B16" s="1034" t="s">
        <v>1947</v>
      </c>
      <c r="C16" s="1035" t="s">
        <v>1948</v>
      </c>
      <c r="D16" s="1035" t="s">
        <v>1949</v>
      </c>
      <c r="E16" s="1035" t="s">
        <v>689</v>
      </c>
      <c r="F16" s="1036" t="s">
        <v>1952</v>
      </c>
      <c r="G16" s="1037"/>
      <c r="H16" s="1037"/>
      <c r="I16" s="657"/>
      <c r="J16" s="657"/>
      <c r="K16" s="658" t="s">
        <v>1946</v>
      </c>
    </row>
    <row r="17" spans="1:11" ht="30">
      <c r="A17" s="1028" t="s">
        <v>1927</v>
      </c>
      <c r="B17" s="1029">
        <v>5000109274</v>
      </c>
      <c r="C17" s="1030" t="s">
        <v>1260</v>
      </c>
      <c r="D17" s="1030" t="s">
        <v>1932</v>
      </c>
      <c r="E17" s="1030" t="s">
        <v>1167</v>
      </c>
      <c r="F17" s="1031">
        <v>1</v>
      </c>
      <c r="G17" s="1032">
        <v>45869</v>
      </c>
      <c r="H17" s="1032">
        <v>46050</v>
      </c>
      <c r="I17" s="1032">
        <v>46050</v>
      </c>
      <c r="J17" s="1032">
        <v>46042</v>
      </c>
      <c r="K17" s="1040" t="s">
        <v>1953</v>
      </c>
    </row>
    <row r="18" spans="1:11" ht="15">
      <c r="A18" s="740" t="s">
        <v>1927</v>
      </c>
      <c r="B18" s="741">
        <v>5000108966</v>
      </c>
      <c r="C18" s="742" t="s">
        <v>1954</v>
      </c>
      <c r="D18" s="742" t="s">
        <v>1955</v>
      </c>
      <c r="E18" s="742" t="s">
        <v>1282</v>
      </c>
      <c r="F18" s="1164">
        <v>0.46</v>
      </c>
      <c r="G18" s="647">
        <v>45862</v>
      </c>
      <c r="H18" s="647">
        <v>46046</v>
      </c>
      <c r="I18" s="653">
        <v>46096</v>
      </c>
      <c r="J18" s="653">
        <v>46122</v>
      </c>
      <c r="K18" s="654" t="s">
        <v>1956</v>
      </c>
    </row>
    <row r="19" spans="1:11" ht="15">
      <c r="A19" s="744" t="s">
        <v>1927</v>
      </c>
      <c r="B19" s="745" t="s">
        <v>1957</v>
      </c>
      <c r="C19" s="746" t="s">
        <v>1958</v>
      </c>
      <c r="D19" s="746" t="s">
        <v>1955</v>
      </c>
      <c r="E19" s="746" t="s">
        <v>1959</v>
      </c>
      <c r="F19" s="1165">
        <v>0.44</v>
      </c>
      <c r="G19" s="646">
        <v>46113</v>
      </c>
      <c r="H19" s="646">
        <v>46124</v>
      </c>
      <c r="I19" s="649">
        <v>46183</v>
      </c>
      <c r="J19" s="649">
        <v>46122</v>
      </c>
      <c r="K19" s="650" t="s">
        <v>1931</v>
      </c>
    </row>
    <row r="20" spans="1:11" ht="15">
      <c r="A20" s="1441" t="s">
        <v>1927</v>
      </c>
      <c r="B20" s="1438">
        <v>5000108966</v>
      </c>
      <c r="C20" s="1437" t="s">
        <v>1958</v>
      </c>
      <c r="D20" s="1437" t="s">
        <v>1955</v>
      </c>
      <c r="E20" s="1437" t="s">
        <v>1282</v>
      </c>
      <c r="F20" s="1439">
        <v>0.1</v>
      </c>
      <c r="G20" s="1440" t="s">
        <v>451</v>
      </c>
      <c r="H20" s="649" t="s">
        <v>1814</v>
      </c>
      <c r="I20" s="649"/>
      <c r="J20" s="649"/>
      <c r="K20" s="650" t="s">
        <v>1960</v>
      </c>
    </row>
    <row r="21" spans="1:11" ht="15">
      <c r="A21" s="1033" t="s">
        <v>1927</v>
      </c>
      <c r="B21" s="1034">
        <v>5000108966</v>
      </c>
      <c r="C21" s="1035" t="s">
        <v>1958</v>
      </c>
      <c r="D21" s="1035" t="s">
        <v>1955</v>
      </c>
      <c r="E21" s="1035" t="s">
        <v>1282</v>
      </c>
      <c r="F21" s="1039" t="s">
        <v>1961</v>
      </c>
      <c r="G21" s="1166" t="s">
        <v>451</v>
      </c>
      <c r="H21" s="657" t="s">
        <v>1962</v>
      </c>
      <c r="I21" s="657"/>
      <c r="J21" s="657"/>
      <c r="K21" s="658" t="s">
        <v>1960</v>
      </c>
    </row>
    <row r="22" spans="1:11" ht="90">
      <c r="A22" s="765" t="s">
        <v>1927</v>
      </c>
      <c r="B22" s="766">
        <v>5000108967</v>
      </c>
      <c r="C22" s="767" t="s">
        <v>1963</v>
      </c>
      <c r="D22" s="767" t="s">
        <v>1230</v>
      </c>
      <c r="E22" s="767" t="s">
        <v>1964</v>
      </c>
      <c r="F22" s="768">
        <v>0.6</v>
      </c>
      <c r="G22" s="769">
        <v>45862</v>
      </c>
      <c r="H22" s="1000" t="s">
        <v>1965</v>
      </c>
      <c r="I22" s="1000" t="s">
        <v>1966</v>
      </c>
      <c r="J22" s="665">
        <v>46122</v>
      </c>
      <c r="K22" s="999"/>
    </row>
    <row r="23" spans="1:11" ht="81" customHeight="1">
      <c r="A23" s="770" t="s">
        <v>1927</v>
      </c>
      <c r="B23" s="771" t="s">
        <v>1967</v>
      </c>
      <c r="C23" s="772" t="s">
        <v>1963</v>
      </c>
      <c r="D23" s="772" t="s">
        <v>1230</v>
      </c>
      <c r="E23" s="772" t="s">
        <v>1964</v>
      </c>
      <c r="F23" s="773">
        <v>0.4</v>
      </c>
      <c r="G23" s="649">
        <v>46107</v>
      </c>
      <c r="H23" s="1000" t="s">
        <v>1968</v>
      </c>
      <c r="I23" s="666"/>
      <c r="J23" s="652">
        <v>46122</v>
      </c>
      <c r="K23" s="656" t="s">
        <v>1931</v>
      </c>
    </row>
    <row r="24" spans="1:11" ht="45">
      <c r="A24" s="770" t="s">
        <v>1927</v>
      </c>
      <c r="B24" s="771" t="s">
        <v>1967</v>
      </c>
      <c r="C24" s="772" t="s">
        <v>1963</v>
      </c>
      <c r="D24" s="772" t="s">
        <v>1230</v>
      </c>
      <c r="E24" s="772" t="s">
        <v>1964</v>
      </c>
      <c r="F24" s="773" t="s">
        <v>1952</v>
      </c>
      <c r="G24" s="1442" t="s">
        <v>451</v>
      </c>
      <c r="H24" s="1125"/>
      <c r="I24" s="1443"/>
      <c r="J24" s="1285"/>
      <c r="K24" s="1038" t="s">
        <v>1960</v>
      </c>
    </row>
    <row r="25" spans="1:11" ht="15">
      <c r="A25" s="740" t="s">
        <v>1927</v>
      </c>
      <c r="B25" s="741">
        <v>5000107367</v>
      </c>
      <c r="C25" s="742" t="s">
        <v>1129</v>
      </c>
      <c r="D25" s="742" t="s">
        <v>1969</v>
      </c>
      <c r="E25" s="742" t="s">
        <v>1023</v>
      </c>
      <c r="F25" s="743" t="s">
        <v>1970</v>
      </c>
      <c r="G25" s="647">
        <v>45726</v>
      </c>
      <c r="H25" s="647">
        <v>45844</v>
      </c>
      <c r="I25" s="647">
        <v>45865</v>
      </c>
      <c r="J25" s="647">
        <v>45940</v>
      </c>
      <c r="K25" s="648"/>
    </row>
    <row r="26" spans="1:11">
      <c r="A26" s="744" t="s">
        <v>1927</v>
      </c>
      <c r="B26" s="745">
        <v>5000107367</v>
      </c>
      <c r="C26" s="746" t="s">
        <v>1129</v>
      </c>
      <c r="D26" s="746" t="s">
        <v>1971</v>
      </c>
      <c r="E26" s="746" t="s">
        <v>1023</v>
      </c>
      <c r="F26" s="747" t="s">
        <v>1972</v>
      </c>
      <c r="G26" s="646">
        <v>45871</v>
      </c>
      <c r="H26" s="646">
        <v>45910</v>
      </c>
      <c r="I26" s="646">
        <v>45935</v>
      </c>
      <c r="J26" s="646" t="s">
        <v>656</v>
      </c>
      <c r="K26" s="748"/>
    </row>
    <row r="27" spans="1:11">
      <c r="A27" s="761" t="s">
        <v>1927</v>
      </c>
      <c r="B27" s="762" t="s">
        <v>1973</v>
      </c>
      <c r="C27" s="763" t="s">
        <v>1129</v>
      </c>
      <c r="D27" s="763" t="s">
        <v>1971</v>
      </c>
      <c r="E27" s="763" t="s">
        <v>1023</v>
      </c>
      <c r="F27" s="764" t="s">
        <v>1974</v>
      </c>
      <c r="G27" s="774">
        <v>46020</v>
      </c>
      <c r="H27" s="646">
        <v>45999</v>
      </c>
      <c r="I27" s="646">
        <v>46033</v>
      </c>
      <c r="J27" s="646" t="s">
        <v>656</v>
      </c>
      <c r="K27" s="748" t="s">
        <v>1975</v>
      </c>
    </row>
    <row r="28" spans="1:11">
      <c r="A28" s="913" t="s">
        <v>1927</v>
      </c>
      <c r="B28" s="914" t="s">
        <v>1976</v>
      </c>
      <c r="C28" s="915" t="s">
        <v>1977</v>
      </c>
      <c r="D28" s="915" t="s">
        <v>1971</v>
      </c>
      <c r="E28" s="915" t="s">
        <v>1023</v>
      </c>
      <c r="F28" s="916" t="s">
        <v>1978</v>
      </c>
      <c r="G28" s="917">
        <v>46067</v>
      </c>
      <c r="H28" s="917">
        <v>46071</v>
      </c>
      <c r="I28" s="652" t="s">
        <v>451</v>
      </c>
      <c r="J28" s="652" t="s">
        <v>656</v>
      </c>
      <c r="K28" s="650" t="s">
        <v>1931</v>
      </c>
    </row>
    <row r="29" spans="1:11" ht="29.1">
      <c r="A29" s="740" t="s">
        <v>1979</v>
      </c>
      <c r="B29" s="741">
        <v>5000107368</v>
      </c>
      <c r="C29" s="742" t="s">
        <v>1362</v>
      </c>
      <c r="D29" s="742" t="s">
        <v>1969</v>
      </c>
      <c r="E29" s="742" t="s">
        <v>1023</v>
      </c>
      <c r="F29" s="743" t="s">
        <v>1980</v>
      </c>
      <c r="G29" s="647">
        <v>45756</v>
      </c>
      <c r="H29" s="647">
        <v>45837</v>
      </c>
      <c r="I29" s="647">
        <v>45873</v>
      </c>
      <c r="J29" s="647">
        <v>45884</v>
      </c>
      <c r="K29" s="648"/>
    </row>
    <row r="30" spans="1:11" ht="29.1">
      <c r="A30" s="744" t="s">
        <v>1979</v>
      </c>
      <c r="B30" s="745">
        <v>5000107368</v>
      </c>
      <c r="C30" s="746" t="s">
        <v>1362</v>
      </c>
      <c r="D30" s="746" t="s">
        <v>1971</v>
      </c>
      <c r="E30" s="746" t="s">
        <v>1023</v>
      </c>
      <c r="F30" s="747" t="s">
        <v>1936</v>
      </c>
      <c r="G30" s="646">
        <v>45861</v>
      </c>
      <c r="H30" s="646">
        <v>45910</v>
      </c>
      <c r="I30" s="646">
        <v>45935</v>
      </c>
      <c r="J30" s="646" t="s">
        <v>656</v>
      </c>
      <c r="K30" s="748"/>
    </row>
    <row r="31" spans="1:11" ht="30">
      <c r="A31" s="913" t="s">
        <v>1979</v>
      </c>
      <c r="B31" s="914" t="s">
        <v>1981</v>
      </c>
      <c r="C31" s="915" t="s">
        <v>1982</v>
      </c>
      <c r="D31" s="915" t="s">
        <v>1971</v>
      </c>
      <c r="E31" s="915" t="s">
        <v>1023</v>
      </c>
      <c r="F31" s="916" t="s">
        <v>1983</v>
      </c>
      <c r="G31" s="998">
        <v>46095</v>
      </c>
      <c r="H31" s="917">
        <v>46135</v>
      </c>
      <c r="I31" s="652">
        <v>46183</v>
      </c>
      <c r="J31" s="652" t="s">
        <v>656</v>
      </c>
      <c r="K31" s="656" t="s">
        <v>1931</v>
      </c>
    </row>
    <row r="32" spans="1:11">
      <c r="A32" s="740" t="s">
        <v>1979</v>
      </c>
      <c r="B32" s="741">
        <v>5000108080</v>
      </c>
      <c r="C32" s="742" t="s">
        <v>1727</v>
      </c>
      <c r="D32" s="742" t="s">
        <v>1955</v>
      </c>
      <c r="E32" s="742" t="s">
        <v>1964</v>
      </c>
      <c r="F32" s="743" t="s">
        <v>1980</v>
      </c>
      <c r="G32" s="647">
        <v>45806</v>
      </c>
      <c r="H32" s="647">
        <v>45889</v>
      </c>
      <c r="I32" s="647">
        <v>45893</v>
      </c>
      <c r="J32" s="647" t="s">
        <v>656</v>
      </c>
      <c r="K32" s="648"/>
    </row>
    <row r="33" spans="1:11" ht="15">
      <c r="A33" s="761" t="s">
        <v>1979</v>
      </c>
      <c r="B33" s="762" t="s">
        <v>1984</v>
      </c>
      <c r="C33" s="763" t="s">
        <v>1985</v>
      </c>
      <c r="D33" s="763" t="s">
        <v>1986</v>
      </c>
      <c r="E33" s="763" t="s">
        <v>1964</v>
      </c>
      <c r="F33" s="764" t="s">
        <v>1987</v>
      </c>
      <c r="G33" s="663">
        <v>46030</v>
      </c>
      <c r="H33" s="1168">
        <v>46124</v>
      </c>
      <c r="I33" s="1285">
        <v>46218</v>
      </c>
      <c r="J33" s="652" t="s">
        <v>656</v>
      </c>
      <c r="K33" s="656"/>
    </row>
    <row r="34" spans="1:11" ht="30">
      <c r="A34" s="757" t="s">
        <v>1979</v>
      </c>
      <c r="B34" s="758">
        <v>5000109996</v>
      </c>
      <c r="C34" s="759" t="s">
        <v>1988</v>
      </c>
      <c r="D34" s="759" t="s">
        <v>1989</v>
      </c>
      <c r="E34" s="759" t="s">
        <v>1990</v>
      </c>
      <c r="F34" s="760" t="s">
        <v>1991</v>
      </c>
      <c r="G34" s="775">
        <v>45940</v>
      </c>
      <c r="H34" s="817">
        <v>46060</v>
      </c>
      <c r="I34" s="1286">
        <v>46154</v>
      </c>
      <c r="J34" s="653" t="s">
        <v>656</v>
      </c>
      <c r="K34" s="654"/>
    </row>
    <row r="35" spans="1:11" ht="30">
      <c r="A35" s="754" t="s">
        <v>1979</v>
      </c>
      <c r="B35" s="755">
        <v>5000109996</v>
      </c>
      <c r="C35" s="756" t="s">
        <v>1992</v>
      </c>
      <c r="D35" s="756" t="s">
        <v>1993</v>
      </c>
      <c r="E35" s="756" t="s">
        <v>1994</v>
      </c>
      <c r="F35" s="655" t="s">
        <v>1995</v>
      </c>
      <c r="G35" s="1444">
        <v>46162</v>
      </c>
      <c r="H35" s="1168">
        <v>46155</v>
      </c>
      <c r="I35" s="1168">
        <v>46213</v>
      </c>
      <c r="J35" s="652" t="s">
        <v>656</v>
      </c>
      <c r="K35" s="1445" t="s">
        <v>1931</v>
      </c>
    </row>
    <row r="36" spans="1:11" ht="30">
      <c r="A36" s="754" t="s">
        <v>1979</v>
      </c>
      <c r="B36" s="755">
        <v>5000109996</v>
      </c>
      <c r="C36" s="756" t="s">
        <v>1992</v>
      </c>
      <c r="D36" s="756" t="s">
        <v>1993</v>
      </c>
      <c r="E36" s="756" t="s">
        <v>1994</v>
      </c>
      <c r="F36" s="655" t="s">
        <v>1996</v>
      </c>
      <c r="G36" s="1444" t="s">
        <v>451</v>
      </c>
      <c r="H36" s="1168" t="s">
        <v>451</v>
      </c>
      <c r="I36" s="1168" t="s">
        <v>451</v>
      </c>
      <c r="J36" s="652" t="s">
        <v>656</v>
      </c>
      <c r="K36" s="1167" t="s">
        <v>1997</v>
      </c>
    </row>
    <row r="37" spans="1:11">
      <c r="A37" s="740" t="s">
        <v>1979</v>
      </c>
      <c r="B37" s="741">
        <v>5000107926</v>
      </c>
      <c r="C37" s="742" t="s">
        <v>1998</v>
      </c>
      <c r="D37" s="742" t="s">
        <v>1949</v>
      </c>
      <c r="E37" s="742" t="s">
        <v>689</v>
      </c>
      <c r="F37" s="743" t="s">
        <v>1980</v>
      </c>
      <c r="G37" s="647">
        <v>45785</v>
      </c>
      <c r="H37" s="647">
        <v>45862</v>
      </c>
      <c r="I37" s="647">
        <v>45901</v>
      </c>
      <c r="J37" s="647">
        <v>45940</v>
      </c>
      <c r="K37" s="648"/>
    </row>
    <row r="38" spans="1:11" ht="75" customHeight="1">
      <c r="A38" s="749" t="s">
        <v>1979</v>
      </c>
      <c r="B38" s="750" t="s">
        <v>1999</v>
      </c>
      <c r="C38" s="751" t="s">
        <v>2000</v>
      </c>
      <c r="D38" s="751" t="s">
        <v>2001</v>
      </c>
      <c r="E38" s="751" t="s">
        <v>689</v>
      </c>
      <c r="F38" s="752" t="s">
        <v>2002</v>
      </c>
      <c r="G38" s="663">
        <v>46048</v>
      </c>
      <c r="H38" s="646">
        <v>46061</v>
      </c>
      <c r="I38" s="1041">
        <v>46157</v>
      </c>
      <c r="J38" s="649" t="s">
        <v>656</v>
      </c>
      <c r="K38" s="650" t="s">
        <v>1951</v>
      </c>
    </row>
    <row r="39" spans="1:11" ht="15">
      <c r="A39" s="754" t="s">
        <v>1979</v>
      </c>
      <c r="B39" s="755" t="s">
        <v>2003</v>
      </c>
      <c r="C39" s="756" t="s">
        <v>2004</v>
      </c>
      <c r="D39" s="756" t="s">
        <v>2001</v>
      </c>
      <c r="E39" s="756" t="s">
        <v>689</v>
      </c>
      <c r="F39" s="655" t="s">
        <v>2005</v>
      </c>
      <c r="G39" s="651">
        <v>46098</v>
      </c>
      <c r="H39" s="1168">
        <v>46141</v>
      </c>
      <c r="I39" s="1168">
        <v>46207</v>
      </c>
      <c r="J39" s="652" t="s">
        <v>656</v>
      </c>
      <c r="K39" s="656" t="s">
        <v>1931</v>
      </c>
    </row>
    <row r="40" spans="1:11" ht="29.1">
      <c r="A40" s="754" t="s">
        <v>1979</v>
      </c>
      <c r="B40" s="755" t="s">
        <v>2003</v>
      </c>
      <c r="C40" s="756" t="s">
        <v>2004</v>
      </c>
      <c r="D40" s="756" t="s">
        <v>2001</v>
      </c>
      <c r="E40" s="756" t="s">
        <v>689</v>
      </c>
      <c r="F40" s="1126" t="s">
        <v>2006</v>
      </c>
      <c r="G40" s="651"/>
      <c r="H40" s="651"/>
      <c r="I40" s="651"/>
      <c r="J40" s="652" t="s">
        <v>656</v>
      </c>
      <c r="K40" s="1038" t="s">
        <v>1946</v>
      </c>
    </row>
    <row r="41" spans="1:11" ht="29.1">
      <c r="A41" s="740" t="s">
        <v>1979</v>
      </c>
      <c r="B41" s="741">
        <v>5000108061</v>
      </c>
      <c r="C41" s="742" t="s">
        <v>1587</v>
      </c>
      <c r="D41" s="742" t="s">
        <v>2007</v>
      </c>
      <c r="E41" s="742" t="s">
        <v>1964</v>
      </c>
      <c r="F41" s="743" t="s">
        <v>1980</v>
      </c>
      <c r="G41" s="647">
        <v>45806</v>
      </c>
      <c r="H41" s="647">
        <v>45928</v>
      </c>
      <c r="I41" s="647">
        <v>45953</v>
      </c>
      <c r="J41" s="647" t="s">
        <v>656</v>
      </c>
      <c r="K41" s="648"/>
    </row>
    <row r="42" spans="1:11" ht="29.1">
      <c r="A42" s="749" t="s">
        <v>1979</v>
      </c>
      <c r="B42" s="750">
        <v>5000108061</v>
      </c>
      <c r="C42" s="751" t="s">
        <v>1587</v>
      </c>
      <c r="D42" s="751" t="s">
        <v>1588</v>
      </c>
      <c r="E42" s="751" t="s">
        <v>1964</v>
      </c>
      <c r="F42" s="752" t="s">
        <v>2008</v>
      </c>
      <c r="G42" s="662">
        <v>46032</v>
      </c>
      <c r="H42" s="662">
        <v>45993</v>
      </c>
      <c r="I42" s="662">
        <v>45995</v>
      </c>
      <c r="J42" s="662">
        <v>46006</v>
      </c>
      <c r="K42" s="753" t="s">
        <v>2009</v>
      </c>
    </row>
    <row r="43" spans="1:11" ht="30">
      <c r="A43" s="776" t="s">
        <v>1979</v>
      </c>
      <c r="B43" s="777" t="s">
        <v>2010</v>
      </c>
      <c r="C43" s="778" t="s">
        <v>2011</v>
      </c>
      <c r="D43" s="778" t="s">
        <v>1588</v>
      </c>
      <c r="E43" s="778" t="s">
        <v>1964</v>
      </c>
      <c r="F43" s="779" t="s">
        <v>1996</v>
      </c>
      <c r="G43" s="780">
        <v>46032</v>
      </c>
      <c r="H43" s="657" t="s">
        <v>1695</v>
      </c>
      <c r="I43" s="657"/>
      <c r="J43" s="657" t="s">
        <v>656</v>
      </c>
      <c r="K43" s="658"/>
    </row>
  </sheetData>
  <phoneticPr fontId="5"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0ECF8D6B75D704A9CD457C805807D88" ma:contentTypeVersion="0" ma:contentTypeDescription="Create a new document." ma:contentTypeScope="" ma:versionID="85ea6cbe99c6f163bf2d82e63d6d004a">
  <xsd:schema xmlns:xsd="http://www.w3.org/2001/XMLSchema" xmlns:xs="http://www.w3.org/2001/XMLSchema" xmlns:p="http://schemas.microsoft.com/office/2006/metadata/properties" xmlns:ns2="http://schemas.microsoft.com/sharepoint/v3/fields" xmlns:ns3="4ea47fdf-291c-40c8-9c51-7e6407cdb102" targetNamespace="http://schemas.microsoft.com/office/2006/metadata/properties" ma:root="true" ma:fieldsID="fd452d17daf8eb99a04fb50fdd6f9d8e" ns2:_="" ns3:_="">
    <xsd:import namespace="http://schemas.microsoft.com/sharepoint/v3/fields"/>
    <xsd:import namespace="4ea47fdf-291c-40c8-9c51-7e6407cdb102"/>
    <xsd:element name="properties">
      <xsd:complexType>
        <xsd:sequence>
          <xsd:element name="documentManagement">
            <xsd:complexType>
              <xsd:all>
                <xsd:element ref="ns2:CTCIDSM"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CTCIDSM" ma:index="8" nillable="true" ma:displayName="CTCIDSM" ma:hidden="true" ma:internalName="CTCIDSM"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a47fdf-291c-40c8-9c51-7e6407cdb102"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1A4D51B-6608-4898-B267-7D51AA026383}"/>
</file>

<file path=customXml/itemProps2.xml><?xml version="1.0" encoding="utf-8"?>
<ds:datastoreItem xmlns:ds="http://schemas.openxmlformats.org/officeDocument/2006/customXml" ds:itemID="{B1B3A808-320F-40D1-92E3-A6440CAA4DE3}"/>
</file>

<file path=customXml/itemProps3.xml><?xml version="1.0" encoding="utf-8"?>
<ds:datastoreItem xmlns:ds="http://schemas.openxmlformats.org/officeDocument/2006/customXml" ds:itemID="{B78698DE-03D1-4112-8B67-0D13B6BE5F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Josiane Chen/陳思穎/CTCI-PPM</cp:lastModifiedBy>
  <cp:revision/>
  <dcterms:created xsi:type="dcterms:W3CDTF">2023-11-06T04:50:14Z</dcterms:created>
  <dcterms:modified xsi:type="dcterms:W3CDTF">2026-05-22T05:16:28Z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ContentTypeId">
    <vt:lpwstr>0x010100D0ECF8D6B75D704A9CD457C805807D88</vt:lpwstr>
  </property>
</Properties>
</file>