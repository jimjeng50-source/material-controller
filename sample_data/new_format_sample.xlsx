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Objects="none"/>
  <mc:AlternateContent xmlns:mc="http://schemas.openxmlformats.org/markup-compatibility/2006">
    <mc:Choice Requires="x15">
      <x15ac:absPath xmlns:x15ac="http://schemas.microsoft.com/office/spreadsheetml/2010/11/ac" url="C:\Users\Ally.Lee\Desktop\各式表單\2.各項設備材料送審管制時程表\"/>
    </mc:Choice>
  </mc:AlternateContent>
  <xr:revisionPtr revIDLastSave="0" documentId="13_ncr:1_{1E143727-1916-4DF2-873E-AA00D7D8DC32}" xr6:coauthVersionLast="47" xr6:coauthVersionMax="47" xr10:uidLastSave="{00000000-0000-0000-0000-000000000000}"/>
  <bookViews>
    <workbookView xWindow="28680" yWindow="-120" windowWidth="29040" windowHeight="15720" tabRatio="754" firstSheet="1" activeTab="6" xr2:uid="{3A032EB7-E4CB-45FC-81DC-28B61231A504}"/>
  </bookViews>
  <sheets>
    <sheet name="總表 " sheetId="12" r:id="rId1"/>
    <sheet name="10-1材料試驗單位" sheetId="8" r:id="rId2"/>
    <sheet name="10-2土建" sheetId="1" r:id="rId3"/>
    <sheet name="10-3取排水(宏華)" sheetId="2" r:id="rId4"/>
    <sheet name="10-4 建築裝修" sheetId="7" r:id="rId5"/>
    <sheet name="10-5消防空調給排水" sheetId="14" r:id="rId6"/>
    <sheet name="10-6機械設備" sheetId="22" r:id="rId7"/>
    <sheet name="10-7電力儀控" sheetId="21" r:id="rId8"/>
    <sheet name="10-8管線閥類" sheetId="15" r:id="rId9"/>
    <sheet name="10-9弱電通信" sheetId="9" state="hidden" r:id="rId10"/>
    <sheet name="10-9景觀植栽" sheetId="16" r:id="rId11"/>
    <sheet name="工作表1" sheetId="24" r:id="rId12"/>
  </sheets>
  <definedNames>
    <definedName name="_xlnm._FilterDatabase" localSheetId="1" hidden="1">'10-1材料試驗單位'!$A$4:$Z$70</definedName>
    <definedName name="_xlnm._FilterDatabase" localSheetId="2" hidden="1">'10-2土建'!$E$4:$AF$165</definedName>
    <definedName name="_xlnm._FilterDatabase" localSheetId="3" hidden="1">'10-3取排水(宏華)'!$A$4:$Z$42</definedName>
    <definedName name="_xlnm._FilterDatabase" localSheetId="4" hidden="1">'10-4 建築裝修'!$C$4:$AC$173</definedName>
    <definedName name="_xlnm._FilterDatabase" localSheetId="5" hidden="1">'10-5消防空調給排水'!$B$4:$AD$53</definedName>
    <definedName name="_xlnm._FilterDatabase" localSheetId="6" hidden="1">'10-6機械設備'!$A$4:$AO$205</definedName>
    <definedName name="_xlnm._FilterDatabase" localSheetId="7" hidden="1">'10-7電力儀控'!$D$4:$AD$257</definedName>
    <definedName name="_xlnm._FilterDatabase" localSheetId="8" hidden="1">'10-8管線閥類'!$C$4:$AF$68</definedName>
    <definedName name="_xlnm._FilterDatabase" localSheetId="9" hidden="1">'10-9弱電通信'!$C$4:$AE$38</definedName>
    <definedName name="_xlnm._FilterDatabase" localSheetId="10" hidden="1">'10-9景觀植栽'!$C$4:$AD$41</definedName>
    <definedName name="N_1">"['file:///C:/Users/zato/Downloads/%E7%BF%94%E7%9B%8A/2%E5%8C%97%E5%B8%82%E8%A1%9B%E5%B7%A5%E8%99%95/7%E9%97%9C%E6%B8%A1%E5%AE%AE/7%E6%97%A5%E5%A0%B1/%E7%9B%A3%E5%B7%A5%E6%97%A5%E5%A0%B1_%E9%97%9C%E6%B8%A1%E5%AE%AE1010723_T.xls'#$'關T(監)'.$A$3:.$FI$16135]"</definedName>
    <definedName name="_xlnm.Print_Area" localSheetId="1">'10-1材料試驗單位'!$A$1:$Y$39</definedName>
    <definedName name="_xlnm.Print_Area" localSheetId="2">'10-2土建'!$E$1:$AE$165</definedName>
    <definedName name="_xlnm.Print_Area" localSheetId="3">'10-3取排水(宏華)'!$A$1:$Y$35</definedName>
    <definedName name="_xlnm.Print_Area" localSheetId="4">'10-4 建築裝修'!$C$1:$AB$121</definedName>
    <definedName name="_xlnm.Print_Area" localSheetId="5">'10-5消防空調給排水'!$B$1:$AC$46</definedName>
    <definedName name="_xlnm.Print_Area" localSheetId="6">'10-6機械設備'!$C$1:$Z$208</definedName>
    <definedName name="_xlnm.Print_Area" localSheetId="7">'10-7電力儀控'!$D$1:$AC$238</definedName>
    <definedName name="_xlnm.Print_Area" localSheetId="8">'10-8管線閥類'!$C$1:$AE$46</definedName>
    <definedName name="_xlnm.Print_Area" localSheetId="9">'10-9弱電通信'!$C$1:$AD$10</definedName>
    <definedName name="_xlnm.Print_Area" localSheetId="10">'10-9景觀植栽'!$C$1:$AC$10</definedName>
    <definedName name="_xlnm.Print_Area" localSheetId="0">'總表 '!$A$1:$J$13</definedName>
    <definedName name="_xlnm.Print_Area">#N/A</definedName>
    <definedName name="PRINT_AREA_MI">#N/A</definedName>
    <definedName name="_xlnm.Print_Titles" localSheetId="1">'10-1材料試驗單位'!$1:$4</definedName>
    <definedName name="_xlnm.Print_Titles" localSheetId="2">'10-2土建'!$1:$4</definedName>
    <definedName name="_xlnm.Print_Titles" localSheetId="3">'10-3取排水(宏華)'!$1:$4</definedName>
    <definedName name="_xlnm.Print_Titles" localSheetId="4">'10-4 建築裝修'!$1:$4</definedName>
    <definedName name="_xlnm.Print_Titles" localSheetId="5">'10-5消防空調給排水'!$1:$4</definedName>
    <definedName name="_xlnm.Print_Titles" localSheetId="6">'10-6機械設備'!$1:$4</definedName>
    <definedName name="_xlnm.Print_Titles" localSheetId="7">'10-7電力儀控'!$1:$4</definedName>
    <definedName name="_xlnm.Print_Titles" localSheetId="8">'10-8管線閥類'!$1:$4</definedName>
    <definedName name="_xlnm.Print_Titles" localSheetId="9">'10-9弱電通信'!$1:$4</definedName>
    <definedName name="_xlnm.Print_Titles" localSheetId="10">'10-9景觀植栽'!$1:$4</definedName>
    <definedName name="七">!#REF!</definedName>
    <definedName name="七10Db1">"['file:///C:/Users/zato/Downloads/%E7%BF%94%E7%9B%8A/2%E5%8C%97%E5%B8%82%E8%A1%9B%E5%B7%A5%E8%99%95/7%E9%97%9C%E6%B8%A1%E5%AE%AE/7%E6%97%A5%E5%A0%B1/%E7%9B%A3%E5%B7%A5%E6%97%A5%E5%A0%B1_%E9%97%9C%E6%B8%A1%E5%AE%AE1010723_T.xls'#$'關T(施)'.$A$3:.$FH$16135]"</definedName>
    <definedName name="七10一工程費">!#REF!</definedName>
    <definedName name="七10二安全措施費">!#REF!</definedName>
    <definedName name="七10三安衛費">!#REF!</definedName>
    <definedName name="七10五品管費">!#REF!</definedName>
    <definedName name="七10六稅什費">!#REF!</definedName>
    <definedName name="七10四保險費">!#REF!</definedName>
    <definedName name="七10稅什比">!#REF!</definedName>
    <definedName name="七10總計">!#REF!</definedName>
    <definedName name="九01Db1">!#REF!</definedName>
    <definedName name="九01七">!#REF!</definedName>
    <definedName name="九01二">!#REF!</definedName>
    <definedName name="九01三">!#REF!</definedName>
    <definedName name="九01五">!#REF!</definedName>
    <definedName name="九01六">!#REF!</definedName>
    <definedName name="九01四">!#REF!</definedName>
    <definedName name="二">!#REF!</definedName>
    <definedName name="三">!#REF!</definedName>
    <definedName name="五">!#REF!</definedName>
    <definedName name="仁710Db2合約單價">"['file:///C:/Users/zato/Downloads/3%E7%A3%BA%E6%B8%AF%E6%BA%AA/3%E5%A0%B1%E8%A1%A8(%E6%97%A5%E9%80%B1%E6%9C%88)/Documents%20and%20Settings/BB/%E6%A1%8C%E9%9D%A2/(1)7-10%E8%B3%87%E6%96%99%E5%BA%AB.xls'#$710Db2合約單價.$A$3:.$CZ$1822]"</definedName>
    <definedName name="仁710Db2計量">!#REF!</definedName>
    <definedName name="仁710Db2計價">!#REF!</definedName>
    <definedName name="仁810Db2合約單價">!#REF!</definedName>
    <definedName name="仁901Db2本日累計">!#REF!</definedName>
    <definedName name="仁901Db2合約數量">!#REF!</definedName>
    <definedName name="六">!#REF!</definedName>
    <definedName name="日期">!#REF!</definedName>
    <definedName name="四">!#REF!</definedName>
    <definedName name="欄標題1">" 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1" i="22" l="1"/>
  <c r="G257" i="21" l="1"/>
  <c r="G256" i="21"/>
  <c r="G255" i="21"/>
  <c r="G253" i="21"/>
  <c r="M5" i="21"/>
  <c r="L5" i="21" s="1"/>
  <c r="O5" i="21" s="1"/>
  <c r="O6" i="21"/>
  <c r="P6" i="21"/>
  <c r="Z6" i="21"/>
  <c r="O7" i="21"/>
  <c r="P7" i="21"/>
  <c r="Z7" i="21"/>
  <c r="M8" i="21"/>
  <c r="L8" i="21" s="1"/>
  <c r="O9" i="21"/>
  <c r="P9" i="21"/>
  <c r="O10" i="21"/>
  <c r="P10" i="21"/>
  <c r="M11" i="21"/>
  <c r="L11" i="21" s="1"/>
  <c r="O12" i="21"/>
  <c r="P12" i="21"/>
  <c r="Z12" i="21"/>
  <c r="O13" i="21"/>
  <c r="P13" i="21"/>
  <c r="Z13" i="21"/>
  <c r="M14" i="21"/>
  <c r="L14" i="21" s="1"/>
  <c r="O15" i="21"/>
  <c r="P15" i="21"/>
  <c r="Z15" i="21"/>
  <c r="O16" i="21"/>
  <c r="P16" i="21"/>
  <c r="Z16" i="21"/>
  <c r="M17" i="21"/>
  <c r="L17" i="21" s="1"/>
  <c r="O18" i="21"/>
  <c r="P18" i="21"/>
  <c r="Z18" i="21"/>
  <c r="O19" i="21"/>
  <c r="P19" i="21"/>
  <c r="Z19" i="21"/>
  <c r="L20" i="21"/>
  <c r="P20" i="21" s="1"/>
  <c r="M20" i="21"/>
  <c r="O20" i="21"/>
  <c r="O21" i="21"/>
  <c r="P21" i="21"/>
  <c r="Z21" i="21"/>
  <c r="O22" i="21"/>
  <c r="P22" i="21"/>
  <c r="Z22" i="21"/>
  <c r="M23" i="21"/>
  <c r="L23" i="21" s="1"/>
  <c r="O24" i="21"/>
  <c r="P24" i="21"/>
  <c r="Z24" i="21"/>
  <c r="O25" i="21"/>
  <c r="P25" i="21"/>
  <c r="Z25" i="21"/>
  <c r="M26" i="21"/>
  <c r="L26" i="21" s="1"/>
  <c r="O27" i="21"/>
  <c r="P27" i="21"/>
  <c r="Z27" i="21"/>
  <c r="O28" i="21"/>
  <c r="P28" i="21"/>
  <c r="Z28" i="21"/>
  <c r="M29" i="21"/>
  <c r="L29" i="21" s="1"/>
  <c r="O30" i="21"/>
  <c r="P30" i="21"/>
  <c r="Z30" i="21"/>
  <c r="O31" i="21"/>
  <c r="P31" i="21"/>
  <c r="Z31" i="21"/>
  <c r="M32" i="21"/>
  <c r="L32" i="21" s="1"/>
  <c r="O33" i="21"/>
  <c r="P33" i="21"/>
  <c r="Z33" i="21"/>
  <c r="O34" i="21"/>
  <c r="P34" i="21"/>
  <c r="Z34" i="21"/>
  <c r="M35" i="21"/>
  <c r="L35" i="21" s="1"/>
  <c r="O36" i="21"/>
  <c r="P36" i="21"/>
  <c r="Z36" i="21"/>
  <c r="O37" i="21"/>
  <c r="P37" i="21"/>
  <c r="Z37" i="21"/>
  <c r="M38" i="21"/>
  <c r="L38" i="21" s="1"/>
  <c r="O39" i="21"/>
  <c r="P39" i="21"/>
  <c r="Z39" i="21"/>
  <c r="O40" i="21"/>
  <c r="P40" i="21"/>
  <c r="Z40" i="21"/>
  <c r="M41" i="21"/>
  <c r="L41" i="21" s="1"/>
  <c r="O42" i="21"/>
  <c r="P42" i="21"/>
  <c r="Z42" i="21"/>
  <c r="O43" i="21"/>
  <c r="P43" i="21"/>
  <c r="Z43" i="21"/>
  <c r="M44" i="21"/>
  <c r="L44" i="21" s="1"/>
  <c r="O45" i="21"/>
  <c r="P45" i="21"/>
  <c r="Z45" i="21"/>
  <c r="O46" i="21"/>
  <c r="P46" i="21"/>
  <c r="Z46" i="21"/>
  <c r="M47" i="21"/>
  <c r="L47" i="21" s="1"/>
  <c r="O48" i="21"/>
  <c r="P48" i="21"/>
  <c r="Z48" i="21"/>
  <c r="O49" i="21"/>
  <c r="P49" i="21"/>
  <c r="Z49" i="21"/>
  <c r="M50" i="21"/>
  <c r="L50" i="21" s="1"/>
  <c r="O51" i="21"/>
  <c r="P51" i="21"/>
  <c r="Z51" i="21"/>
  <c r="O52" i="21"/>
  <c r="P52" i="21"/>
  <c r="Z52" i="21"/>
  <c r="L53" i="21"/>
  <c r="O53" i="21" s="1"/>
  <c r="M53" i="21"/>
  <c r="O54" i="21"/>
  <c r="P54" i="21"/>
  <c r="Z54" i="21"/>
  <c r="O55" i="21"/>
  <c r="P55" i="21"/>
  <c r="Z55" i="21"/>
  <c r="M56" i="21"/>
  <c r="L56" i="21" s="1"/>
  <c r="O57" i="21"/>
  <c r="P57" i="21"/>
  <c r="Z57" i="21"/>
  <c r="O58" i="21"/>
  <c r="P58" i="21"/>
  <c r="Z58" i="21"/>
  <c r="M59" i="21"/>
  <c r="L59" i="21" s="1"/>
  <c r="O60" i="21"/>
  <c r="P60" i="21"/>
  <c r="Z60" i="21"/>
  <c r="O61" i="21"/>
  <c r="P61" i="21"/>
  <c r="Z61" i="21"/>
  <c r="M62" i="21"/>
  <c r="L62" i="21" s="1"/>
  <c r="O63" i="21"/>
  <c r="P63" i="21"/>
  <c r="Z63" i="21"/>
  <c r="O64" i="21"/>
  <c r="P64" i="21"/>
  <c r="Z64" i="21"/>
  <c r="M65" i="21"/>
  <c r="L65" i="21" s="1"/>
  <c r="O66" i="21"/>
  <c r="P66" i="21"/>
  <c r="Z66" i="21"/>
  <c r="O67" i="21"/>
  <c r="P67" i="21"/>
  <c r="Z67" i="21"/>
  <c r="M68" i="21"/>
  <c r="L68" i="21" s="1"/>
  <c r="O69" i="21"/>
  <c r="P69" i="21"/>
  <c r="Z69" i="21"/>
  <c r="O70" i="21"/>
  <c r="P70" i="21"/>
  <c r="Z70" i="21"/>
  <c r="M71" i="21"/>
  <c r="L71" i="21" s="1"/>
  <c r="O72" i="21"/>
  <c r="P72" i="21"/>
  <c r="Z72" i="21"/>
  <c r="O73" i="21"/>
  <c r="P73" i="21"/>
  <c r="Z73" i="21"/>
  <c r="M74" i="21"/>
  <c r="L74" i="21" s="1"/>
  <c r="O75" i="21"/>
  <c r="P75" i="21"/>
  <c r="Z75" i="21"/>
  <c r="O76" i="21"/>
  <c r="P76" i="21"/>
  <c r="Z76" i="21"/>
  <c r="M77" i="21"/>
  <c r="L77" i="21" s="1"/>
  <c r="O78" i="21"/>
  <c r="P78" i="21"/>
  <c r="Z78" i="21"/>
  <c r="O79" i="21"/>
  <c r="P79" i="21"/>
  <c r="Z79" i="21"/>
  <c r="M80" i="21"/>
  <c r="L80" i="21" s="1"/>
  <c r="O81" i="21"/>
  <c r="P81" i="21"/>
  <c r="Z81" i="21"/>
  <c r="O82" i="21"/>
  <c r="P82" i="21"/>
  <c r="Z82" i="21"/>
  <c r="M83" i="21"/>
  <c r="L83" i="21" s="1"/>
  <c r="O84" i="21"/>
  <c r="P84" i="21"/>
  <c r="Z84" i="21"/>
  <c r="O85" i="21"/>
  <c r="P85" i="21"/>
  <c r="Z85" i="21"/>
  <c r="M86" i="21"/>
  <c r="L86" i="21" s="1"/>
  <c r="O87" i="21"/>
  <c r="P87" i="21"/>
  <c r="Z87" i="21"/>
  <c r="O88" i="21"/>
  <c r="P88" i="21"/>
  <c r="Z88" i="21"/>
  <c r="M89" i="21"/>
  <c r="L89" i="21" s="1"/>
  <c r="O89" i="21" s="1"/>
  <c r="O90" i="21"/>
  <c r="P90" i="21"/>
  <c r="Z90" i="21"/>
  <c r="O91" i="21"/>
  <c r="P91" i="21"/>
  <c r="Z91" i="21"/>
  <c r="M92" i="21"/>
  <c r="L92" i="21" s="1"/>
  <c r="O93" i="21"/>
  <c r="P93" i="21"/>
  <c r="Z93" i="21"/>
  <c r="O94" i="21"/>
  <c r="P94" i="21"/>
  <c r="Z94" i="21"/>
  <c r="M95" i="21"/>
  <c r="L95" i="21" s="1"/>
  <c r="O96" i="21"/>
  <c r="P96" i="21"/>
  <c r="Z96" i="21"/>
  <c r="O97" i="21"/>
  <c r="P97" i="21"/>
  <c r="Z97" i="21"/>
  <c r="M98" i="21"/>
  <c r="L98" i="21" s="1"/>
  <c r="O99" i="21"/>
  <c r="P99" i="21"/>
  <c r="Z99" i="21"/>
  <c r="O100" i="21"/>
  <c r="P100" i="21"/>
  <c r="Z100" i="21"/>
  <c r="M101" i="21"/>
  <c r="L101" i="21" s="1"/>
  <c r="O102" i="21"/>
  <c r="P102" i="21"/>
  <c r="Z102" i="21"/>
  <c r="O103" i="21"/>
  <c r="P103" i="21"/>
  <c r="Z103" i="21"/>
  <c r="M104" i="21"/>
  <c r="L104" i="21" s="1"/>
  <c r="O105" i="21"/>
  <c r="P105" i="21"/>
  <c r="Z105" i="21"/>
  <c r="O106" i="21"/>
  <c r="P106" i="21"/>
  <c r="Z106" i="21"/>
  <c r="L107" i="21"/>
  <c r="O107" i="21" s="1"/>
  <c r="M107" i="21"/>
  <c r="L108" i="21"/>
  <c r="M108" i="21"/>
  <c r="O108" i="21"/>
  <c r="P108" i="21"/>
  <c r="Z108" i="21"/>
  <c r="O109" i="21"/>
  <c r="P109" i="21"/>
  <c r="Z109" i="21"/>
  <c r="L110" i="21"/>
  <c r="P110" i="21" s="1"/>
  <c r="M110" i="21"/>
  <c r="Z110" i="21"/>
  <c r="O111" i="21"/>
  <c r="P111" i="21"/>
  <c r="Z111" i="21"/>
  <c r="O112" i="21"/>
  <c r="P112" i="21"/>
  <c r="Z112" i="21"/>
  <c r="M113" i="21"/>
  <c r="L113" i="21" s="1"/>
  <c r="O114" i="21"/>
  <c r="P114" i="21"/>
  <c r="Z114" i="21"/>
  <c r="O115" i="21"/>
  <c r="P115" i="21"/>
  <c r="Z115" i="21"/>
  <c r="M116" i="21"/>
  <c r="L116" i="21" s="1"/>
  <c r="O116" i="21" s="1"/>
  <c r="O117" i="21"/>
  <c r="P117" i="21"/>
  <c r="Z117" i="21"/>
  <c r="O118" i="21"/>
  <c r="P118" i="21"/>
  <c r="Z118" i="21"/>
  <c r="M119" i="21"/>
  <c r="L119" i="21" s="1"/>
  <c r="O120" i="21"/>
  <c r="P120" i="21"/>
  <c r="Z120" i="21"/>
  <c r="O121" i="21"/>
  <c r="P121" i="21"/>
  <c r="Z121" i="21"/>
  <c r="M122" i="21"/>
  <c r="L122" i="21" s="1"/>
  <c r="O123" i="21"/>
  <c r="P123" i="21"/>
  <c r="O124" i="21"/>
  <c r="P124" i="21"/>
  <c r="Z124" i="21"/>
  <c r="M125" i="21"/>
  <c r="L125" i="21" s="1"/>
  <c r="O126" i="21"/>
  <c r="P126" i="21"/>
  <c r="O127" i="21"/>
  <c r="P127" i="21"/>
  <c r="Z127" i="21"/>
  <c r="M128" i="21"/>
  <c r="L128" i="21" s="1"/>
  <c r="O129" i="21"/>
  <c r="P129" i="21"/>
  <c r="Z129" i="21"/>
  <c r="O130" i="21"/>
  <c r="P130" i="21"/>
  <c r="Z130" i="21"/>
  <c r="M131" i="21"/>
  <c r="L131" i="21" s="1"/>
  <c r="O131" i="21" s="1"/>
  <c r="O132" i="21"/>
  <c r="P132" i="21"/>
  <c r="Z132" i="21"/>
  <c r="O133" i="21"/>
  <c r="P133" i="21"/>
  <c r="Z133" i="21"/>
  <c r="M134" i="21"/>
  <c r="L134" i="21" s="1"/>
  <c r="O134" i="21" s="1"/>
  <c r="O135" i="21"/>
  <c r="P135" i="21"/>
  <c r="Z135" i="21"/>
  <c r="O136" i="21"/>
  <c r="P136" i="21"/>
  <c r="Z136" i="21"/>
  <c r="M137" i="21"/>
  <c r="L137" i="21" s="1"/>
  <c r="O138" i="21"/>
  <c r="P138" i="21"/>
  <c r="Z138" i="21"/>
  <c r="O139" i="21"/>
  <c r="P139" i="21"/>
  <c r="Z139" i="21"/>
  <c r="L140" i="21"/>
  <c r="M140" i="21"/>
  <c r="O140" i="21"/>
  <c r="P140" i="21"/>
  <c r="O141" i="21"/>
  <c r="P141" i="21"/>
  <c r="Z141" i="21"/>
  <c r="O142" i="21"/>
  <c r="P142" i="21"/>
  <c r="Z142" i="21"/>
  <c r="L143" i="21"/>
  <c r="O143" i="21" s="1"/>
  <c r="M143" i="21"/>
  <c r="O144" i="21"/>
  <c r="P144" i="21"/>
  <c r="Z144" i="21"/>
  <c r="O145" i="21"/>
  <c r="P145" i="21"/>
  <c r="Z145" i="21"/>
  <c r="M146" i="21"/>
  <c r="L146" i="21" s="1"/>
  <c r="O147" i="21"/>
  <c r="P147" i="21"/>
  <c r="Z147" i="21"/>
  <c r="O148" i="21"/>
  <c r="P148" i="21"/>
  <c r="Z148" i="21"/>
  <c r="M149" i="21"/>
  <c r="L149" i="21" s="1"/>
  <c r="O150" i="21"/>
  <c r="P150" i="21"/>
  <c r="O151" i="21"/>
  <c r="P151" i="21"/>
  <c r="Z151" i="21"/>
  <c r="M152" i="21"/>
  <c r="L152" i="21" s="1"/>
  <c r="O153" i="21"/>
  <c r="P153" i="21"/>
  <c r="Z153" i="21"/>
  <c r="O154" i="21"/>
  <c r="P154" i="21"/>
  <c r="Z154" i="21"/>
  <c r="L155" i="21"/>
  <c r="M155" i="21"/>
  <c r="O155" i="21"/>
  <c r="P155" i="21"/>
  <c r="O156" i="21"/>
  <c r="P156" i="21"/>
  <c r="Z156" i="21"/>
  <c r="O157" i="21"/>
  <c r="P157" i="21"/>
  <c r="Z157" i="21"/>
  <c r="M158" i="21"/>
  <c r="L158" i="21" s="1"/>
  <c r="O159" i="21"/>
  <c r="P159" i="21"/>
  <c r="Z159" i="21"/>
  <c r="O160" i="21"/>
  <c r="P160" i="21"/>
  <c r="Z160" i="21"/>
  <c r="L161" i="21"/>
  <c r="O161" i="21" s="1"/>
  <c r="M161" i="21"/>
  <c r="O162" i="21"/>
  <c r="P162" i="21"/>
  <c r="Z162" i="21"/>
  <c r="O163" i="21"/>
  <c r="P163" i="21"/>
  <c r="Z163" i="21"/>
  <c r="M164" i="21"/>
  <c r="L164" i="21" s="1"/>
  <c r="O165" i="21"/>
  <c r="P165" i="21"/>
  <c r="Z165" i="21"/>
  <c r="O166" i="21"/>
  <c r="P166" i="21"/>
  <c r="Z166" i="21"/>
  <c r="M167" i="21"/>
  <c r="L167" i="21" s="1"/>
  <c r="O168" i="21"/>
  <c r="P168" i="21"/>
  <c r="Z168" i="21"/>
  <c r="O169" i="21"/>
  <c r="P169" i="21"/>
  <c r="Z169" i="21"/>
  <c r="M170" i="21"/>
  <c r="L170" i="21" s="1"/>
  <c r="O171" i="21"/>
  <c r="P171" i="21"/>
  <c r="Z171" i="21"/>
  <c r="O172" i="21"/>
  <c r="P172" i="21"/>
  <c r="Z172" i="21"/>
  <c r="M173" i="21"/>
  <c r="L173" i="21" s="1"/>
  <c r="O174" i="21"/>
  <c r="P174" i="21"/>
  <c r="Z174" i="21"/>
  <c r="O175" i="21"/>
  <c r="P175" i="21"/>
  <c r="Z175" i="21"/>
  <c r="M176" i="21"/>
  <c r="L176" i="21" s="1"/>
  <c r="O177" i="21"/>
  <c r="P177" i="21"/>
  <c r="Z177" i="21"/>
  <c r="O178" i="21"/>
  <c r="P178" i="21"/>
  <c r="Z178" i="21"/>
  <c r="M179" i="21"/>
  <c r="L179" i="21" s="1"/>
  <c r="O179" i="21" s="1"/>
  <c r="O180" i="21"/>
  <c r="P180" i="21"/>
  <c r="Z180" i="21"/>
  <c r="O181" i="21"/>
  <c r="P181" i="21"/>
  <c r="Z181" i="21"/>
  <c r="M182" i="21"/>
  <c r="L182" i="21" s="1"/>
  <c r="O183" i="21"/>
  <c r="P183" i="21"/>
  <c r="Z183" i="21"/>
  <c r="O184" i="21"/>
  <c r="P184" i="21"/>
  <c r="Z184" i="21"/>
  <c r="M185" i="21"/>
  <c r="L185" i="21" s="1"/>
  <c r="O186" i="21"/>
  <c r="P186" i="21"/>
  <c r="Z186" i="21"/>
  <c r="O187" i="21"/>
  <c r="P187" i="21"/>
  <c r="Z187" i="21"/>
  <c r="M188" i="21"/>
  <c r="L188" i="21" s="1"/>
  <c r="O189" i="21"/>
  <c r="P189" i="21"/>
  <c r="Z189" i="21"/>
  <c r="O190" i="21"/>
  <c r="P190" i="21"/>
  <c r="Z190" i="21"/>
  <c r="M191" i="21"/>
  <c r="L191" i="21" s="1"/>
  <c r="O192" i="21"/>
  <c r="P192" i="21"/>
  <c r="Z192" i="21"/>
  <c r="O193" i="21"/>
  <c r="P193" i="21"/>
  <c r="Z193" i="21"/>
  <c r="M194" i="21"/>
  <c r="L194" i="21" s="1"/>
  <c r="O194" i="21" s="1"/>
  <c r="M197" i="21"/>
  <c r="L197" i="21" s="1"/>
  <c r="O197" i="21" s="1"/>
  <c r="M200" i="21"/>
  <c r="L200" i="21" s="1"/>
  <c r="O200" i="21" s="1"/>
  <c r="M203" i="21"/>
  <c r="L203" i="21" s="1"/>
  <c r="O203" i="21" s="1"/>
  <c r="M206" i="21"/>
  <c r="L206" i="21" s="1"/>
  <c r="O206" i="21" s="1"/>
  <c r="M209" i="21"/>
  <c r="L209" i="21" s="1"/>
  <c r="O209" i="21" s="1"/>
  <c r="M212" i="21"/>
  <c r="L212" i="21" s="1"/>
  <c r="O212" i="21" s="1"/>
  <c r="M215" i="21"/>
  <c r="L215" i="21" s="1"/>
  <c r="O215" i="21" s="1"/>
  <c r="M218" i="21"/>
  <c r="L218" i="21" s="1"/>
  <c r="O218" i="21" s="1"/>
  <c r="M221" i="21"/>
  <c r="L221" i="21" s="1"/>
  <c r="O221" i="21" s="1"/>
  <c r="M224" i="21"/>
  <c r="L224" i="21" s="1"/>
  <c r="O225" i="21"/>
  <c r="P225" i="21"/>
  <c r="Z225" i="21"/>
  <c r="O226" i="21"/>
  <c r="P226" i="21"/>
  <c r="Z226" i="21"/>
  <c r="M227" i="21"/>
  <c r="L227" i="21" s="1"/>
  <c r="O227" i="21" s="1"/>
  <c r="M230" i="21"/>
  <c r="L230" i="21" s="1"/>
  <c r="O230" i="21" s="1"/>
  <c r="M233" i="21"/>
  <c r="L233" i="21" s="1"/>
  <c r="O233" i="21" s="1"/>
  <c r="M236" i="21"/>
  <c r="L236" i="21" s="1"/>
  <c r="O236" i="21" s="1"/>
  <c r="AB128" i="1"/>
  <c r="R128" i="1"/>
  <c r="Q128" i="1"/>
  <c r="AB127" i="1"/>
  <c r="R127" i="1"/>
  <c r="Q127" i="1"/>
  <c r="AB126" i="1"/>
  <c r="R126" i="1"/>
  <c r="Q126" i="1"/>
  <c r="F169" i="7"/>
  <c r="Z34" i="16"/>
  <c r="P34" i="16"/>
  <c r="O34" i="16"/>
  <c r="Z33" i="16"/>
  <c r="P33" i="16"/>
  <c r="O33" i="16"/>
  <c r="P32" i="16"/>
  <c r="O32" i="16"/>
  <c r="M32" i="16"/>
  <c r="Z31" i="16"/>
  <c r="P31" i="16"/>
  <c r="O31" i="16"/>
  <c r="Z30" i="16"/>
  <c r="P30" i="16"/>
  <c r="O30" i="16"/>
  <c r="P29" i="16"/>
  <c r="O29" i="16"/>
  <c r="M29" i="16"/>
  <c r="Z28" i="16"/>
  <c r="P28" i="16"/>
  <c r="O28" i="16"/>
  <c r="Z27" i="16"/>
  <c r="P27" i="16"/>
  <c r="O27" i="16"/>
  <c r="P26" i="16"/>
  <c r="O26" i="16"/>
  <c r="M26" i="16"/>
  <c r="H165" i="1"/>
  <c r="H164" i="1"/>
  <c r="H163" i="1"/>
  <c r="H161" i="1"/>
  <c r="AB93" i="1"/>
  <c r="AE93" i="1" s="1"/>
  <c r="AB92" i="1"/>
  <c r="AE92" i="1" s="1"/>
  <c r="O92" i="1"/>
  <c r="N92" i="1"/>
  <c r="R92" i="1" s="1"/>
  <c r="AB91" i="1"/>
  <c r="AE91" i="1" s="1"/>
  <c r="AB90" i="1"/>
  <c r="AE90" i="1" s="1"/>
  <c r="O90" i="1"/>
  <c r="N90" i="1"/>
  <c r="R90" i="1" s="1"/>
  <c r="AB81" i="1"/>
  <c r="AE81" i="1" s="1"/>
  <c r="AB80" i="1"/>
  <c r="AE80" i="1" s="1"/>
  <c r="O80" i="1"/>
  <c r="N80" i="1"/>
  <c r="R80" i="1" s="1"/>
  <c r="AB79" i="1"/>
  <c r="AE79" i="1" s="1"/>
  <c r="AB78" i="1"/>
  <c r="AE78" i="1" s="1"/>
  <c r="O78" i="1"/>
  <c r="N78" i="1"/>
  <c r="R78" i="1" s="1"/>
  <c r="P164" i="21" l="1"/>
  <c r="O164" i="21"/>
  <c r="O71" i="21"/>
  <c r="P71" i="21"/>
  <c r="O35" i="21"/>
  <c r="P35" i="21"/>
  <c r="P74" i="21"/>
  <c r="O74" i="21"/>
  <c r="P182" i="21"/>
  <c r="O182" i="21"/>
  <c r="P38" i="21"/>
  <c r="O38" i="21"/>
  <c r="O17" i="21"/>
  <c r="P17" i="21"/>
  <c r="P146" i="21"/>
  <c r="O146" i="21"/>
  <c r="P92" i="21"/>
  <c r="O92" i="21"/>
  <c r="P56" i="21"/>
  <c r="O56" i="21"/>
  <c r="P53" i="21"/>
  <c r="O29" i="21"/>
  <c r="P29" i="21"/>
  <c r="O80" i="21"/>
  <c r="P80" i="21"/>
  <c r="O128" i="21"/>
  <c r="P128" i="21"/>
  <c r="O23" i="21"/>
  <c r="P23" i="21"/>
  <c r="P14" i="21"/>
  <c r="O14" i="21"/>
  <c r="O173" i="21"/>
  <c r="P173" i="21"/>
  <c r="O137" i="21"/>
  <c r="P137" i="21"/>
  <c r="O32" i="21"/>
  <c r="P32" i="21"/>
  <c r="O167" i="21"/>
  <c r="P167" i="21"/>
  <c r="O158" i="21"/>
  <c r="P158" i="21"/>
  <c r="P83" i="21"/>
  <c r="O83" i="21"/>
  <c r="P50" i="21"/>
  <c r="O50" i="21"/>
  <c r="O26" i="21"/>
  <c r="P26" i="21"/>
  <c r="O125" i="21"/>
  <c r="P125" i="21"/>
  <c r="O77" i="21"/>
  <c r="P77" i="21"/>
  <c r="O185" i="21"/>
  <c r="P185" i="21"/>
  <c r="O176" i="21"/>
  <c r="P176" i="21"/>
  <c r="P119" i="21"/>
  <c r="O119" i="21"/>
  <c r="O101" i="21"/>
  <c r="P101" i="21"/>
  <c r="P68" i="21"/>
  <c r="O68" i="21"/>
  <c r="P44" i="21"/>
  <c r="O44" i="21"/>
  <c r="O113" i="21"/>
  <c r="P113" i="21"/>
  <c r="P188" i="21"/>
  <c r="O188" i="21"/>
  <c r="O122" i="21"/>
  <c r="P122" i="21"/>
  <c r="O47" i="21"/>
  <c r="P47" i="21"/>
  <c r="O8" i="21"/>
  <c r="P8" i="21"/>
  <c r="O98" i="21"/>
  <c r="P98" i="21"/>
  <c r="O65" i="21"/>
  <c r="P65" i="21"/>
  <c r="O41" i="21"/>
  <c r="P41" i="21"/>
  <c r="O149" i="21"/>
  <c r="P149" i="21"/>
  <c r="O59" i="21"/>
  <c r="P59" i="21"/>
  <c r="P11" i="21"/>
  <c r="O11" i="21"/>
  <c r="O224" i="21"/>
  <c r="P224" i="21"/>
  <c r="P104" i="21"/>
  <c r="O104" i="21"/>
  <c r="O191" i="21"/>
  <c r="P191" i="21"/>
  <c r="O170" i="21"/>
  <c r="P170" i="21"/>
  <c r="P152" i="21"/>
  <c r="O152" i="21"/>
  <c r="O95" i="21"/>
  <c r="P95" i="21"/>
  <c r="O86" i="21"/>
  <c r="P86" i="21"/>
  <c r="P62" i="21"/>
  <c r="O62" i="21"/>
  <c r="P179" i="21"/>
  <c r="P161" i="21"/>
  <c r="P143" i="21"/>
  <c r="P107" i="21"/>
  <c r="P89" i="21"/>
  <c r="O110" i="21"/>
  <c r="P5" i="21"/>
  <c r="P131" i="21"/>
  <c r="P116" i="21"/>
  <c r="Q92" i="1"/>
  <c r="Q78" i="1"/>
  <c r="Q90" i="1"/>
  <c r="Q80" i="1"/>
  <c r="R101" i="1"/>
  <c r="Q101" i="1"/>
  <c r="AB100" i="1"/>
  <c r="AE100" i="1" s="1"/>
  <c r="O100" i="1"/>
  <c r="N100" i="1"/>
  <c r="R100" i="1" s="1"/>
  <c r="AB97" i="1"/>
  <c r="AE97" i="1" s="1"/>
  <c r="R97" i="1"/>
  <c r="Q97" i="1"/>
  <c r="AE96" i="1"/>
  <c r="AB96" i="1"/>
  <c r="O96" i="1"/>
  <c r="N96" i="1"/>
  <c r="R96" i="1" s="1"/>
  <c r="AB89" i="1"/>
  <c r="AE89" i="1" s="1"/>
  <c r="AB88" i="1"/>
  <c r="AE88" i="1" s="1"/>
  <c r="O88" i="1"/>
  <c r="N88" i="1"/>
  <c r="R88" i="1" s="1"/>
  <c r="AB87" i="1"/>
  <c r="AE87" i="1" s="1"/>
  <c r="AB86" i="1"/>
  <c r="AE86" i="1" s="1"/>
  <c r="O86" i="1"/>
  <c r="N86" i="1"/>
  <c r="Q86" i="1" s="1"/>
  <c r="AB85" i="1"/>
  <c r="AE85" i="1" s="1"/>
  <c r="AB84" i="1"/>
  <c r="AE84" i="1" s="1"/>
  <c r="O84" i="1"/>
  <c r="N84" i="1"/>
  <c r="R84" i="1" s="1"/>
  <c r="AB77" i="1"/>
  <c r="AE77" i="1" s="1"/>
  <c r="AB76" i="1"/>
  <c r="AE76" i="1" s="1"/>
  <c r="O76" i="1"/>
  <c r="N76" i="1"/>
  <c r="R76" i="1" s="1"/>
  <c r="AB75" i="1"/>
  <c r="AE75" i="1" s="1"/>
  <c r="AB74" i="1"/>
  <c r="AE74" i="1" s="1"/>
  <c r="O74" i="1"/>
  <c r="N74" i="1"/>
  <c r="R74" i="1" s="1"/>
  <c r="AB73" i="1"/>
  <c r="AE73" i="1" s="1"/>
  <c r="AB72" i="1"/>
  <c r="AE72" i="1" s="1"/>
  <c r="O72" i="1"/>
  <c r="N72" i="1"/>
  <c r="R72" i="1" s="1"/>
  <c r="AB69" i="1"/>
  <c r="AE69" i="1" s="1"/>
  <c r="R69" i="1"/>
  <c r="Q69" i="1"/>
  <c r="AE68" i="1"/>
  <c r="AB68" i="1"/>
  <c r="R68" i="1"/>
  <c r="Q68" i="1"/>
  <c r="P68" i="1"/>
  <c r="O68" i="1"/>
  <c r="AB67" i="1"/>
  <c r="AE67" i="1" s="1"/>
  <c r="R67" i="1"/>
  <c r="Q67" i="1"/>
  <c r="AE66" i="1"/>
  <c r="AB66" i="1"/>
  <c r="R66" i="1"/>
  <c r="Q66" i="1"/>
  <c r="P66" i="1"/>
  <c r="O66" i="1"/>
  <c r="O60" i="1"/>
  <c r="N60" i="1"/>
  <c r="R60" i="1" s="1"/>
  <c r="O59" i="1"/>
  <c r="N59" i="1"/>
  <c r="R59" i="1" s="1"/>
  <c r="O58" i="1"/>
  <c r="N58" i="1"/>
  <c r="R58" i="1" s="1"/>
  <c r="AB56" i="1"/>
  <c r="R56" i="1"/>
  <c r="Q56" i="1"/>
  <c r="AB55" i="1"/>
  <c r="R55" i="1"/>
  <c r="Q55" i="1"/>
  <c r="O54" i="1"/>
  <c r="N54" i="1"/>
  <c r="R54" i="1" s="1"/>
  <c r="AB53" i="1"/>
  <c r="R53" i="1"/>
  <c r="Q53" i="1"/>
  <c r="AB52" i="1"/>
  <c r="R52" i="1"/>
  <c r="Q52" i="1"/>
  <c r="O51" i="1"/>
  <c r="N51" i="1"/>
  <c r="R51" i="1" s="1"/>
  <c r="AB47" i="1"/>
  <c r="R47" i="1"/>
  <c r="Q47" i="1"/>
  <c r="AB46" i="1"/>
  <c r="R46" i="1"/>
  <c r="Q46" i="1"/>
  <c r="R45" i="1"/>
  <c r="Q45" i="1"/>
  <c r="O45" i="1"/>
  <c r="AB44" i="1"/>
  <c r="R44" i="1"/>
  <c r="Q44" i="1"/>
  <c r="AB43" i="1"/>
  <c r="R43" i="1"/>
  <c r="Q43" i="1"/>
  <c r="R42" i="1"/>
  <c r="Q42" i="1"/>
  <c r="O42" i="1"/>
  <c r="AB41" i="1"/>
  <c r="R41" i="1"/>
  <c r="Q41" i="1"/>
  <c r="AB40" i="1"/>
  <c r="R40" i="1"/>
  <c r="Q40" i="1"/>
  <c r="R39" i="1"/>
  <c r="Q39" i="1"/>
  <c r="O39" i="1"/>
  <c r="AE35" i="1"/>
  <c r="AB35" i="1"/>
  <c r="R35" i="1"/>
  <c r="Q35" i="1"/>
  <c r="R34" i="1"/>
  <c r="Q34" i="1"/>
  <c r="AE33" i="1"/>
  <c r="AF33" i="1" s="1"/>
  <c r="O33" i="1"/>
  <c r="N33" i="1"/>
  <c r="R33" i="1" s="1"/>
  <c r="AE32" i="1"/>
  <c r="AB32" i="1"/>
  <c r="R32" i="1"/>
  <c r="Q32" i="1"/>
  <c r="R31" i="1"/>
  <c r="Q31" i="1"/>
  <c r="AE30" i="1"/>
  <c r="AF30" i="1" s="1"/>
  <c r="O30" i="1"/>
  <c r="N30" i="1"/>
  <c r="R30" i="1" s="1"/>
  <c r="AE29" i="1"/>
  <c r="AB29" i="1"/>
  <c r="AF27" i="1" s="1"/>
  <c r="R29" i="1"/>
  <c r="Q29" i="1"/>
  <c r="R28" i="1"/>
  <c r="Q28" i="1"/>
  <c r="AE27" i="1"/>
  <c r="O27" i="1"/>
  <c r="N27" i="1"/>
  <c r="Q27" i="1" s="1"/>
  <c r="AB23" i="1"/>
  <c r="AE23" i="1" s="1"/>
  <c r="AB21" i="1"/>
  <c r="AE21" i="1" s="1"/>
  <c r="N21" i="1"/>
  <c r="R21" i="1" s="1"/>
  <c r="AB19" i="1"/>
  <c r="AE19" i="1" s="1"/>
  <c r="N19" i="1"/>
  <c r="R19" i="1" s="1"/>
  <c r="AB17" i="1"/>
  <c r="AE17" i="1" s="1"/>
  <c r="N17" i="1"/>
  <c r="R17" i="1" s="1"/>
  <c r="AB14" i="1"/>
  <c r="AE14" i="1" s="1"/>
  <c r="N14" i="1"/>
  <c r="Q14" i="1" s="1"/>
  <c r="AB13" i="1"/>
  <c r="AE13" i="1" s="1"/>
  <c r="N13" i="1"/>
  <c r="R13" i="1" s="1"/>
  <c r="G9" i="12"/>
  <c r="H9" i="12"/>
  <c r="I9" i="12"/>
  <c r="D9" i="12"/>
  <c r="D8" i="12"/>
  <c r="AB10" i="1"/>
  <c r="AE10" i="1" s="1"/>
  <c r="N10" i="1"/>
  <c r="Q10" i="1" s="1"/>
  <c r="AB9" i="1"/>
  <c r="AE9" i="1" s="1"/>
  <c r="N9" i="1"/>
  <c r="Q9" i="1" s="1"/>
  <c r="AB7" i="1"/>
  <c r="AE7" i="1" s="1"/>
  <c r="N7" i="1"/>
  <c r="Q7" i="1" s="1"/>
  <c r="AB6" i="1"/>
  <c r="AE6" i="1" s="1"/>
  <c r="N6" i="1"/>
  <c r="R6" i="1" s="1"/>
  <c r="E41" i="16"/>
  <c r="E39" i="16"/>
  <c r="E40" i="16"/>
  <c r="E37" i="16"/>
  <c r="F65" i="15"/>
  <c r="F68" i="15"/>
  <c r="F67" i="15"/>
  <c r="F66" i="15"/>
  <c r="F64" i="15"/>
  <c r="F215" i="22"/>
  <c r="I8" i="12" s="1"/>
  <c r="F214" i="22"/>
  <c r="H8" i="12" s="1"/>
  <c r="F213" i="22"/>
  <c r="G8" i="12" s="1"/>
  <c r="E53" i="14"/>
  <c r="E52" i="14"/>
  <c r="E51" i="14"/>
  <c r="E49" i="14"/>
  <c r="F173" i="7"/>
  <c r="F172" i="7"/>
  <c r="F171" i="7"/>
  <c r="C42" i="2"/>
  <c r="C41" i="2"/>
  <c r="C40" i="2"/>
  <c r="C38" i="2"/>
  <c r="C66" i="8"/>
  <c r="C70" i="8"/>
  <c r="C69" i="8"/>
  <c r="C68" i="8"/>
  <c r="M248" i="21"/>
  <c r="L248" i="21" s="1"/>
  <c r="O248" i="21" s="1"/>
  <c r="M245" i="21"/>
  <c r="L245" i="21"/>
  <c r="O245" i="21" s="1"/>
  <c r="M242" i="21"/>
  <c r="L242" i="21" s="1"/>
  <c r="O242" i="21" s="1"/>
  <c r="M239" i="21"/>
  <c r="L239" i="21" s="1"/>
  <c r="O239" i="21" s="1"/>
  <c r="Z25" i="16"/>
  <c r="P25" i="16"/>
  <c r="O25" i="16"/>
  <c r="Z24" i="16"/>
  <c r="P24" i="16"/>
  <c r="O24" i="16"/>
  <c r="P23" i="16"/>
  <c r="O23" i="16"/>
  <c r="M23" i="16"/>
  <c r="Z22" i="16"/>
  <c r="P22" i="16"/>
  <c r="O22" i="16"/>
  <c r="Z21" i="16"/>
  <c r="P21" i="16"/>
  <c r="O21" i="16"/>
  <c r="P20" i="16"/>
  <c r="O20" i="16"/>
  <c r="M20" i="16"/>
  <c r="Q100" i="1" l="1"/>
  <c r="Q96" i="1"/>
  <c r="Q88" i="1"/>
  <c r="R86" i="1"/>
  <c r="Q84" i="1"/>
  <c r="Q76" i="1"/>
  <c r="Q74" i="1"/>
  <c r="Q72" i="1"/>
  <c r="Q60" i="1"/>
  <c r="Q58" i="1"/>
  <c r="Q59" i="1"/>
  <c r="Q54" i="1"/>
  <c r="Q51" i="1"/>
  <c r="Q33" i="1"/>
  <c r="Q30" i="1"/>
  <c r="R27" i="1"/>
  <c r="Q19" i="1"/>
  <c r="Q21" i="1"/>
  <c r="Q17" i="1"/>
  <c r="R14" i="1"/>
  <c r="Q13" i="1"/>
  <c r="R10" i="1"/>
  <c r="G254" i="21"/>
  <c r="E9" i="12" s="1"/>
  <c r="R9" i="1"/>
  <c r="R7" i="1"/>
  <c r="Q6" i="1"/>
  <c r="F8" i="12"/>
  <c r="F170" i="7"/>
  <c r="E39" i="9"/>
  <c r="E38" i="9"/>
  <c r="E37" i="9"/>
  <c r="E36" i="9"/>
  <c r="L63" i="8" l="1"/>
  <c r="K63" i="8"/>
  <c r="L62" i="8"/>
  <c r="K62" i="8"/>
  <c r="L61" i="8"/>
  <c r="K61" i="8"/>
  <c r="O59" i="15"/>
  <c r="N59" i="15" s="1"/>
  <c r="I5" i="22"/>
  <c r="L5" i="22" s="1"/>
  <c r="J5" i="22"/>
  <c r="L6" i="22"/>
  <c r="M6" i="22"/>
  <c r="L7" i="22"/>
  <c r="M7" i="22"/>
  <c r="J8" i="22"/>
  <c r="I8" i="22" s="1"/>
  <c r="L9" i="22"/>
  <c r="M9" i="22"/>
  <c r="L10" i="22"/>
  <c r="M10" i="22"/>
  <c r="J11" i="22"/>
  <c r="I11" i="22" s="1"/>
  <c r="L11" i="22" s="1"/>
  <c r="L12" i="22"/>
  <c r="M12" i="22"/>
  <c r="L13" i="22"/>
  <c r="M13" i="22"/>
  <c r="I14" i="22"/>
  <c r="M14" i="22" s="1"/>
  <c r="J14" i="22"/>
  <c r="L15" i="22"/>
  <c r="M15" i="22"/>
  <c r="L16" i="22"/>
  <c r="M16" i="22"/>
  <c r="I17" i="22"/>
  <c r="M17" i="22" s="1"/>
  <c r="J17" i="22"/>
  <c r="L18" i="22"/>
  <c r="M18" i="22"/>
  <c r="L19" i="22"/>
  <c r="M19" i="22"/>
  <c r="J20" i="22"/>
  <c r="I20" i="22" s="1"/>
  <c r="L20" i="22" s="1"/>
  <c r="L21" i="22"/>
  <c r="M21" i="22"/>
  <c r="L22" i="22"/>
  <c r="M22" i="22"/>
  <c r="J23" i="22"/>
  <c r="I23" i="22" s="1"/>
  <c r="L23" i="22" s="1"/>
  <c r="L24" i="22"/>
  <c r="M24" i="22"/>
  <c r="L25" i="22"/>
  <c r="M25" i="22"/>
  <c r="I26" i="22"/>
  <c r="M26" i="22" s="1"/>
  <c r="J26" i="22"/>
  <c r="L27" i="22"/>
  <c r="M27" i="22"/>
  <c r="L28" i="22"/>
  <c r="M28" i="22"/>
  <c r="I29" i="22"/>
  <c r="L29" i="22" s="1"/>
  <c r="J29" i="22"/>
  <c r="L30" i="22"/>
  <c r="M30" i="22"/>
  <c r="L31" i="22"/>
  <c r="M31" i="22"/>
  <c r="I32" i="22"/>
  <c r="L32" i="22" s="1"/>
  <c r="J32" i="22"/>
  <c r="L33" i="22"/>
  <c r="M33" i="22"/>
  <c r="L34" i="22"/>
  <c r="M34" i="22"/>
  <c r="I35" i="22"/>
  <c r="M35" i="22" s="1"/>
  <c r="J35" i="22"/>
  <c r="L36" i="22"/>
  <c r="M36" i="22"/>
  <c r="L37" i="22"/>
  <c r="M37" i="22"/>
  <c r="I38" i="22"/>
  <c r="M38" i="22" s="1"/>
  <c r="J38" i="22"/>
  <c r="L39" i="22"/>
  <c r="M39" i="22"/>
  <c r="L40" i="22"/>
  <c r="M40" i="22"/>
  <c r="I41" i="22"/>
  <c r="L41" i="22" s="1"/>
  <c r="J41" i="22"/>
  <c r="L42" i="22"/>
  <c r="M42" i="22"/>
  <c r="L43" i="22"/>
  <c r="M43" i="22"/>
  <c r="J44" i="22"/>
  <c r="I44" i="22" s="1"/>
  <c r="L44" i="22" s="1"/>
  <c r="L45" i="22"/>
  <c r="M45" i="22"/>
  <c r="L46" i="22"/>
  <c r="M46" i="22"/>
  <c r="I47" i="22"/>
  <c r="M47" i="22" s="1"/>
  <c r="J47" i="22"/>
  <c r="L48" i="22"/>
  <c r="M48" i="22"/>
  <c r="L49" i="22"/>
  <c r="M49" i="22"/>
  <c r="I50" i="22"/>
  <c r="L50" i="22" s="1"/>
  <c r="J50" i="22"/>
  <c r="L51" i="22"/>
  <c r="M51" i="22"/>
  <c r="L52" i="22"/>
  <c r="M52" i="22"/>
  <c r="J53" i="22"/>
  <c r="I53" i="22" s="1"/>
  <c r="L53" i="22" s="1"/>
  <c r="L54" i="22"/>
  <c r="M54" i="22"/>
  <c r="L55" i="22"/>
  <c r="M55" i="22"/>
  <c r="J56" i="22"/>
  <c r="I56" i="22" s="1"/>
  <c r="L56" i="22" s="1"/>
  <c r="L57" i="22"/>
  <c r="M57" i="22"/>
  <c r="L58" i="22"/>
  <c r="M58" i="22"/>
  <c r="J59" i="22"/>
  <c r="I59" i="22" s="1"/>
  <c r="L60" i="22"/>
  <c r="M60" i="22"/>
  <c r="L61" i="22"/>
  <c r="M61" i="22"/>
  <c r="J62" i="22"/>
  <c r="I62" i="22" s="1"/>
  <c r="L63" i="22"/>
  <c r="M63" i="22"/>
  <c r="L64" i="22"/>
  <c r="M64" i="22"/>
  <c r="J65" i="22"/>
  <c r="I65" i="22" s="1"/>
  <c r="L65" i="22" s="1"/>
  <c r="L66" i="22"/>
  <c r="M66" i="22"/>
  <c r="L67" i="22"/>
  <c r="M67" i="22"/>
  <c r="J68" i="22"/>
  <c r="I68" i="22" s="1"/>
  <c r="L68" i="22" s="1"/>
  <c r="L69" i="22"/>
  <c r="M69" i="22"/>
  <c r="L70" i="22"/>
  <c r="M70" i="22"/>
  <c r="J71" i="22"/>
  <c r="I71" i="22" s="1"/>
  <c r="L72" i="22"/>
  <c r="M72" i="22"/>
  <c r="L73" i="22"/>
  <c r="M73" i="22"/>
  <c r="J74" i="22"/>
  <c r="I74" i="22" s="1"/>
  <c r="L75" i="22"/>
  <c r="M75" i="22"/>
  <c r="L76" i="22"/>
  <c r="M76" i="22"/>
  <c r="J77" i="22"/>
  <c r="I77" i="22" s="1"/>
  <c r="L77" i="22" s="1"/>
  <c r="L78" i="22"/>
  <c r="M78" i="22"/>
  <c r="L79" i="22"/>
  <c r="M79" i="22"/>
  <c r="J80" i="22"/>
  <c r="I80" i="22" s="1"/>
  <c r="L80" i="22" s="1"/>
  <c r="L81" i="22"/>
  <c r="M81" i="22"/>
  <c r="L82" i="22"/>
  <c r="M82" i="22"/>
  <c r="J83" i="22"/>
  <c r="I83" i="22" s="1"/>
  <c r="L84" i="22"/>
  <c r="M84" i="22"/>
  <c r="L85" i="22"/>
  <c r="M85" i="22"/>
  <c r="J86" i="22"/>
  <c r="I86" i="22" s="1"/>
  <c r="J89" i="22"/>
  <c r="I89" i="22" s="1"/>
  <c r="L90" i="22"/>
  <c r="M90" i="22"/>
  <c r="L91" i="22"/>
  <c r="M91" i="22"/>
  <c r="J92" i="22"/>
  <c r="I92" i="22" s="1"/>
  <c r="L93" i="22"/>
  <c r="M93" i="22"/>
  <c r="L94" i="22"/>
  <c r="M94" i="22"/>
  <c r="J95" i="22"/>
  <c r="I95" i="22" s="1"/>
  <c r="L96" i="22"/>
  <c r="M96" i="22"/>
  <c r="L97" i="22"/>
  <c r="M97" i="22"/>
  <c r="J98" i="22"/>
  <c r="I98" i="22" s="1"/>
  <c r="L99" i="22"/>
  <c r="M99" i="22"/>
  <c r="L100" i="22"/>
  <c r="M100" i="22"/>
  <c r="I101" i="22"/>
  <c r="L101" i="22" s="1"/>
  <c r="J101" i="22"/>
  <c r="L102" i="22"/>
  <c r="M102" i="22"/>
  <c r="L103" i="22"/>
  <c r="M103" i="22"/>
  <c r="J104" i="22"/>
  <c r="I104" i="22" s="1"/>
  <c r="L104" i="22" s="1"/>
  <c r="L105" i="22"/>
  <c r="M105" i="22"/>
  <c r="L106" i="22"/>
  <c r="M106" i="22"/>
  <c r="J107" i="22"/>
  <c r="I107" i="22" s="1"/>
  <c r="L108" i="22"/>
  <c r="M108" i="22"/>
  <c r="L109" i="22"/>
  <c r="M109" i="22"/>
  <c r="J110" i="22"/>
  <c r="I110" i="22" s="1"/>
  <c r="L111" i="22"/>
  <c r="M111" i="22"/>
  <c r="L112" i="22"/>
  <c r="M112" i="22"/>
  <c r="J113" i="22"/>
  <c r="I113" i="22" s="1"/>
  <c r="M113" i="22" s="1"/>
  <c r="L114" i="22"/>
  <c r="M114" i="22"/>
  <c r="L115" i="22"/>
  <c r="M115" i="22"/>
  <c r="J116" i="22"/>
  <c r="I116" i="22" s="1"/>
  <c r="L116" i="22" s="1"/>
  <c r="L117" i="22"/>
  <c r="M117" i="22"/>
  <c r="L118" i="22"/>
  <c r="M118" i="22"/>
  <c r="J119" i="22"/>
  <c r="I119" i="22" s="1"/>
  <c r="L119" i="22" s="1"/>
  <c r="L120" i="22"/>
  <c r="M120" i="22"/>
  <c r="L121" i="22"/>
  <c r="M121" i="22"/>
  <c r="J122" i="22"/>
  <c r="I122" i="22" s="1"/>
  <c r="L122" i="22" s="1"/>
  <c r="L123" i="22"/>
  <c r="M123" i="22"/>
  <c r="L124" i="22"/>
  <c r="M124" i="22"/>
  <c r="J125" i="22"/>
  <c r="I125" i="22" s="1"/>
  <c r="L126" i="22"/>
  <c r="M126" i="22"/>
  <c r="L127" i="22"/>
  <c r="M127" i="22"/>
  <c r="J128" i="22"/>
  <c r="I128" i="22" s="1"/>
  <c r="L129" i="22"/>
  <c r="M129" i="22"/>
  <c r="L130" i="22"/>
  <c r="M130" i="22"/>
  <c r="I131" i="22"/>
  <c r="L131" i="22" s="1"/>
  <c r="J131" i="22"/>
  <c r="L132" i="22"/>
  <c r="M132" i="22"/>
  <c r="L133" i="22"/>
  <c r="M133" i="22"/>
  <c r="J134" i="22"/>
  <c r="I134" i="22" s="1"/>
  <c r="L134" i="22" s="1"/>
  <c r="L135" i="22"/>
  <c r="M135" i="22"/>
  <c r="L136" i="22"/>
  <c r="M136" i="22"/>
  <c r="I137" i="22"/>
  <c r="M137" i="22" s="1"/>
  <c r="J137" i="22"/>
  <c r="L138" i="22"/>
  <c r="M138" i="22"/>
  <c r="L139" i="22"/>
  <c r="M139" i="22"/>
  <c r="J140" i="22"/>
  <c r="I140" i="22" s="1"/>
  <c r="L141" i="22"/>
  <c r="M141" i="22"/>
  <c r="L142" i="22"/>
  <c r="M142" i="22"/>
  <c r="J143" i="22"/>
  <c r="I143" i="22" s="1"/>
  <c r="L143" i="22" s="1"/>
  <c r="L144" i="22"/>
  <c r="M144" i="22"/>
  <c r="L145" i="22"/>
  <c r="M145" i="22"/>
  <c r="J146" i="22"/>
  <c r="I146" i="22" s="1"/>
  <c r="L146" i="22" s="1"/>
  <c r="L147" i="22"/>
  <c r="M147" i="22"/>
  <c r="L148" i="22"/>
  <c r="M148" i="22"/>
  <c r="I149" i="22"/>
  <c r="M149" i="22" s="1"/>
  <c r="J149" i="22"/>
  <c r="L150" i="22"/>
  <c r="M150" i="22"/>
  <c r="L151" i="22"/>
  <c r="M151" i="22"/>
  <c r="I152" i="22"/>
  <c r="L152" i="22" s="1"/>
  <c r="J152" i="22"/>
  <c r="L153" i="22"/>
  <c r="M153" i="22"/>
  <c r="L154" i="22"/>
  <c r="M154" i="22"/>
  <c r="J155" i="22"/>
  <c r="I155" i="22" s="1"/>
  <c r="L155" i="22" s="1"/>
  <c r="L156" i="22"/>
  <c r="M156" i="22"/>
  <c r="L157" i="22"/>
  <c r="M157" i="22"/>
  <c r="J158" i="22"/>
  <c r="I158" i="22" s="1"/>
  <c r="M158" i="22" s="1"/>
  <c r="L159" i="22"/>
  <c r="M159" i="22"/>
  <c r="L160" i="22"/>
  <c r="M160" i="22"/>
  <c r="J161" i="22"/>
  <c r="I161" i="22" s="1"/>
  <c r="J164" i="22"/>
  <c r="I164" i="22" s="1"/>
  <c r="L165" i="22"/>
  <c r="M165" i="22"/>
  <c r="L166" i="22"/>
  <c r="M166" i="22"/>
  <c r="J167" i="22"/>
  <c r="I167" i="22" s="1"/>
  <c r="M167" i="22" s="1"/>
  <c r="L168" i="22"/>
  <c r="M168" i="22"/>
  <c r="L169" i="22"/>
  <c r="M169" i="22"/>
  <c r="J170" i="22"/>
  <c r="I170" i="22" s="1"/>
  <c r="L171" i="22"/>
  <c r="M171" i="22"/>
  <c r="L172" i="22"/>
  <c r="M172" i="22"/>
  <c r="J173" i="22"/>
  <c r="I173" i="22" s="1"/>
  <c r="M173" i="22" s="1"/>
  <c r="L174" i="22"/>
  <c r="M174" i="22"/>
  <c r="L175" i="22"/>
  <c r="M175" i="22"/>
  <c r="J176" i="22"/>
  <c r="I176" i="22" s="1"/>
  <c r="L176" i="22" s="1"/>
  <c r="L177" i="22"/>
  <c r="M177" i="22"/>
  <c r="L178" i="22"/>
  <c r="M178" i="22"/>
  <c r="J179" i="22"/>
  <c r="I179" i="22" s="1"/>
  <c r="L180" i="22"/>
  <c r="M180" i="22"/>
  <c r="L181" i="22"/>
  <c r="M181" i="22"/>
  <c r="J182" i="22"/>
  <c r="I182" i="22" s="1"/>
  <c r="L183" i="22"/>
  <c r="M183" i="22"/>
  <c r="L184" i="22"/>
  <c r="M184" i="22"/>
  <c r="J185" i="22"/>
  <c r="I185" i="22" s="1"/>
  <c r="L185" i="22" s="1"/>
  <c r="L186" i="22"/>
  <c r="M186" i="22"/>
  <c r="L187" i="22"/>
  <c r="M187" i="22"/>
  <c r="I188" i="22"/>
  <c r="L188" i="22" s="1"/>
  <c r="J188" i="22"/>
  <c r="L189" i="22"/>
  <c r="M189" i="22"/>
  <c r="L190" i="22"/>
  <c r="M190" i="22"/>
  <c r="J191" i="22"/>
  <c r="I191" i="22" s="1"/>
  <c r="L192" i="22"/>
  <c r="M192" i="22"/>
  <c r="L193" i="22"/>
  <c r="M193" i="22"/>
  <c r="J194" i="22"/>
  <c r="I194" i="22" s="1"/>
  <c r="L194" i="22" s="1"/>
  <c r="L195" i="22"/>
  <c r="M195" i="22"/>
  <c r="L196" i="22"/>
  <c r="M196" i="22"/>
  <c r="J197" i="22"/>
  <c r="I197" i="22" s="1"/>
  <c r="L198" i="22"/>
  <c r="M198" i="22"/>
  <c r="L199" i="22"/>
  <c r="M199" i="22"/>
  <c r="J200" i="22"/>
  <c r="I200" i="22" s="1"/>
  <c r="L201" i="22"/>
  <c r="M201" i="22"/>
  <c r="L202" i="22"/>
  <c r="M202" i="22"/>
  <c r="J203" i="22"/>
  <c r="I203" i="22" s="1"/>
  <c r="L203" i="22" s="1"/>
  <c r="L204" i="22"/>
  <c r="M204" i="22"/>
  <c r="L205" i="22"/>
  <c r="M205" i="22"/>
  <c r="F212" i="22" l="1"/>
  <c r="E8" i="12" s="1"/>
  <c r="L173" i="22"/>
  <c r="L167" i="22"/>
  <c r="M152" i="22"/>
  <c r="L14" i="22"/>
  <c r="L38" i="22"/>
  <c r="L113" i="22"/>
  <c r="M53" i="22"/>
  <c r="L35" i="22"/>
  <c r="M119" i="22"/>
  <c r="M5" i="22"/>
  <c r="M203" i="22"/>
  <c r="M41" i="22"/>
  <c r="L137" i="22"/>
  <c r="L17" i="22"/>
  <c r="M143" i="22"/>
  <c r="M20" i="22"/>
  <c r="M77" i="22"/>
  <c r="M125" i="22"/>
  <c r="L125" i="22"/>
  <c r="M131" i="22"/>
  <c r="M101" i="22"/>
  <c r="M65" i="22"/>
  <c r="L47" i="22"/>
  <c r="L26" i="22"/>
  <c r="M50" i="22"/>
  <c r="M29" i="22"/>
  <c r="M107" i="22"/>
  <c r="L107" i="22"/>
  <c r="M95" i="22"/>
  <c r="L95" i="22"/>
  <c r="L191" i="22"/>
  <c r="M191" i="22"/>
  <c r="M71" i="22"/>
  <c r="L71" i="22"/>
  <c r="L200" i="22"/>
  <c r="M200" i="22"/>
  <c r="M179" i="22"/>
  <c r="L179" i="22"/>
  <c r="M83" i="22"/>
  <c r="L83" i="22"/>
  <c r="M8" i="22"/>
  <c r="L8" i="22"/>
  <c r="L140" i="22"/>
  <c r="M140" i="22"/>
  <c r="L62" i="22"/>
  <c r="M62" i="22"/>
  <c r="M197" i="22"/>
  <c r="L197" i="22"/>
  <c r="L128" i="22"/>
  <c r="M128" i="22"/>
  <c r="L110" i="22"/>
  <c r="M110" i="22"/>
  <c r="L98" i="22"/>
  <c r="M98" i="22"/>
  <c r="L74" i="22"/>
  <c r="M74" i="22"/>
  <c r="L164" i="22"/>
  <c r="M164" i="22"/>
  <c r="M89" i="22"/>
  <c r="L89" i="22"/>
  <c r="L182" i="22"/>
  <c r="M182" i="22"/>
  <c r="L170" i="22"/>
  <c r="M170" i="22"/>
  <c r="M92" i="22"/>
  <c r="L92" i="22"/>
  <c r="M59" i="22"/>
  <c r="L59" i="22"/>
  <c r="M185" i="22"/>
  <c r="L158" i="22"/>
  <c r="L149" i="22"/>
  <c r="M11" i="22"/>
  <c r="M194" i="22"/>
  <c r="M188" i="22"/>
  <c r="M176" i="22"/>
  <c r="M155" i="22"/>
  <c r="M146" i="22"/>
  <c r="M134" i="22"/>
  <c r="M122" i="22"/>
  <c r="M116" i="22"/>
  <c r="M104" i="22"/>
  <c r="M80" i="22"/>
  <c r="M68" i="22"/>
  <c r="M56" i="22"/>
  <c r="M44" i="22"/>
  <c r="M32" i="22"/>
  <c r="M23" i="22"/>
  <c r="L8" i="7" l="1"/>
  <c r="K8" i="7"/>
  <c r="L14" i="7"/>
  <c r="K14" i="7"/>
  <c r="L11" i="7"/>
  <c r="K11" i="7"/>
  <c r="L5" i="7"/>
  <c r="K5" i="7"/>
  <c r="O50" i="15"/>
  <c r="N50" i="15" s="1"/>
  <c r="O47" i="15"/>
  <c r="N47" i="15"/>
  <c r="Q11" i="15"/>
  <c r="O56" i="15"/>
  <c r="N56" i="15"/>
  <c r="Q5" i="15"/>
  <c r="Q8" i="15"/>
  <c r="Q14" i="15"/>
  <c r="AB98" i="1" l="1"/>
  <c r="AE98" i="1" s="1"/>
  <c r="AE141" i="1"/>
  <c r="L60" i="8"/>
  <c r="K60" i="8"/>
  <c r="L59" i="8"/>
  <c r="K59" i="8"/>
  <c r="L58" i="8"/>
  <c r="K58" i="8"/>
  <c r="L57" i="8"/>
  <c r="K57" i="8"/>
  <c r="L56" i="8"/>
  <c r="K56" i="8"/>
  <c r="L55" i="8"/>
  <c r="K55" i="8"/>
  <c r="L51" i="8"/>
  <c r="K51" i="8"/>
  <c r="L50" i="8"/>
  <c r="K50" i="8"/>
  <c r="L49" i="8"/>
  <c r="K49" i="8"/>
  <c r="AE143" i="1"/>
  <c r="AB143" i="1"/>
  <c r="R143" i="1"/>
  <c r="Q143" i="1"/>
  <c r="AE142" i="1"/>
  <c r="AB142" i="1"/>
  <c r="R142" i="1"/>
  <c r="Q142" i="1"/>
  <c r="O141" i="1"/>
  <c r="N141" i="1"/>
  <c r="R141" i="1" s="1"/>
  <c r="R99" i="1"/>
  <c r="Q99" i="1"/>
  <c r="O98" i="1"/>
  <c r="N98" i="1"/>
  <c r="R98" i="1" s="1"/>
  <c r="Q141" i="1" l="1"/>
  <c r="Q98" i="1"/>
  <c r="P34" i="14"/>
  <c r="O34" i="14"/>
  <c r="P33" i="14"/>
  <c r="O33" i="14"/>
  <c r="P23" i="14"/>
  <c r="P14" i="14"/>
  <c r="O14" i="14"/>
  <c r="P11" i="14"/>
  <c r="O11" i="14"/>
  <c r="P32" i="14" l="1"/>
  <c r="O32" i="14"/>
  <c r="O20" i="14"/>
  <c r="P20" i="14"/>
  <c r="P8" i="14"/>
  <c r="O8" i="14"/>
  <c r="P17" i="14"/>
  <c r="O17" i="14"/>
  <c r="AB34" i="9"/>
  <c r="R34" i="9"/>
  <c r="Q34" i="9"/>
  <c r="AB33" i="9"/>
  <c r="R33" i="9"/>
  <c r="Q33" i="9"/>
  <c r="Q32" i="9"/>
  <c r="AA31" i="9"/>
  <c r="Q31" i="9"/>
  <c r="P31" i="9"/>
  <c r="AA30" i="9"/>
  <c r="Q30" i="9"/>
  <c r="P30" i="9"/>
  <c r="P29" i="9"/>
  <c r="R32" i="9" l="1"/>
  <c r="Q29" i="9"/>
  <c r="V35" i="2" l="1"/>
  <c r="L35" i="2"/>
  <c r="K35" i="2"/>
  <c r="V34" i="2"/>
  <c r="L34" i="2"/>
  <c r="K34" i="2"/>
  <c r="L33" i="2"/>
  <c r="K33" i="2"/>
  <c r="V32" i="2"/>
  <c r="L32" i="2"/>
  <c r="K32" i="2"/>
  <c r="V31" i="2"/>
  <c r="L31" i="2"/>
  <c r="K31" i="2"/>
  <c r="L30" i="2"/>
  <c r="K30" i="2"/>
  <c r="V29" i="2"/>
  <c r="L29" i="2"/>
  <c r="K29" i="2"/>
  <c r="V28" i="2"/>
  <c r="L28" i="2"/>
  <c r="K28" i="2"/>
  <c r="L27" i="2"/>
  <c r="K27" i="2"/>
  <c r="V26" i="2"/>
  <c r="L26" i="2"/>
  <c r="K26" i="2"/>
  <c r="V25" i="2"/>
  <c r="L25" i="2"/>
  <c r="K25" i="2"/>
  <c r="L24" i="2"/>
  <c r="K24" i="2"/>
  <c r="V23" i="2"/>
  <c r="L23" i="2"/>
  <c r="K23" i="2"/>
  <c r="V22" i="2"/>
  <c r="L22" i="2"/>
  <c r="K22" i="2"/>
  <c r="L21" i="2"/>
  <c r="K21" i="2"/>
  <c r="V20" i="2"/>
  <c r="L20" i="2"/>
  <c r="K20" i="2"/>
  <c r="L19" i="2"/>
  <c r="K19" i="2"/>
  <c r="V18" i="2"/>
  <c r="E18" i="2"/>
  <c r="D18" i="2"/>
  <c r="L18" i="2" s="1"/>
  <c r="V17" i="2"/>
  <c r="L17" i="2"/>
  <c r="K17" i="2"/>
  <c r="V16" i="2"/>
  <c r="K16" i="2"/>
  <c r="D16" i="2"/>
  <c r="L16" i="2" s="1"/>
  <c r="V15" i="2"/>
  <c r="K15" i="2"/>
  <c r="E15" i="2"/>
  <c r="D15" i="2"/>
  <c r="L15" i="2" s="1"/>
  <c r="V14" i="2"/>
  <c r="L14" i="2"/>
  <c r="K14" i="2"/>
  <c r="V13" i="2"/>
  <c r="L13" i="2"/>
  <c r="K13" i="2"/>
  <c r="D13" i="2"/>
  <c r="V12" i="2"/>
  <c r="L12" i="2"/>
  <c r="K12" i="2"/>
  <c r="V11" i="2"/>
  <c r="L11" i="2"/>
  <c r="K11" i="2"/>
  <c r="E11" i="2"/>
  <c r="D11" i="2"/>
  <c r="L10" i="2"/>
  <c r="V9" i="2"/>
  <c r="L9" i="2"/>
  <c r="K9" i="2"/>
  <c r="V8" i="2"/>
  <c r="L8" i="2"/>
  <c r="E8" i="2"/>
  <c r="D8" i="2"/>
  <c r="K8" i="2" s="1"/>
  <c r="A8" i="2"/>
  <c r="A11" i="2" s="1"/>
  <c r="A15" i="2" s="1"/>
  <c r="A18" i="2" s="1"/>
  <c r="A21" i="2" s="1"/>
  <c r="A24" i="2" s="1"/>
  <c r="A27" i="2" s="1"/>
  <c r="A30" i="2" s="1"/>
  <c r="A33" i="2" s="1"/>
  <c r="L7" i="2"/>
  <c r="K7" i="2"/>
  <c r="L6" i="2"/>
  <c r="K6" i="2"/>
  <c r="D6" i="2"/>
  <c r="V5" i="2"/>
  <c r="L5" i="2"/>
  <c r="K5" i="2"/>
  <c r="E5" i="2"/>
  <c r="D5" i="2"/>
  <c r="K18" i="2" l="1"/>
  <c r="O23" i="14" l="1"/>
  <c r="B20" i="14"/>
  <c r="B23" i="14" s="1"/>
  <c r="L54" i="8"/>
  <c r="K54" i="8"/>
  <c r="L53" i="8"/>
  <c r="K53" i="8"/>
  <c r="L52" i="8"/>
  <c r="K52" i="8"/>
  <c r="L48" i="8"/>
  <c r="K48" i="8"/>
  <c r="L47" i="8"/>
  <c r="K47" i="8"/>
  <c r="L46" i="8"/>
  <c r="K46" i="8"/>
  <c r="B26" i="14" l="1"/>
  <c r="B29" i="14" s="1"/>
  <c r="B32" i="14" s="1"/>
  <c r="B35" i="14" s="1"/>
  <c r="B38" i="14" s="1"/>
  <c r="B41" i="14" s="1"/>
  <c r="B44" i="14" s="1"/>
  <c r="C14" i="7" l="1"/>
  <c r="Q113" i="1"/>
  <c r="Q112" i="1"/>
  <c r="Q111" i="1"/>
  <c r="O111" i="1"/>
  <c r="N111" i="1"/>
  <c r="R111" i="1" s="1"/>
  <c r="R113" i="1"/>
  <c r="AB113" i="1"/>
  <c r="AE113" i="1" s="1"/>
  <c r="AE112" i="1"/>
  <c r="AB112" i="1"/>
  <c r="R112" i="1"/>
  <c r="AE111" i="1"/>
  <c r="AB111" i="1"/>
  <c r="AE134" i="1"/>
  <c r="AB134" i="1"/>
  <c r="R134" i="1"/>
  <c r="Q134" i="1"/>
  <c r="AB133" i="1"/>
  <c r="AE133" i="1" s="1"/>
  <c r="N133" i="1"/>
  <c r="R133" i="1" s="1"/>
  <c r="AE132" i="1"/>
  <c r="AB132" i="1"/>
  <c r="O132" i="1"/>
  <c r="N132" i="1"/>
  <c r="R132" i="1" s="1"/>
  <c r="AE158" i="1"/>
  <c r="AB158" i="1"/>
  <c r="R158" i="1"/>
  <c r="Q158" i="1"/>
  <c r="AE157" i="1"/>
  <c r="AB157" i="1"/>
  <c r="R157" i="1"/>
  <c r="Q157" i="1"/>
  <c r="O156" i="1"/>
  <c r="N156" i="1"/>
  <c r="Q156" i="1" s="1"/>
  <c r="AE155" i="1"/>
  <c r="AB155" i="1"/>
  <c r="R155" i="1"/>
  <c r="Q155" i="1"/>
  <c r="R154" i="1"/>
  <c r="Q154" i="1"/>
  <c r="O153" i="1"/>
  <c r="N153" i="1"/>
  <c r="R153" i="1" s="1"/>
  <c r="AE152" i="1"/>
  <c r="AB152" i="1"/>
  <c r="R152" i="1"/>
  <c r="Q152" i="1"/>
  <c r="AE151" i="1"/>
  <c r="AB151" i="1"/>
  <c r="R151" i="1"/>
  <c r="Q151" i="1"/>
  <c r="AB150" i="1"/>
  <c r="AE150" i="1" s="1"/>
  <c r="O150" i="1"/>
  <c r="N150" i="1"/>
  <c r="R150" i="1" s="1"/>
  <c r="AE149" i="1"/>
  <c r="AB149" i="1"/>
  <c r="R149" i="1"/>
  <c r="Q149" i="1"/>
  <c r="AE148" i="1"/>
  <c r="AB148" i="1"/>
  <c r="R148" i="1"/>
  <c r="Q148" i="1"/>
  <c r="AB147" i="1"/>
  <c r="AE147" i="1" s="1"/>
  <c r="O147" i="1"/>
  <c r="N147" i="1"/>
  <c r="Q147" i="1" s="1"/>
  <c r="AE146" i="1"/>
  <c r="AB146" i="1"/>
  <c r="R146" i="1"/>
  <c r="Q146" i="1"/>
  <c r="AE145" i="1"/>
  <c r="AB145" i="1"/>
  <c r="R145" i="1"/>
  <c r="Q145" i="1"/>
  <c r="AB144" i="1"/>
  <c r="AE144" i="1" s="1"/>
  <c r="O144" i="1"/>
  <c r="N144" i="1"/>
  <c r="Q144" i="1" s="1"/>
  <c r="AE140" i="1"/>
  <c r="AB140" i="1"/>
  <c r="R140" i="1"/>
  <c r="Q140" i="1"/>
  <c r="AE139" i="1"/>
  <c r="AB139" i="1"/>
  <c r="R139" i="1"/>
  <c r="Q139" i="1"/>
  <c r="AB138" i="1"/>
  <c r="AE138" i="1" s="1"/>
  <c r="O138" i="1"/>
  <c r="N138" i="1"/>
  <c r="R138" i="1" s="1"/>
  <c r="AE137" i="1"/>
  <c r="AB137" i="1"/>
  <c r="R137" i="1"/>
  <c r="Q137" i="1"/>
  <c r="AB136" i="1"/>
  <c r="AE136" i="1" s="1"/>
  <c r="R136" i="1"/>
  <c r="Q136" i="1"/>
  <c r="AE135" i="1"/>
  <c r="AB135" i="1"/>
  <c r="O135" i="1"/>
  <c r="N135" i="1"/>
  <c r="R135" i="1" s="1"/>
  <c r="AB95" i="1"/>
  <c r="AE95" i="1" s="1"/>
  <c r="R95" i="1"/>
  <c r="Q95" i="1"/>
  <c r="AE94" i="1"/>
  <c r="AB94" i="1"/>
  <c r="O94" i="1"/>
  <c r="N94" i="1"/>
  <c r="R94" i="1" s="1"/>
  <c r="AB110" i="1"/>
  <c r="AE110" i="1" s="1"/>
  <c r="R110" i="1"/>
  <c r="Q110" i="1"/>
  <c r="O110" i="1"/>
  <c r="AB129" i="1"/>
  <c r="AE129" i="1" s="1"/>
  <c r="O129" i="1"/>
  <c r="N129" i="1"/>
  <c r="R129" i="1" s="1"/>
  <c r="AF112" i="1"/>
  <c r="AF111" i="1"/>
  <c r="AB108" i="1"/>
  <c r="AE108" i="1" s="1"/>
  <c r="AB107" i="1"/>
  <c r="AE107" i="1" s="1"/>
  <c r="AB106" i="1"/>
  <c r="AE106" i="1" s="1"/>
  <c r="O106" i="1"/>
  <c r="N106" i="1"/>
  <c r="R106" i="1" s="1"/>
  <c r="AB102" i="1"/>
  <c r="AE102" i="1" s="1"/>
  <c r="AB5" i="1"/>
  <c r="AE5" i="1" s="1"/>
  <c r="AB83" i="1"/>
  <c r="AE83" i="1" s="1"/>
  <c r="AB82" i="1"/>
  <c r="AE82" i="1" s="1"/>
  <c r="O82" i="1"/>
  <c r="N82" i="1"/>
  <c r="R82" i="1" s="1"/>
  <c r="AB71" i="1"/>
  <c r="AE71" i="1" s="1"/>
  <c r="AB70" i="1"/>
  <c r="AE70" i="1" s="1"/>
  <c r="O70" i="1"/>
  <c r="N70" i="1"/>
  <c r="R70" i="1" s="1"/>
  <c r="AB65" i="1"/>
  <c r="AE65" i="1" s="1"/>
  <c r="R65" i="1"/>
  <c r="Q65" i="1"/>
  <c r="AE64" i="1"/>
  <c r="AB64" i="1"/>
  <c r="R64" i="1"/>
  <c r="Q64" i="1"/>
  <c r="P64" i="1"/>
  <c r="O64" i="1"/>
  <c r="AE63" i="1"/>
  <c r="AB63" i="1"/>
  <c r="R63" i="1"/>
  <c r="Q63" i="1"/>
  <c r="AB62" i="1"/>
  <c r="AE62" i="1" s="1"/>
  <c r="R62" i="1"/>
  <c r="Q62" i="1"/>
  <c r="AE61" i="1"/>
  <c r="AB61" i="1"/>
  <c r="N61" i="1"/>
  <c r="R61" i="1" s="1"/>
  <c r="AE26" i="1"/>
  <c r="AB26" i="1"/>
  <c r="R26" i="1"/>
  <c r="Q26" i="1"/>
  <c r="R25" i="1"/>
  <c r="Q25" i="1"/>
  <c r="AE24" i="1"/>
  <c r="AF24" i="1" s="1"/>
  <c r="O24" i="1"/>
  <c r="N24" i="1"/>
  <c r="R24" i="1" s="1"/>
  <c r="AB15" i="1"/>
  <c r="AE15" i="1" s="1"/>
  <c r="N15" i="1"/>
  <c r="R15" i="1" s="1"/>
  <c r="AB12" i="1"/>
  <c r="AE12" i="1" s="1"/>
  <c r="N12" i="1"/>
  <c r="Q12" i="1" s="1"/>
  <c r="AB11" i="1"/>
  <c r="AE11" i="1" s="1"/>
  <c r="N11" i="1"/>
  <c r="R11" i="1" s="1"/>
  <c r="AB8" i="1"/>
  <c r="AE8" i="1" s="1"/>
  <c r="N8" i="1"/>
  <c r="Q8" i="1" s="1"/>
  <c r="AB105" i="1"/>
  <c r="AE105" i="1" s="1"/>
  <c r="N105" i="1"/>
  <c r="R105" i="1" s="1"/>
  <c r="AE104" i="1"/>
  <c r="AB104" i="1"/>
  <c r="R104" i="1"/>
  <c r="Q104" i="1"/>
  <c r="AE103" i="1"/>
  <c r="AB103" i="1"/>
  <c r="N103" i="1"/>
  <c r="R103" i="1" s="1"/>
  <c r="AB109" i="1"/>
  <c r="R59" i="15"/>
  <c r="R56" i="15"/>
  <c r="AA28" i="9"/>
  <c r="Q28" i="9"/>
  <c r="P28" i="9"/>
  <c r="AA27" i="9"/>
  <c r="Q27" i="9"/>
  <c r="P27" i="9"/>
  <c r="AA13" i="9"/>
  <c r="Q13" i="9"/>
  <c r="P13" i="9"/>
  <c r="AA12" i="9"/>
  <c r="Q12" i="9"/>
  <c r="P12" i="9"/>
  <c r="Q11" i="9"/>
  <c r="AB61" i="15"/>
  <c r="R61" i="15"/>
  <c r="Q61" i="15"/>
  <c r="AB60" i="15"/>
  <c r="R60" i="15"/>
  <c r="Q60" i="15"/>
  <c r="Q59" i="15"/>
  <c r="AB58" i="15"/>
  <c r="R58" i="15"/>
  <c r="Q58" i="15"/>
  <c r="AB57" i="15"/>
  <c r="R57" i="15"/>
  <c r="Q57" i="15"/>
  <c r="AF61" i="1" l="1"/>
  <c r="Q56" i="15"/>
  <c r="Q135" i="1"/>
  <c r="Q150" i="1"/>
  <c r="Q129" i="1"/>
  <c r="Q132" i="1"/>
  <c r="Q138" i="1"/>
  <c r="Q133" i="1"/>
  <c r="R156" i="1"/>
  <c r="Q153" i="1"/>
  <c r="R144" i="1"/>
  <c r="R147" i="1"/>
  <c r="Q94" i="1"/>
  <c r="Q106" i="1"/>
  <c r="Q103" i="1"/>
  <c r="Q11" i="1"/>
  <c r="Q70" i="1"/>
  <c r="Q15" i="1"/>
  <c r="Q82" i="1"/>
  <c r="R12" i="1"/>
  <c r="R8" i="1"/>
  <c r="Q61" i="1"/>
  <c r="Q24" i="1"/>
  <c r="Q105" i="1"/>
  <c r="AE109" i="1"/>
  <c r="Q26" i="9"/>
  <c r="P26" i="9"/>
  <c r="P11" i="9"/>
  <c r="O7" i="7" l="1"/>
  <c r="N7" i="7"/>
  <c r="O6" i="7"/>
  <c r="N6" i="7"/>
  <c r="O5" i="7"/>
  <c r="N5" i="7" l="1"/>
  <c r="AB50" i="1" l="1"/>
  <c r="R50" i="1"/>
  <c r="Q50" i="1"/>
  <c r="AB49" i="1"/>
  <c r="R49" i="1"/>
  <c r="Q49" i="1"/>
  <c r="O48" i="1"/>
  <c r="N48" i="1"/>
  <c r="R48" i="1" s="1"/>
  <c r="O57" i="1"/>
  <c r="N57" i="1"/>
  <c r="Q57" i="1" s="1"/>
  <c r="Q48" i="1" l="1"/>
  <c r="R57" i="1"/>
  <c r="L42" i="8" l="1"/>
  <c r="K42" i="8"/>
  <c r="L41" i="8"/>
  <c r="K41" i="8"/>
  <c r="L40" i="8"/>
  <c r="K40" i="8"/>
  <c r="L45" i="8"/>
  <c r="K45" i="8"/>
  <c r="L44" i="8"/>
  <c r="K44" i="8"/>
  <c r="L43" i="8"/>
  <c r="K43" i="8"/>
  <c r="AB38" i="1" l="1"/>
  <c r="R38" i="1"/>
  <c r="Q38" i="1"/>
  <c r="AB37" i="1"/>
  <c r="R37" i="1"/>
  <c r="Q37" i="1"/>
  <c r="R36" i="1"/>
  <c r="Q36" i="1"/>
  <c r="O36" i="1"/>
  <c r="I11" i="12"/>
  <c r="H11" i="12"/>
  <c r="G11" i="12"/>
  <c r="D11" i="12"/>
  <c r="Z19" i="16"/>
  <c r="P19" i="16"/>
  <c r="O19" i="16"/>
  <c r="Z18" i="16"/>
  <c r="P18" i="16"/>
  <c r="O18" i="16"/>
  <c r="M17" i="16"/>
  <c r="P17" i="16" s="1"/>
  <c r="Z16" i="16"/>
  <c r="P16" i="16"/>
  <c r="O16" i="16"/>
  <c r="Z15" i="16"/>
  <c r="P15" i="16"/>
  <c r="O15" i="16"/>
  <c r="M14" i="16"/>
  <c r="O14" i="16" s="1"/>
  <c r="Z13" i="16"/>
  <c r="P13" i="16"/>
  <c r="O13" i="16"/>
  <c r="Z12" i="16"/>
  <c r="P12" i="16"/>
  <c r="O12" i="16"/>
  <c r="M11" i="16"/>
  <c r="P11" i="16" s="1"/>
  <c r="Z10" i="16"/>
  <c r="P10" i="16"/>
  <c r="O10" i="16"/>
  <c r="Z9" i="16"/>
  <c r="P9" i="16"/>
  <c r="O9" i="16"/>
  <c r="M8" i="16"/>
  <c r="C8" i="16"/>
  <c r="C11" i="16" s="1"/>
  <c r="C14" i="16" s="1"/>
  <c r="C17" i="16" s="1"/>
  <c r="C20" i="16" s="1"/>
  <c r="C23" i="16" s="1"/>
  <c r="C26" i="16" s="1"/>
  <c r="C29" i="16" s="1"/>
  <c r="C32" i="16" s="1"/>
  <c r="Z7" i="16"/>
  <c r="P7" i="16"/>
  <c r="O7" i="16"/>
  <c r="Z6" i="16"/>
  <c r="P6" i="16"/>
  <c r="O6" i="16"/>
  <c r="M5" i="16"/>
  <c r="J11" i="12" l="1"/>
  <c r="F11" i="12"/>
  <c r="O17" i="16"/>
  <c r="P14" i="16"/>
  <c r="O11" i="16"/>
  <c r="E38" i="16"/>
  <c r="E11" i="12" s="1"/>
  <c r="P8" i="16"/>
  <c r="O8" i="16"/>
  <c r="O5" i="16"/>
  <c r="P5" i="16"/>
  <c r="I10" i="12" l="1"/>
  <c r="H10" i="12"/>
  <c r="G10" i="12"/>
  <c r="D10" i="12"/>
  <c r="AB52" i="15"/>
  <c r="R52" i="15"/>
  <c r="Q52" i="15"/>
  <c r="AB51" i="15"/>
  <c r="R51" i="15"/>
  <c r="Q51" i="15"/>
  <c r="R50" i="15"/>
  <c r="Q50" i="15"/>
  <c r="AB49" i="15"/>
  <c r="R49" i="15"/>
  <c r="Q49" i="15"/>
  <c r="AB48" i="15"/>
  <c r="R48" i="15"/>
  <c r="Q48" i="15"/>
  <c r="R47" i="15"/>
  <c r="Q47" i="15"/>
  <c r="C8" i="9"/>
  <c r="C11" i="9" s="1"/>
  <c r="C17" i="9" s="1"/>
  <c r="C20" i="9" s="1"/>
  <c r="C23" i="9" s="1"/>
  <c r="C26" i="9" s="1"/>
  <c r="C29" i="9" s="1"/>
  <c r="C32" i="9" s="1"/>
  <c r="O44" i="15"/>
  <c r="N44" i="15" s="1"/>
  <c r="AB46" i="15"/>
  <c r="R46" i="15"/>
  <c r="Q46" i="15"/>
  <c r="AB45" i="15"/>
  <c r="R45" i="15"/>
  <c r="Q45" i="15"/>
  <c r="AB55" i="15"/>
  <c r="R55" i="15"/>
  <c r="Q55" i="15"/>
  <c r="AB54" i="15"/>
  <c r="R54" i="15"/>
  <c r="Q54" i="15"/>
  <c r="O53" i="15"/>
  <c r="N53" i="15" s="1"/>
  <c r="AB43" i="15"/>
  <c r="R43" i="15"/>
  <c r="Q43" i="15"/>
  <c r="AB42" i="15"/>
  <c r="R42" i="15"/>
  <c r="Q42" i="15"/>
  <c r="O41" i="15"/>
  <c r="N41" i="15" s="1"/>
  <c r="AB40" i="15"/>
  <c r="R40" i="15"/>
  <c r="Q40" i="15"/>
  <c r="AB39" i="15"/>
  <c r="R39" i="15"/>
  <c r="Q39" i="15"/>
  <c r="O38" i="15"/>
  <c r="N38" i="15" s="1"/>
  <c r="R38" i="15" s="1"/>
  <c r="AB37" i="15"/>
  <c r="R37" i="15"/>
  <c r="Q37" i="15"/>
  <c r="AB36" i="15"/>
  <c r="R36" i="15"/>
  <c r="Q36" i="15"/>
  <c r="O35" i="15"/>
  <c r="N35" i="15" s="1"/>
  <c r="AB34" i="15"/>
  <c r="R34" i="15"/>
  <c r="Q34" i="15"/>
  <c r="AB33" i="15"/>
  <c r="R33" i="15"/>
  <c r="Q33" i="15"/>
  <c r="O32" i="15"/>
  <c r="N32" i="15" s="1"/>
  <c r="AB31" i="15"/>
  <c r="R31" i="15"/>
  <c r="Q31" i="15"/>
  <c r="AB30" i="15"/>
  <c r="R30" i="15"/>
  <c r="Q30" i="15"/>
  <c r="O29" i="15"/>
  <c r="N29" i="15" s="1"/>
  <c r="AB28" i="15"/>
  <c r="R28" i="15"/>
  <c r="Q28" i="15"/>
  <c r="AB27" i="15"/>
  <c r="R27" i="15"/>
  <c r="Q27" i="15"/>
  <c r="O26" i="15"/>
  <c r="N26" i="15" s="1"/>
  <c r="AB25" i="15"/>
  <c r="R25" i="15"/>
  <c r="Q25" i="15"/>
  <c r="AB24" i="15"/>
  <c r="R24" i="15"/>
  <c r="Q24" i="15"/>
  <c r="O23" i="15"/>
  <c r="N23" i="15" s="1"/>
  <c r="AB22" i="15"/>
  <c r="R22" i="15"/>
  <c r="Q22" i="15"/>
  <c r="AB21" i="15"/>
  <c r="R21" i="15"/>
  <c r="Q21" i="15"/>
  <c r="O20" i="15"/>
  <c r="N20" i="15" s="1"/>
  <c r="R20" i="15" s="1"/>
  <c r="AB19" i="15"/>
  <c r="R19" i="15"/>
  <c r="Q19" i="15"/>
  <c r="AB18" i="15"/>
  <c r="R18" i="15"/>
  <c r="Q18" i="15"/>
  <c r="O17" i="15"/>
  <c r="N17" i="15" s="1"/>
  <c r="R17" i="15" s="1"/>
  <c r="AB16" i="15"/>
  <c r="R16" i="15"/>
  <c r="Q16" i="15"/>
  <c r="AB15" i="15"/>
  <c r="R15" i="15"/>
  <c r="Q15" i="15"/>
  <c r="O14" i="15"/>
  <c r="N14" i="15" s="1"/>
  <c r="AB13" i="15"/>
  <c r="R13" i="15"/>
  <c r="Q13" i="15"/>
  <c r="AB12" i="15"/>
  <c r="R12" i="15"/>
  <c r="Q12" i="15"/>
  <c r="O11" i="15"/>
  <c r="N11" i="15" s="1"/>
  <c r="R10" i="15"/>
  <c r="Q10" i="15"/>
  <c r="R9" i="15"/>
  <c r="Q9" i="15"/>
  <c r="O8" i="15"/>
  <c r="N8" i="15" s="1"/>
  <c r="C8" i="15"/>
  <c r="C11" i="15" s="1"/>
  <c r="AB7" i="15"/>
  <c r="R7" i="15"/>
  <c r="Q7" i="15"/>
  <c r="AB6" i="15"/>
  <c r="R6" i="15"/>
  <c r="Q6" i="15"/>
  <c r="O5" i="15"/>
  <c r="N5" i="15" s="1"/>
  <c r="R5" i="15" s="1"/>
  <c r="J10" i="12" l="1"/>
  <c r="F10" i="12"/>
  <c r="Q44" i="15"/>
  <c r="R44" i="15"/>
  <c r="C14" i="15"/>
  <c r="C17" i="15" s="1"/>
  <c r="C20" i="15" s="1"/>
  <c r="C23" i="15" s="1"/>
  <c r="C26" i="15" s="1"/>
  <c r="C29" i="15" s="1"/>
  <c r="C32" i="15" s="1"/>
  <c r="C35" i="15" s="1"/>
  <c r="C38" i="15" s="1"/>
  <c r="C41" i="15" s="1"/>
  <c r="C53" i="15" s="1"/>
  <c r="C44" i="15" s="1"/>
  <c r="C47" i="15" s="1"/>
  <c r="C50" i="15" s="1"/>
  <c r="C56" i="15" s="1"/>
  <c r="C59" i="15" s="1"/>
  <c r="Q17" i="15"/>
  <c r="E10" i="12"/>
  <c r="R53" i="15"/>
  <c r="Q53" i="15"/>
  <c r="R14" i="15"/>
  <c r="R32" i="15"/>
  <c r="Q32" i="15"/>
  <c r="Q41" i="15"/>
  <c r="R41" i="15"/>
  <c r="R11" i="15"/>
  <c r="R26" i="15"/>
  <c r="Q26" i="15"/>
  <c r="Q23" i="15"/>
  <c r="R23" i="15"/>
  <c r="R29" i="15"/>
  <c r="Q29" i="15"/>
  <c r="R35" i="15"/>
  <c r="Q35" i="15"/>
  <c r="Q38" i="15"/>
  <c r="Q20" i="15"/>
  <c r="R8" i="15"/>
  <c r="J9" i="12" l="1"/>
  <c r="F9" i="12"/>
  <c r="AB125" i="1" l="1"/>
  <c r="R125" i="1"/>
  <c r="Q125" i="1"/>
  <c r="AB124" i="1"/>
  <c r="R124" i="1"/>
  <c r="Q124" i="1"/>
  <c r="AB123" i="1"/>
  <c r="R123" i="1"/>
  <c r="AB122" i="1"/>
  <c r="R122" i="1"/>
  <c r="Q122" i="1"/>
  <c r="AB121" i="1"/>
  <c r="R121" i="1"/>
  <c r="Q121" i="1"/>
  <c r="AB120" i="1"/>
  <c r="R120" i="1"/>
  <c r="Z28" i="14"/>
  <c r="P28" i="14"/>
  <c r="O28" i="14"/>
  <c r="Z27" i="14"/>
  <c r="P27" i="14"/>
  <c r="O27" i="14"/>
  <c r="P26" i="14"/>
  <c r="O26" i="14"/>
  <c r="O29" i="14"/>
  <c r="P29" i="14"/>
  <c r="O30" i="14"/>
  <c r="P30" i="14"/>
  <c r="Z30" i="14"/>
  <c r="O31" i="14"/>
  <c r="P31" i="14"/>
  <c r="Z31" i="14"/>
  <c r="Z22" i="14"/>
  <c r="P22" i="14"/>
  <c r="O22" i="14"/>
  <c r="Z21" i="14"/>
  <c r="P21" i="14"/>
  <c r="O21" i="14"/>
  <c r="Z20" i="14"/>
  <c r="Z19" i="14"/>
  <c r="P19" i="14"/>
  <c r="O19" i="14"/>
  <c r="Z18" i="14"/>
  <c r="P18" i="14"/>
  <c r="O18" i="14"/>
  <c r="Z17" i="14"/>
  <c r="I7" i="12"/>
  <c r="H7" i="12"/>
  <c r="G7" i="12"/>
  <c r="D7" i="12"/>
  <c r="I6" i="12"/>
  <c r="H6" i="12"/>
  <c r="O43" i="7"/>
  <c r="N43" i="7"/>
  <c r="O42" i="7"/>
  <c r="N42" i="7"/>
  <c r="L41" i="7"/>
  <c r="O41" i="7"/>
  <c r="Z46" i="14"/>
  <c r="Z45" i="14"/>
  <c r="Z43" i="14"/>
  <c r="Z42" i="14"/>
  <c r="Z40" i="14"/>
  <c r="Z39" i="14"/>
  <c r="Z37" i="14"/>
  <c r="Z36" i="14"/>
  <c r="Z34" i="14"/>
  <c r="Z33" i="14"/>
  <c r="Z7" i="14"/>
  <c r="P7" i="14"/>
  <c r="O7" i="14"/>
  <c r="Z6" i="14"/>
  <c r="P6" i="14"/>
  <c r="O6" i="14"/>
  <c r="P5" i="14"/>
  <c r="O5" i="14"/>
  <c r="G6" i="12" l="1"/>
  <c r="F6" i="12" s="1"/>
  <c r="J8" i="12"/>
  <c r="Q123" i="1"/>
  <c r="Q120" i="1"/>
  <c r="F7" i="12"/>
  <c r="J7" i="12"/>
  <c r="E50" i="14"/>
  <c r="E7" i="12" s="1"/>
  <c r="D6" i="12"/>
  <c r="N41" i="7"/>
  <c r="J6" i="12" l="1"/>
  <c r="E6" i="12"/>
  <c r="AB116" i="1" l="1"/>
  <c r="R116" i="1"/>
  <c r="Q116" i="1"/>
  <c r="AB115" i="1"/>
  <c r="R115" i="1"/>
  <c r="Q115" i="1"/>
  <c r="AB114" i="1"/>
  <c r="Q114" i="1"/>
  <c r="I4" i="12"/>
  <c r="H4" i="12"/>
  <c r="D4" i="12"/>
  <c r="G4" i="12"/>
  <c r="I5" i="12"/>
  <c r="H5" i="12"/>
  <c r="G5" i="12"/>
  <c r="D5" i="12"/>
  <c r="F5" i="12" l="1"/>
  <c r="R114" i="1"/>
  <c r="F4" i="12"/>
  <c r="C39" i="2"/>
  <c r="E5" i="12" s="1"/>
  <c r="H162" i="1"/>
  <c r="E4" i="12" s="1"/>
  <c r="I3" i="12" l="1"/>
  <c r="H3" i="12"/>
  <c r="J4" i="12"/>
  <c r="I12" i="12" l="1"/>
  <c r="H12" i="12"/>
  <c r="J5" i="12"/>
  <c r="D3" i="12" l="1"/>
  <c r="D12" i="12" s="1"/>
  <c r="G3" i="12"/>
  <c r="AA10" i="9"/>
  <c r="Q10" i="9"/>
  <c r="P10" i="9"/>
  <c r="AA9" i="9"/>
  <c r="Q9" i="9"/>
  <c r="P9" i="9"/>
  <c r="Q8" i="9"/>
  <c r="AA7" i="9"/>
  <c r="Q7" i="9"/>
  <c r="P7" i="9"/>
  <c r="AA6" i="9"/>
  <c r="Q6" i="9"/>
  <c r="P6" i="9"/>
  <c r="Q5" i="9"/>
  <c r="L6" i="8"/>
  <c r="K6" i="8"/>
  <c r="L5" i="8"/>
  <c r="K5" i="8"/>
  <c r="L39" i="8"/>
  <c r="K39" i="8"/>
  <c r="L38" i="8"/>
  <c r="K38" i="8"/>
  <c r="L37" i="8"/>
  <c r="K37" i="8"/>
  <c r="L36" i="8"/>
  <c r="K36" i="8"/>
  <c r="L35" i="8"/>
  <c r="K35" i="8"/>
  <c r="L34" i="8"/>
  <c r="K34" i="8"/>
  <c r="L33" i="8"/>
  <c r="K33" i="8"/>
  <c r="L32" i="8"/>
  <c r="K32" i="8"/>
  <c r="L31" i="8"/>
  <c r="K31" i="8"/>
  <c r="L30" i="8"/>
  <c r="K30" i="8"/>
  <c r="L29" i="8"/>
  <c r="K29" i="8"/>
  <c r="L28" i="8"/>
  <c r="K28" i="8"/>
  <c r="L27" i="8"/>
  <c r="K27" i="8"/>
  <c r="L26" i="8"/>
  <c r="K26" i="8"/>
  <c r="L25" i="8"/>
  <c r="K25" i="8"/>
  <c r="L24" i="8"/>
  <c r="K24" i="8"/>
  <c r="L23" i="8"/>
  <c r="K23" i="8"/>
  <c r="L22" i="8"/>
  <c r="K22" i="8"/>
  <c r="L21" i="8"/>
  <c r="K21" i="8"/>
  <c r="L20" i="8"/>
  <c r="K20" i="8"/>
  <c r="L19" i="8"/>
  <c r="K19" i="8"/>
  <c r="L18" i="8"/>
  <c r="K18" i="8"/>
  <c r="L17" i="8"/>
  <c r="K17" i="8"/>
  <c r="L16" i="8"/>
  <c r="K16" i="8"/>
  <c r="L15" i="8"/>
  <c r="K15" i="8"/>
  <c r="L14" i="8"/>
  <c r="K14" i="8"/>
  <c r="L13" i="8"/>
  <c r="K13" i="8"/>
  <c r="L12" i="8"/>
  <c r="K12" i="8"/>
  <c r="L11" i="8"/>
  <c r="K11" i="8"/>
  <c r="L10" i="8"/>
  <c r="K10" i="8"/>
  <c r="L9" i="8"/>
  <c r="K9" i="8"/>
  <c r="L8" i="8"/>
  <c r="K8" i="8"/>
  <c r="L7" i="8"/>
  <c r="K7" i="8"/>
  <c r="F3" i="12" l="1"/>
  <c r="F12" i="12" s="1"/>
  <c r="G12" i="12"/>
  <c r="J12" i="12" s="1"/>
  <c r="J3" i="12"/>
  <c r="C67" i="8"/>
  <c r="E3" i="12" s="1"/>
  <c r="E12" i="12" s="1"/>
  <c r="P8" i="9"/>
  <c r="P5" i="9"/>
  <c r="AB131" i="1" l="1"/>
  <c r="R131" i="1"/>
  <c r="Q131" i="1"/>
  <c r="AB130" i="1"/>
  <c r="R130" i="1"/>
  <c r="Q130" i="1"/>
  <c r="O108" i="1"/>
  <c r="N108" i="1"/>
  <c r="R108" i="1" s="1"/>
  <c r="O107" i="1"/>
  <c r="N107" i="1"/>
  <c r="R107" i="1" s="1"/>
  <c r="R102" i="1"/>
  <c r="Q102" i="1"/>
  <c r="R5" i="1"/>
  <c r="Q5" i="1"/>
  <c r="AF109" i="1"/>
  <c r="O109" i="1"/>
  <c r="N109" i="1"/>
  <c r="R109" i="1" s="1"/>
  <c r="AB119" i="1"/>
  <c r="R119" i="1"/>
  <c r="Q119" i="1"/>
  <c r="AB118" i="1"/>
  <c r="R118" i="1"/>
  <c r="Q118" i="1"/>
  <c r="AB117" i="1"/>
  <c r="Q117" i="1"/>
  <c r="Q109" i="1" l="1"/>
  <c r="R117" i="1"/>
  <c r="Q108" i="1"/>
  <c r="Q107" i="1"/>
  <c r="E64" i="1" l="1"/>
  <c r="E103" i="1" s="1"/>
  <c r="E106" i="1" l="1"/>
  <c r="E107" i="1" s="1"/>
  <c r="E108" i="1" s="1"/>
  <c r="E109" i="1" s="1"/>
  <c r="E110" i="1" s="1"/>
  <c r="E111" i="1" l="1"/>
  <c r="E114" i="1" s="1"/>
  <c r="E117" i="1" s="1"/>
  <c r="E120" i="1" s="1"/>
  <c r="E123" i="1" s="1"/>
  <c r="E132" i="1" l="1"/>
  <c r="E135" i="1" s="1"/>
  <c r="E138" i="1" s="1"/>
  <c r="E126" i="1"/>
  <c r="E141" i="1"/>
  <c r="E144" i="1" s="1"/>
  <c r="E147" i="1" s="1"/>
  <c r="E150" i="1" s="1"/>
  <c r="E153" i="1" s="1"/>
  <c r="E156" i="1" s="1"/>
</calcChain>
</file>

<file path=xl/sharedStrings.xml><?xml version="1.0" encoding="utf-8"?>
<sst xmlns="http://schemas.openxmlformats.org/spreadsheetml/2006/main" count="4614" uniqueCount="1721">
  <si>
    <t>新竹海水淡化廠興建及操作維護(興建部分) 材料設備送審管制總表</t>
    <phoneticPr fontId="3" type="noConversion"/>
  </si>
  <si>
    <t>項次</t>
    <phoneticPr fontId="3" type="noConversion"/>
  </si>
  <si>
    <t>PN</t>
    <phoneticPr fontId="6" type="noConversion"/>
  </si>
  <si>
    <t>編碼</t>
    <phoneticPr fontId="3" type="noConversion"/>
  </si>
  <si>
    <t>文件</t>
    <phoneticPr fontId="3" type="noConversion"/>
  </si>
  <si>
    <t>預定送審
(進場前60天)</t>
    <phoneticPr fontId="3" type="noConversion"/>
  </si>
  <si>
    <t>預定廠驗
(進場前30天)</t>
    <phoneticPr fontId="6" type="noConversion"/>
  </si>
  <si>
    <t>預定進場</t>
    <phoneticPr fontId="6" type="noConversion"/>
  </si>
  <si>
    <t>送審預警天數(60天內才顯示)</t>
    <phoneticPr fontId="3" type="noConversion"/>
  </si>
  <si>
    <t>送審延遲</t>
    <phoneticPr fontId="6" type="noConversion"/>
  </si>
  <si>
    <t>程序</t>
    <phoneticPr fontId="3" type="noConversion"/>
  </si>
  <si>
    <t>版次</t>
    <phoneticPr fontId="3" type="noConversion"/>
  </si>
  <si>
    <t>審查情形</t>
    <phoneticPr fontId="3" type="noConversion"/>
  </si>
  <si>
    <t>備註</t>
    <phoneticPr fontId="3" type="noConversion"/>
  </si>
  <si>
    <t>辦理預警</t>
    <phoneticPr fontId="3" type="noConversion"/>
  </si>
  <si>
    <t>統包商</t>
  </si>
  <si>
    <t>監造</t>
    <phoneticPr fontId="3" type="noConversion"/>
  </si>
  <si>
    <t>專管</t>
    <phoneticPr fontId="3" type="noConversion"/>
  </si>
  <si>
    <t>機關(北水分署)</t>
    <phoneticPr fontId="3" type="noConversion"/>
  </si>
  <si>
    <t>日期</t>
    <phoneticPr fontId="3" type="noConversion"/>
  </si>
  <si>
    <t>文號</t>
    <phoneticPr fontId="3" type="noConversion"/>
  </si>
  <si>
    <t>結果</t>
    <phoneticPr fontId="3" type="noConversion"/>
  </si>
  <si>
    <t>0-A</t>
    <phoneticPr fontId="3" type="noConversion"/>
  </si>
  <si>
    <t>宏海淡工字第114081102號</t>
    <phoneticPr fontId="3" type="noConversion"/>
  </si>
  <si>
    <t>艾奕康水字第1140021973號</t>
    <phoneticPr fontId="6" type="noConversion"/>
  </si>
  <si>
    <t>檢退</t>
    <phoneticPr fontId="3" type="noConversion"/>
  </si>
  <si>
    <t>核定</t>
    <phoneticPr fontId="6" type="noConversion"/>
  </si>
  <si>
    <t>0-B</t>
    <phoneticPr fontId="3" type="noConversion"/>
  </si>
  <si>
    <t>宏海淡工字第114091106號</t>
    <phoneticPr fontId="6" type="noConversion"/>
  </si>
  <si>
    <t>艾奕康新竹海淡監字第1140919-3 號</t>
    <phoneticPr fontId="3" type="noConversion"/>
  </si>
  <si>
    <t>審查同意</t>
    <phoneticPr fontId="6" type="noConversion"/>
  </si>
  <si>
    <t>艾奕康水字第1140028399號</t>
    <phoneticPr fontId="3" type="noConversion"/>
  </si>
  <si>
    <t>水北多字第11453107360號</t>
    <phoneticPr fontId="6" type="noConversion"/>
  </si>
  <si>
    <t>瀝青混凝土</t>
    <phoneticPr fontId="3" type="noConversion"/>
  </si>
  <si>
    <t>水膨脹型止水帶</t>
    <phoneticPr fontId="6" type="noConversion"/>
  </si>
  <si>
    <t>鼎水資字第1140001379號</t>
    <phoneticPr fontId="6" type="noConversion"/>
  </si>
  <si>
    <t>0-C</t>
    <phoneticPr fontId="6" type="noConversion"/>
  </si>
  <si>
    <t>M-01-MA-02-002</t>
    <phoneticPr fontId="6" type="noConversion"/>
  </si>
  <si>
    <t>審查同意</t>
    <phoneticPr fontId="3" type="noConversion"/>
  </si>
  <si>
    <t xml:space="preserve">S-SB02-002 </t>
    <phoneticPr fontId="6" type="noConversion"/>
  </si>
  <si>
    <t>1-A</t>
    <phoneticPr fontId="3" type="noConversion"/>
  </si>
  <si>
    <t xml:space="preserve">S-SB12-005 </t>
    <phoneticPr fontId="6" type="noConversion"/>
  </si>
  <si>
    <t>S-SB02-007</t>
    <phoneticPr fontId="6" type="noConversion"/>
  </si>
  <si>
    <t>S-SB47-31</t>
    <phoneticPr fontId="6" type="noConversion"/>
  </si>
  <si>
    <t>審定</t>
    <phoneticPr fontId="6" type="noConversion"/>
  </si>
  <si>
    <t>0-B</t>
    <phoneticPr fontId="6" type="noConversion"/>
  </si>
  <si>
    <t>S-SB01-001</t>
    <phoneticPr fontId="6" type="noConversion"/>
  </si>
  <si>
    <t>S-SB01-003</t>
    <phoneticPr fontId="6" type="noConversion"/>
  </si>
  <si>
    <t>S-SB01-006</t>
    <phoneticPr fontId="3" type="noConversion"/>
  </si>
  <si>
    <t>S-SB45-29</t>
    <phoneticPr fontId="6" type="noConversion"/>
  </si>
  <si>
    <t>0-A</t>
  </si>
  <si>
    <t>114/11/20</t>
  </si>
  <si>
    <t>鼎水資字第1140001371號</t>
  </si>
  <si>
    <t>艾奕康水字第1140033311號</t>
  </si>
  <si>
    <t>0-B</t>
  </si>
  <si>
    <t>114/12/8</t>
  </si>
  <si>
    <t>鼎水資字第1140001463號</t>
  </si>
  <si>
    <t xml:space="preserve">S-SB25-008 </t>
    <phoneticPr fontId="6" type="noConversion"/>
  </si>
  <si>
    <t>HDPE管-大地昌</t>
    <phoneticPr fontId="3" type="noConversion"/>
  </si>
  <si>
    <t>宏海淡工字第114061102號</t>
    <phoneticPr fontId="3" type="noConversion"/>
  </si>
  <si>
    <t>艾奕康水字
第1140016974號</t>
    <phoneticPr fontId="3" type="noConversion"/>
  </si>
  <si>
    <t>審退</t>
    <phoneticPr fontId="3" type="noConversion"/>
  </si>
  <si>
    <t>宏海淡工字
第114071101號</t>
    <phoneticPr fontId="3" type="noConversion"/>
  </si>
  <si>
    <t>艾奕康新竹海淡監字第1140710-3 號</t>
    <phoneticPr fontId="3" type="noConversion"/>
  </si>
  <si>
    <t>艾奕康水字第1140021290號</t>
    <phoneticPr fontId="3" type="noConversion"/>
  </si>
  <si>
    <t>水北多字第11422023610號</t>
    <phoneticPr fontId="3" type="noConversion"/>
  </si>
  <si>
    <t>純水製造裝置</t>
    <phoneticPr fontId="6" type="noConversion"/>
  </si>
  <si>
    <t>電子天平</t>
    <phoneticPr fontId="6" type="noConversion"/>
  </si>
  <si>
    <t>導電度計</t>
    <phoneticPr fontId="6" type="noConversion"/>
  </si>
  <si>
    <t>pH 計</t>
    <phoneticPr fontId="6" type="noConversion"/>
  </si>
  <si>
    <t>分光光度計</t>
    <phoneticPr fontId="6" type="noConversion"/>
  </si>
  <si>
    <t>濁度計</t>
    <phoneticPr fontId="6" type="noConversion"/>
  </si>
  <si>
    <t>餘氯計</t>
    <phoneticPr fontId="6" type="noConversion"/>
  </si>
  <si>
    <t>鼎水資字第1140000988號</t>
  </si>
  <si>
    <t>水北多字第11422039720號</t>
  </si>
  <si>
    <t>—</t>
    <phoneticPr fontId="6" type="noConversion"/>
  </si>
  <si>
    <t>S-SB26-009</t>
    <phoneticPr fontId="6" type="noConversion"/>
  </si>
  <si>
    <t>HDPE管法蘭片</t>
    <phoneticPr fontId="3" type="noConversion"/>
  </si>
  <si>
    <t>宏海淡工字第114091101號</t>
    <phoneticPr fontId="3" type="noConversion"/>
  </si>
  <si>
    <t>艾奕康水字第1140025014號</t>
    <phoneticPr fontId="6" type="noConversion"/>
  </si>
  <si>
    <t>檢退-限9/16提送</t>
    <phoneticPr fontId="6" type="noConversion"/>
  </si>
  <si>
    <t>宏海淡工字第114091107號</t>
    <phoneticPr fontId="6" type="noConversion"/>
  </si>
  <si>
    <t>艾奕康水字第1140025040號</t>
    <phoneticPr fontId="3" type="noConversion"/>
  </si>
  <si>
    <t>宏海淡工字第114101105號</t>
    <phoneticPr fontId="6" type="noConversion"/>
  </si>
  <si>
    <t>艾奕康新竹海淡監字第1141017-1號</t>
    <phoneticPr fontId="6" type="noConversion"/>
  </si>
  <si>
    <t>艾奕康水字第1140030745號</t>
    <phoneticPr fontId="6" type="noConversion"/>
  </si>
  <si>
    <t>水北多字第11422037820號</t>
    <phoneticPr fontId="6" type="noConversion"/>
  </si>
  <si>
    <t>1-A</t>
    <phoneticPr fontId="6" type="noConversion"/>
  </si>
  <si>
    <t>宏海淡工字第114111111號</t>
    <phoneticPr fontId="6" type="noConversion"/>
  </si>
  <si>
    <t>艾奕康水字第1140032702號</t>
    <phoneticPr fontId="6" type="noConversion"/>
  </si>
  <si>
    <t>艾奕康水字第1140035494號</t>
    <phoneticPr fontId="6" type="noConversion"/>
  </si>
  <si>
    <t>水北多字第11453141120號</t>
    <phoneticPr fontId="6" type="noConversion"/>
  </si>
  <si>
    <t>S-SB27-010</t>
    <phoneticPr fontId="6" type="noConversion"/>
  </si>
  <si>
    <t>EPDM橡膠</t>
    <phoneticPr fontId="3" type="noConversion"/>
  </si>
  <si>
    <t>宏海淡工字第114091108號</t>
    <phoneticPr fontId="6" type="noConversion"/>
  </si>
  <si>
    <t>艾奕康水字第1140027442號</t>
    <phoneticPr fontId="3" type="noConversion"/>
  </si>
  <si>
    <t>宏海淡工字第11411105號</t>
    <phoneticPr fontId="3" type="noConversion"/>
  </si>
  <si>
    <t>艾奕康新竹海淡監字第1141113-2</t>
    <phoneticPr fontId="3" type="noConversion"/>
  </si>
  <si>
    <t>艾奕康水字第1140033044號</t>
    <phoneticPr fontId="6" type="noConversion"/>
  </si>
  <si>
    <t>水北多字第11422043110號</t>
    <phoneticPr fontId="6" type="noConversion"/>
  </si>
  <si>
    <t>檢退</t>
    <phoneticPr fontId="6" type="noConversion"/>
  </si>
  <si>
    <t>GRP玻璃纖維儲槽</t>
    <phoneticPr fontId="6" type="noConversion"/>
  </si>
  <si>
    <t>鼎水資字第1140000273號</t>
    <phoneticPr fontId="3" type="noConversion"/>
  </si>
  <si>
    <t>艾奕康水字第1140010927號</t>
    <phoneticPr fontId="3" type="noConversion"/>
  </si>
  <si>
    <t>水北多字第11453034740號</t>
    <phoneticPr fontId="3" type="noConversion"/>
  </si>
  <si>
    <t>鼎水資字第
1140000406號</t>
    <phoneticPr fontId="3" type="noConversion"/>
  </si>
  <si>
    <t>艾奕康新竹海淡監字第1140512-2 號</t>
    <phoneticPr fontId="3" type="noConversion"/>
  </si>
  <si>
    <t>艾奕康水字第1140015530號</t>
    <phoneticPr fontId="3" type="noConversion"/>
  </si>
  <si>
    <t>水北多字第11453051520號</t>
    <phoneticPr fontId="3" type="noConversion"/>
  </si>
  <si>
    <t>鼎水資字第
1140000407號</t>
    <phoneticPr fontId="3" type="noConversion"/>
  </si>
  <si>
    <t>艾奕康新竹海淡監字第1140512-4 號</t>
    <phoneticPr fontId="3" type="noConversion"/>
  </si>
  <si>
    <t>鼎水資字第
1140000405號</t>
    <phoneticPr fontId="3" type="noConversion"/>
  </si>
  <si>
    <t>艾奕康新竹海淡監字第1140512-3 號</t>
    <phoneticPr fontId="3" type="noConversion"/>
  </si>
  <si>
    <t>鼎水資字第1140000272號</t>
    <phoneticPr fontId="3" type="noConversion"/>
  </si>
  <si>
    <t>艾奕康水字第1140010924號</t>
    <phoneticPr fontId="3" type="noConversion"/>
  </si>
  <si>
    <t>艾奕康水字第1140017030號</t>
    <phoneticPr fontId="3" type="noConversion"/>
  </si>
  <si>
    <t>水北多字第11453057890號</t>
    <phoneticPr fontId="3" type="noConversion"/>
  </si>
  <si>
    <t>鼎水資字第
1140000480號</t>
    <phoneticPr fontId="3" type="noConversion"/>
  </si>
  <si>
    <t>艾奕康新竹海淡監字第1140528-3 號</t>
    <phoneticPr fontId="3" type="noConversion"/>
  </si>
  <si>
    <t>鼎水資字第
1140000534 號</t>
    <phoneticPr fontId="3" type="noConversion"/>
  </si>
  <si>
    <t>艾奕康新竹海淡監字第1140611-1 號</t>
    <phoneticPr fontId="6" type="noConversion"/>
  </si>
  <si>
    <t>艾奕康水字第1140018472號</t>
    <phoneticPr fontId="3" type="noConversion"/>
  </si>
  <si>
    <t>114/6/19</t>
  </si>
  <si>
    <t>水北多字第11453063010號</t>
  </si>
  <si>
    <t>M-03-MA-39-006</t>
    <phoneticPr fontId="6" type="noConversion"/>
  </si>
  <si>
    <t>鼎水資字第
1140000003號</t>
    <phoneticPr fontId="6" type="noConversion"/>
  </si>
  <si>
    <t>艾奕康水字第1140002159號</t>
    <phoneticPr fontId="6" type="noConversion"/>
  </si>
  <si>
    <t>水北多字第11453008120號</t>
    <phoneticPr fontId="6" type="noConversion"/>
  </si>
  <si>
    <t>M-03-MA-39-007</t>
    <phoneticPr fontId="6" type="noConversion"/>
  </si>
  <si>
    <t>鼎水資字第
1130000981號</t>
    <phoneticPr fontId="6" type="noConversion"/>
  </si>
  <si>
    <t>鼎水資字第1140001464號</t>
    <phoneticPr fontId="3" type="noConversion"/>
  </si>
  <si>
    <t>艾奕康水字第1140034901號</t>
    <phoneticPr fontId="6" type="noConversion"/>
  </si>
  <si>
    <t>艾奕康水字第1140035705號</t>
    <phoneticPr fontId="6" type="noConversion"/>
  </si>
  <si>
    <t>鼎水資字第1140001465號</t>
    <phoneticPr fontId="3" type="noConversion"/>
  </si>
  <si>
    <t>艾奕康水字第1140035008號</t>
    <phoneticPr fontId="6" type="noConversion"/>
  </si>
  <si>
    <t>艾奕康水字第1140035706號</t>
    <phoneticPr fontId="6" type="noConversion"/>
  </si>
  <si>
    <t>檢退-規範未核定</t>
    <phoneticPr fontId="3" type="noConversion"/>
  </si>
  <si>
    <t>S-SC02-0002</t>
    <phoneticPr fontId="6" type="noConversion"/>
  </si>
  <si>
    <t>鼎水資字第1140001378號</t>
    <phoneticPr fontId="6" type="noConversion"/>
  </si>
  <si>
    <t>艾奕康水字第1140033395號</t>
    <phoneticPr fontId="6" type="noConversion"/>
  </si>
  <si>
    <t>檢退-規範未核定</t>
    <phoneticPr fontId="6" type="noConversion"/>
  </si>
  <si>
    <t>S-SC09-009</t>
    <phoneticPr fontId="6" type="noConversion"/>
  </si>
  <si>
    <t>太陽能材料送審與供料商-日華興業</t>
    <phoneticPr fontId="6" type="noConversion"/>
  </si>
  <si>
    <t>網路設備</t>
    <phoneticPr fontId="6" type="noConversion"/>
  </si>
  <si>
    <t>鼎水資字第1140001052號</t>
    <phoneticPr fontId="6" type="noConversion"/>
  </si>
  <si>
    <t>艾奕康水字第1140028463號</t>
    <phoneticPr fontId="3" type="noConversion"/>
  </si>
  <si>
    <t>鼎水資字第1140001414號</t>
    <phoneticPr fontId="6" type="noConversion"/>
  </si>
  <si>
    <t>艾奕康水字第1140033723號</t>
  </si>
  <si>
    <t>鼎水資字第1140001570號</t>
    <phoneticPr fontId="6" type="noConversion"/>
  </si>
  <si>
    <t>艾奕康水字第1140036289號</t>
    <phoneticPr fontId="6" type="noConversion"/>
  </si>
  <si>
    <t>艾奕康水字第1150001306號</t>
    <phoneticPr fontId="6" type="noConversion"/>
  </si>
  <si>
    <t>水北多字第11553004230號</t>
    <phoneticPr fontId="6" type="noConversion"/>
  </si>
  <si>
    <t>景觀噴灌設備</t>
    <phoneticPr fontId="6" type="noConversion"/>
  </si>
  <si>
    <t>艾奕康水字第1140033720號</t>
  </si>
  <si>
    <t>鼎水資字第1140001568號</t>
    <phoneticPr fontId="6" type="noConversion"/>
  </si>
  <si>
    <t>艾奕康水字第1140036281號</t>
    <phoneticPr fontId="6" type="noConversion"/>
  </si>
  <si>
    <t>艾奕康水字第1140036555號</t>
    <phoneticPr fontId="6" type="noConversion"/>
  </si>
  <si>
    <t>水北多字第11522002220號</t>
    <phoneticPr fontId="6" type="noConversion"/>
  </si>
  <si>
    <t>114/11/21</t>
  </si>
  <si>
    <t>鼎水資字第
1140001370號</t>
  </si>
  <si>
    <t>艾奕康水字第114003350號</t>
  </si>
  <si>
    <t>污泥輸送泵</t>
    <phoneticPr fontId="6" type="noConversion"/>
  </si>
  <si>
    <t>石灰污泥輸送泵</t>
    <phoneticPr fontId="6" type="noConversion"/>
  </si>
  <si>
    <t>浮除系統閘門</t>
    <phoneticPr fontId="6" type="noConversion"/>
  </si>
  <si>
    <t>中和泵</t>
    <phoneticPr fontId="6" type="noConversion"/>
  </si>
  <si>
    <t>高壓泵馬達冷卻水泵</t>
    <phoneticPr fontId="6" type="noConversion"/>
  </si>
  <si>
    <t>浮除排放泵</t>
    <phoneticPr fontId="6" type="noConversion"/>
  </si>
  <si>
    <t>鼎水資字第1140000840號</t>
    <phoneticPr fontId="3" type="noConversion"/>
  </si>
  <si>
    <t>艾奕康水字第1140025330號</t>
    <phoneticPr fontId="6" type="noConversion"/>
  </si>
  <si>
    <t>鼎水資字第1140001297號</t>
  </si>
  <si>
    <t>艾奕康水字第1140032408號</t>
    <phoneticPr fontId="6" type="noConversion"/>
  </si>
  <si>
    <t>同意-需補正</t>
    <phoneticPr fontId="6" type="noConversion"/>
  </si>
  <si>
    <t>艾奕康水字第1140035285號</t>
    <phoneticPr fontId="6" type="noConversion"/>
  </si>
  <si>
    <t>控制盤</t>
    <phoneticPr fontId="6" type="noConversion"/>
  </si>
  <si>
    <t>遠端輸入輸出盤</t>
    <phoneticPr fontId="6" type="noConversion"/>
  </si>
  <si>
    <t>控制室SCADA</t>
    <phoneticPr fontId="6" type="noConversion"/>
  </si>
  <si>
    <t>蝶閥</t>
    <phoneticPr fontId="6" type="noConversion"/>
  </si>
  <si>
    <t>審查中</t>
    <phoneticPr fontId="6" type="noConversion"/>
  </si>
  <si>
    <t>水質線上監測與數據傳輸系統</t>
    <phoneticPr fontId="6" type="noConversion"/>
  </si>
  <si>
    <t>鼎水資字第1140001301號</t>
  </si>
  <si>
    <t>礫石材料送審與供料商一新寮山石礦</t>
    <phoneticPr fontId="6" type="noConversion"/>
  </si>
  <si>
    <t>宏海淡工字第114101106號</t>
    <phoneticPr fontId="3" type="noConversion"/>
  </si>
  <si>
    <t>艾奕康新竹海淡監字第1141017-2號</t>
    <phoneticPr fontId="6" type="noConversion"/>
  </si>
  <si>
    <t>艾奕康水字第1140030743號</t>
    <phoneticPr fontId="6" type="noConversion"/>
  </si>
  <si>
    <t>水北多字第11453117090號</t>
    <phoneticPr fontId="6" type="noConversion"/>
  </si>
  <si>
    <t>艾奕康水字第114003424號</t>
  </si>
  <si>
    <t>無收縮水泥砂漿</t>
    <phoneticPr fontId="6" type="noConversion"/>
  </si>
  <si>
    <t>導線管材料送審與供料商-萬蕙昇/南亞</t>
    <phoneticPr fontId="6" type="noConversion"/>
  </si>
  <si>
    <t>114/11/26</t>
  </si>
  <si>
    <t>鼎水資字第
1140001413號</t>
  </si>
  <si>
    <t>艾奕康水字第1140033726號</t>
  </si>
  <si>
    <t>S-SC08-008</t>
    <phoneticPr fontId="6" type="noConversion"/>
  </si>
  <si>
    <t>銲接鋼線網</t>
    <phoneticPr fontId="6" type="noConversion"/>
  </si>
  <si>
    <t>應送審</t>
    <phoneticPr fontId="6" type="noConversion"/>
  </si>
  <si>
    <t>已核定</t>
    <phoneticPr fontId="6" type="noConversion"/>
  </si>
  <si>
    <t>M-03-MA-39-0008</t>
    <phoneticPr fontId="6" type="noConversion"/>
  </si>
  <si>
    <t>核定</t>
    <phoneticPr fontId="3" type="noConversion"/>
  </si>
  <si>
    <t>M-39-MA-39-0008</t>
    <phoneticPr fontId="6" type="noConversion"/>
  </si>
  <si>
    <t>S-SD04-004</t>
    <phoneticPr fontId="3" type="noConversion"/>
  </si>
  <si>
    <t>S-SD10-002</t>
    <phoneticPr fontId="3" type="noConversion"/>
  </si>
  <si>
    <t>審定</t>
  </si>
  <si>
    <t>審定</t>
    <phoneticPr fontId="3" type="noConversion"/>
  </si>
  <si>
    <t>S-SD05-003</t>
    <phoneticPr fontId="3" type="noConversion"/>
  </si>
  <si>
    <t xml:space="preserve">S-SD02-007 </t>
    <phoneticPr fontId="3" type="noConversion"/>
  </si>
  <si>
    <t xml:space="preserve">S-SD12-006 </t>
    <phoneticPr fontId="3" type="noConversion"/>
  </si>
  <si>
    <t>S-SD01-005</t>
    <phoneticPr fontId="3" type="noConversion"/>
  </si>
  <si>
    <t>鼎水資字第
1140000481 號</t>
  </si>
  <si>
    <t>艾奕康新竹海淡監字第1140528-1號</t>
  </si>
  <si>
    <t>審查同意</t>
  </si>
  <si>
    <t>艾奕康水字第1140017030號</t>
  </si>
  <si>
    <t>水北多字第11453057890號</t>
  </si>
  <si>
    <t>S-SD3-008</t>
    <phoneticPr fontId="3" type="noConversion"/>
  </si>
  <si>
    <t>S-SD13-009</t>
    <phoneticPr fontId="3" type="noConversion"/>
  </si>
  <si>
    <t>S-SD14-010</t>
    <phoneticPr fontId="3" type="noConversion"/>
  </si>
  <si>
    <t>1</t>
    <phoneticPr fontId="3" type="noConversion"/>
  </si>
  <si>
    <t>2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</si>
  <si>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</si>
  <si>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</si>
  <si>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</si>
  <si>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水北多字第11522003790號</t>
    <phoneticPr fontId="6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</si>
  <si>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</si>
  <si>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</si>
  <si>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</si>
  <si>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</si>
  <si>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</si>
  <si>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</si>
  <si>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t>12</t>
    <phoneticPr fontId="3" type="noConversion"/>
  </si>
  <si>
    <t>13</t>
    <phoneticPr fontId="3" type="noConversion"/>
  </si>
  <si>
    <t>1</t>
    <phoneticPr fontId="3" type="noConversion"/>
  </si>
  <si>
    <t>項目</t>
  </si>
  <si>
    <t>類別</t>
  </si>
  <si>
    <t>應送審</t>
  </si>
  <si>
    <t>未送審</t>
  </si>
  <si>
    <t>已送審</t>
  </si>
  <si>
    <t>已核定</t>
  </si>
  <si>
    <t>修正中</t>
  </si>
  <si>
    <t>材料設備</t>
  </si>
  <si>
    <t>土建</t>
    <phoneticPr fontId="3" type="noConversion"/>
  </si>
  <si>
    <t>材料試驗單位</t>
    <phoneticPr fontId="3" type="noConversion"/>
  </si>
  <si>
    <t>修正中</t>
    <phoneticPr fontId="3" type="noConversion"/>
  </si>
  <si>
    <t>未送審</t>
    <phoneticPr fontId="6" type="noConversion"/>
  </si>
  <si>
    <t>審查</t>
    <phoneticPr fontId="3" type="noConversion"/>
  </si>
  <si>
    <t>管線/取水頭/排水設施/浮燈/拋石</t>
    <phoneticPr fontId="3" type="noConversion"/>
  </si>
  <si>
    <t>級配</t>
    <phoneticPr fontId="3" type="noConversion"/>
  </si>
  <si>
    <t>鋼筋/混凝土/鋼構/道路</t>
    <phoneticPr fontId="3" type="noConversion"/>
  </si>
  <si>
    <t>建築裝修</t>
    <phoneticPr fontId="3" type="noConversion"/>
  </si>
  <si>
    <t>電力/儀控</t>
    <phoneticPr fontId="3" type="noConversion"/>
  </si>
  <si>
    <t>取排水管線</t>
    <phoneticPr fontId="3" type="noConversion"/>
  </si>
  <si>
    <t>材料檢驗單位</t>
    <phoneticPr fontId="3" type="noConversion"/>
  </si>
  <si>
    <t>合計</t>
    <phoneticPr fontId="3" type="noConversion"/>
  </si>
  <si>
    <t>消防/空調/給排水</t>
    <phoneticPr fontId="3" type="noConversion"/>
  </si>
  <si>
    <t>審查中</t>
    <phoneticPr fontId="3" type="noConversion"/>
  </si>
  <si>
    <t>參照土建規範</t>
    <phoneticPr fontId="3" type="noConversion"/>
  </si>
  <si>
    <t>修正</t>
    <phoneticPr fontId="3" type="noConversion"/>
  </si>
  <si>
    <t>消防管材</t>
    <phoneticPr fontId="6" type="noConversion"/>
  </si>
  <si>
    <t>規範</t>
    <phoneticPr fontId="3" type="noConversion"/>
  </si>
  <si>
    <t>送審預警天數(60天內)</t>
    <phoneticPr fontId="3" type="noConversion"/>
  </si>
  <si>
    <t>第11315B章
離心泵</t>
    <phoneticPr fontId="3" type="noConversion"/>
  </si>
  <si>
    <t>第11315E章
直立式渦輪泵</t>
    <phoneticPr fontId="3" type="noConversion"/>
  </si>
  <si>
    <t>鼎水資字第1150000136號</t>
    <phoneticPr fontId="3" type="noConversion"/>
  </si>
  <si>
    <t>0-C</t>
    <phoneticPr fontId="3" type="noConversion"/>
  </si>
  <si>
    <t>鼎水資字第1150000137號</t>
    <phoneticPr fontId="6" type="noConversion"/>
  </si>
  <si>
    <t>第11316 章
配水池輸水泵含水錘吸收器系統</t>
    <phoneticPr fontId="3" type="noConversion"/>
  </si>
  <si>
    <t>第11389A章
靜態混合器</t>
    <phoneticPr fontId="3" type="noConversion"/>
  </si>
  <si>
    <t>第11389B章
能源回收裝置</t>
    <phoneticPr fontId="3" type="noConversion"/>
  </si>
  <si>
    <t>第11389D章
清管發射器</t>
    <phoneticPr fontId="3" type="noConversion"/>
  </si>
  <si>
    <t>第11389C章
清管器</t>
    <phoneticPr fontId="3" type="noConversion"/>
  </si>
  <si>
    <t>參照第六冊規範</t>
    <phoneticPr fontId="3" type="noConversion"/>
  </si>
  <si>
    <t>第11393章
RO膜系統</t>
    <phoneticPr fontId="3" type="noConversion"/>
  </si>
  <si>
    <t>第14611章
起重機械</t>
    <phoneticPr fontId="3" type="noConversion"/>
  </si>
  <si>
    <t>第15214章
空氣壓縮機</t>
    <phoneticPr fontId="3" type="noConversion"/>
  </si>
  <si>
    <t>第15226章
廠區用高密度聚乙烯HDPE管</t>
    <phoneticPr fontId="3" type="noConversion"/>
  </si>
  <si>
    <t>參照第九冊規範</t>
    <phoneticPr fontId="3" type="noConversion"/>
  </si>
  <si>
    <t>機械設備</t>
    <phoneticPr fontId="3" type="noConversion"/>
  </si>
  <si>
    <t>第02533A章
玻璃纖維增強塑膠管材</t>
    <phoneticPr fontId="3" type="noConversion"/>
  </si>
  <si>
    <t>第11241章
玻璃纖維儲槽</t>
    <phoneticPr fontId="3" type="noConversion"/>
  </si>
  <si>
    <t>第11245章
加藥設備</t>
    <phoneticPr fontId="3" type="noConversion"/>
  </si>
  <si>
    <t>第11285章
閘門</t>
    <phoneticPr fontId="3" type="noConversion"/>
  </si>
  <si>
    <t>第11307A章
雙介質過濾器</t>
    <phoneticPr fontId="3" type="noConversion"/>
  </si>
  <si>
    <t>第11307B章
保安過濾器</t>
    <phoneticPr fontId="3" type="noConversion"/>
  </si>
  <si>
    <t>第11307C章
水錘吸收器</t>
    <phoneticPr fontId="3" type="noConversion"/>
  </si>
  <si>
    <t>第11313章
飲用水及廠用水機組</t>
    <phoneticPr fontId="3" type="noConversion"/>
  </si>
  <si>
    <t>第11314章
螺旋式輸送機</t>
    <phoneticPr fontId="3" type="noConversion"/>
  </si>
  <si>
    <t>第11307D章
金屬桶槽</t>
    <phoneticPr fontId="3" type="noConversion"/>
  </si>
  <si>
    <t xml:space="preserve">第11317章
污泥泵 </t>
    <phoneticPr fontId="3" type="noConversion"/>
  </si>
  <si>
    <t>第11332章
細篩機</t>
    <phoneticPr fontId="3" type="noConversion"/>
  </si>
  <si>
    <t>第11341章
氣浮池系統</t>
    <phoneticPr fontId="3" type="noConversion"/>
  </si>
  <si>
    <t>第11366A章
污泥濃縮系統</t>
    <phoneticPr fontId="3" type="noConversion"/>
  </si>
  <si>
    <t>第11366B章
石灰飽和系統</t>
    <phoneticPr fontId="3" type="noConversion"/>
  </si>
  <si>
    <t>第11371章
鼓風機</t>
    <phoneticPr fontId="3" type="noConversion"/>
  </si>
  <si>
    <t xml:space="preserve">第11610章
試驗室設備規格 </t>
    <phoneticPr fontId="3" type="noConversion"/>
  </si>
  <si>
    <t>第13100章
避雷設備</t>
    <phoneticPr fontId="3" type="noConversion"/>
  </si>
  <si>
    <t>避雷接地設備(一)送審與供料商-萬昌/洛基</t>
    <phoneticPr fontId="3" type="noConversion"/>
  </si>
  <si>
    <t>第13410章
監測、控制及分析儀表</t>
    <phoneticPr fontId="3" type="noConversion"/>
  </si>
  <si>
    <t>第13704章
閉路電視設備</t>
    <phoneticPr fontId="3" type="noConversion"/>
  </si>
  <si>
    <t>第13706章
門禁管制設備</t>
    <phoneticPr fontId="3" type="noConversion"/>
  </si>
  <si>
    <t>第13801A章
中央監視主控制設備</t>
    <phoneticPr fontId="3" type="noConversion"/>
  </si>
  <si>
    <t>第13802章
電力監視及控制設備</t>
    <phoneticPr fontId="3" type="noConversion"/>
  </si>
  <si>
    <t>第13805章
智慧巡檢系統</t>
    <phoneticPr fontId="3" type="noConversion"/>
  </si>
  <si>
    <t>第16120章
電線及電纜</t>
    <phoneticPr fontId="3" type="noConversion"/>
  </si>
  <si>
    <t>第16122章
高電壓電纜</t>
    <phoneticPr fontId="3" type="noConversion"/>
  </si>
  <si>
    <t>第16125章
69kV電力電纜及相關設備</t>
    <phoneticPr fontId="3" type="noConversion"/>
  </si>
  <si>
    <t>第16132章
導線管</t>
    <phoneticPr fontId="3" type="noConversion"/>
  </si>
  <si>
    <t>第16231章
柴油引擎發電機組</t>
    <phoneticPr fontId="3" type="noConversion"/>
  </si>
  <si>
    <t>第16234章
太陽光電發電設備</t>
    <phoneticPr fontId="3" type="noConversion"/>
  </si>
  <si>
    <t xml:space="preserve">第16245章--靜態式不斷電系統 </t>
    <phoneticPr fontId="3" type="noConversion"/>
  </si>
  <si>
    <t>第16267章--變頻器</t>
    <phoneticPr fontId="3" type="noConversion"/>
  </si>
  <si>
    <t>第16273章--69kV油浸式變壓器</t>
    <phoneticPr fontId="3" type="noConversion"/>
  </si>
  <si>
    <t xml:space="preserve">第16283章--中壓電容器組 </t>
    <phoneticPr fontId="3" type="noConversion"/>
  </si>
  <si>
    <t>第16321章--高壓配電盤</t>
    <phoneticPr fontId="3" type="noConversion"/>
  </si>
  <si>
    <t>第16401章--低壓配電盤</t>
    <phoneticPr fontId="3" type="noConversion"/>
  </si>
  <si>
    <t>第16431章--低壓馬達控制中心</t>
    <phoneticPr fontId="3" type="noConversion"/>
  </si>
  <si>
    <t xml:space="preserve">第16452章--模鑄式匯流排 </t>
    <phoneticPr fontId="3" type="noConversion"/>
  </si>
  <si>
    <t>第16510章--屋內照明設備</t>
    <phoneticPr fontId="3" type="noConversion"/>
  </si>
  <si>
    <t xml:space="preserve">第16711章--建築物電信電纜 </t>
    <phoneticPr fontId="3" type="noConversion"/>
  </si>
  <si>
    <t xml:space="preserve">第16712章--建築物電信光纜 </t>
    <phoneticPr fontId="3" type="noConversion"/>
  </si>
  <si>
    <t>高電壓電纜</t>
    <phoneticPr fontId="3" type="noConversion"/>
  </si>
  <si>
    <t>智慧巡檢系統</t>
    <phoneticPr fontId="3" type="noConversion"/>
  </si>
  <si>
    <t>參照廠區消防、空調及給排水規範</t>
    <phoneticPr fontId="3" type="noConversion"/>
  </si>
  <si>
    <t>69kV GIS及附屬設備送審-中興電工</t>
    <phoneticPr fontId="3" type="noConversion"/>
  </si>
  <si>
    <t>S-SC12-012</t>
    <phoneticPr fontId="6" type="noConversion"/>
  </si>
  <si>
    <t>69kV變壓器設備送審與供應商-亞力</t>
    <phoneticPr fontId="6" type="noConversion"/>
  </si>
  <si>
    <t>鼎水資字第1150000099號</t>
    <phoneticPr fontId="6" type="noConversion"/>
  </si>
  <si>
    <t>S-SC13-013</t>
    <phoneticPr fontId="6" type="noConversion"/>
  </si>
  <si>
    <t>69kV GIS附屬設備-RCP電驛盤材料送審</t>
    <phoneticPr fontId="6" type="noConversion"/>
  </si>
  <si>
    <t>管線/閥類</t>
    <phoneticPr fontId="3" type="noConversion"/>
  </si>
  <si>
    <t>高壓逆止閥</t>
    <phoneticPr fontId="3" type="noConversion"/>
  </si>
  <si>
    <t>低壓金屬逆止閥(大尺寸)</t>
    <phoneticPr fontId="3" type="noConversion"/>
  </si>
  <si>
    <t>低壓金屬逆止閥(小尺寸)</t>
    <phoneticPr fontId="3" type="noConversion"/>
  </si>
  <si>
    <t>塑膠閥</t>
    <phoneticPr fontId="3" type="noConversion"/>
  </si>
  <si>
    <t>塑膠減壓/穩壓閥</t>
    <phoneticPr fontId="3" type="noConversion"/>
  </si>
  <si>
    <t>塑膠排氣閥</t>
    <phoneticPr fontId="3" type="noConversion"/>
  </si>
  <si>
    <t>壓力排氣閥</t>
    <phoneticPr fontId="3" type="noConversion"/>
  </si>
  <si>
    <t>伸縮接頭</t>
    <phoneticPr fontId="3" type="noConversion"/>
  </si>
  <si>
    <t>快速接頭</t>
    <phoneticPr fontId="3" type="noConversion"/>
  </si>
  <si>
    <t>二級RO鹵水控制閥</t>
    <phoneticPr fontId="3" type="noConversion"/>
  </si>
  <si>
    <t>玻璃纖維蓋板</t>
    <phoneticPr fontId="3" type="noConversion"/>
  </si>
  <si>
    <t>塑膠管
PLASTIC PIPES - HDPE - PVC - PP</t>
    <phoneticPr fontId="3" type="noConversion"/>
  </si>
  <si>
    <t>塑膠管
PLASTIC TUBBING</t>
    <phoneticPr fontId="3" type="noConversion"/>
  </si>
  <si>
    <t>螺栓/螺帽</t>
    <phoneticPr fontId="3" type="noConversion"/>
  </si>
  <si>
    <t>液位傳送器</t>
    <phoneticPr fontId="3" type="noConversion"/>
  </si>
  <si>
    <t>浮球液位開關</t>
    <phoneticPr fontId="3" type="noConversion"/>
  </si>
  <si>
    <t>壓力傳送器</t>
    <phoneticPr fontId="3" type="noConversion"/>
  </si>
  <si>
    <t>壓力開關</t>
    <phoneticPr fontId="3" type="noConversion"/>
  </si>
  <si>
    <t>壓力計</t>
    <phoneticPr fontId="3" type="noConversion"/>
  </si>
  <si>
    <t>電磁流量計</t>
    <phoneticPr fontId="3" type="noConversion"/>
  </si>
  <si>
    <t>流量計</t>
    <phoneticPr fontId="3" type="noConversion"/>
  </si>
  <si>
    <t>分析儀(BORON)</t>
    <phoneticPr fontId="3" type="noConversion"/>
  </si>
  <si>
    <t>SDI分析儀</t>
    <phoneticPr fontId="3" type="noConversion"/>
  </si>
  <si>
    <t>PN-305-1</t>
    <phoneticPr fontId="3" type="noConversion"/>
  </si>
  <si>
    <t>PN-305-2</t>
    <phoneticPr fontId="3" type="noConversion"/>
  </si>
  <si>
    <t>N11A.01</t>
    <phoneticPr fontId="3" type="noConversion"/>
  </si>
  <si>
    <t>NG1A.01</t>
    <phoneticPr fontId="3" type="noConversion"/>
  </si>
  <si>
    <t>匯流排</t>
    <phoneticPr fontId="3" type="noConversion"/>
  </si>
  <si>
    <t>中/低壓 乾式變壓器</t>
    <phoneticPr fontId="3" type="noConversion"/>
  </si>
  <si>
    <t>低壓馬達控制中心</t>
    <phoneticPr fontId="3" type="noConversion"/>
  </si>
  <si>
    <t>中壓電容器</t>
    <phoneticPr fontId="3" type="noConversion"/>
  </si>
  <si>
    <t xml:space="preserve">電信光纜 </t>
    <phoneticPr fontId="3" type="noConversion"/>
  </si>
  <si>
    <t xml:space="preserve">電信電纜 </t>
    <phoneticPr fontId="3" type="noConversion"/>
  </si>
  <si>
    <t>中央監視主控制設備</t>
    <phoneticPr fontId="3" type="noConversion"/>
  </si>
  <si>
    <t>低壓配電盤</t>
    <phoneticPr fontId="3" type="noConversion"/>
  </si>
  <si>
    <t>屋內照明設備</t>
    <phoneticPr fontId="3" type="noConversion"/>
  </si>
  <si>
    <t>高壓配電盤</t>
    <phoneticPr fontId="3" type="noConversion"/>
  </si>
  <si>
    <t>電力監控控制和數據採集</t>
    <phoneticPr fontId="3" type="noConversion"/>
  </si>
  <si>
    <t>景觀/植栽</t>
    <phoneticPr fontId="3" type="noConversion"/>
  </si>
  <si>
    <t>新竹海水淡化廠興建及操作維護(興建部分) 弱電通信材料設備送審管制總表</t>
    <phoneticPr fontId="3" type="noConversion"/>
  </si>
  <si>
    <t>新竹海水淡化廠興建及操作維護(興建部分) 管線閥類材料設備送審管制總表</t>
    <phoneticPr fontId="3" type="noConversion"/>
  </si>
  <si>
    <t>新竹海水淡化廠興建及操作維護(興建部分) 電力儀控材料設備送審管制總表</t>
    <phoneticPr fontId="3" type="noConversion"/>
  </si>
  <si>
    <t>電力儀控</t>
    <phoneticPr fontId="3" type="noConversion"/>
  </si>
  <si>
    <t>新竹海水淡化廠興建及操作維護(興建部分) 材料試驗單位送審管制總表</t>
    <phoneticPr fontId="3" type="noConversion"/>
  </si>
  <si>
    <t>材料試驗</t>
    <phoneticPr fontId="3" type="noConversion"/>
  </si>
  <si>
    <t>新竹海水淡化廠興建及操作維護(興建部分) 土建材料送審管制總表</t>
    <phoneticPr fontId="3" type="noConversion"/>
  </si>
  <si>
    <t>土建材料</t>
    <phoneticPr fontId="3" type="noConversion"/>
  </si>
  <si>
    <t>取排水管線</t>
    <phoneticPr fontId="3" type="noConversion"/>
  </si>
  <si>
    <t>管線閥類</t>
    <phoneticPr fontId="3" type="noConversion"/>
  </si>
  <si>
    <t>新竹海水淡化廠興建及操作維護(興建部分) 機械設備材料設備送審管制總表</t>
    <phoneticPr fontId="3" type="noConversion"/>
  </si>
  <si>
    <t>新竹海水淡化廠興建及操作維護(興建部分) 消防空調給排水材料設備送審管制總表</t>
    <phoneticPr fontId="3" type="noConversion"/>
  </si>
  <si>
    <t>消防空調給排水</t>
    <phoneticPr fontId="3" type="noConversion"/>
  </si>
  <si>
    <t>建築裝修</t>
    <phoneticPr fontId="3" type="noConversion"/>
  </si>
  <si>
    <t>植栽</t>
    <phoneticPr fontId="6" type="noConversion"/>
  </si>
  <si>
    <t>景觀燈具</t>
    <phoneticPr fontId="6" type="noConversion"/>
  </si>
  <si>
    <t>景觀休憩</t>
    <phoneticPr fontId="6" type="noConversion"/>
  </si>
  <si>
    <t>景觀鋪面</t>
    <phoneticPr fontId="6" type="noConversion"/>
  </si>
  <si>
    <t>新竹海水淡化廠興建及操作維護(興建部分) 景觀植栽材料設備送審管制總表</t>
    <phoneticPr fontId="3" type="noConversion"/>
  </si>
  <si>
    <t>10-1</t>
    <phoneticPr fontId="3" type="noConversion"/>
  </si>
  <si>
    <t>10-2</t>
  </si>
  <si>
    <t>10-3</t>
  </si>
  <si>
    <t>10-4</t>
  </si>
  <si>
    <t>10-5</t>
  </si>
  <si>
    <t>10-6</t>
  </si>
  <si>
    <t>10-7</t>
  </si>
  <si>
    <t>10-8</t>
  </si>
  <si>
    <t>10-9</t>
  </si>
  <si>
    <t>完成率(核定/應送)</t>
    <phoneticPr fontId="3" type="noConversion"/>
  </si>
  <si>
    <t>新竹海水淡化廠興建及操作維護(興建部分) 材料設備送審統計總表</t>
    <phoneticPr fontId="3" type="noConversion"/>
  </si>
  <si>
    <t>水北多字第11522005570號</t>
  </si>
  <si>
    <t>核定</t>
    <phoneticPr fontId="3" type="noConversion"/>
  </si>
  <si>
    <t>取排水-GFRP 管-達塑</t>
    <phoneticPr fontId="6" type="noConversion"/>
  </si>
  <si>
    <t>取排水-海上警示燈浮</t>
    <phoneticPr fontId="6" type="noConversion"/>
  </si>
  <si>
    <t>S-SB55-039</t>
    <phoneticPr fontId="6" type="noConversion"/>
  </si>
  <si>
    <t>宏海淡工字第115021101號</t>
    <phoneticPr fontId="3" type="noConversion"/>
  </si>
  <si>
    <t>艾奕康水字第1150002561號</t>
    <phoneticPr fontId="3" type="noConversion"/>
  </si>
  <si>
    <t>艾奕康水字第1150003976號</t>
    <phoneticPr fontId="3" type="noConversion"/>
  </si>
  <si>
    <t>14</t>
    <phoneticPr fontId="3" type="noConversion"/>
  </si>
  <si>
    <t>15</t>
    <phoneticPr fontId="3" type="noConversion"/>
  </si>
  <si>
    <t>S-SD15-011</t>
    <phoneticPr fontId="3" type="noConversion"/>
  </si>
  <si>
    <t>S-SD16-012</t>
    <phoneticPr fontId="3" type="noConversion"/>
  </si>
  <si>
    <t>宏海淡工字第115021101號</t>
    <phoneticPr fontId="3" type="noConversion"/>
  </si>
  <si>
    <t>S-SC28-028</t>
    <phoneticPr fontId="6" type="noConversion"/>
  </si>
  <si>
    <t>PVC管材料商-佑義</t>
    <phoneticPr fontId="6" type="noConversion"/>
  </si>
  <si>
    <t>鼎水資字第1150000235號</t>
    <phoneticPr fontId="3" type="noConversion"/>
  </si>
  <si>
    <t>69kV高壓電纜暨附屬設備材料廠商送審-大東電
業廠股份有限公司</t>
    <phoneticPr fontId="3" type="noConversion"/>
  </si>
  <si>
    <t>鼎水資字第1150000234號</t>
    <phoneticPr fontId="3" type="noConversion"/>
  </si>
  <si>
    <t>鼎水資字第1150000238號</t>
    <phoneticPr fontId="3" type="noConversion"/>
  </si>
  <si>
    <t>鼎水資字第1150000240號</t>
    <phoneticPr fontId="3" type="noConversion"/>
  </si>
  <si>
    <t>沉水式泵浦(Indar)</t>
    <phoneticPr fontId="3" type="noConversion"/>
  </si>
  <si>
    <t>污泥泵(NETZSCH)</t>
    <phoneticPr fontId="3" type="noConversion"/>
  </si>
  <si>
    <t>第05125章-結構鋼材</t>
    <phoneticPr fontId="3" type="noConversion"/>
  </si>
  <si>
    <t>預埋件-材料設備及廠商資格送審（群創）</t>
    <phoneticPr fontId="6" type="noConversion"/>
  </si>
  <si>
    <t>S-SB58-042</t>
    <phoneticPr fontId="6" type="noConversion"/>
  </si>
  <si>
    <t xml:space="preserve">離心泵(ANDRITZ) </t>
    <phoneticPr fontId="3" type="noConversion"/>
  </si>
  <si>
    <t>鼎水資字第1150000262號</t>
    <phoneticPr fontId="3" type="noConversion"/>
  </si>
  <si>
    <t>鼎水資字第1150000263號</t>
    <phoneticPr fontId="3" type="noConversion"/>
  </si>
  <si>
    <t>離心泵(BOMBAS IDEAL)</t>
    <phoneticPr fontId="3" type="noConversion"/>
  </si>
  <si>
    <t>鼎水資字第1150000266號</t>
    <phoneticPr fontId="3" type="noConversion"/>
  </si>
  <si>
    <t xml:space="preserve">離心泵(MUNSCH) </t>
    <phoneticPr fontId="3" type="noConversion"/>
  </si>
  <si>
    <t>鼎水資字第1150000267號</t>
    <phoneticPr fontId="3" type="noConversion"/>
  </si>
  <si>
    <t xml:space="preserve">
清管器發射器 (SARPLAST)</t>
    <phoneticPr fontId="6" type="noConversion"/>
  </si>
  <si>
    <t xml:space="preserve">配水池輸送泵(ANDRITZ) </t>
    <phoneticPr fontId="3" type="noConversion"/>
  </si>
  <si>
    <t>鼎水資字第1150000281號</t>
    <phoneticPr fontId="3" type="noConversion"/>
  </si>
  <si>
    <t>鼎水資字第1150000282號</t>
    <phoneticPr fontId="3" type="noConversion"/>
  </si>
  <si>
    <t>鼎水資字第1150000286號</t>
    <phoneticPr fontId="3" type="noConversion"/>
  </si>
  <si>
    <t>鼎水資字第1150000287號</t>
    <phoneticPr fontId="3" type="noConversion"/>
  </si>
  <si>
    <t>鼎水資字第1150000274號</t>
    <phoneticPr fontId="3" type="noConversion"/>
  </si>
  <si>
    <t>鼎水資字第1150000295號</t>
    <phoneticPr fontId="3" type="noConversion"/>
  </si>
  <si>
    <t>艾奕康水字第1150002523號</t>
    <phoneticPr fontId="3" type="noConversion"/>
  </si>
  <si>
    <t>鼎水資字第1150000301號</t>
    <phoneticPr fontId="3" type="noConversion"/>
  </si>
  <si>
    <t>艾奕康水字第1150004271號</t>
    <phoneticPr fontId="3" type="noConversion"/>
  </si>
  <si>
    <t>施工規範第02231 章</t>
    <phoneticPr fontId="3" type="noConversion"/>
  </si>
  <si>
    <t>S-SB57-041</t>
    <phoneticPr fontId="6" type="noConversion"/>
  </si>
  <si>
    <t>鼎水資字第1150000326號</t>
    <phoneticPr fontId="3" type="noConversion"/>
  </si>
  <si>
    <t xml:space="preserve">污泥濃縮系統(元錩YuanChang) -污泥濃縮系統槽體 </t>
    <phoneticPr fontId="6" type="noConversion"/>
  </si>
  <si>
    <t>鼎水資字第1150000327號</t>
    <phoneticPr fontId="3" type="noConversion"/>
  </si>
  <si>
    <t>污泥濃縮系統(PRAMAR) -污泥濃縮系統刮泥機</t>
    <phoneticPr fontId="6" type="noConversion"/>
  </si>
  <si>
    <t>石灰飽和系統(G&amp;G Ingenieros) -石灰飽和器攪拌機</t>
    <phoneticPr fontId="3" type="noConversion"/>
  </si>
  <si>
    <t xml:space="preserve">污泥濃縮系統(FINAXO)-斜板 </t>
    <phoneticPr fontId="6" type="noConversion"/>
  </si>
  <si>
    <t>鼎水資字第1150000334號</t>
  </si>
  <si>
    <t>石灰飽和系統(FINAXO)-斜板</t>
    <phoneticPr fontId="3" type="noConversion"/>
  </si>
  <si>
    <t>石灰乳製備系統(SODIMATE)-石灰料倉</t>
    <phoneticPr fontId="3" type="noConversion"/>
  </si>
  <si>
    <t>空氣壓縮機(Atlas Copco) -氣浮池空壓機/儀錶空氣空壓機/</t>
    <phoneticPr fontId="6" type="noConversion"/>
  </si>
  <si>
    <t>鼎水資字第1150000335號</t>
    <phoneticPr fontId="3" type="noConversion"/>
  </si>
  <si>
    <t>鼎水資字第1150000338號</t>
    <phoneticPr fontId="3" type="noConversion"/>
  </si>
  <si>
    <t>鼎水資字第1150000341號</t>
    <phoneticPr fontId="3" type="noConversion"/>
  </si>
  <si>
    <t>加藥設備(SERA)-污泥濃縮槽 POLYMER</t>
    <phoneticPr fontId="6" type="noConversion"/>
  </si>
  <si>
    <t>加藥設備(SERA)-石灰飽和器 POLYMER</t>
    <phoneticPr fontId="6" type="noConversion"/>
  </si>
  <si>
    <t>核定</t>
    <phoneticPr fontId="3" type="noConversion"/>
  </si>
  <si>
    <t>水北多字第11553016390號</t>
    <phoneticPr fontId="3" type="noConversion"/>
  </si>
  <si>
    <t>地磅</t>
  </si>
  <si>
    <t>真空系統設備</t>
  </si>
  <si>
    <t>取樣泵</t>
  </si>
  <si>
    <t xml:space="preserve">螺旋式輸送機(QUILTON) </t>
  </si>
  <si>
    <t>68電動閘門設備</t>
  </si>
  <si>
    <t>LABORATORY EQUIPMENT</t>
    <phoneticPr fontId="7" type="noConversion"/>
  </si>
  <si>
    <t>LEVEL TRANSMITTERS</t>
    <phoneticPr fontId="7" type="noConversion"/>
  </si>
  <si>
    <t>VIBRATION LEVEL SWITCH</t>
    <phoneticPr fontId="7" type="noConversion"/>
  </si>
  <si>
    <t>PRESSURE TRANSMITTER</t>
    <phoneticPr fontId="7" type="noConversion"/>
  </si>
  <si>
    <t>PRESSURE SWITCH</t>
  </si>
  <si>
    <t>ELECTROMAGNETIC FLOWMETER</t>
  </si>
  <si>
    <t xml:space="preserve">FLOW INDICATOR </t>
  </si>
  <si>
    <t>AUTOMATIC SDI ANALYSER</t>
    <phoneticPr fontId="7" type="noConversion"/>
  </si>
  <si>
    <t>Power SCADA</t>
    <phoneticPr fontId="7" type="noConversion"/>
  </si>
  <si>
    <t>MV VFD'S</t>
    <phoneticPr fontId="7" type="noConversion"/>
  </si>
  <si>
    <t>UPS SYSTEM</t>
    <phoneticPr fontId="7" type="noConversion"/>
  </si>
  <si>
    <t>LOW VOLTAGE GENSET</t>
  </si>
  <si>
    <t>第16267章--變頻器</t>
  </si>
  <si>
    <t>MV CAPACITOR BANKS</t>
  </si>
  <si>
    <t>CONTROLLER PANEL (HARDWARE)</t>
    <phoneticPr fontId="7" type="noConversion"/>
  </si>
  <si>
    <t>CONTROL ROOM SCADA (HARDWARE)</t>
    <phoneticPr fontId="7" type="noConversion"/>
  </si>
  <si>
    <t>HP CHECK VALVES</t>
    <phoneticPr fontId="7" type="noConversion"/>
  </si>
  <si>
    <t xml:space="preserve">BUTTERFLY VALVES </t>
    <phoneticPr fontId="7" type="noConversion"/>
  </si>
  <si>
    <t>LP METALLIC CHECK VALVES - BIG DN</t>
    <phoneticPr fontId="7" type="noConversion"/>
  </si>
  <si>
    <t>PLASTIC VALVES</t>
    <phoneticPr fontId="7" type="noConversion"/>
  </si>
  <si>
    <t>EXPANSION BELLOWS</t>
    <phoneticPr fontId="7" type="noConversion"/>
  </si>
  <si>
    <t>SCALE FOR TRUCKS</t>
    <phoneticPr fontId="7" type="noConversion"/>
  </si>
  <si>
    <t>PLASTIC PRESSURE REDUCING/SUSTAINING VALVES</t>
    <phoneticPr fontId="7" type="noConversion"/>
  </si>
  <si>
    <t>PLASTIC AIR RELIEF VALVES</t>
    <phoneticPr fontId="7" type="noConversion"/>
  </si>
  <si>
    <t>PRESSURE RELIEF VALVES</t>
    <phoneticPr fontId="7" type="noConversion"/>
  </si>
  <si>
    <t>PLASTIC PIPES - HDPE - PVC - PP</t>
    <phoneticPr fontId="7" type="noConversion"/>
  </si>
  <si>
    <t>Plastic pipes</t>
    <phoneticPr fontId="7" type="noConversion"/>
  </si>
  <si>
    <t>2nd PASS BRINE CONTROL VALVE</t>
    <phoneticPr fontId="7" type="noConversion"/>
  </si>
  <si>
    <t>BOLTS AND NUTS</t>
    <phoneticPr fontId="7" type="noConversion"/>
  </si>
  <si>
    <t>English</t>
  </si>
  <si>
    <t>電話設備</t>
  </si>
  <si>
    <t>Telephone</t>
  </si>
  <si>
    <t>Internet</t>
  </si>
  <si>
    <t>Landscape irrigation equipment</t>
  </si>
  <si>
    <t>Agitator equipment
COAGULATION CHAMBER MIXERS</t>
  </si>
  <si>
    <t>THICKENED SLUDGE TANK SUBMERSIBLE MIXER</t>
  </si>
  <si>
    <t>HOISTS</t>
  </si>
  <si>
    <t>PENSTOCKS</t>
  </si>
  <si>
    <t>CARTRIDGE FILTERS</t>
  </si>
  <si>
    <t>PRETREATMENT PIPE PROTECTION SURGE VESSEL</t>
  </si>
  <si>
    <t>FINE SCREENS SCREW CONVEYOR</t>
  </si>
  <si>
    <t>HPP - HIGH PRESSURE PUMPS</t>
  </si>
  <si>
    <t>SLUDGE CENTRIFUGES</t>
  </si>
  <si>
    <t>PIG CLEANER</t>
  </si>
  <si>
    <t>PIG LAUNCHER</t>
  </si>
  <si>
    <t>AIR COMPRESSORS</t>
  </si>
  <si>
    <t>DEBRIS PUMPS</t>
  </si>
  <si>
    <t>143天車</t>
  </si>
  <si>
    <t>NEUTRALIZATION PUMPS</t>
  </si>
  <si>
    <t>SAMPLING PUMPS</t>
  </si>
  <si>
    <t>SEADAF DRAINAGE PUMPS</t>
  </si>
  <si>
    <t>RO &amp; ERD RACKS -
 1st pass Rack 1~5
 2nd pass Rack 1~4</t>
  </si>
  <si>
    <t>IN LINE HEATING RESISTANCES</t>
  </si>
  <si>
    <t>PERMEATE WATER TANK</t>
  </si>
  <si>
    <t>PNEUMATIC BOXES (solenoid boxes)</t>
  </si>
  <si>
    <t>2nd PASS BRINE CONTROL VALVE</t>
  </si>
  <si>
    <t>SCALE FOR TRUCKS</t>
  </si>
  <si>
    <t>Embedded Plate</t>
  </si>
  <si>
    <t>GRP PIPES (AG &amp; UG) + PUDDLE PIPES</t>
  </si>
  <si>
    <t>品管現用版本項次</t>
  </si>
  <si>
    <t>窗口負責人</t>
  </si>
  <si>
    <t>Cable Tray Fiberglass GRP (150*150, 300*150, 600*150)</t>
    <phoneticPr fontId="3" type="noConversion"/>
  </si>
  <si>
    <t>電纜架玻璃纖維GRP(150*150, 300*150, 600*150)</t>
    <phoneticPr fontId="6" type="noConversion"/>
  </si>
  <si>
    <t>優先順序</t>
    <phoneticPr fontId="3" type="noConversion"/>
  </si>
  <si>
    <t>廠商</t>
    <phoneticPr fontId="3" type="noConversion"/>
  </si>
  <si>
    <t>亞力AEC</t>
    <phoneticPr fontId="3" type="noConversion"/>
  </si>
  <si>
    <t>大東</t>
    <phoneticPr fontId="3" type="noConversion"/>
  </si>
  <si>
    <t>69kV cables and terminations</t>
    <phoneticPr fontId="3" type="noConversion"/>
  </si>
  <si>
    <t>69kV (GIS) gas insulated switchgear</t>
    <phoneticPr fontId="3" type="noConversion"/>
  </si>
  <si>
    <t>69kV GIS auxiliary equipment - RCP relay panel</t>
    <phoneticPr fontId="3" type="noConversion"/>
  </si>
  <si>
    <t>中興電工</t>
    <phoneticPr fontId="3" type="noConversion"/>
  </si>
  <si>
    <t>BUSWAY/Duct</t>
    <phoneticPr fontId="3" type="noConversion"/>
  </si>
  <si>
    <t>安達康</t>
    <phoneticPr fontId="3" type="noConversion"/>
  </si>
  <si>
    <t>低壓緊急發電機
LOW VOLTAGE GENSET(FF)(250kW)</t>
    <phoneticPr fontId="3" type="noConversion"/>
  </si>
  <si>
    <t>所羅門</t>
    <phoneticPr fontId="3" type="noConversion"/>
  </si>
  <si>
    <t>捷鴻</t>
    <phoneticPr fontId="3" type="noConversion"/>
  </si>
  <si>
    <t>LOW VOLTAGE GENSET</t>
    <phoneticPr fontId="3" type="noConversion"/>
  </si>
  <si>
    <t>鈞鴻</t>
    <phoneticPr fontId="3" type="noConversion"/>
  </si>
  <si>
    <t>A</t>
    <phoneticPr fontId="3" type="noConversion"/>
  </si>
  <si>
    <t>佑義</t>
    <phoneticPr fontId="3" type="noConversion"/>
  </si>
  <si>
    <t>Conductive Tubing (3/4"~3") RSG &amp; Outdoor Coating</t>
    <phoneticPr fontId="3" type="noConversion"/>
  </si>
  <si>
    <t>PVC Pipe (3/4"~6")</t>
    <phoneticPr fontId="3" type="noConversion"/>
  </si>
  <si>
    <t>導電管(3/4"~3") 鍍鋅鋼導線管 &amp; 屋外被覆</t>
    <phoneticPr fontId="3" type="noConversion"/>
  </si>
  <si>
    <t>PVC管(3/4"~6")</t>
    <phoneticPr fontId="3" type="noConversion"/>
  </si>
  <si>
    <t>English</t>
    <phoneticPr fontId="3" type="noConversion"/>
  </si>
  <si>
    <t>消防廣播設備</t>
    <phoneticPr fontId="6" type="noConversion"/>
  </si>
  <si>
    <t>優先順序</t>
    <phoneticPr fontId="3" type="noConversion"/>
  </si>
  <si>
    <t>廠商</t>
    <phoneticPr fontId="3" type="noConversion"/>
  </si>
  <si>
    <t>English</t>
    <phoneticPr fontId="3" type="noConversion"/>
  </si>
  <si>
    <t>Network Cable gat 6</t>
    <phoneticPr fontId="3" type="noConversion"/>
  </si>
  <si>
    <t>網路電纜gat 6</t>
    <phoneticPr fontId="6" type="noConversion"/>
  </si>
  <si>
    <t>Telephone PBX system</t>
    <phoneticPr fontId="3" type="noConversion"/>
  </si>
  <si>
    <t>D</t>
    <phoneticPr fontId="3" type="noConversion"/>
  </si>
  <si>
    <t>B</t>
    <phoneticPr fontId="3" type="noConversion"/>
  </si>
  <si>
    <t>C</t>
    <phoneticPr fontId="3" type="noConversion"/>
  </si>
  <si>
    <t>B</t>
    <phoneticPr fontId="3" type="noConversion"/>
  </si>
  <si>
    <t>第1613章--導線管</t>
    <phoneticPr fontId="3" type="noConversion"/>
  </si>
  <si>
    <t>門窗/玻璃</t>
  </si>
  <si>
    <t>第08120章-鋁門扇及門樘/第08520章-鋁窗</t>
  </si>
  <si>
    <t>B-002089-NEW-AR-911-DG-008門窗表(一)~(五)</t>
  </si>
  <si>
    <t>圖面</t>
  </si>
  <si>
    <t>牆體/板材</t>
  </si>
  <si>
    <t>B-002089-NEW-AR-000-DL-013建築標準圖(13)中空水泥板</t>
  </si>
  <si>
    <t>廠商</t>
  </si>
  <si>
    <t>前德實業</t>
  </si>
  <si>
    <t>中空水泥板</t>
  </si>
  <si>
    <t>三明治板</t>
  </si>
  <si>
    <t>第07410章 金屬三明治夾心牆板</t>
  </si>
  <si>
    <t>B-002089-NEW-AR-000-DL-010 建築標準圖(10)-複層金屬板外牆</t>
  </si>
  <si>
    <t>矽酸鈣板</t>
  </si>
  <si>
    <t>防火石膏板</t>
  </si>
  <si>
    <t>防潮石膏板</t>
  </si>
  <si>
    <t>纖維水泥板</t>
  </si>
  <si>
    <t>B-002089-NEW-AR-911-DG-031 輕隔間大樣詳圖二</t>
  </si>
  <si>
    <t>B-002089-NEW-AR-000-DL-012 建築標準圖(12)-隔間牆,防火玻璃窗</t>
  </si>
  <si>
    <t>3mm/5mm環氧樹脂地坪</t>
  </si>
  <si>
    <t>地坪/鋪面</t>
  </si>
  <si>
    <t>磁磚(石英磚/花崗石/塑膠地磚/磨石子)</t>
  </si>
  <si>
    <t>鋁合金高架地板</t>
  </si>
  <si>
    <t xml:space="preserve">第 09622-A 章
環氧樹脂砂漿地坪 </t>
  </si>
  <si>
    <t>B-002089-NEW-AR-000-DL-002 建築標準圖(2)-防水處理
B-002089-NEW-AR-911-DG-026 地坪大樣詳圖</t>
  </si>
  <si>
    <t>第 09341 - A 章 鋪地磚</t>
  </si>
  <si>
    <t>B-002089-NEW-AR-000-DG-026地坪大樣詳圖</t>
  </si>
  <si>
    <t>B-002089-NEW-AR-911-DG-026地坪大樣詳圖</t>
  </si>
  <si>
    <t>仟藝鋁業</t>
  </si>
  <si>
    <t>鋁製門窗材料送審與供料商</t>
  </si>
  <si>
    <t xml:space="preserve">防火玻璃窗(25mm防火玻璃)/防火百葉 </t>
  </si>
  <si>
    <t>塑鋼窗/百葉</t>
  </si>
  <si>
    <t>帷幕</t>
  </si>
  <si>
    <t>鍍鋅鋼板烤漆門(防火門、防火隔音門)</t>
  </si>
  <si>
    <t>氟碳烤漆</t>
  </si>
  <si>
    <t>不鏽鋼框玻璃門</t>
  </si>
  <si>
    <t>隔音門</t>
  </si>
  <si>
    <t>電動鐵捲門(鍍鋁鋅鋼板、
不銹鋼、
鍍鋅鋼板)</t>
  </si>
  <si>
    <t>玻璃(5mm清強化玻璃/8+8AS+8熱硬化LOW-E複層玻璃/5mm+5mm膠合強化玻璃)</t>
  </si>
  <si>
    <t>B-002089-NEW-AR-000-DL-012 建築標準圖(12)-隔間牆/防火玻璃窗</t>
  </si>
  <si>
    <t>第 08569-A 章
塑鋼窗</t>
  </si>
  <si>
    <t>B-002089-NEW-AR-000-DG-004 廠區建築門窗表二</t>
  </si>
  <si>
    <t>B-002089-NEW-AR-911-DG-015 帷幕詳圖(一)</t>
  </si>
  <si>
    <t>第 08170 章
防火金屬門扇及門樘</t>
  </si>
  <si>
    <t>B-002089-NEW-AR-000-DG-003 廠區建築門窗表一</t>
  </si>
  <si>
    <t>第 09962-A 章
氟化聚合物塗料</t>
  </si>
  <si>
    <t>第 08110-A章
鋼門扇及門樘</t>
  </si>
  <si>
    <t>B-002089-NEW-AR-911-DG-008 門窗表(一)</t>
  </si>
  <si>
    <t>B-002089-NEW-AR-000-DL-011 建築標準圖(11)-天花板/隔音門</t>
  </si>
  <si>
    <t>第 08331 章 V6.0
鋼捲門</t>
  </si>
  <si>
    <t>B-002089-NEW-AR-000-DG-005 廠區建築門窗-鋼捲門</t>
  </si>
  <si>
    <t>第08810-A章玻璃</t>
  </si>
  <si>
    <t>S-SB63-047</t>
  </si>
  <si>
    <t>巨昇玻璃</t>
  </si>
  <si>
    <t>2mm橡化瀝青防水膜</t>
  </si>
  <si>
    <t>防水</t>
  </si>
  <si>
    <t>瀝青底油</t>
  </si>
  <si>
    <t>3mm熱熔式改質瀝青防水毯</t>
  </si>
  <si>
    <t>水和凝固型防水材(彈泥)/複合式防水材</t>
  </si>
  <si>
    <t>矽酸質系防水材</t>
  </si>
  <si>
    <t>水泥防水劑</t>
  </si>
  <si>
    <t>壓克力樹脂底漆</t>
  </si>
  <si>
    <t>PU防水材</t>
  </si>
  <si>
    <t>PS隔熱板</t>
  </si>
  <si>
    <t>隔熱/防火</t>
  </si>
  <si>
    <t>防火岩棉</t>
  </si>
  <si>
    <t>玻璃棉</t>
  </si>
  <si>
    <t>環氧樹脂防蝕塗裝</t>
  </si>
  <si>
    <t>塗裝</t>
  </si>
  <si>
    <t>仿清水膜塗裝</t>
  </si>
  <si>
    <t>水性水泥漆</t>
  </si>
  <si>
    <t>鍍鋅鋼管可拆式欄杆/圍籬</t>
  </si>
  <si>
    <t xml:space="preserve"> 欄杆/踏步</t>
  </si>
  <si>
    <t>塑膠包覆踏步</t>
  </si>
  <si>
    <t>衛浴設備</t>
  </si>
  <si>
    <t>衛浴工程</t>
  </si>
  <si>
    <t>廁所導擺</t>
  </si>
  <si>
    <t>標誌及標線</t>
  </si>
  <si>
    <t>收尾工程</t>
  </si>
  <si>
    <t>第 07121 章
橡化瀝青防水膜</t>
  </si>
  <si>
    <t>B-002089-NEW-AR-000-DL-001 建築標準圖(1)牆面/地坪</t>
  </si>
  <si>
    <t>B-002089-NEW-AR-911-DG-038 防水隔熱詳圖一</t>
  </si>
  <si>
    <t>第 07505 章
屋頂防水層</t>
  </si>
  <si>
    <t>第 07145 章
水泥基防水</t>
  </si>
  <si>
    <t>B-002089-NEW-AR-911-DG-039 防水隔熱詳圖二</t>
  </si>
  <si>
    <t>設計圖說:B-002089-NEW-AR-911-DG-038 防水隔熱詳圖一</t>
  </si>
  <si>
    <t>第 07112 章
防水水泥砂漿粉刷</t>
  </si>
  <si>
    <t>設計圖說:B-002089-NEW-AR-911-DG-039 防水隔熱詳圖-二</t>
  </si>
  <si>
    <t>第 07220 章
屋頂及樓板隔熱</t>
  </si>
  <si>
    <t>B-002089-NEW-AR-000-DL-010 建築標準圖(10)-複層金屬板牆外牆</t>
  </si>
  <si>
    <t>第 09961章環氧樹脂漆、第 09971章
防蝕塗裝</t>
  </si>
  <si>
    <t>B-002089-NEW-AR-000-DL-002 建築標準圖(2)-防水處理
B-002089-NEW-AR-000-DG-001 廠區建築粉刷表(1/2)</t>
  </si>
  <si>
    <t>B-002089-NEW-AR-000-DL-004 建築標準圖(4)-仿清水膜塗裝</t>
  </si>
  <si>
    <t>第09912章水泥漆</t>
  </si>
  <si>
    <t>B-002089-NEW-AR-911-DG-000 材料裝修表一</t>
  </si>
  <si>
    <t>第05520章扶手及欄杆</t>
  </si>
  <si>
    <t>B-002089-NEW-AR-000-DL-006 建築標準圖(6)-活動護欄/圍籬</t>
  </si>
  <si>
    <t xml:space="preserve">第05530-2章玻璃纖維強化塑膠蓋板 </t>
  </si>
  <si>
    <t>B-002089-NEW-AR-000-DL-007 建築標準圖(7)-蓋板</t>
  </si>
  <si>
    <t>B-002089-NEW-AR-000-DL-008 建築標準圖(8)-踏步/排水溝/爬梯</t>
  </si>
  <si>
    <t>B-002089-NEW-AR-911-DG-048 廁所導擺詳圖</t>
  </si>
  <si>
    <t>土木</t>
  </si>
  <si>
    <t>博大</t>
  </si>
  <si>
    <t>益聯</t>
  </si>
  <si>
    <t>海光</t>
  </si>
  <si>
    <t>修緣</t>
  </si>
  <si>
    <t>京品</t>
  </si>
  <si>
    <t>豐興</t>
  </si>
  <si>
    <t>沛波鋼鐵</t>
  </si>
  <si>
    <t>高亨鋼鐵</t>
  </si>
  <si>
    <t>鋼筋SD420W</t>
  </si>
  <si>
    <t>銓新</t>
  </si>
  <si>
    <t>泰欣</t>
  </si>
  <si>
    <t>康地</t>
  </si>
  <si>
    <t>永瑄</t>
  </si>
  <si>
    <t>國順</t>
  </si>
  <si>
    <t>鳶揚國際</t>
  </si>
  <si>
    <t>佾泰/康鴻</t>
  </si>
  <si>
    <t>國鼎
富貿
中龍
志成
敬中
三盟
永青</t>
  </si>
  <si>
    <t>全伊工業</t>
  </si>
  <si>
    <t>喜利得</t>
  </si>
  <si>
    <t>植筋膠</t>
  </si>
  <si>
    <t>鋼構</t>
  </si>
  <si>
    <t>統業工程
華德國際</t>
  </si>
  <si>
    <t>三發製鋼</t>
  </si>
  <si>
    <t>永記造漆</t>
  </si>
  <si>
    <t>S-SB33-017</t>
  </si>
  <si>
    <t>填縫劑/填縫材</t>
  </si>
  <si>
    <t>鳶揚國際
禹青企業</t>
  </si>
  <si>
    <t>S-SB37-021</t>
    <phoneticPr fontId="8" type="noConversion"/>
  </si>
  <si>
    <t>S-SB40-024</t>
    <phoneticPr fontId="8" type="noConversion"/>
  </si>
  <si>
    <t>S-SB41-025</t>
    <phoneticPr fontId="8" type="noConversion"/>
  </si>
  <si>
    <t>S-SB51-035</t>
    <phoneticPr fontId="8" type="noConversion"/>
  </si>
  <si>
    <t>鋼構材料-鋼板</t>
    <phoneticPr fontId="8" type="noConversion"/>
  </si>
  <si>
    <t>鋼構材料-基礎螺栓</t>
    <phoneticPr fontId="8" type="noConversion"/>
  </si>
  <si>
    <t>鋼構-焊材</t>
    <phoneticPr fontId="8" type="noConversion"/>
  </si>
  <si>
    <t>鋼構-高張力螺栓、剪力釘</t>
    <phoneticPr fontId="8" type="noConversion"/>
  </si>
  <si>
    <t>鋼構-色彩計畫</t>
    <phoneticPr fontId="8" type="noConversion"/>
  </si>
  <si>
    <t>防火漆材料</t>
  </si>
  <si>
    <t>鋼構油漆</t>
  </si>
  <si>
    <t>鼎水資字第1140001379號</t>
  </si>
  <si>
    <t>核定</t>
    <phoneticPr fontId="8" type="noConversion"/>
  </si>
  <si>
    <t>0-A</t>
    <phoneticPr fontId="5" type="noConversion"/>
  </si>
  <si>
    <t>艾奕康水字第1140033427號</t>
    <phoneticPr fontId="8" type="noConversion"/>
  </si>
  <si>
    <t>審查同意</t>
    <phoneticPr fontId="8" type="noConversion"/>
  </si>
  <si>
    <t>艾奕康水字第1140034591號</t>
    <phoneticPr fontId="8" type="noConversion"/>
  </si>
  <si>
    <t>鼎水資字第1140000808號</t>
    <phoneticPr fontId="8" type="noConversion"/>
  </si>
  <si>
    <t>艾奕康水字第1140024577號</t>
    <phoneticPr fontId="8" type="noConversion"/>
  </si>
  <si>
    <t>檢退</t>
    <phoneticPr fontId="5" type="noConversion"/>
  </si>
  <si>
    <t>0-B</t>
    <phoneticPr fontId="5" type="noConversion"/>
  </si>
  <si>
    <t>鼎水資字第1140000911號</t>
    <phoneticPr fontId="5" type="noConversion"/>
  </si>
  <si>
    <t>艾奕康水字第1140026310號</t>
    <phoneticPr fontId="8" type="noConversion"/>
  </si>
  <si>
    <t>檢退-圖說及規範尚未核定</t>
    <phoneticPr fontId="5" type="noConversion"/>
  </si>
  <si>
    <t>0-C</t>
    <phoneticPr fontId="8" type="noConversion"/>
  </si>
  <si>
    <t>鼎水資字第1140001049號</t>
    <phoneticPr fontId="5" type="noConversion"/>
  </si>
  <si>
    <t>艾奕康新竹海淡監字第1141009-4 號</t>
    <phoneticPr fontId="8" type="noConversion"/>
  </si>
  <si>
    <t>艾奕康水字第1140029729號</t>
    <phoneticPr fontId="8" type="noConversion"/>
  </si>
  <si>
    <t>檢退</t>
  </si>
  <si>
    <t>鼎水資字第
1140000305 號函</t>
    <phoneticPr fontId="5" type="noConversion"/>
  </si>
  <si>
    <t>艾奕康新竹海淡監字第1140415-1 號</t>
    <phoneticPr fontId="5" type="noConversion"/>
  </si>
  <si>
    <t>審查同意</t>
    <phoneticPr fontId="5" type="noConversion"/>
  </si>
  <si>
    <t>艾奕康水字第1140012844號</t>
    <phoneticPr fontId="5" type="noConversion"/>
  </si>
  <si>
    <t>水北多字第11453040750號</t>
    <phoneticPr fontId="5" type="noConversion"/>
  </si>
  <si>
    <t>1-A</t>
    <phoneticPr fontId="5" type="noConversion"/>
  </si>
  <si>
    <t>鼎水資字第1140000320號</t>
    <phoneticPr fontId="5" type="noConversion"/>
  </si>
  <si>
    <t>艾奕康新竹海淡監字第1140417-1 號</t>
    <phoneticPr fontId="5" type="noConversion"/>
  </si>
  <si>
    <t>艾奕康水字第1140012843號</t>
    <phoneticPr fontId="5" type="noConversion"/>
  </si>
  <si>
    <t>鼎水 資字第1140000440號</t>
    <phoneticPr fontId="5" type="noConversion"/>
  </si>
  <si>
    <t>艾奕康新竹海淡監字第1140516-2 號</t>
    <phoneticPr fontId="5" type="noConversion"/>
  </si>
  <si>
    <t>艾奕康水字第1140016229號</t>
    <phoneticPr fontId="5" type="noConversion"/>
  </si>
  <si>
    <t>水北多字第11453053790號</t>
    <phoneticPr fontId="5" type="noConversion"/>
  </si>
  <si>
    <t>0-A</t>
    <phoneticPr fontId="8" type="noConversion"/>
  </si>
  <si>
    <t>鼎水資字第1140000538號</t>
    <phoneticPr fontId="8" type="noConversion"/>
  </si>
  <si>
    <t>艾奕康新竹海淡監字第1140612-3 號</t>
    <phoneticPr fontId="8" type="noConversion"/>
  </si>
  <si>
    <t>艾奕康水字第1140018746號</t>
    <phoneticPr fontId="8" type="noConversion"/>
  </si>
  <si>
    <t>水北多字第11453064050號</t>
    <phoneticPr fontId="8" type="noConversion"/>
  </si>
  <si>
    <t>1-A</t>
  </si>
  <si>
    <t>鼎水資字第1150000120號</t>
    <phoneticPr fontId="9" type="noConversion"/>
  </si>
  <si>
    <t>115/2/23</t>
  </si>
  <si>
    <t>艾奕康水字第1150003031號</t>
  </si>
  <si>
    <t>鼎水資字第1140001038號</t>
    <phoneticPr fontId="5" type="noConversion"/>
  </si>
  <si>
    <t>艾奕康新竹海淡監字第1141007-2 號</t>
    <phoneticPr fontId="5" type="noConversion"/>
  </si>
  <si>
    <t>艾奕康水字第1140029720號</t>
    <phoneticPr fontId="5" type="noConversion"/>
  </si>
  <si>
    <t>鼎水資字第1140001542號</t>
  </si>
  <si>
    <t>艾奕康水字第1140035884號</t>
  </si>
  <si>
    <t>艾奕康水字第1140036516號</t>
  </si>
  <si>
    <t>審定</t>
    <phoneticPr fontId="8" type="noConversion"/>
  </si>
  <si>
    <t>水北多字第11522005540號</t>
    <phoneticPr fontId="9" type="noConversion"/>
  </si>
  <si>
    <t>鼎水資字第1150000194號</t>
    <phoneticPr fontId="9" type="noConversion"/>
  </si>
  <si>
    <t>鼎水資字第1140000865號</t>
    <phoneticPr fontId="5" type="noConversion"/>
  </si>
  <si>
    <t>艾奕康水字第1140025608號</t>
    <phoneticPr fontId="8" type="noConversion"/>
  </si>
  <si>
    <t>檢退-限9/15提送</t>
    <phoneticPr fontId="8" type="noConversion"/>
  </si>
  <si>
    <t>0-B</t>
    <phoneticPr fontId="8" type="noConversion"/>
  </si>
  <si>
    <t>鼎水資字第1140000971號</t>
    <phoneticPr fontId="8" type="noConversion"/>
  </si>
  <si>
    <t>艾奕康新竹海淡監字第1140919-4號</t>
    <phoneticPr fontId="8" type="noConversion"/>
  </si>
  <si>
    <t>艾奕康水字第1140028400號</t>
    <phoneticPr fontId="8" type="noConversion"/>
  </si>
  <si>
    <t>鼎水資字第1140000321號</t>
    <phoneticPr fontId="5" type="noConversion"/>
  </si>
  <si>
    <t>艾奕康水字第1140012509號</t>
    <phoneticPr fontId="5" type="noConversion"/>
  </si>
  <si>
    <t>鼎水資字第1140000380號</t>
    <phoneticPr fontId="5" type="noConversion"/>
  </si>
  <si>
    <t>艾奕康新竹海淡監字第1140506-1 號</t>
    <phoneticPr fontId="5" type="noConversion"/>
  </si>
  <si>
    <t>艾奕康水字第1140015192號</t>
    <phoneticPr fontId="5" type="noConversion"/>
  </si>
  <si>
    <t>水北多字第11453049930號</t>
    <phoneticPr fontId="8" type="noConversion"/>
  </si>
  <si>
    <t>鼎水資字第
1140000464 號</t>
    <phoneticPr fontId="5" type="noConversion"/>
  </si>
  <si>
    <t>艾奕康新竹海淡監字第1140526-1 號</t>
    <phoneticPr fontId="5" type="noConversion"/>
  </si>
  <si>
    <t>艾奕康水字第1140016840號</t>
    <phoneticPr fontId="8" type="noConversion"/>
  </si>
  <si>
    <t>水北多字第11453056870號</t>
    <phoneticPr fontId="8" type="noConversion"/>
  </si>
  <si>
    <t>鼎水資字第1140001053號</t>
    <phoneticPr fontId="5" type="noConversion"/>
  </si>
  <si>
    <t>艾奕康新竹海淡監字第1141009-3號</t>
    <phoneticPr fontId="5" type="noConversion"/>
  </si>
  <si>
    <t>艾奕康水字第1140029767號</t>
    <phoneticPr fontId="5" type="noConversion"/>
  </si>
  <si>
    <t>水北多字第11453113390號</t>
    <phoneticPr fontId="8" type="noConversion"/>
  </si>
  <si>
    <t>鼎水資字第
1140000467 號</t>
    <phoneticPr fontId="5" type="noConversion"/>
  </si>
  <si>
    <t>艾奕康新竹海淡監字第1140526-2 號</t>
    <phoneticPr fontId="5" type="noConversion"/>
  </si>
  <si>
    <t>2-A</t>
    <phoneticPr fontId="5" type="noConversion"/>
  </si>
  <si>
    <t>鼎水資字第1140001054號</t>
    <phoneticPr fontId="5" type="noConversion"/>
  </si>
  <si>
    <t>艾奕康新竹海淡監字第1141009-2 號</t>
    <phoneticPr fontId="5" type="noConversion"/>
  </si>
  <si>
    <t>艾奕康水字第1140029766號</t>
    <phoneticPr fontId="5" type="noConversion"/>
  </si>
  <si>
    <t>水北多字第11453113400號</t>
    <phoneticPr fontId="8" type="noConversion"/>
  </si>
  <si>
    <t>鼎水資字第1140000276號</t>
    <phoneticPr fontId="5" type="noConversion"/>
  </si>
  <si>
    <t>艾奕康水字第1140011908號</t>
    <phoneticPr fontId="5" type="noConversion"/>
  </si>
  <si>
    <t>鼎水資字第1140000365號</t>
    <phoneticPr fontId="5" type="noConversion"/>
  </si>
  <si>
    <t>艾奕康新竹海淡監字第1140430-1 號</t>
    <phoneticPr fontId="5" type="noConversion"/>
  </si>
  <si>
    <t>艾奕康水字第1140014178號</t>
    <phoneticPr fontId="5" type="noConversion"/>
  </si>
  <si>
    <t>鼎水資字第1140000807號</t>
    <phoneticPr fontId="8" type="noConversion"/>
  </si>
  <si>
    <t>艾奕康新竹海淡監字第1140821-1號</t>
    <phoneticPr fontId="8" type="noConversion"/>
  </si>
  <si>
    <t>艾奕康水字第1140025762號</t>
    <phoneticPr fontId="8" type="noConversion"/>
  </si>
  <si>
    <t>鼎水資字第1140001194號</t>
    <phoneticPr fontId="8" type="noConversion"/>
  </si>
  <si>
    <t>艾奕康新竹海淡監字第1141030-1 號</t>
    <phoneticPr fontId="5" type="noConversion"/>
  </si>
  <si>
    <t>艾奕康水字第1140031901號</t>
    <phoneticPr fontId="5" type="noConversion"/>
  </si>
  <si>
    <t>114/11/21</t>
    <phoneticPr fontId="9" type="noConversion"/>
  </si>
  <si>
    <t>鼎水資字第
1140001374號</t>
    <phoneticPr fontId="9" type="noConversion"/>
  </si>
  <si>
    <t>艾奕康水字第1140034603號</t>
    <phoneticPr fontId="8" type="noConversion"/>
  </si>
  <si>
    <t>鼎水資字第1140001027號</t>
    <phoneticPr fontId="5" type="noConversion"/>
  </si>
  <si>
    <t>艾奕康水字第1140027966</t>
    <phoneticPr fontId="8" type="noConversion"/>
  </si>
  <si>
    <t>展延至10/15</t>
    <phoneticPr fontId="8" type="noConversion"/>
  </si>
  <si>
    <t>鼎水資字第1140001111號</t>
    <phoneticPr fontId="8" type="noConversion"/>
  </si>
  <si>
    <t>艾奕康水字第1140029513號</t>
    <phoneticPr fontId="8" type="noConversion"/>
  </si>
  <si>
    <t>鼎水資字第1140001153號</t>
    <phoneticPr fontId="5" type="noConversion"/>
  </si>
  <si>
    <t>艾奕康新竹海淡監字第1141022-4號</t>
    <phoneticPr fontId="8" type="noConversion"/>
  </si>
  <si>
    <t>艾奕康水字第1140031514號</t>
    <phoneticPr fontId="8" type="noConversion"/>
  </si>
  <si>
    <t>鼎水資字第1150000031號</t>
    <phoneticPr fontId="8" type="noConversion"/>
  </si>
  <si>
    <t>艾奕康水字第1150002915號</t>
    <phoneticPr fontId="8" type="noConversion"/>
  </si>
  <si>
    <t>鼎水資字第1140001354號</t>
    <phoneticPr fontId="8" type="noConversion"/>
  </si>
  <si>
    <t>艾奕康水字第1140033161號</t>
    <phoneticPr fontId="8" type="noConversion"/>
  </si>
  <si>
    <t>艾奕康水字第1140034590號</t>
    <phoneticPr fontId="8" type="noConversion"/>
  </si>
  <si>
    <t>鼎水資字第1140001454號</t>
    <phoneticPr fontId="8" type="noConversion"/>
  </si>
  <si>
    <t>艾奕康水字第1140034455號</t>
    <phoneticPr fontId="8" type="noConversion"/>
  </si>
  <si>
    <t>檢退</t>
    <phoneticPr fontId="8" type="noConversion"/>
  </si>
  <si>
    <t>鼎水資字第1150000033號</t>
    <phoneticPr fontId="8" type="noConversion"/>
  </si>
  <si>
    <t>艾奕康水字第1150002914號</t>
    <phoneticPr fontId="8" type="noConversion"/>
  </si>
  <si>
    <t>檢退-限12/08</t>
    <phoneticPr fontId="8" type="noConversion"/>
  </si>
  <si>
    <t>艾奕康水字第1140034905號</t>
    <phoneticPr fontId="8" type="noConversion"/>
  </si>
  <si>
    <t>艾奕康水字第1140035294號</t>
    <phoneticPr fontId="8" type="noConversion"/>
  </si>
  <si>
    <t>水北多字第11422046940號</t>
    <phoneticPr fontId="8" type="noConversion"/>
  </si>
  <si>
    <t>鼎水資字第1140000766號</t>
    <phoneticPr fontId="5" type="noConversion"/>
  </si>
  <si>
    <t>艾奕康水字第1140023734號</t>
    <phoneticPr fontId="8" type="noConversion"/>
  </si>
  <si>
    <t>檢退-限08/22提送</t>
    <phoneticPr fontId="8" type="noConversion"/>
  </si>
  <si>
    <t>艾奕康新竹海淡監字第1141001-4號</t>
    <phoneticPr fontId="8" type="noConversion"/>
  </si>
  <si>
    <t>艾奕康水字第1140029479號</t>
    <phoneticPr fontId="8" type="noConversion"/>
  </si>
  <si>
    <t>鼎水資字第1140001296號</t>
    <phoneticPr fontId="8" type="noConversion"/>
  </si>
  <si>
    <t>艾奕康新竹海淡監字第1141113-5 號</t>
    <phoneticPr fontId="5" type="noConversion"/>
  </si>
  <si>
    <t>艾奕康水字第1140033046號</t>
    <phoneticPr fontId="8" type="noConversion"/>
  </si>
  <si>
    <t>鼎水資字第1140001229號</t>
    <phoneticPr fontId="8" type="noConversion"/>
  </si>
  <si>
    <t>艾奕康新竹海淡監字第1141111-3號</t>
    <phoneticPr fontId="5" type="noConversion"/>
  </si>
  <si>
    <t>艾奕康水字第1140032727號</t>
    <phoneticPr fontId="8" type="noConversion"/>
  </si>
  <si>
    <t>鼎水資字第1140001298號</t>
    <phoneticPr fontId="8" type="noConversion"/>
  </si>
  <si>
    <t>艾奕康水字第1140032404號</t>
    <phoneticPr fontId="8" type="noConversion"/>
  </si>
  <si>
    <t>艾奕康水字第1140034593號</t>
    <phoneticPr fontId="8" type="noConversion"/>
  </si>
  <si>
    <t>鼎水資字第1140001315號</t>
    <phoneticPr fontId="8" type="noConversion"/>
  </si>
  <si>
    <t>艾奕康水字第1140032593號</t>
    <phoneticPr fontId="8" type="noConversion"/>
  </si>
  <si>
    <t>艾奕康水字第1140034592號</t>
    <phoneticPr fontId="8" type="noConversion"/>
  </si>
  <si>
    <t>鼎水資字第1140001571號</t>
    <phoneticPr fontId="8" type="noConversion"/>
  </si>
  <si>
    <t>艾奕康水字第1140033197號</t>
    <phoneticPr fontId="8" type="noConversion"/>
  </si>
  <si>
    <t>艾奕康水字第1140036283號</t>
    <phoneticPr fontId="8" type="noConversion"/>
  </si>
  <si>
    <t>檢還</t>
  </si>
  <si>
    <t>水北多字第11522000060號</t>
  </si>
  <si>
    <t>已選色</t>
    <phoneticPr fontId="8" type="noConversion"/>
  </si>
  <si>
    <t>艾奕康水字第1150003228號</t>
    <phoneticPr fontId="9" type="noConversion"/>
  </si>
  <si>
    <t>鼎水資字第1150000237號</t>
    <phoneticPr fontId="9" type="noConversion"/>
  </si>
  <si>
    <t>檢退-限10/8</t>
  </si>
  <si>
    <t>同意展延至10/15</t>
  </si>
  <si>
    <t>版次</t>
  </si>
  <si>
    <t>S-SC22-022</t>
  </si>
  <si>
    <t>鼎水資字第1150000271號</t>
  </si>
  <si>
    <t>艾奕康水字第1150004570號</t>
  </si>
  <si>
    <t>S-SC26-026</t>
  </si>
  <si>
    <t>鼎水資字第1150000146號</t>
  </si>
  <si>
    <t>艾奕康水字第1150004070號</t>
  </si>
  <si>
    <t>S-SC30-030</t>
  </si>
  <si>
    <t>鼎水資字第1150000291號</t>
  </si>
  <si>
    <t>S-SC29-029</t>
  </si>
  <si>
    <t>鼎水資字第1150000290號</t>
  </si>
  <si>
    <t>S-SC31-031</t>
  </si>
  <si>
    <t>鼎水資字第1150000342號</t>
  </si>
  <si>
    <t>S-SC32-032</t>
  </si>
  <si>
    <t>鼎水資字第1150000293號</t>
  </si>
  <si>
    <t>HDPE pipe</t>
  </si>
  <si>
    <t>Polymer Preparation Unit</t>
  </si>
  <si>
    <t>給排水/機電</t>
  </si>
  <si>
    <t>機械</t>
  </si>
  <si>
    <t>MECH</t>
  </si>
  <si>
    <t>16</t>
  </si>
  <si>
    <t>S-SD17-013</t>
    <phoneticPr fontId="3" type="noConversion"/>
  </si>
  <si>
    <t>宏海淡工字第115031111號</t>
    <phoneticPr fontId="3" type="noConversion"/>
  </si>
  <si>
    <t>115/3/25</t>
    <phoneticPr fontId="3" type="noConversion"/>
  </si>
  <si>
    <t>艾奕康水字第1150004704號</t>
    <phoneticPr fontId="3" type="noConversion"/>
  </si>
  <si>
    <t>17</t>
  </si>
  <si>
    <t>S-SD19-15</t>
    <phoneticPr fontId="3" type="noConversion"/>
  </si>
  <si>
    <t>宏海淡工字第115031123號</t>
    <phoneticPr fontId="3" type="noConversion"/>
  </si>
  <si>
    <t>03210 鋼筋</t>
  </si>
  <si>
    <t>擠壓砂樁</t>
  </si>
  <si>
    <t>02361A擠壓砂樁</t>
  </si>
  <si>
    <t>03310 結構用混凝土</t>
  </si>
  <si>
    <t>02463 鋼板樁</t>
  </si>
  <si>
    <t>02726 級配粒料底層</t>
  </si>
  <si>
    <t>02722 級配粒料基層</t>
  </si>
  <si>
    <t>02770 緣石及緣石側溝</t>
  </si>
  <si>
    <t>02778 人行道面層</t>
  </si>
  <si>
    <t>03377 控制控制性低強度回填材料(CLSM)</t>
  </si>
  <si>
    <t>02741 瀝青混凝土之一般要求
02742 瀝青混凝土舖面
02745 瀝青透層
02747 瀝青黏層
02961 瀝青混凝土面層刨除</t>
  </si>
  <si>
    <t>03601 無收縮水泥砂漿</t>
  </si>
  <si>
    <t>02891標誌</t>
  </si>
  <si>
    <t>15151 汙水管路系統</t>
  </si>
  <si>
    <t xml:space="preserve">自來水不銹鋼管及管件 </t>
  </si>
  <si>
    <t xml:space="preserve">15223 自來水不銹鋼管及管件 </t>
  </si>
  <si>
    <t>自來水不銹鋼伸縮接頭</t>
  </si>
  <si>
    <t>15224 自來水不銹鋼伸縮接頭</t>
  </si>
  <si>
    <t xml:space="preserve">給排水及衛生器具 </t>
  </si>
  <si>
    <t xml:space="preserve">衛生給排水泵 </t>
  </si>
  <si>
    <t>機電</t>
  </si>
  <si>
    <t>火警警報設備</t>
  </si>
  <si>
    <t xml:space="preserve">火警探測設備 </t>
  </si>
  <si>
    <t>13911 消防管材及施工方法</t>
  </si>
  <si>
    <t>DRAINAGE</t>
  </si>
  <si>
    <t>INSTRU _ COTROL</t>
  </si>
  <si>
    <t>儀控</t>
  </si>
  <si>
    <t>ELEC</t>
  </si>
  <si>
    <t>ELEC</t>
    <phoneticPr fontId="7" type="noConversion"/>
  </si>
  <si>
    <t>139120 消防泵</t>
  </si>
  <si>
    <t>送審預警天數
(60天內才顯示)</t>
  </si>
  <si>
    <t>污水管路</t>
  </si>
  <si>
    <t xml:space="preserve">分離式空調機組 </t>
  </si>
  <si>
    <t>施工規範第02381章</t>
    <phoneticPr fontId="3" type="noConversion"/>
  </si>
  <si>
    <t>B-002089-HHC-MW-019-DD-142、242</t>
    <phoneticPr fontId="3" type="noConversion"/>
  </si>
  <si>
    <t>國正工程</t>
    <phoneticPr fontId="3" type="noConversion"/>
  </si>
  <si>
    <t>施工規範第15226章</t>
    <phoneticPr fontId="3" type="noConversion"/>
  </si>
  <si>
    <t>大地昌</t>
    <phoneticPr fontId="3" type="noConversion"/>
  </si>
  <si>
    <t>新寮山</t>
    <phoneticPr fontId="3" type="noConversion"/>
  </si>
  <si>
    <t>達塑工程</t>
    <phoneticPr fontId="3" type="noConversion"/>
  </si>
  <si>
    <t>115/3/6</t>
    <phoneticPr fontId="3" type="noConversion"/>
  </si>
  <si>
    <t>宏華海淡工字第
115031111號</t>
    <phoneticPr fontId="3" type="noConversion"/>
  </si>
  <si>
    <t>115/3/27</t>
    <phoneticPr fontId="3" type="noConversion"/>
  </si>
  <si>
    <t>宏海淡工字第115031125號</t>
    <phoneticPr fontId="3" type="noConversion"/>
  </si>
  <si>
    <t>施工規範第05122章</t>
    <phoneticPr fontId="3" type="noConversion"/>
  </si>
  <si>
    <t>新樺鋼鐵</t>
    <phoneticPr fontId="3" type="noConversion"/>
  </si>
  <si>
    <t>施工規範第02460章</t>
    <phoneticPr fontId="3" type="noConversion"/>
  </si>
  <si>
    <r>
      <t>取排水-</t>
    </r>
    <r>
      <rPr>
        <b/>
        <sz val="14"/>
        <color rgb="FFFF0000"/>
        <rFont val="微軟正黑體"/>
        <family val="2"/>
        <charset val="136"/>
      </rPr>
      <t>鋁陽極塊</t>
    </r>
  </si>
  <si>
    <t>B-002089-HHC-MW-019-DD-741取水頭犧牲陽極塊配置圖</t>
    <phoneticPr fontId="3" type="noConversion"/>
  </si>
  <si>
    <t>宏海淡工字第115031124號</t>
    <phoneticPr fontId="3" type="noConversion"/>
  </si>
  <si>
    <t>CW</t>
  </si>
  <si>
    <t>ARCH</t>
  </si>
  <si>
    <t>05122 鋼構造
05124 建築鋼結構
05125 結構用鋼材</t>
  </si>
  <si>
    <t>09910 油漆</t>
  </si>
  <si>
    <t>05090 金屬接合
05122 鋼構造</t>
  </si>
  <si>
    <t>05124 建築鋼結構
05125 結構用鋼材</t>
  </si>
  <si>
    <t>審查同意</t>
    <phoneticPr fontId="31" type="noConversion"/>
  </si>
  <si>
    <t>審定</t>
    <phoneticPr fontId="31" type="noConversion"/>
  </si>
  <si>
    <t>鼎水資字第1150000333號</t>
  </si>
  <si>
    <t>核定</t>
  </si>
  <si>
    <t>BELGICAST</t>
  </si>
  <si>
    <t>TADIPOL</t>
  </si>
  <si>
    <t>CUÑADO</t>
  </si>
  <si>
    <t>Conduit</t>
  </si>
  <si>
    <t>電機&amp;儀控</t>
  </si>
  <si>
    <t>115/1/30</t>
    <phoneticPr fontId="7" type="noConversion"/>
  </si>
  <si>
    <t>鼎水資字第1150000160號</t>
    <phoneticPr fontId="7" type="noConversion"/>
  </si>
  <si>
    <t>115/2/23</t>
    <phoneticPr fontId="7" type="noConversion"/>
  </si>
  <si>
    <t>艾奕康水字第1150003512號</t>
    <phoneticPr fontId="7" type="noConversion"/>
  </si>
  <si>
    <t>檢退</t>
    <phoneticPr fontId="7" type="noConversion"/>
  </si>
  <si>
    <t>115/3/2</t>
    <phoneticPr fontId="7" type="noConversion"/>
  </si>
  <si>
    <t>不銹鋼管</t>
  </si>
  <si>
    <t>鍍鋅鋼管</t>
  </si>
  <si>
    <t>Stainless steel pipes</t>
    <phoneticPr fontId="7" type="noConversion"/>
  </si>
  <si>
    <t>Galvanized steel pipes</t>
    <phoneticPr fontId="7" type="noConversion"/>
  </si>
  <si>
    <t>Power Cable</t>
  </si>
  <si>
    <t>電力電纜</t>
  </si>
  <si>
    <t>Control Cable</t>
  </si>
  <si>
    <t>控制電纜</t>
  </si>
  <si>
    <t>Optical Fiber Cable</t>
  </si>
  <si>
    <t>光纖電纜</t>
  </si>
  <si>
    <t>Network Cable gat 6</t>
  </si>
  <si>
    <t>網路電纜gat 6</t>
  </si>
  <si>
    <t>伸泰STE</t>
  </si>
  <si>
    <t>樺榮HUA</t>
  </si>
  <si>
    <r>
      <rPr>
        <sz val="14"/>
        <rFont val="微軟正黑體"/>
        <family val="2"/>
        <charset val="136"/>
      </rPr>
      <t>樺榮</t>
    </r>
    <r>
      <rPr>
        <sz val="14"/>
        <rFont val="Calibri"/>
        <family val="2"/>
      </rPr>
      <t>(</t>
    </r>
    <r>
      <rPr>
        <sz val="14"/>
        <rFont val="微軟正黑體"/>
        <family val="2"/>
        <charset val="136"/>
      </rPr>
      <t>伸泰)</t>
    </r>
    <r>
      <rPr>
        <sz val="14"/>
        <rFont val="Microsoft JhengHei"/>
        <family val="2"/>
      </rPr>
      <t>待確認</t>
    </r>
  </si>
  <si>
    <t>B</t>
  </si>
  <si>
    <t xml:space="preserve">CCTV </t>
  </si>
  <si>
    <t>CCTV 設備</t>
  </si>
  <si>
    <t>電話總機系統</t>
  </si>
  <si>
    <t>A</t>
  </si>
  <si>
    <t xml:space="preserve">石灰飽和系統(元錩YuanChang) -石灰飽和系統槽體 </t>
  </si>
  <si>
    <t xml:space="preserve">直立式泵(MUNSCH) </t>
  </si>
  <si>
    <r>
      <t>門禁管制設備</t>
    </r>
    <r>
      <rPr>
        <b/>
        <sz val="14"/>
        <color theme="1"/>
        <rFont val="微軟正黑體"/>
        <family val="2"/>
      </rPr>
      <t xml:space="preserve">
移10-9弱電</t>
    </r>
  </si>
  <si>
    <t>艾奕康水字第1150004921號</t>
  </si>
  <si>
    <t>水北多字第11522016890號</t>
  </si>
  <si>
    <t>艾奕康水字第1150005667號</t>
  </si>
  <si>
    <t>鼎水資字第1150000549號</t>
  </si>
  <si>
    <t>Dual Media Pressure Filter (DMPF)</t>
  </si>
  <si>
    <t>雙介質壓力式過濾設備 
(PRESSURE VESSELS INDIA)</t>
  </si>
  <si>
    <t>155前處理管水錘吸收器</t>
  </si>
  <si>
    <t>金屬桶槽  (GLS)</t>
  </si>
  <si>
    <t>S-SC25-025(CTC-DC-000-SD-002)</t>
  </si>
  <si>
    <t>THICKENER DENSADEG-TANK</t>
  </si>
  <si>
    <t>LIME SATURATOR-TANK</t>
  </si>
  <si>
    <t>S-SC537-537
(CTC-DC-000-SD-044)</t>
  </si>
  <si>
    <t>線上加熱電阻</t>
    <phoneticPr fontId="6" type="noConversion"/>
  </si>
  <si>
    <t>氣動箱</t>
  </si>
  <si>
    <t xml:space="preserve">S-SC27-027 </t>
  </si>
  <si>
    <t>艾奕康水字第1150006010號</t>
  </si>
  <si>
    <t>水北多字第11522015860號</t>
  </si>
  <si>
    <t>艾奕康水
字第1150005666號</t>
  </si>
  <si>
    <t>水北多字第11522017660號</t>
  </si>
  <si>
    <t>水北多字第11522008140號</t>
  </si>
  <si>
    <t>艾奕康水字第1150004918號</t>
  </si>
  <si>
    <t>水北多字第11522013620號</t>
  </si>
  <si>
    <t>艾奕康水字第1150004910號</t>
  </si>
  <si>
    <t>水北多字第11522013370號</t>
  </si>
  <si>
    <t>S-SC35-035</t>
  </si>
  <si>
    <t>鼎水資字第1150000529號</t>
  </si>
  <si>
    <t>艾奕康水字第1150006009號</t>
  </si>
  <si>
    <t>水北多字第11522013530號</t>
  </si>
  <si>
    <t>艾奕康水字第1150005376號</t>
  </si>
  <si>
    <t>水北多字第11522015320號</t>
  </si>
  <si>
    <t>S-SC37-037</t>
  </si>
  <si>
    <t>鼎水資字第1150000540號</t>
  </si>
  <si>
    <t>艾奕康水字第1150004908號</t>
  </si>
  <si>
    <t>水北多字第11522011710號</t>
  </si>
  <si>
    <t>艾奕康水字第1150005370號</t>
  </si>
  <si>
    <t>艾奕康水字第1150005375號</t>
  </si>
  <si>
    <t>艾奕康水字第1150005377號</t>
  </si>
  <si>
    <t>艾奕康水字第1150004919號</t>
  </si>
  <si>
    <t>水北多字第11522015630號</t>
  </si>
  <si>
    <t>艾奕康水字第1150005388號</t>
  </si>
  <si>
    <t>艾奕康水字第1150005389號</t>
  </si>
  <si>
    <t>水北多字第11522013580號</t>
  </si>
  <si>
    <t>艾奕康水字第1150004909號</t>
  </si>
  <si>
    <t>水北多字第11522011170號</t>
  </si>
  <si>
    <t>艾奕康水字第1150005665號</t>
  </si>
  <si>
    <t>艾奕康水字第1150005669號</t>
  </si>
  <si>
    <t>水北多字第11553033290號</t>
  </si>
  <si>
    <t>艾奕康水字第1150005378號</t>
  </si>
  <si>
    <t>水北多字第11553031410號</t>
  </si>
  <si>
    <t>S-SC34-034</t>
  </si>
  <si>
    <t>鼎水資字第1150000517</t>
  </si>
  <si>
    <t>0-C</t>
  </si>
  <si>
    <t>艾奕康水字第1150005992號</t>
  </si>
  <si>
    <t>艾奕康水字第1150005032號</t>
  </si>
  <si>
    <t>艾奕康水字第1150005379號</t>
  </si>
  <si>
    <t>艾奕康水字第1150005038號</t>
  </si>
  <si>
    <t>艾奕康水字第1150005042號</t>
  </si>
  <si>
    <t>艾奕康水字第1150005993號</t>
  </si>
  <si>
    <t>艾奕康水字第1150005591號</t>
  </si>
  <si>
    <t>艾奕康水字第1150005589號</t>
  </si>
  <si>
    <t>艾奕康水字第1150004922號</t>
  </si>
  <si>
    <t>水北多字第11522014430號</t>
  </si>
  <si>
    <t>S-SC36-036</t>
  </si>
  <si>
    <t>鼎水資字第1150000536號</t>
  </si>
  <si>
    <t>艾奕康水字第1150005994號</t>
  </si>
  <si>
    <t>鼎水資字第1150000518號</t>
  </si>
  <si>
    <t>鼎水資字第1150000519號</t>
  </si>
  <si>
    <t>第13851章                                             火警警報設備規範</t>
    <phoneticPr fontId="6" type="noConversion"/>
  </si>
  <si>
    <t>鼎岳</t>
    <phoneticPr fontId="6" type="noConversion"/>
  </si>
  <si>
    <t>消防火警受信總機</t>
    <phoneticPr fontId="6" type="noConversion"/>
  </si>
  <si>
    <t>緊急廣播系統</t>
    <phoneticPr fontId="6" type="noConversion"/>
  </si>
  <si>
    <t xml:space="preserve"> 13853 章
火警探測設備</t>
    <phoneticPr fontId="6" type="noConversion"/>
  </si>
  <si>
    <t>S-SC15-015</t>
    <phoneticPr fontId="6" type="noConversion"/>
  </si>
  <si>
    <t/>
  </si>
  <si>
    <t>修正</t>
  </si>
  <si>
    <t>消防泵浦設備及廠商資格-至盛工業</t>
    <phoneticPr fontId="6" type="noConversion"/>
  </si>
  <si>
    <t>第 15737 章
分離式空調機組</t>
  </si>
  <si>
    <t>第 15440 章
衛生給排水泵</t>
  </si>
  <si>
    <t>第 15410 章
給排水及衛生器具</t>
  </si>
  <si>
    <t xml:space="preserve"> 空調風管附屬設備元入件</t>
    <phoneticPr fontId="6" type="noConversion"/>
  </si>
  <si>
    <t>第 15820 章
空調風管附屬設備元件</t>
    <phoneticPr fontId="6" type="noConversion"/>
  </si>
  <si>
    <t>CCTV</t>
    <phoneticPr fontId="3" type="noConversion"/>
  </si>
  <si>
    <t>Monitoring equipment</t>
    <phoneticPr fontId="3" type="noConversion"/>
  </si>
  <si>
    <t>電線電纜材料送審與供料商-伸泰/大亞</t>
    <phoneticPr fontId="6" type="noConversion"/>
  </si>
  <si>
    <t>鼎水資字第1150000100號</t>
    <phoneticPr fontId="6" type="noConversion"/>
  </si>
  <si>
    <t>艾奕康水字第1150002524號</t>
    <phoneticPr fontId="3" type="noConversion"/>
  </si>
  <si>
    <t>鼎水資字第1150000141號</t>
    <phoneticPr fontId="6" type="noConversion"/>
  </si>
  <si>
    <t>艾奕康水字第1150003262號</t>
    <phoneticPr fontId="3" type="noConversion"/>
  </si>
  <si>
    <t>PN-301</t>
    <phoneticPr fontId="3" type="noConversion"/>
  </si>
  <si>
    <t>High-voltage switchgear</t>
    <phoneticPr fontId="3" type="noConversion"/>
  </si>
  <si>
    <t>第13451章--分散式控制系統(可程式控制器)</t>
    <phoneticPr fontId="3" type="noConversion"/>
  </si>
  <si>
    <t>Electronic balance</t>
    <phoneticPr fontId="3" type="noConversion"/>
  </si>
  <si>
    <t>第11610章--試驗室設備規格</t>
    <phoneticPr fontId="3" type="noConversion"/>
  </si>
  <si>
    <t>Conductivity meter</t>
    <phoneticPr fontId="3" type="noConversion"/>
  </si>
  <si>
    <t>pH meter</t>
    <phoneticPr fontId="3" type="noConversion"/>
  </si>
  <si>
    <t>Spectrophotometer</t>
    <phoneticPr fontId="3" type="noConversion"/>
  </si>
  <si>
    <t>Turbidity meter</t>
    <phoneticPr fontId="3" type="noConversion"/>
  </si>
  <si>
    <t>Residual chlorine meter</t>
    <phoneticPr fontId="3" type="noConversion"/>
  </si>
  <si>
    <t>第13410章--監測、控制及分析儀表</t>
    <phoneticPr fontId="3" type="noConversion"/>
  </si>
  <si>
    <t>第13451章分散式控制系統(可程式控制器)</t>
    <phoneticPr fontId="3" type="noConversion"/>
  </si>
  <si>
    <t>線上加熱電阻</t>
  </si>
  <si>
    <t>115/3/24</t>
  </si>
  <si>
    <t>鼎水資字第1150000296號</t>
    <phoneticPr fontId="3" type="noConversion"/>
  </si>
  <si>
    <t>艾奕康水字第1150006264號</t>
    <phoneticPr fontId="3" type="noConversion"/>
  </si>
  <si>
    <t>艾奕康水字第1150006267號</t>
    <phoneticPr fontId="3" type="noConversion"/>
  </si>
  <si>
    <t>115/4/2</t>
  </si>
  <si>
    <t>宏海淡工字第115041102A號</t>
  </si>
  <si>
    <t>艾奕康水字第1150004068號</t>
  </si>
  <si>
    <t>艾奕康水字第1150001415號</t>
  </si>
  <si>
    <t>艾奕康水字第1150005588號</t>
  </si>
  <si>
    <t>鼎水資字第1140000932號</t>
    <phoneticPr fontId="3" type="noConversion"/>
  </si>
  <si>
    <t>艾奕康水字第1140026972號</t>
    <phoneticPr fontId="3" type="noConversion"/>
  </si>
  <si>
    <t>臥式離心泵(2) (RuhrPumpen)</t>
  </si>
  <si>
    <t>艾奕康水字第1150004907號</t>
  </si>
  <si>
    <t>鼎水資字第1150000138號</t>
    <phoneticPr fontId="3" type="noConversion"/>
  </si>
  <si>
    <t>艾奕康水字第1150004904號</t>
  </si>
  <si>
    <t>鼎水資字第1150000276號</t>
    <phoneticPr fontId="3" type="noConversion"/>
  </si>
  <si>
    <t>艾奕康水字第1150005934號</t>
  </si>
  <si>
    <t>S-SC38-038</t>
  </si>
  <si>
    <t>鼎水資字第1150000545號</t>
  </si>
  <si>
    <t>S-SC41-041</t>
  </si>
  <si>
    <t>鼎水資字第1150000583號</t>
  </si>
  <si>
    <t>S-SC42-042</t>
  </si>
  <si>
    <t>鼎水資字第1150000591號</t>
  </si>
  <si>
    <t>S-SC40-040</t>
  </si>
  <si>
    <t>鼎水資字第1150000579號</t>
  </si>
  <si>
    <t>S-SC43-043</t>
  </si>
  <si>
    <t>鼎水資字第1150000608號</t>
  </si>
  <si>
    <t>艾奕康水字第1150005000號</t>
  </si>
  <si>
    <t>北水多字第11522013680號</t>
  </si>
  <si>
    <t>鼎水資字第1150000205號</t>
    <phoneticPr fontId="31" type="noConversion"/>
  </si>
  <si>
    <t>艾奕康水字第1150005046號</t>
  </si>
  <si>
    <t>鼎水資字第1150000207號</t>
    <phoneticPr fontId="7" type="noConversion"/>
  </si>
  <si>
    <t>艾奕康水字第1150004999號</t>
  </si>
  <si>
    <t>鼎水資字第1150000208號</t>
    <phoneticPr fontId="7" type="noConversion"/>
  </si>
  <si>
    <t>艾奕康水字第1150005002號</t>
  </si>
  <si>
    <t>S-SB69-053</t>
  </si>
  <si>
    <t>上禹</t>
  </si>
  <si>
    <t>115/3/30</t>
  </si>
  <si>
    <t>鼎水資字第1150000525號</t>
  </si>
  <si>
    <t>艾奕康水字第1150005718號</t>
  </si>
  <si>
    <t>鼎水資字第1150000127號</t>
  </si>
  <si>
    <t>艾奕康水字第1150003545號</t>
  </si>
  <si>
    <t>水北多字第11522015640號</t>
  </si>
  <si>
    <t>鼎水資字第1140001579號</t>
  </si>
  <si>
    <t>艾奕康水字第1150002277號</t>
  </si>
  <si>
    <t>水北多字第11522004270號</t>
  </si>
  <si>
    <t>鼎水資字第1150000246號</t>
  </si>
  <si>
    <t>艾奕康水字第1150004920號</t>
  </si>
  <si>
    <t>115/3/27</t>
  </si>
  <si>
    <t>水北多字第11522014750號</t>
  </si>
  <si>
    <t>鼎水資字第1150000395號</t>
  </si>
  <si>
    <t>艾奕康水字第1150006255號</t>
  </si>
  <si>
    <t>豐興鋼鐵</t>
  </si>
  <si>
    <t>S-SB72-056</t>
  </si>
  <si>
    <t>鍍鋅角鋼</t>
  </si>
  <si>
    <t>鼎水資字第1150000578號</t>
  </si>
  <si>
    <t>115/4/13</t>
  </si>
  <si>
    <t>S-SD18-014</t>
  </si>
  <si>
    <t>鼎水資字第1150000394號</t>
  </si>
  <si>
    <t>成大永續所</t>
  </si>
  <si>
    <t>艾奕康水字第1150007701號</t>
  </si>
  <si>
    <t>水北多字第11522019380號</t>
  </si>
  <si>
    <t>115/4/21</t>
  </si>
  <si>
    <t>18</t>
  </si>
  <si>
    <t>材料試驗室單位-今塘</t>
  </si>
  <si>
    <t>材料試驗室單位-日鼎</t>
  </si>
  <si>
    <t>材料試驗室單位-SGS</t>
  </si>
  <si>
    <t>材料試驗室單位-光宜</t>
  </si>
  <si>
    <t>材料試驗室單位-遠翔</t>
  </si>
  <si>
    <t>料試驗室單位-華光</t>
  </si>
  <si>
    <t>材料試驗室單位-禾洋/遠宜</t>
  </si>
  <si>
    <t>材料試驗室單位-豐澤</t>
  </si>
  <si>
    <t>材料試驗室單位-鋼凝</t>
  </si>
  <si>
    <t>材料試驗室單位-正昌</t>
  </si>
  <si>
    <t>材料試驗室單位-富群</t>
  </si>
  <si>
    <t>材料試驗室單位-惠凱</t>
  </si>
  <si>
    <t>非破壞檢測-政鋼</t>
  </si>
  <si>
    <t>明研科技</t>
  </si>
  <si>
    <t>非破壞檢測-耀武</t>
  </si>
  <si>
    <t>享大科技</t>
  </si>
  <si>
    <t>北科大</t>
  </si>
  <si>
    <t>19</t>
  </si>
  <si>
    <t>20</t>
  </si>
  <si>
    <t>S-SD20-16</t>
  </si>
  <si>
    <t>S-SD21-17</t>
  </si>
  <si>
    <t>儒鴻</t>
  </si>
  <si>
    <t>統証</t>
  </si>
  <si>
    <t>115/4/22</t>
  </si>
  <si>
    <t>鼎水資字第1150000552號</t>
  </si>
  <si>
    <t>115/4/8</t>
  </si>
  <si>
    <t>艾奕康水字第1150008563號</t>
  </si>
  <si>
    <t>艾奕康水字第1150008632號</t>
  </si>
  <si>
    <t>艾奕康水字第1150008630號</t>
  </si>
  <si>
    <t>艾奕康水字第1150008568號</t>
  </si>
  <si>
    <t>艾奕康水字第1150008634號</t>
  </si>
  <si>
    <t>艾奕康水字第1150008633號</t>
  </si>
  <si>
    <t>艾奕康水字第1150008829號</t>
  </si>
  <si>
    <t>艾奕康水字第1150008834號</t>
  </si>
  <si>
    <t>艾奕康水字第1150008631號</t>
  </si>
  <si>
    <t>水北多字第11522019990號</t>
  </si>
  <si>
    <t>115/4/23</t>
  </si>
  <si>
    <t>艾奕康水字第1150007387號</t>
  </si>
  <si>
    <t>115/4/10</t>
  </si>
  <si>
    <t>水北多字第11522021570號</t>
  </si>
  <si>
    <t>水北多字第11522014360號</t>
  </si>
  <si>
    <t>鼎水資字第1150000672號</t>
  </si>
  <si>
    <t>鼎水資字第1150000656號</t>
  </si>
  <si>
    <t xml:space="preserve">M-01-MA-14-001 </t>
  </si>
  <si>
    <t>水北多字第11453037020號</t>
  </si>
  <si>
    <t>115/5/6</t>
  </si>
  <si>
    <t>北水多字第11522022870號</t>
  </si>
  <si>
    <t>115/5/5</t>
  </si>
  <si>
    <t>北水多字第11522022770號</t>
  </si>
  <si>
    <t>115/5/4</t>
  </si>
  <si>
    <t>艾奕康水字第1150009649號</t>
  </si>
  <si>
    <t>S-SB30-014</t>
  </si>
  <si>
    <t>FRP格柵及欄杆</t>
  </si>
  <si>
    <t>艾柏克科技</t>
  </si>
  <si>
    <t>S-SB52-036</t>
  </si>
  <si>
    <t>115/5/8</t>
  </si>
  <si>
    <t>水北多字第11522024010號</t>
  </si>
  <si>
    <t>115/5/7</t>
  </si>
  <si>
    <t>水北多字第11522022980號</t>
  </si>
  <si>
    <t>水北多字第11522008780號</t>
  </si>
  <si>
    <t>艾奕康水字第1150003748號</t>
    <phoneticPr fontId="3" type="noConversion"/>
  </si>
  <si>
    <t>艾奕康水字第1150003503號</t>
    <phoneticPr fontId="3" type="noConversion"/>
  </si>
  <si>
    <t>鼎水資字第1150000153號</t>
    <phoneticPr fontId="3" type="noConversion"/>
  </si>
  <si>
    <t>水北多字第11522022860號</t>
  </si>
  <si>
    <t>RO能源回收裝置機組 (PROTEC ARISAWA &amp; PRAMAR)</t>
  </si>
  <si>
    <t>S-SC538-538
(CTC-DC-000-SD-045)</t>
  </si>
  <si>
    <t>29+32+33</t>
  </si>
  <si>
    <t>鼎水資字第1150000241號</t>
    <phoneticPr fontId="3" type="noConversion"/>
  </si>
  <si>
    <t>艾奕康水字第1150001850號</t>
    <phoneticPr fontId="6" type="noConversion"/>
  </si>
  <si>
    <t>鼎水資字第1150000022號</t>
    <phoneticPr fontId="6" type="noConversion"/>
  </si>
  <si>
    <t>艾奕康水字第1140034566號</t>
    <phoneticPr fontId="6" type="noConversion"/>
  </si>
  <si>
    <t>鼎水資字第1140001457號</t>
    <phoneticPr fontId="6" type="noConversion"/>
  </si>
  <si>
    <t>LIME SLUDGE RECIRCULATION &amp; EXTRACTION PUMPS 石灰污泥輸送泵</t>
  </si>
  <si>
    <t>S-SC504-504
(CTC-DC-000-SD-009)</t>
  </si>
  <si>
    <t>SLUDGE EXTRACTION AND RECIRCULATION PUMPS 污泥濃縮槽循環及外排泵</t>
  </si>
  <si>
    <t>鼎水資字第1150000666號</t>
  </si>
  <si>
    <t>第11315F章
臥式離心泵(2)</t>
  </si>
  <si>
    <t>SECOND PASS PUMPS 二級RO泵</t>
  </si>
  <si>
    <t>SEADAF PRESSURIZATION PUMPS 增壓泵</t>
  </si>
  <si>
    <t>沉沙泵</t>
    <phoneticPr fontId="6" type="noConversion"/>
  </si>
  <si>
    <t>水北多字第11522001960號</t>
  </si>
  <si>
    <t>艾奕康水字第1140036517號</t>
    <phoneticPr fontId="6" type="noConversion"/>
  </si>
  <si>
    <t>艾奕康水字第1140036197號</t>
    <phoneticPr fontId="6" type="noConversion"/>
  </si>
  <si>
    <t>鼎水資字第1140001558號</t>
    <phoneticPr fontId="6" type="noConversion"/>
  </si>
  <si>
    <t>HDPE地下排水管材料送審與供料商-雄宇</t>
    <phoneticPr fontId="6" type="noConversion"/>
  </si>
  <si>
    <t>艾奕康水字第1150007414號</t>
  </si>
  <si>
    <t>鼎水資字第1150000340號</t>
    <phoneticPr fontId="3" type="noConversion"/>
  </si>
  <si>
    <t xml:space="preserve">S-SC528-528
(CTC-DC-000-SD-035) </t>
  </si>
  <si>
    <t>第14611章
起重機械</t>
  </si>
  <si>
    <t>起重機械 (三園立SAN YUAN)</t>
  </si>
  <si>
    <t>配水池泵站吊車 PRODUCT WATER PUMPING ROOM HOIST
污泥脫水機房吊車 SLUDGE THICKENER AREA HOIST</t>
  </si>
  <si>
    <t>S-SC527-527
(CTC-DC-000-SD-034)</t>
  </si>
  <si>
    <t>鼎水資字第1150000714號</t>
  </si>
  <si>
    <t>S-SC46-046</t>
  </si>
  <si>
    <t>鼎水資字第1150000283號</t>
    <phoneticPr fontId="3" type="noConversion"/>
  </si>
  <si>
    <t>起重機械 (台灣科尼KONECRANES)</t>
  </si>
  <si>
    <t>雙介質過濾器泵站天車 DMPF PUMPING BUILDING CRANE
保安過濾器移動式天車 CARTIDGE FILTERS CRANE
RO 廠房區移動式天車 RO BUILDING CRANE</t>
  </si>
  <si>
    <t xml:space="preserve">S-SC526-526
(CTC-DC-000-SD-033) </t>
  </si>
  <si>
    <t>艾奕康水字第1150008570號</t>
  </si>
  <si>
    <t>RO膜系統 (LG CHEM)</t>
  </si>
  <si>
    <t>RO MEMBRANES 
RO膜</t>
  </si>
  <si>
    <t>鼎水資字第1150000244號</t>
    <phoneticPr fontId="3" type="noConversion"/>
  </si>
  <si>
    <t>S-SC508-508
(CTC-DC-000-SD-016)</t>
  </si>
  <si>
    <t>鼎水資字第1150000243號</t>
    <phoneticPr fontId="3" type="noConversion"/>
  </si>
  <si>
    <t>清管器 (PIGTEK)</t>
  </si>
  <si>
    <t>S-SC507-507
(CTC-DC-000-SD-015)</t>
  </si>
  <si>
    <t>鼎水資字第1150000245號</t>
    <phoneticPr fontId="3" type="noConversion"/>
  </si>
  <si>
    <t>艾奕康水字第1140035498號</t>
    <phoneticPr fontId="6" type="noConversion"/>
  </si>
  <si>
    <t>補正後同意</t>
    <phoneticPr fontId="6" type="noConversion"/>
  </si>
  <si>
    <t>艾奕康水字第1140034454號</t>
    <phoneticPr fontId="6" type="noConversion"/>
  </si>
  <si>
    <t>水北多字第11522022880號</t>
  </si>
  <si>
    <t>艾奕康水字第1140022343號</t>
    <phoneticPr fontId="3" type="noConversion"/>
  </si>
  <si>
    <t>鼎水資字第1140000704號</t>
    <phoneticPr fontId="3" type="noConversion"/>
  </si>
  <si>
    <t>能源回收裝置 (Energy Recovery Inc)</t>
  </si>
  <si>
    <t>ENERGY RECOVERY DEVICE</t>
  </si>
  <si>
    <t>S-SC506-506
(CTC-DC-000-SD-001)</t>
  </si>
  <si>
    <t>鼎水資字第1150000285號</t>
    <phoneticPr fontId="3" type="noConversion"/>
  </si>
  <si>
    <t>檢退-限12/19</t>
    <phoneticPr fontId="3" type="noConversion"/>
  </si>
  <si>
    <t>艾奕康水字第1140033048號</t>
    <phoneticPr fontId="6" type="noConversion"/>
  </si>
  <si>
    <t>鼎水資字第1140001350號</t>
    <phoneticPr fontId="6" type="noConversion"/>
  </si>
  <si>
    <t>艾奕康水字第1140028474號</t>
    <phoneticPr fontId="6" type="noConversion"/>
  </si>
  <si>
    <t>鼎水資字第1140001057號</t>
    <phoneticPr fontId="6" type="noConversion"/>
  </si>
  <si>
    <t>靜態混和器 (FLUYTEC)</t>
  </si>
  <si>
    <t>雙介質過濾器進流靜態混和器 SEA DAF STATIC MIXER
一級海淡 RO 進流靜態混和器 CARTRIDGE FILTERS STATIC MIXER
二級海淡 RO 進流靜態混和器 RO STATIC MIXER
二氧化碳飽和水靜態混和器 PRODUCT WATER TANK STATIC MIXER
石灰飽和水靜態混和器 PRODUCT WATER TANK STATIC MIXER 2
次氯酸鈉靜態混和器 PRODUCT WATER TANK STATIC MIXER 3
廢水排放池靜態混和器 EFFLUENT TANK STATIC MIXER</t>
  </si>
  <si>
    <t xml:space="preserve">S-SC540-540
(CTC-DC-000-SD-003) </t>
  </si>
  <si>
    <t>鼎水資字第1150000265號</t>
    <phoneticPr fontId="3" type="noConversion"/>
  </si>
  <si>
    <t>魯式鼓風機(MAPNER)</t>
  </si>
  <si>
    <t>DMPF BACKWASH BLOWERS
雙介質過濾器反洗鼓風機</t>
  </si>
  <si>
    <t xml:space="preserve"> S-SC525-525
(CTC-DC-000-SD-032) </t>
  </si>
  <si>
    <t>石灰飽和系統 (PRAMAR)-刮泥機</t>
  </si>
  <si>
    <t>LIME SATURATOR - TURBINE</t>
  </si>
  <si>
    <t xml:space="preserve">S-SC535-535
(CTC-DC-000-SD-042) </t>
  </si>
  <si>
    <t>鼎水資字第1150000713號</t>
  </si>
  <si>
    <t>S-SC45-045</t>
  </si>
  <si>
    <t>水北多字第11522022720號</t>
  </si>
  <si>
    <t>艾奕康水字第1150008564號</t>
  </si>
  <si>
    <t>LIME SATURATOR- LAMELLA PLATES</t>
  </si>
  <si>
    <t xml:space="preserve"> S-SC536-536
(CTC-DC-000-SD-043) </t>
  </si>
  <si>
    <t>艾奕康水字第1150006253號</t>
  </si>
  <si>
    <t>鼎水資字第1150000332號</t>
    <phoneticPr fontId="3" type="noConversion"/>
  </si>
  <si>
    <t>LIME SATURATOR - FLOCULATION MIXER</t>
  </si>
  <si>
    <t xml:space="preserve"> S-SC534-534
(CTC-DC-000-SD-041)</t>
  </si>
  <si>
    <t>鼎水資字第1150000331號</t>
    <phoneticPr fontId="3" type="noConversion"/>
  </si>
  <si>
    <t xml:space="preserve">S-SC533-533
(CTC-DC-000-SD-040) </t>
  </si>
  <si>
    <t>S-SC44-044</t>
  </si>
  <si>
    <t>水北多字第11522022820號</t>
  </si>
  <si>
    <t>艾奕康水字第1150008562號</t>
  </si>
  <si>
    <t>鼎水資字第1150000330號</t>
    <phoneticPr fontId="3" type="noConversion"/>
  </si>
  <si>
    <t>THICKENER DENSADEG - LAMELLA PLATES</t>
  </si>
  <si>
    <t xml:space="preserve">S-SC532-532
(CTC-DC-000-SD-039) </t>
  </si>
  <si>
    <t>艾奕康水字第1150007350號</t>
  </si>
  <si>
    <t>THICKENER  DENSADEG - TURBINE</t>
  </si>
  <si>
    <t>S-SC531-531
(CTC-DC-000-SD-038)</t>
  </si>
  <si>
    <t>艾奕康水字第1150007411號</t>
  </si>
  <si>
    <t>污泥濃縮系統(G&amp;G Ingenieros) -污泥濃縮系統攪拌機</t>
    <phoneticPr fontId="6" type="noConversion"/>
  </si>
  <si>
    <t>THICKENER  DENSADEG  - FLOCULATION MIXER</t>
  </si>
  <si>
    <t xml:space="preserve">S-SC530-530
(CTC-DC-000-SD-037) </t>
  </si>
  <si>
    <t>鼎水資字第1150000325號</t>
    <phoneticPr fontId="3" type="noConversion"/>
  </si>
  <si>
    <t xml:space="preserve"> S-SC529-529
(CTC-DC-000-SD-036) </t>
  </si>
  <si>
    <t>鼎水資字第1150000242號</t>
    <phoneticPr fontId="3" type="noConversion"/>
  </si>
  <si>
    <t>艾奕康水字第1150002220號</t>
    <phoneticPr fontId="6" type="noConversion"/>
  </si>
  <si>
    <t>鼎水資字第1150000073號</t>
    <phoneticPr fontId="6" type="noConversion"/>
  </si>
  <si>
    <t>艾奕康水字第1140034568號</t>
    <phoneticPr fontId="6" type="noConversion"/>
  </si>
  <si>
    <t>鼎水資字第1140001455號</t>
    <phoneticPr fontId="6" type="noConversion"/>
  </si>
  <si>
    <t>第11363章
離心式污泥脫水機</t>
  </si>
  <si>
    <t>離心式污泥脫水機</t>
  </si>
  <si>
    <t>S-SC505-505
(CTC-DC-000-SD-007)</t>
  </si>
  <si>
    <t>第11362章
二氧化碳儲存和投加系統</t>
  </si>
  <si>
    <t>二氧化碳儲存和投加系統</t>
  </si>
  <si>
    <t xml:space="preserve">水北多字第11522022990號 </t>
  </si>
  <si>
    <t>鼎水資字第1150000339號</t>
    <phoneticPr fontId="3" type="noConversion"/>
  </si>
  <si>
    <t>第11356章
石灰乳製備系統</t>
  </si>
  <si>
    <t>LIME SILO 石灰料倉
LIME MILK PREPARATION TANK 石灰乳製備槽</t>
  </si>
  <si>
    <t>S-SC523-523
(CTC-DC-000-SD-030)</t>
  </si>
  <si>
    <t>水北多字第11522022850號</t>
  </si>
  <si>
    <t>艾奕康水字第1150007412號</t>
  </si>
  <si>
    <t>第11355章
高分子絮凝劑製備單元</t>
  </si>
  <si>
    <t>高分子絮凝劑製備單元(SERA) -
污泥濃縮槽高分子絮凝劑自動泡藥設備
脫水機高分子絮凝劑自動泡藥設備
石灰飽和高分子絮凝劑自動泡藥設備</t>
  </si>
  <si>
    <t xml:space="preserve">S-SC522-522
(CTC-DC-000-SD-029) </t>
  </si>
  <si>
    <t>57+58</t>
  </si>
  <si>
    <t>鼎水資字第1150000284號</t>
    <phoneticPr fontId="3" type="noConversion"/>
  </si>
  <si>
    <t xml:space="preserve">氣浮池溶氣槽(TREPOVI) </t>
  </si>
  <si>
    <t>SEADAF PRESSURIZATION VESSELS 氣浮池溶氣槽</t>
  </si>
  <si>
    <t xml:space="preserve">S-SC521-521
(CTC-DC-000-SD-028) </t>
  </si>
  <si>
    <t>鼎水資字第1150000264號</t>
    <phoneticPr fontId="3" type="noConversion"/>
  </si>
  <si>
    <t>水北多字第11522005070號</t>
    <phoneticPr fontId="3" type="noConversion"/>
  </si>
  <si>
    <t>艾奕康水字第1150001705號</t>
    <phoneticPr fontId="6" type="noConversion"/>
  </si>
  <si>
    <t>艾奕康水字第1140036044號</t>
    <phoneticPr fontId="6" type="noConversion"/>
  </si>
  <si>
    <t>鼎水資字第1140001549號</t>
    <phoneticPr fontId="6" type="noConversion"/>
  </si>
  <si>
    <t>水北多字第11553046260號</t>
  </si>
  <si>
    <t>艾奕康水字第1150008566號</t>
  </si>
  <si>
    <t>艾奕康水字第1140033595號</t>
    <phoneticPr fontId="6" type="noConversion"/>
  </si>
  <si>
    <t>鼎水資字第1140001397號</t>
    <phoneticPr fontId="6" type="noConversion"/>
  </si>
  <si>
    <t xml:space="preserve">細篩機(QUILTON) </t>
  </si>
  <si>
    <t>FINE SCREENS 細篩機</t>
  </si>
  <si>
    <t xml:space="preserve">S-SC542-542
(CTC-DC-000-SD-005) </t>
  </si>
  <si>
    <t>THICKENED SLUDGE PUMPS 濃縮污泥泵</t>
  </si>
  <si>
    <t>鼎水資字第1150000302號</t>
    <phoneticPr fontId="3" type="noConversion"/>
  </si>
  <si>
    <t>PRODUCT WATER PUMPS</t>
  </si>
  <si>
    <t xml:space="preserve">S-SC519-519
(CTC-DC-000-SD-026) </t>
  </si>
  <si>
    <t>配水池泵水錘吸收器 (CHARLATTE)</t>
  </si>
  <si>
    <t>PRODUCT WATER PUMP SURGE VESSELS</t>
  </si>
  <si>
    <t xml:space="preserve">S-SC520-520
(CTC-DC-000-SD-027) </t>
  </si>
  <si>
    <t>SEADAF PRESSURIZATION PUMPS 氣浮增壓泵</t>
  </si>
  <si>
    <t>S-SC25-025
(CTC-DC-000-SD-002)</t>
  </si>
  <si>
    <t>NEUTRALIZATION PUMPS 中和水泵
THICKENERS INLET EFFLUENT PUMP 污泥濃縮池進水泵</t>
  </si>
  <si>
    <t xml:space="preserve">S-SC518-518
(CTC-DC-000-SD-025) </t>
  </si>
  <si>
    <t>52+56</t>
  </si>
  <si>
    <t>艾奕康水字第1150004069號</t>
  </si>
  <si>
    <t>第 11315D
高壓泵</t>
  </si>
  <si>
    <t>高壓泵 (ANDRITZ)</t>
  </si>
  <si>
    <t>S-SC23-023
(CTC-DC-000-SD-010)</t>
  </si>
  <si>
    <t>第11315C章
沉水式泵浦</t>
  </si>
  <si>
    <t>SEAWATER INTAKE PUMPS 海水取水泵</t>
  </si>
  <si>
    <t>S-SC503-503
(CTC-DC-000-SD-013)</t>
  </si>
  <si>
    <t>HPP MOTOR COOLING PUMP</t>
  </si>
  <si>
    <t xml:space="preserve">S-SC517-517
(CTC-DC-000-SD-024) </t>
  </si>
  <si>
    <t xml:space="preserve"> </t>
  </si>
  <si>
    <t xml:space="preserve">S-SC516-516
(CTC-DC-000-SD-023) </t>
  </si>
  <si>
    <t>LIME SATURATOR FEED PUMPS 石灰飽和器供水泵
LIME SATURATED PUMPS 石灰飽和水泵</t>
  </si>
  <si>
    <t xml:space="preserve">S-SC515-515
(CTC-DC-000-SD-022) </t>
  </si>
  <si>
    <t>64+70</t>
  </si>
  <si>
    <t>鼎水資字第1150000740號</t>
  </si>
  <si>
    <t>S-SC47-047</t>
  </si>
  <si>
    <t>艾奕康水字第1150003757號</t>
    <phoneticPr fontId="3" type="noConversion"/>
  </si>
  <si>
    <t>艾奕康水字第1150003239號</t>
    <phoneticPr fontId="3" type="noConversion"/>
  </si>
  <si>
    <t>第11315A章
臥式離心泵(1)</t>
  </si>
  <si>
    <t>CIP &amp; FLUSHING PUMPS - FIRST PASS &amp; Second Pass
一級+二級海淡 CIP &amp; 沖洗泵</t>
  </si>
  <si>
    <t>S-SC24-024 
(CTC-DC-000-SD-011)</t>
  </si>
  <si>
    <t>40+41</t>
  </si>
  <si>
    <t>艾奕康水字第1150002272號</t>
    <phoneticPr fontId="6" type="noConversion"/>
  </si>
  <si>
    <t>艾奕康水字第1140035464號</t>
    <phoneticPr fontId="6" type="noConversion"/>
  </si>
  <si>
    <t>鼎水資字第1140001508號</t>
    <phoneticPr fontId="6" type="noConversion"/>
  </si>
  <si>
    <t>水北多字第11522022760號</t>
  </si>
  <si>
    <t xml:space="preserve">S-SC543-543
(CTC-DC-000-SD-006) </t>
  </si>
  <si>
    <t>飲用水及廠用水機組 (BOMBAS IDEAL)</t>
  </si>
  <si>
    <t>POTABLE WATER GROUP Pump
Service Water Group Pump</t>
  </si>
  <si>
    <t xml:space="preserve">S-SC514-514
(CTC-DC-000-SD-021) </t>
  </si>
  <si>
    <t>73+75</t>
  </si>
  <si>
    <t>鼎水資字第1150000280號</t>
    <phoneticPr fontId="3" type="noConversion"/>
  </si>
  <si>
    <t xml:space="preserve"> S-SC513-513
(CTC-DC-000-SD-020)</t>
  </si>
  <si>
    <t>水北多字第11522022660號</t>
  </si>
  <si>
    <t>水錘吸收器 (CHARLATTE) -雙介質過濾器水錘吸收器</t>
    <phoneticPr fontId="6" type="noConversion"/>
  </si>
  <si>
    <t>S-SC512-512
(CTC-DC-000-SD-019)</t>
  </si>
  <si>
    <t>艾奕康水字第1150008626號</t>
  </si>
  <si>
    <t>艾奕康水字第1140036272號</t>
    <phoneticPr fontId="6" type="noConversion"/>
  </si>
  <si>
    <t>艾奕康水字第1140034567號</t>
    <phoneticPr fontId="6" type="noConversion"/>
  </si>
  <si>
    <t>鼎水資字第1140001456</t>
    <phoneticPr fontId="6" type="noConversion"/>
  </si>
  <si>
    <t>保安過濾器(PIEDMONT)</t>
    <phoneticPr fontId="3" type="noConversion"/>
  </si>
  <si>
    <t>S-SC544-544
(CTC-DC-000-SD-008)</t>
  </si>
  <si>
    <t>DMPF BACKWASH PUMPS 雙介質過濾器反洗水泵</t>
  </si>
  <si>
    <t>DMPF FEED PUMPS 雙介質過濾器進水泵</t>
  </si>
  <si>
    <t>水北多字第11522023100號</t>
  </si>
  <si>
    <t>S-SC502-502 
(CTC-DC-000-SD-012)</t>
  </si>
  <si>
    <t>SEADAF WEIR PENSTOCK</t>
  </si>
  <si>
    <t>匣門(Jash)---
取水站進流
放流池隔離
細篩機進流
細篩機出流
混凝池進流
氣浮池出流水池連通
配水池進流
配水池出流
廢水排放池進流
氣浮池出流控制堰</t>
  </si>
  <si>
    <t xml:space="preserve">S-SC511-511
(CTC-DC-000-SD-018) </t>
  </si>
  <si>
    <t>DOSING PUMPS PANELS-POLYMER PREPARATION UNITS FOR THICKENER SLUDGE</t>
  </si>
  <si>
    <t xml:space="preserve">S-SC510-510
(CTC-DC-000-SD-017) </t>
  </si>
  <si>
    <t>DOSING PUMPS PANELS-POLYMER PREPARATION UNITS FOR LIME SATURATORS</t>
  </si>
  <si>
    <t>加藥設備(SERA)-
氣浮池氯化鐵
雙介質過濾器氯化鐵
污泥濃縮槽氯化鐵
氣浮池助凝劑
雙介質過濾器助凝劑
二級海淡 RO 氫氧化鈉
CIP氫氧化鈉
中和池氫氧化鈉
次氯酸鈉
一級海淡 RO 抑垢劑
二級海淡RO 抑垢劑
脫水機 POLYMER</t>
  </si>
  <si>
    <t>DOSING PUMPS PANELS</t>
  </si>
  <si>
    <t>水北多字第11522019360號</t>
  </si>
  <si>
    <t>S-SC39-039</t>
  </si>
  <si>
    <t>艾奕康水字第1140033597號</t>
    <phoneticPr fontId="6" type="noConversion"/>
  </si>
  <si>
    <t>鼎水資字第1140001401號</t>
    <phoneticPr fontId="6" type="noConversion"/>
  </si>
  <si>
    <t>第11221章
攪拌器</t>
  </si>
  <si>
    <t>濃縮污泥池攪拌器 THICKENED SLUDGE TANK MIXER</t>
  </si>
  <si>
    <t xml:space="preserve">S-SC541-541
(CTC-DC-000-SD-004) </t>
  </si>
  <si>
    <t>水北多字第11522022840號</t>
  </si>
  <si>
    <t>攪拌器 COAGULATION MIXER</t>
  </si>
  <si>
    <t>鼎水資字第1150000730號</t>
  </si>
  <si>
    <t xml:space="preserve"> GRP管線(Future Pipe Industries)</t>
  </si>
  <si>
    <t xml:space="preserve">S-SC501-501
(CTC-DC-000-SD-501) </t>
  </si>
  <si>
    <t>126+141</t>
  </si>
  <si>
    <t>審查情形 (設備型錄圖說 stage3, if applicable)</t>
  </si>
  <si>
    <t>審查情形 (廠商資格 stage2)</t>
  </si>
  <si>
    <t>設備名稱 (PCC 文件)</t>
  </si>
  <si>
    <t>設備名稱</t>
  </si>
  <si>
    <t>文件編碼</t>
  </si>
  <si>
    <t>廠商製作修正中</t>
    <phoneticPr fontId="3" type="noConversion"/>
  </si>
  <si>
    <t>第13100章</t>
    <phoneticPr fontId="3" type="noConversion"/>
  </si>
  <si>
    <t>Internet</t>
    <phoneticPr fontId="3" type="noConversion"/>
  </si>
  <si>
    <t>電話設備</t>
    <phoneticPr fontId="6" type="noConversion"/>
  </si>
  <si>
    <t>Telephone</t>
    <phoneticPr fontId="3" type="noConversion"/>
  </si>
  <si>
    <t>IN LINE HEATING RESISTANCES</t>
    <phoneticPr fontId="3" type="noConversion"/>
  </si>
  <si>
    <t>開關及插座設備</t>
    <phoneticPr fontId="6" type="noConversion"/>
  </si>
  <si>
    <t>Switch and socket equipment</t>
    <phoneticPr fontId="3" type="noConversion"/>
  </si>
  <si>
    <t>第16120章電線及電纜</t>
    <phoneticPr fontId="3" type="noConversion"/>
  </si>
  <si>
    <t>光纖電纜</t>
    <phoneticPr fontId="6" type="noConversion"/>
  </si>
  <si>
    <t>Optical Fiber Cable</t>
    <phoneticPr fontId="3" type="noConversion"/>
  </si>
  <si>
    <t>第16123章控制用電線及電纜</t>
    <phoneticPr fontId="3" type="noConversion"/>
  </si>
  <si>
    <t>控制電纜</t>
    <phoneticPr fontId="6" type="noConversion"/>
  </si>
  <si>
    <t>Control Cable</t>
    <phoneticPr fontId="3" type="noConversion"/>
  </si>
  <si>
    <t>第13802章電力監視及控制設備</t>
    <phoneticPr fontId="3" type="noConversion"/>
  </si>
  <si>
    <t>儀控設備控制盤</t>
    <phoneticPr fontId="6" type="noConversion"/>
  </si>
  <si>
    <t>Instrument control panel equipment</t>
    <phoneticPr fontId="3" type="noConversion"/>
  </si>
  <si>
    <t>分離式空調機組</t>
    <phoneticPr fontId="6" type="noConversion"/>
  </si>
  <si>
    <t>Split-type air conditioning units</t>
    <phoneticPr fontId="3" type="noConversion"/>
  </si>
  <si>
    <t>緊急照明燈</t>
    <phoneticPr fontId="6" type="noConversion"/>
  </si>
  <si>
    <t>Emergency lighting lamps</t>
    <phoneticPr fontId="3" type="noConversion"/>
  </si>
  <si>
    <t>照明燈具</t>
    <phoneticPr fontId="6" type="noConversion"/>
  </si>
  <si>
    <t>Lighting fixtures</t>
    <phoneticPr fontId="3" type="noConversion"/>
  </si>
  <si>
    <t>圖控軟體</t>
    <phoneticPr fontId="6" type="noConversion"/>
  </si>
  <si>
    <t>SCADA software</t>
    <phoneticPr fontId="3" type="noConversion"/>
  </si>
  <si>
    <t>PLC main control panel</t>
    <phoneticPr fontId="3" type="noConversion"/>
  </si>
  <si>
    <t>鼎水資字第1150000646號</t>
    <phoneticPr fontId="6" type="noConversion"/>
  </si>
  <si>
    <t>115/4/21</t>
    <phoneticPr fontId="6" type="noConversion"/>
  </si>
  <si>
    <t>艾奕康水字第1150006321號</t>
    <phoneticPr fontId="3" type="noConversion"/>
  </si>
  <si>
    <t>鼎水資字第1150000441號</t>
    <phoneticPr fontId="6" type="noConversion"/>
  </si>
  <si>
    <t>115/3/16</t>
    <phoneticPr fontId="6" type="noConversion"/>
  </si>
  <si>
    <t xml:space="preserve">第16274章--高壓模鑄式變壓器
第16460章--低壓乾式變壓器 </t>
    <phoneticPr fontId="3" type="noConversion"/>
  </si>
  <si>
    <t>S-SC309-309</t>
    <phoneticPr fontId="3" type="noConversion"/>
  </si>
  <si>
    <t>宏于 hor</t>
    <phoneticPr fontId="3" type="noConversion"/>
  </si>
  <si>
    <t>LOW VOLTAGE MOTOR CONTROL CENTER (MCC)</t>
    <phoneticPr fontId="3" type="noConversion"/>
  </si>
  <si>
    <t>S-SC312-312</t>
    <phoneticPr fontId="3" type="noConversion"/>
  </si>
  <si>
    <t>鼎水資字第1150000644號</t>
    <phoneticPr fontId="6" type="noConversion"/>
  </si>
  <si>
    <t>艾奕康水字第1150006323號</t>
    <phoneticPr fontId="3" type="noConversion"/>
  </si>
  <si>
    <t>鼎水資字第1150000439號</t>
    <phoneticPr fontId="6" type="noConversion"/>
  </si>
  <si>
    <t>鼎水資字第1150000645號</t>
    <phoneticPr fontId="6" type="noConversion"/>
  </si>
  <si>
    <t>艾奕康水字第1150006320號</t>
    <phoneticPr fontId="3" type="noConversion"/>
  </si>
  <si>
    <t>鼎水資字第1150000440號</t>
    <phoneticPr fontId="6" type="noConversion"/>
  </si>
  <si>
    <t>東元 鄭龍誠</t>
    <phoneticPr fontId="3" type="noConversion"/>
  </si>
  <si>
    <t>S-SC311-311</t>
    <phoneticPr fontId="3" type="noConversion"/>
  </si>
  <si>
    <t>鼎水資字第1150000312號</t>
    <phoneticPr fontId="6" type="noConversion"/>
  </si>
  <si>
    <t>115/2/24</t>
    <phoneticPr fontId="6" type="noConversion"/>
  </si>
  <si>
    <t>尚缺與施工規範第16401章低
壓配電盤相關規定對照表</t>
    <phoneticPr fontId="3" type="noConversion"/>
  </si>
  <si>
    <t>水北多字第11553046170</t>
    <phoneticPr fontId="3" type="noConversion"/>
  </si>
  <si>
    <t>115/4/24</t>
    <phoneticPr fontId="3" type="noConversion"/>
  </si>
  <si>
    <t>第16322章--69kV SF6氣體絕緣開關設備</t>
    <phoneticPr fontId="3" type="noConversion"/>
  </si>
  <si>
    <t>艾奕康水字第1150008802號</t>
    <phoneticPr fontId="3" type="noConversion"/>
  </si>
  <si>
    <t>北水提出8點意見</t>
    <phoneticPr fontId="3" type="noConversion"/>
  </si>
  <si>
    <t>水北多字第11553046150號</t>
    <phoneticPr fontId="3" type="noConversion"/>
  </si>
  <si>
    <t>115/4/22</t>
    <phoneticPr fontId="3" type="noConversion"/>
  </si>
  <si>
    <t>水北多字第11553046190</t>
    <phoneticPr fontId="3" type="noConversion"/>
  </si>
  <si>
    <t>ABB艾波比</t>
    <phoneticPr fontId="3" type="noConversion"/>
  </si>
  <si>
    <t>低壓變頻器</t>
    <phoneticPr fontId="3" type="noConversion"/>
  </si>
  <si>
    <t>LV VFD'S</t>
    <phoneticPr fontId="7" type="noConversion"/>
  </si>
  <si>
    <t>S-SC308-308</t>
    <phoneticPr fontId="3" type="noConversion"/>
  </si>
  <si>
    <t>303(與PN-308-309合併)</t>
    <phoneticPr fontId="3" type="noConversion"/>
  </si>
  <si>
    <t>中壓變頻器</t>
    <phoneticPr fontId="3" type="noConversion"/>
  </si>
  <si>
    <t>S-SC307-307</t>
    <phoneticPr fontId="3" type="noConversion"/>
  </si>
  <si>
    <t>鼎水資字第1150000685號</t>
    <phoneticPr fontId="6" type="noConversion"/>
  </si>
  <si>
    <t>UPS不斷電系統</t>
    <phoneticPr fontId="3" type="noConversion"/>
  </si>
  <si>
    <t>S-SC304-304</t>
    <phoneticPr fontId="3" type="noConversion"/>
  </si>
  <si>
    <t>艾奕康水字第1150001943號</t>
    <phoneticPr fontId="6" type="noConversion"/>
  </si>
  <si>
    <t>鼎水資字第1150000051號</t>
    <phoneticPr fontId="6" type="noConversion"/>
  </si>
  <si>
    <t>東元 留銘陽</t>
    <phoneticPr fontId="3" type="noConversion"/>
  </si>
  <si>
    <t>S-SC306-306-2</t>
    <phoneticPr fontId="3" type="noConversion"/>
  </si>
  <si>
    <t>鼎水資字第1150000686號</t>
    <phoneticPr fontId="3" type="noConversion"/>
  </si>
  <si>
    <t>低壓緊急發電機
LOW VOLTAGE GENSET(900kW)</t>
    <phoneticPr fontId="3" type="noConversion"/>
  </si>
  <si>
    <t>M0029</t>
    <phoneticPr fontId="3" type="noConversion"/>
  </si>
  <si>
    <t>艾奕康水字第1150006296號</t>
    <phoneticPr fontId="6" type="noConversion"/>
  </si>
  <si>
    <t>鼎水資字第1150000366號</t>
    <phoneticPr fontId="3" type="noConversion"/>
  </si>
  <si>
    <t>115/3/2</t>
    <phoneticPr fontId="3" type="noConversion"/>
  </si>
  <si>
    <t>水北多字第11522017340號</t>
    <phoneticPr fontId="6" type="noConversion"/>
  </si>
  <si>
    <t>艾奕康水字第1150003512號</t>
    <phoneticPr fontId="3" type="noConversion"/>
  </si>
  <si>
    <t>鼎水資字第1150000160號</t>
    <phoneticPr fontId="3" type="noConversion"/>
  </si>
  <si>
    <t>艾奕康水字第1150001305號</t>
    <phoneticPr fontId="6" type="noConversion"/>
  </si>
  <si>
    <t>艾奕康水字第1140036282號</t>
    <phoneticPr fontId="6" type="noConversion"/>
  </si>
  <si>
    <t>鼎水資字第1140001569號</t>
    <phoneticPr fontId="6" type="noConversion"/>
  </si>
  <si>
    <t>艾奕康水字第1150005905號</t>
    <phoneticPr fontId="3" type="noConversion"/>
  </si>
  <si>
    <t>115/3/24</t>
    <phoneticPr fontId="3" type="noConversion"/>
  </si>
  <si>
    <t>新增一項</t>
    <phoneticPr fontId="3" type="noConversion"/>
  </si>
  <si>
    <t>樺榮 15kv 8kv XLPE</t>
    <phoneticPr fontId="3" type="noConversion"/>
  </si>
  <si>
    <t>伸泰STE</t>
    <phoneticPr fontId="3" type="noConversion"/>
  </si>
  <si>
    <t>第16120章
電線與電纜</t>
    <phoneticPr fontId="3" type="noConversion"/>
  </si>
  <si>
    <t>電力系統電線及電纜</t>
    <phoneticPr fontId="3" type="noConversion"/>
  </si>
  <si>
    <t>M0017</t>
    <phoneticPr fontId="3" type="noConversion"/>
  </si>
  <si>
    <t>樺榮HUS</t>
    <phoneticPr fontId="3" type="noConversion"/>
  </si>
  <si>
    <t>S-SC310-310</t>
    <phoneticPr fontId="3" type="noConversion"/>
  </si>
  <si>
    <t>M0016</t>
    <phoneticPr fontId="3" type="noConversion"/>
  </si>
  <si>
    <t>葉綠素分析儀</t>
    <phoneticPr fontId="3" type="noConversion"/>
  </si>
  <si>
    <t>實驗室設備</t>
    <phoneticPr fontId="6" type="noConversion"/>
  </si>
  <si>
    <t>ON Shore PO</t>
    <phoneticPr fontId="3" type="noConversion"/>
  </si>
  <si>
    <t>115/09/30</t>
  </si>
  <si>
    <t>115/07/30</t>
  </si>
  <si>
    <t>115/08/31</t>
  </si>
  <si>
    <t>鋁障板+輕鋼架天花板</t>
  </si>
  <si>
    <t>天花/架構</t>
  </si>
  <si>
    <t>第 09581 章
輕型鋼架天花板</t>
  </si>
  <si>
    <t>鋁障板</t>
  </si>
  <si>
    <t>B-002089-NEW-AR-911-DG-034 天花板大樣詳圖一</t>
  </si>
  <si>
    <t>空縫鋁板天花板</t>
  </si>
  <si>
    <t>B-002089-NEW-AR-911-DG-036 天花板大樣詳圖三</t>
  </si>
  <si>
    <t>鋼承鈑</t>
  </si>
  <si>
    <t>B-002089-CTC-CW-000-DG-023</t>
  </si>
  <si>
    <t>石膏天花板</t>
  </si>
  <si>
    <t>礦纖板</t>
  </si>
  <si>
    <t>B-002089-NEW-AR-911-DG-035 天花板大樣詳圖二</t>
  </si>
  <si>
    <t>金屬彩鋼板</t>
  </si>
  <si>
    <t>B-002089-NEW-AR-000-DL-009 建築標準圖(9)-金屬屋面板</t>
  </si>
  <si>
    <t>鎖王系統</t>
  </si>
  <si>
    <t>其他</t>
  </si>
  <si>
    <r>
      <t>二氧化碳儲罐CO</t>
    </r>
    <r>
      <rPr>
        <b/>
        <vertAlign val="subscript"/>
        <sz val="14"/>
        <rFont val="微軟正黑體"/>
        <family val="2"/>
        <charset val="136"/>
      </rPr>
      <t>2</t>
    </r>
    <r>
      <rPr>
        <b/>
        <sz val="14"/>
        <rFont val="微軟正黑體"/>
        <family val="2"/>
      </rPr>
      <t xml:space="preserve"> STORAGE TANK
二氧化碳蒸發器CO</t>
    </r>
    <r>
      <rPr>
        <b/>
        <vertAlign val="subscript"/>
        <sz val="14"/>
        <rFont val="微軟正黑體"/>
        <family val="2"/>
        <charset val="136"/>
      </rPr>
      <t>2</t>
    </r>
    <r>
      <rPr>
        <b/>
        <sz val="14"/>
        <rFont val="微軟正黑體"/>
        <family val="2"/>
      </rPr>
      <t xml:space="preserve"> EVAPORATORS SYSTEM
二氧化碳投加單元CO</t>
    </r>
    <r>
      <rPr>
        <b/>
        <vertAlign val="subscript"/>
        <sz val="14"/>
        <rFont val="微軟正黑體"/>
        <family val="2"/>
        <charset val="136"/>
      </rPr>
      <t>2</t>
    </r>
    <r>
      <rPr>
        <b/>
        <sz val="14"/>
        <rFont val="微軟正黑體"/>
        <family val="2"/>
      </rPr>
      <t xml:space="preserve"> DOSING UNIT</t>
    </r>
  </si>
  <si>
    <r>
      <t>CO</t>
    </r>
    <r>
      <rPr>
        <b/>
        <vertAlign val="subscript"/>
        <sz val="14"/>
        <rFont val="微軟正黑體"/>
        <family val="2"/>
        <charset val="136"/>
      </rPr>
      <t>2</t>
    </r>
    <r>
      <rPr>
        <b/>
        <sz val="14"/>
        <rFont val="微軟正黑體"/>
        <family val="2"/>
        <charset val="136"/>
      </rPr>
      <t xml:space="preserve"> MOTIVE WATER PUMPS
二氧化碳溶解泵</t>
    </r>
  </si>
  <si>
    <t>臥式離心泵1 (ANDRITZ)</t>
    <phoneticPr fontId="3" type="noConversion"/>
  </si>
  <si>
    <t>115/8/31</t>
  </si>
  <si>
    <t>115/5/12</t>
  </si>
  <si>
    <t>鼎水資字第1150000761號</t>
  </si>
  <si>
    <t>21</t>
  </si>
  <si>
    <t>S-SD22-18</t>
  </si>
  <si>
    <t>第三方檢驗單位-TÜV Rheinland Italia</t>
  </si>
  <si>
    <t>鼎水資字第1150000773號</t>
  </si>
  <si>
    <t>114/5/14</t>
  </si>
  <si>
    <t>鼎水資字第1150000760號</t>
  </si>
  <si>
    <t>鼎水資字第1150000758號</t>
  </si>
  <si>
    <t>審查</t>
  </si>
  <si>
    <t>S-SB70-054</t>
  </si>
  <si>
    <t>風箏造型觀景雙亭</t>
  </si>
  <si>
    <t>0512查核委員建議</t>
  </si>
  <si>
    <t>賞鳥棚架</t>
  </si>
  <si>
    <t>大型電動投影幕</t>
  </si>
  <si>
    <t>音響系統</t>
  </si>
  <si>
    <t>無</t>
  </si>
  <si>
    <t>鋼筋SD420</t>
  </si>
  <si>
    <t>鋼筋SD280</t>
  </si>
  <si>
    <t>鋼筋SD280W</t>
  </si>
  <si>
    <t>140kgf/cm2預拌混凝土</t>
  </si>
  <si>
    <t>210kgf/cm2預拌混凝土</t>
  </si>
  <si>
    <t>280kgf/cm2預拌混凝土</t>
  </si>
  <si>
    <t>350kgf/cm2預拌混凝土</t>
  </si>
  <si>
    <t>20~50kgf/cm2
控制性低強度回填材料</t>
  </si>
  <si>
    <t>50~90kgf/cm2
控制性低強度回填材料</t>
  </si>
  <si>
    <t>SD420鋼筋續接器</t>
  </si>
  <si>
    <t>280kgf/cm2巨積混凝土</t>
  </si>
  <si>
    <t>350kgf/cm2巨積混凝土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</si>
  <si>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</si>
  <si>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</si>
  <si>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</si>
  <si>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</si>
  <si>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</si>
  <si>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</si>
  <si>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</si>
  <si>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</si>
  <si>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</si>
  <si>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木紋塑膠仿木</t>
  </si>
  <si>
    <t>格柵欄圍籬</t>
  </si>
  <si>
    <t>車輪擋</t>
  </si>
  <si>
    <t>停車場</t>
  </si>
  <si>
    <t>反光鏡</t>
  </si>
  <si>
    <t>防撞桿</t>
  </si>
  <si>
    <t>爬梯</t>
  </si>
  <si>
    <t>張力薄膜</t>
  </si>
  <si>
    <t>光面鋼筋材料</t>
  </si>
  <si>
    <t>取水站鋼板樁/H型鋼</t>
  </si>
  <si>
    <t xml:space="preserve">S-SB12-004 </t>
  </si>
  <si>
    <t>水北多字第11453046490號</t>
  </si>
  <si>
    <t>混凝土養護劑</t>
  </si>
  <si>
    <t>S-SB36-020</t>
  </si>
  <si>
    <t>水北多字第11453121800號</t>
  </si>
  <si>
    <t>水北多字第11453137490號</t>
  </si>
  <si>
    <t>水北多字第11522004950號</t>
  </si>
  <si>
    <t>S-SB48-32</t>
  </si>
  <si>
    <t>水北多字第11422039710號</t>
  </si>
  <si>
    <t xml:space="preserve">緣石及緣石側溝 </t>
  </si>
  <si>
    <t xml:space="preserve">人行道面層 </t>
  </si>
  <si>
    <t>S-SB53-037</t>
  </si>
  <si>
    <t>欄杆/踏步</t>
  </si>
  <si>
    <t>S-SB64-048</t>
  </si>
  <si>
    <t>取水頭-鋼製構件廠商-新樺鋼鐵</t>
  </si>
  <si>
    <t>水北多字第11553016390號</t>
  </si>
  <si>
    <t>S-SB56-040</t>
  </si>
  <si>
    <t>S-SB59-043</t>
  </si>
  <si>
    <t>取水頭-鋼管樁廠商-遠東鋼鐵</t>
  </si>
  <si>
    <t>臺陽合金</t>
  </si>
  <si>
    <t>S-SB68-052</t>
  </si>
  <si>
    <t>PVC止水帶</t>
  </si>
  <si>
    <t>防水膜</t>
  </si>
  <si>
    <t>塊石及礫石材料-國正</t>
  </si>
  <si>
    <t>M-01-MA-02-002</t>
  </si>
  <si>
    <t xml:space="preserve">S-SB02-002 </t>
  </si>
  <si>
    <t xml:space="preserve">S-SB12-005 </t>
  </si>
  <si>
    <t>S-SB02-007</t>
  </si>
  <si>
    <t>廣霖鋼鐵</t>
  </si>
  <si>
    <t>S-SB34-018</t>
  </si>
  <si>
    <t>S-SB47-31</t>
  </si>
  <si>
    <t>水北多字第11453053790號</t>
  </si>
  <si>
    <t>水北多字第11453113020號</t>
  </si>
  <si>
    <t>S-SB55-039</t>
  </si>
  <si>
    <t>S-SB57-041</t>
  </si>
  <si>
    <t>S-SB32-016</t>
  </si>
  <si>
    <t>水北多字第11422032930號</t>
  </si>
  <si>
    <t>S-SB01-001</t>
  </si>
  <si>
    <t>水北多字第11453049930號</t>
  </si>
  <si>
    <t>S-SB01-006</t>
  </si>
  <si>
    <t>S-SB01-003</t>
  </si>
  <si>
    <t>水北多字第11453113390號</t>
  </si>
  <si>
    <t>水北多字第11453113400號</t>
  </si>
  <si>
    <t>水北多字第11422046940號</t>
  </si>
  <si>
    <t>S-SB45-29</t>
  </si>
  <si>
    <t>S-SB11-013</t>
  </si>
  <si>
    <t>水北多字第11453113030號</t>
  </si>
  <si>
    <t>水北多字第11453095540號</t>
  </si>
  <si>
    <t>S-S38-022</t>
  </si>
  <si>
    <t>S-SB46-30</t>
  </si>
  <si>
    <t>水北多字第11453136670號</t>
  </si>
  <si>
    <t>S-SB42-026</t>
  </si>
  <si>
    <t>水北多字第11453136660號</t>
  </si>
  <si>
    <t>S-SB49-033</t>
  </si>
  <si>
    <t>水北多字第11522010180號</t>
  </si>
  <si>
    <t>皆豪實業</t>
  </si>
  <si>
    <t>S-SB29-012</t>
  </si>
  <si>
    <t>水北多字第11422034720號</t>
  </si>
  <si>
    <t>中國鋼鐵
中龍鋼鐵
春雨工廠
豐興鋼鐵</t>
  </si>
  <si>
    <t>水北多字第11453128480號</t>
  </si>
  <si>
    <t>S-SB39-023</t>
  </si>
  <si>
    <t>縉鼎</t>
  </si>
  <si>
    <t>中鋼焊材
天泰焊材
廣泰焊材
首銳焊材</t>
  </si>
  <si>
    <t>水北多字第11453136690號</t>
  </si>
  <si>
    <t>春雨工廠</t>
  </si>
  <si>
    <t>水北多字第11453136680號</t>
  </si>
  <si>
    <t>S-SB54-038</t>
  </si>
  <si>
    <t>S-SB-50-034</t>
  </si>
  <si>
    <t>三永裕</t>
  </si>
  <si>
    <t>春發科技</t>
  </si>
  <si>
    <t>遠東機械</t>
  </si>
  <si>
    <t>S-SB31-015</t>
  </si>
  <si>
    <t>S-SB35-019</t>
  </si>
  <si>
    <t>檢退-規範未核定</t>
  </si>
  <si>
    <t>鼎水資字第1150000366號</t>
  </si>
  <si>
    <t>地下管GRP墊砂層回填砂</t>
  </si>
  <si>
    <t>耀基工程行</t>
  </si>
  <si>
    <t>115/3/9</t>
  </si>
  <si>
    <t>水北多字第11522017710號</t>
  </si>
  <si>
    <t>S-SB65-049</t>
  </si>
  <si>
    <t>鼎水資字第1150000397號</t>
  </si>
  <si>
    <t>艾奕康水字第1150006259號</t>
  </si>
  <si>
    <t>115/4/14</t>
  </si>
  <si>
    <t>宏海淡工字第115051112A號</t>
  </si>
  <si>
    <t>115/5/20</t>
  </si>
  <si>
    <t>水北多字第11522025600號</t>
  </si>
  <si>
    <t>115/5/19</t>
  </si>
  <si>
    <t>電梯(跨建築裝修及機電)</t>
  </si>
  <si>
    <t>多功能講桌(跨建築裝修及機電)</t>
  </si>
  <si>
    <t>第131005章避雷及接地設備</t>
    <phoneticPr fontId="3" type="noConversion"/>
  </si>
  <si>
    <r>
      <t>避雷/接地設備</t>
    </r>
    <r>
      <rPr>
        <b/>
        <strike/>
        <sz val="14"/>
        <color rgb="FFFF0000"/>
        <rFont val="微軟正黑體"/>
        <family val="2"/>
        <charset val="136"/>
      </rPr>
      <t>(接地棒3/4"-3000mmm)</t>
    </r>
  </si>
  <si>
    <t xml:space="preserve">Lightning Protection/Grounding Equipment </t>
    <phoneticPr fontId="3" type="noConversion"/>
  </si>
  <si>
    <t>S-SC303-303</t>
    <phoneticPr fontId="3" type="noConversion"/>
  </si>
  <si>
    <t>鼎水資字第1150000831號</t>
    <phoneticPr fontId="3" type="noConversion"/>
  </si>
  <si>
    <t>鼎水資字第1150000766號</t>
    <phoneticPr fontId="3" type="noConversion"/>
  </si>
  <si>
    <t>Low-voltage switchgear</t>
    <phoneticPr fontId="3" type="noConversion"/>
  </si>
  <si>
    <t>S-SC301-301</t>
    <phoneticPr fontId="3" type="noConversion"/>
  </si>
  <si>
    <t>S-SC302-302</t>
    <phoneticPr fontId="3" type="noConversion"/>
  </si>
  <si>
    <t>鼎水資字第1150000832號</t>
    <phoneticPr fontId="3" type="noConversion"/>
  </si>
  <si>
    <t>S-SC313-313</t>
    <phoneticPr fontId="3" type="noConversion"/>
  </si>
  <si>
    <t>鼎水資字第1150000743號</t>
    <phoneticPr fontId="3" type="noConversion"/>
  </si>
  <si>
    <t>S-SC11-011</t>
    <phoneticPr fontId="3" type="noConversion"/>
  </si>
  <si>
    <t>鼎水資字第1150000814號</t>
    <phoneticPr fontId="6" type="noConversion"/>
  </si>
  <si>
    <t>鼎水資字第1150000813號</t>
    <phoneticPr fontId="6" type="noConversion"/>
  </si>
  <si>
    <t>檢退-部分不符規範</t>
    <phoneticPr fontId="3" type="noConversion"/>
  </si>
  <si>
    <t>艾奕康水字第1150009488號</t>
    <phoneticPr fontId="6" type="noConversion"/>
  </si>
  <si>
    <t>鼎水資字第1150000824號</t>
    <phoneticPr fontId="6" type="noConversion"/>
  </si>
  <si>
    <t>S-SC306-306-1</t>
    <phoneticPr fontId="3" type="noConversion"/>
  </si>
  <si>
    <t>水北多字第11553004250號</t>
    <phoneticPr fontId="6" type="noConversion"/>
  </si>
  <si>
    <t>S-SC04-004</t>
    <phoneticPr fontId="6" type="noConversion"/>
  </si>
  <si>
    <t>S-SC14-014</t>
    <phoneticPr fontId="3" type="noConversion"/>
  </si>
  <si>
    <t>鼎水資字第1150000812號</t>
    <phoneticPr fontId="3" type="noConversion"/>
  </si>
  <si>
    <t>S-SC03-003</t>
    <phoneticPr fontId="6" type="noConversion"/>
  </si>
  <si>
    <t>2.11    2.13</t>
    <phoneticPr fontId="3" type="noConversion"/>
  </si>
  <si>
    <t>分析儀(鹼度, 總硬度 )(新增)</t>
    <phoneticPr fontId="3" type="noConversion"/>
  </si>
  <si>
    <t>ANALYSERS (TAC, TH)</t>
    <phoneticPr fontId="3" type="noConversion"/>
  </si>
  <si>
    <t>瓦斯偵測器(新增)</t>
    <phoneticPr fontId="3" type="noConversion"/>
  </si>
  <si>
    <t>GAS DETECTOR</t>
    <phoneticPr fontId="3" type="noConversion"/>
  </si>
  <si>
    <t>CHLOROPHYLL ANALYSE</t>
    <phoneticPr fontId="3" type="noConversion"/>
  </si>
  <si>
    <t xml:space="preserve"> ANALYSER (BORON)</t>
    <phoneticPr fontId="7" type="noConversion"/>
  </si>
  <si>
    <t>2.8   2.7  2.5  2.10   2.3    2.2  2.12  2.15  2.9  2.4</t>
    <phoneticPr fontId="3" type="noConversion"/>
  </si>
  <si>
    <t>分析儀(濁度,電導度,溶解性總固體,鹽度計,酸鹼值,,餘氯,氧化還原電位,總懸浮固體,化學需氧量,)</t>
    <phoneticPr fontId="3" type="noConversion"/>
  </si>
  <si>
    <t>ANALYSERS (TU, CONDUCTIVITY,Salinity， PH, O2, CL2, ORP, TSS, COD)</t>
    <phoneticPr fontId="3" type="noConversion"/>
  </si>
  <si>
    <t>D</t>
  </si>
  <si>
    <t>溫度開關</t>
    <phoneticPr fontId="3" type="noConversion"/>
  </si>
  <si>
    <t>TEMPERATURE SWITCH</t>
    <phoneticPr fontId="3" type="noConversion"/>
  </si>
  <si>
    <t>槳輪式流量計</t>
    <phoneticPr fontId="3" type="noConversion"/>
  </si>
  <si>
    <t xml:space="preserve">PADDLEWHEEL FLOW INDICATION/SWITCH </t>
    <phoneticPr fontId="3" type="noConversion"/>
  </si>
  <si>
    <t>流量開關</t>
    <phoneticPr fontId="3" type="noConversion"/>
  </si>
  <si>
    <t>FLOW SWITCH</t>
    <phoneticPr fontId="3" type="noConversion"/>
  </si>
  <si>
    <t>差壓傳訊器</t>
    <phoneticPr fontId="3" type="noConversion"/>
  </si>
  <si>
    <t>Differential pressure transmitter</t>
    <phoneticPr fontId="3" type="noConversion"/>
  </si>
  <si>
    <t>PRESSURE GAUGE</t>
    <phoneticPr fontId="3" type="noConversion"/>
  </si>
  <si>
    <t>氣體偵測器</t>
    <phoneticPr fontId="3" type="noConversion"/>
  </si>
  <si>
    <t>Gas detector</t>
    <phoneticPr fontId="7" type="noConversion"/>
  </si>
  <si>
    <t>液位計(電容式)</t>
    <phoneticPr fontId="3" type="noConversion"/>
  </si>
  <si>
    <t>LEVEL INDICATOR</t>
    <phoneticPr fontId="7" type="noConversion"/>
  </si>
  <si>
    <t>液位計(壓力式)</t>
    <phoneticPr fontId="3" type="noConversion"/>
  </si>
  <si>
    <t>液位計(雷達波)</t>
    <phoneticPr fontId="3" type="noConversion"/>
  </si>
  <si>
    <t>音叉液位開關</t>
    <phoneticPr fontId="3" type="noConversion"/>
  </si>
  <si>
    <t>2.32  2.32</t>
    <phoneticPr fontId="3" type="noConversion"/>
  </si>
  <si>
    <t>S-SC05-005</t>
    <phoneticPr fontId="3" type="noConversion"/>
  </si>
  <si>
    <t>PLC 主控制盤</t>
  </si>
  <si>
    <t>水北多字第11522025900號</t>
  </si>
  <si>
    <t>S-SC48-048</t>
  </si>
  <si>
    <t>Pipe support</t>
  </si>
  <si>
    <t>管道支撐及支架</t>
  </si>
  <si>
    <t>第05122章V8.0-鋼構造</t>
  </si>
  <si>
    <t>鼎水資字第1150000802號</t>
  </si>
  <si>
    <t>艾奕康水字第1150009250號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</si>
</sst>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PN-&quot;0"/>
    <numFmt numFmtId="165" formatCode="[$-404]e/m/d;@"/>
    <numFmt numFmtId="166" formatCode="0_ "/>
    <numFmt numFmtId="167" formatCode="0_);[Red]\(0\)"/>
    <numFmt numFmtId="168" formatCode="0_ ;[Red]\-0\ "/>
    <numFmt numFmtId="169" formatCode="0.0"/>
    <numFmt numFmtId="170" formatCode="yyyy\-mm\-dd;@"/>
  </numFmts>
  <fonts count="62">
    <font>
      <sz val="12"/>
      <color theme="1"/>
      <name val="Aptos Narrow"/>
      <family val="2"/>
      <charset val="136"/>
      <scheme val="minor"/>
    </font>
    <font>
      <sz val="12"/>
      <color theme="1"/>
      <name val="Aptos Narrow"/>
      <family val="2"/>
      <charset val="136"/>
      <scheme val="minor"/>
    </font>
    <font>
      <b/>
      <sz val="20"/>
      <color theme="1"/>
      <name val="微軟正黑體"/>
      <family val="2"/>
      <charset val="136"/>
    </font>
    <font>
      <sz val="9"/>
      <name val="Aptos Narrow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4"/>
      <name val="微軟正黑體"/>
      <family val="2"/>
      <charset val="136"/>
    </font>
    <font>
      <sz val="9"/>
      <name val="新細明體1"/>
      <charset val="136"/>
    </font>
    <font>
      <b/>
      <sz val="14"/>
      <color rgb="FFFF0000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theme="1"/>
      <name val="微軟正黑體"/>
      <family val="2"/>
    </font>
    <font>
      <sz val="12"/>
      <name val="新細明體"/>
      <family val="1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theme="1"/>
      <name val="微軟正黑體"/>
      <family val="2"/>
    </font>
    <font>
      <sz val="14"/>
      <color rgb="FFFF0000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8"/>
      <color theme="1" tint="0.499984740745262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b/>
      <sz val="18"/>
      <color rgb="FFC00000"/>
      <name val="微軟正黑體"/>
      <family val="2"/>
      <charset val="136"/>
    </font>
    <font>
      <b/>
      <sz val="18"/>
      <color rgb="FF3333FF"/>
      <name val="微軟正黑體"/>
      <family val="2"/>
      <charset val="136"/>
    </font>
    <font>
      <b/>
      <sz val="16"/>
      <color rgb="FF3333FF"/>
      <name val="微軟正黑體"/>
      <family val="2"/>
      <charset val="136"/>
    </font>
    <font>
      <sz val="11"/>
      <color theme="1"/>
      <name val="Aptos Narrow"/>
      <family val="2"/>
      <scheme val="minor"/>
    </font>
    <font>
      <sz val="11"/>
      <color theme="1"/>
      <name val="微軟正黑體"/>
      <family val="2"/>
      <charset val="136"/>
    </font>
    <font>
      <sz val="12"/>
      <name val="微軟正黑體"/>
      <family val="2"/>
      <charset val="136"/>
    </font>
    <font>
      <b/>
      <sz val="16"/>
      <color rgb="FF00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8"/>
      <color theme="5"/>
      <name val="微軟正黑體"/>
      <family val="2"/>
      <charset val="136"/>
    </font>
    <font>
      <b/>
      <sz val="18"/>
      <color theme="8"/>
      <name val="微軟正黑體"/>
      <family val="2"/>
      <charset val="136"/>
    </font>
    <font>
      <b/>
      <sz val="14"/>
      <color rgb="FFFF0000"/>
      <name val="微軟正黑體"/>
      <family val="2"/>
    </font>
    <font>
      <sz val="12"/>
      <color rgb="FFFF0000"/>
      <name val="微軟正黑體"/>
      <family val="2"/>
      <charset val="136"/>
    </font>
    <font>
      <sz val="12"/>
      <color rgb="FF0000FF"/>
      <name val="微軟正黑體"/>
      <family val="2"/>
      <charset val="136"/>
    </font>
    <font>
      <b/>
      <sz val="14"/>
      <color rgb="FF0000FF"/>
      <name val="微軟正黑體"/>
      <family val="2"/>
      <charset val="136"/>
    </font>
    <font>
      <b/>
      <sz val="14"/>
      <color rgb="FF0000FF"/>
      <name val="微軟正黑體"/>
      <family val="2"/>
    </font>
    <font>
      <sz val="12"/>
      <color rgb="FF0000FF"/>
      <name val="微軟正黑體"/>
      <family val="2"/>
    </font>
    <font>
      <sz val="12"/>
      <name val="Aptos Narrow"/>
      <family val="2"/>
      <charset val="136"/>
      <scheme val="minor"/>
    </font>
    <font>
      <u/>
      <sz val="12"/>
      <color theme="10"/>
      <name val="Aptos Narrow"/>
      <family val="2"/>
      <charset val="136"/>
      <scheme val="minor"/>
    </font>
    <font>
      <u/>
      <sz val="12"/>
      <name val="Aptos Narrow"/>
      <family val="2"/>
      <charset val="136"/>
      <scheme val="minor"/>
    </font>
    <font>
      <u/>
      <sz val="11"/>
      <name val="Aptos Narrow"/>
      <family val="2"/>
      <scheme val="minor"/>
    </font>
    <font>
      <b/>
      <sz val="20"/>
      <name val="微軟正黑體"/>
      <family val="2"/>
      <charset val="136"/>
    </font>
    <font>
      <b/>
      <sz val="18"/>
      <name val="微軟正黑體"/>
      <family val="2"/>
      <charset val="136"/>
    </font>
    <font>
      <sz val="12"/>
      <name val="微軟正黑體"/>
      <family val="2"/>
    </font>
    <font>
      <b/>
      <sz val="14"/>
      <name val="微軟正黑體"/>
      <family val="2"/>
    </font>
    <font>
      <sz val="14"/>
      <name val="微軟正黑體"/>
      <family val="2"/>
    </font>
    <font>
      <strike/>
      <sz val="12"/>
      <name val="微軟正黑體"/>
      <family val="2"/>
    </font>
    <font>
      <b/>
      <strike/>
      <sz val="14"/>
      <name val="微軟正黑體"/>
      <family val="2"/>
    </font>
    <font>
      <strike/>
      <sz val="14"/>
      <name val="微軟正黑體"/>
      <family val="2"/>
    </font>
    <font>
      <sz val="14"/>
      <color rgb="FFFF0000"/>
      <name val="微軟正黑體"/>
      <family val="2"/>
    </font>
    <font>
      <sz val="14"/>
      <color theme="1"/>
      <name val="Aptos Narrow"/>
      <family val="2"/>
      <scheme val="minor"/>
    </font>
    <font>
      <b/>
      <sz val="16"/>
      <name val="微軟正黑體"/>
      <family val="2"/>
      <charset val="136"/>
    </font>
    <font>
      <sz val="16"/>
      <color rgb="FFFF0000"/>
      <name val="Aptos Narrow"/>
      <family val="2"/>
      <scheme val="minor"/>
    </font>
    <font>
      <sz val="14"/>
      <color rgb="FFFF0000"/>
      <name val="標楷體"/>
      <family val="4"/>
      <charset val="136"/>
    </font>
    <font>
      <sz val="10"/>
      <name val="Arial"/>
      <family val="2"/>
    </font>
    <font>
      <sz val="14"/>
      <name val="標楷體"/>
      <family val="4"/>
      <charset val="136"/>
    </font>
    <font>
      <sz val="14"/>
      <name val="Calibri"/>
      <family val="2"/>
    </font>
    <font>
      <sz val="14"/>
      <name val="Microsoft JhengHei"/>
      <family val="2"/>
    </font>
    <font>
      <sz val="12"/>
      <color theme="1"/>
      <name val="微軟正黑體"/>
      <family val="2"/>
    </font>
    <font>
      <b/>
      <sz val="13"/>
      <name val="微軟正黑體"/>
      <family val="2"/>
    </font>
    <font>
      <b/>
      <sz val="16"/>
      <color theme="1"/>
      <name val="微軟正黑體"/>
      <family val="2"/>
      <charset val="136"/>
    </font>
    <font>
      <b/>
      <vertAlign val="subscript"/>
      <sz val="14"/>
      <name val="微軟正黑體"/>
      <family val="2"/>
      <charset val="136"/>
    </font>
    <font>
      <b/>
      <strike/>
      <sz val="14"/>
      <color rgb="FFFF0000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DAE9F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66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3CEFE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theme="6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9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0" fillId="0" borderId="0">
      <alignment vertical="center"/>
    </xf>
    <xf numFmtId="0" fontId="1" fillId="0" borderId="0">
      <alignment vertical="center"/>
    </xf>
    <xf numFmtId="0" fontId="22" fillId="0" borderId="0"/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/>
    <xf numFmtId="9" fontId="53" fillId="0" borderId="0" applyFont="0" applyFill="0" applyBorder="0" applyAlignment="0" applyProtection="0"/>
  </cellStyleXfs>
  <cellXfs count="1122">
    <xf numFmtId="0" fontId="0" fillId="0" borderId="0" xfId="0">
      <alignment vertical="center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165" fontId="8" fillId="7" borderId="1" xfId="3" applyNumberFormat="1" applyFont="1" applyFill="1" applyBorder="1" applyAlignment="1">
      <alignment horizontal="right" vertical="center" wrapText="1"/>
    </xf>
    <xf numFmtId="165" fontId="8" fillId="7" borderId="1" xfId="1" applyNumberFormat="1" applyFont="1" applyFill="1" applyBorder="1" applyAlignment="1">
      <alignment horizontal="right" vertical="center" wrapText="1"/>
    </xf>
    <xf numFmtId="165" fontId="8" fillId="7" borderId="1" xfId="2" applyNumberFormat="1" applyFont="1" applyFill="1" applyBorder="1" applyAlignment="1">
      <alignment horizontal="right" vertical="center" wrapText="1"/>
    </xf>
    <xf numFmtId="0" fontId="8" fillId="7" borderId="1" xfId="2" applyFont="1" applyFill="1" applyBorder="1" applyAlignment="1">
      <alignment horizontal="right" vertical="center" wrapText="1"/>
    </xf>
    <xf numFmtId="0" fontId="8" fillId="7" borderId="1" xfId="3" applyFont="1" applyFill="1" applyBorder="1" applyAlignment="1">
      <alignment horizontal="center" vertical="center" wrapText="1"/>
    </xf>
    <xf numFmtId="0" fontId="11" fillId="7" borderId="1" xfId="3" applyFont="1" applyFill="1" applyBorder="1" applyAlignment="1">
      <alignment horizontal="center" vertical="center" wrapText="1"/>
    </xf>
    <xf numFmtId="165" fontId="11" fillId="7" borderId="1" xfId="3" applyNumberFormat="1" applyFont="1" applyFill="1" applyBorder="1" applyAlignment="1">
      <alignment horizontal="center" vertical="center" wrapText="1"/>
    </xf>
    <xf numFmtId="14" fontId="11" fillId="7" borderId="1" xfId="3" applyNumberFormat="1" applyFont="1" applyFill="1" applyBorder="1" applyAlignment="1">
      <alignment horizontal="center" vertical="center" wrapText="1"/>
    </xf>
    <xf numFmtId="0" fontId="12" fillId="0" borderId="1" xfId="3" applyFont="1" applyBorder="1" applyAlignment="1">
      <alignment horizontal="center" vertical="center" wrapText="1"/>
    </xf>
    <xf numFmtId="0" fontId="12" fillId="0" borderId="1" xfId="3" applyFont="1" applyBorder="1" applyAlignment="1">
      <alignment vertical="center" wrapText="1"/>
    </xf>
    <xf numFmtId="165" fontId="8" fillId="0" borderId="1" xfId="3" applyNumberFormat="1" applyFont="1" applyBorder="1" applyAlignment="1">
      <alignment horizontal="right" vertical="center" wrapText="1"/>
    </xf>
    <xf numFmtId="0" fontId="8" fillId="0" borderId="1" xfId="2" applyFont="1" applyBorder="1" applyAlignment="1">
      <alignment horizontal="right" vertical="center" wrapText="1"/>
    </xf>
    <xf numFmtId="0" fontId="8" fillId="0" borderId="1" xfId="3" applyFont="1" applyBorder="1" applyAlignment="1">
      <alignment horizontal="center" vertical="center" wrapText="1"/>
    </xf>
    <xf numFmtId="165" fontId="11" fillId="0" borderId="1" xfId="3" applyNumberFormat="1" applyFont="1" applyBorder="1" applyAlignment="1">
      <alignment horizontal="center" vertical="center" wrapText="1"/>
    </xf>
    <xf numFmtId="14" fontId="11" fillId="0" borderId="1" xfId="3" applyNumberFormat="1" applyFont="1" applyBorder="1" applyAlignment="1">
      <alignment horizontal="center" vertical="center" wrapText="1"/>
    </xf>
    <xf numFmtId="0" fontId="11" fillId="0" borderId="1" xfId="3" applyFont="1" applyBorder="1" applyAlignment="1">
      <alignment horizontal="center" vertical="center" wrapText="1"/>
    </xf>
    <xf numFmtId="165" fontId="12" fillId="0" borderId="1" xfId="3" applyNumberFormat="1" applyFont="1" applyBorder="1" applyAlignment="1">
      <alignment horizontal="center" vertical="center" wrapText="1"/>
    </xf>
    <xf numFmtId="14" fontId="12" fillId="0" borderId="1" xfId="3" applyNumberFormat="1" applyFont="1" applyBorder="1" applyAlignment="1">
      <alignment horizontal="center" vertical="center" wrapText="1"/>
    </xf>
    <xf numFmtId="0" fontId="4" fillId="0" borderId="0" xfId="2" applyFont="1" applyAlignment="1">
      <alignment horizontal="center" vertical="center" wrapText="1"/>
    </xf>
    <xf numFmtId="0" fontId="14" fillId="0" borderId="1" xfId="3" applyFont="1" applyBorder="1" applyAlignment="1">
      <alignment horizontal="center" vertical="center" wrapText="1"/>
    </xf>
    <xf numFmtId="165" fontId="14" fillId="0" borderId="1" xfId="3" applyNumberFormat="1" applyFont="1" applyBorder="1" applyAlignment="1">
      <alignment horizontal="center" vertical="center" wrapText="1"/>
    </xf>
    <xf numFmtId="14" fontId="14" fillId="0" borderId="1" xfId="3" applyNumberFormat="1" applyFont="1" applyBorder="1" applyAlignment="1">
      <alignment horizontal="center" vertical="center" wrapText="1"/>
    </xf>
    <xf numFmtId="165" fontId="12" fillId="7" borderId="1" xfId="3" applyNumberFormat="1" applyFont="1" applyFill="1" applyBorder="1" applyAlignment="1">
      <alignment horizontal="center" vertical="center" wrapText="1"/>
    </xf>
    <xf numFmtId="14" fontId="12" fillId="7" borderId="1" xfId="3" applyNumberFormat="1" applyFont="1" applyFill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right" vertical="center" wrapText="1"/>
    </xf>
    <xf numFmtId="165" fontId="8" fillId="0" borderId="1" xfId="2" applyNumberFormat="1" applyFont="1" applyBorder="1" applyAlignment="1">
      <alignment horizontal="right" vertical="center" wrapText="1"/>
    </xf>
    <xf numFmtId="14" fontId="8" fillId="0" borderId="1" xfId="3" applyNumberFormat="1" applyFont="1" applyBorder="1" applyAlignment="1">
      <alignment horizontal="center" vertical="center" wrapText="1"/>
    </xf>
    <xf numFmtId="0" fontId="11" fillId="0" borderId="1" xfId="3" applyFont="1" applyBorder="1" applyAlignment="1">
      <alignment vertical="center" wrapText="1"/>
    </xf>
    <xf numFmtId="165" fontId="8" fillId="7" borderId="1" xfId="3" applyNumberFormat="1" applyFont="1" applyFill="1" applyBorder="1" applyAlignment="1">
      <alignment horizontal="right" vertical="center"/>
    </xf>
    <xf numFmtId="49" fontId="8" fillId="0" borderId="0" xfId="2" applyNumberFormat="1" applyFont="1" applyAlignment="1">
      <alignment horizontal="center" vertical="center" wrapText="1"/>
    </xf>
    <xf numFmtId="0" fontId="8" fillId="0" borderId="0" xfId="1" applyFont="1" applyAlignment="1">
      <alignment vertical="center" wrapText="1"/>
    </xf>
    <xf numFmtId="0" fontId="7" fillId="0" borderId="0" xfId="3" applyFont="1" applyAlignment="1">
      <alignment horizontal="left" vertical="center" wrapText="1"/>
    </xf>
    <xf numFmtId="165" fontId="8" fillId="0" borderId="0" xfId="3" applyNumberFormat="1" applyFont="1" applyAlignment="1">
      <alignment horizontal="right" vertical="center" wrapText="1"/>
    </xf>
    <xf numFmtId="165" fontId="8" fillId="0" borderId="0" xfId="1" applyNumberFormat="1" applyFont="1" applyAlignment="1">
      <alignment horizontal="right" vertical="center" wrapText="1"/>
    </xf>
    <xf numFmtId="165" fontId="8" fillId="0" borderId="0" xfId="2" applyNumberFormat="1" applyFont="1" applyAlignment="1">
      <alignment horizontal="right" vertical="center" wrapText="1"/>
    </xf>
    <xf numFmtId="0" fontId="8" fillId="0" borderId="0" xfId="2" applyFont="1" applyAlignment="1">
      <alignment horizontal="right" vertical="center" wrapText="1"/>
    </xf>
    <xf numFmtId="0" fontId="8" fillId="0" borderId="0" xfId="3" applyFont="1" applyAlignment="1">
      <alignment horizontal="center" vertical="center" wrapText="1"/>
    </xf>
    <xf numFmtId="0" fontId="11" fillId="0" borderId="0" xfId="3" applyFont="1" applyAlignment="1">
      <alignment horizontal="center" vertical="center" wrapText="1"/>
    </xf>
    <xf numFmtId="165" fontId="12" fillId="0" borderId="0" xfId="3" applyNumberFormat="1" applyFont="1" applyAlignment="1">
      <alignment horizontal="center" vertical="center" wrapText="1"/>
    </xf>
    <xf numFmtId="14" fontId="12" fillId="0" borderId="0" xfId="3" applyNumberFormat="1" applyFont="1" applyAlignment="1">
      <alignment horizontal="center" vertical="center" wrapText="1"/>
    </xf>
    <xf numFmtId="0" fontId="12" fillId="0" borderId="0" xfId="3" applyFont="1" applyAlignment="1">
      <alignment vertical="center" wrapText="1"/>
    </xf>
    <xf numFmtId="49" fontId="4" fillId="0" borderId="0" xfId="1" applyNumberFormat="1" applyFont="1" applyAlignment="1">
      <alignment horizontal="center" vertical="center" wrapText="1"/>
    </xf>
    <xf numFmtId="0" fontId="15" fillId="0" borderId="1" xfId="4" applyFont="1" applyBorder="1" applyAlignment="1">
      <alignment vertical="center" wrapText="1"/>
    </xf>
    <xf numFmtId="0" fontId="15" fillId="0" borderId="0" xfId="4" applyFont="1" applyAlignment="1">
      <alignment vertical="center" wrapText="1"/>
    </xf>
    <xf numFmtId="0" fontId="15" fillId="0" borderId="0" xfId="4" applyFont="1" applyAlignment="1">
      <alignment horizontal="center" vertical="center" wrapText="1"/>
    </xf>
    <xf numFmtId="0" fontId="4" fillId="0" borderId="0" xfId="1" applyFont="1" applyAlignment="1">
      <alignment horizontal="left" vertical="center" wrapText="1"/>
    </xf>
    <xf numFmtId="0" fontId="16" fillId="0" borderId="0" xfId="1" applyFont="1" applyAlignment="1">
      <alignment horizontal="left" vertical="center" wrapText="1"/>
    </xf>
    <xf numFmtId="0" fontId="16" fillId="0" borderId="0" xfId="1" applyFont="1" applyAlignment="1">
      <alignment horizontal="center" vertical="center" wrapText="1"/>
    </xf>
    <xf numFmtId="0" fontId="17" fillId="0" borderId="1" xfId="4" applyFont="1" applyBorder="1" applyAlignment="1">
      <alignment vertical="center" wrapText="1"/>
    </xf>
    <xf numFmtId="0" fontId="17" fillId="0" borderId="0" xfId="4" applyFont="1" applyAlignment="1">
      <alignment vertical="center" wrapText="1"/>
    </xf>
    <xf numFmtId="0" fontId="17" fillId="0" borderId="0" xfId="1" applyFont="1" applyAlignment="1">
      <alignment horizontal="center" vertical="center" wrapText="1"/>
    </xf>
    <xf numFmtId="0" fontId="18" fillId="0" borderId="1" xfId="4" applyFont="1" applyBorder="1" applyAlignment="1">
      <alignment vertical="center" wrapText="1"/>
    </xf>
    <xf numFmtId="0" fontId="19" fillId="0" borderId="0" xfId="4" applyFont="1" applyAlignment="1">
      <alignment vertical="center" wrapText="1"/>
    </xf>
    <xf numFmtId="0" fontId="19" fillId="0" borderId="0" xfId="1" applyFont="1" applyAlignment="1">
      <alignment horizontal="center" vertical="center" wrapText="1"/>
    </xf>
    <xf numFmtId="0" fontId="20" fillId="0" borderId="1" xfId="4" applyFont="1" applyBorder="1" applyAlignment="1">
      <alignment vertical="center" wrapText="1"/>
    </xf>
    <xf numFmtId="0" fontId="20" fillId="0" borderId="0" xfId="4" applyFont="1" applyAlignment="1">
      <alignment vertical="center" wrapText="1"/>
    </xf>
    <xf numFmtId="0" fontId="20" fillId="0" borderId="0" xfId="1" applyFont="1" applyAlignment="1">
      <alignment horizontal="center" vertical="center" wrapText="1"/>
    </xf>
    <xf numFmtId="0" fontId="15" fillId="0" borderId="1" xfId="1" applyFont="1" applyBorder="1" applyAlignment="1">
      <alignment horizontal="center" vertical="center" wrapText="1"/>
    </xf>
    <xf numFmtId="0" fontId="17" fillId="0" borderId="1" xfId="1" applyFont="1" applyBorder="1" applyAlignment="1">
      <alignment horizontal="center" vertical="center" wrapText="1"/>
    </xf>
    <xf numFmtId="0" fontId="18" fillId="0" borderId="1" xfId="1" applyFont="1" applyBorder="1" applyAlignment="1">
      <alignment horizontal="center" vertical="center" wrapText="1"/>
    </xf>
    <xf numFmtId="166" fontId="20" fillId="0" borderId="1" xfId="1" applyNumberFormat="1" applyFont="1" applyBorder="1" applyAlignment="1">
      <alignment horizontal="center" vertical="center" wrapText="1"/>
    </xf>
    <xf numFmtId="0" fontId="23" fillId="0" borderId="0" xfId="5" applyFont="1"/>
    <xf numFmtId="0" fontId="24" fillId="8" borderId="1" xfId="5" applyFont="1" applyFill="1" applyBorder="1" applyAlignment="1">
      <alignment horizontal="center" vertical="center" wrapText="1" readingOrder="1"/>
    </xf>
    <xf numFmtId="0" fontId="26" fillId="9" borderId="1" xfId="5" applyFont="1" applyFill="1" applyBorder="1" applyAlignment="1">
      <alignment horizontal="center" vertical="center" wrapText="1" readingOrder="1"/>
    </xf>
    <xf numFmtId="9" fontId="24" fillId="8" borderId="1" xfId="5" applyNumberFormat="1" applyFont="1" applyFill="1" applyBorder="1" applyAlignment="1">
      <alignment horizontal="center" vertical="center" wrapText="1" readingOrder="1"/>
    </xf>
    <xf numFmtId="0" fontId="28" fillId="0" borderId="1" xfId="4" applyFont="1" applyBorder="1" applyAlignment="1">
      <alignment vertical="center" wrapText="1"/>
    </xf>
    <xf numFmtId="0" fontId="28" fillId="0" borderId="1" xfId="1" applyFont="1" applyBorder="1" applyAlignment="1">
      <alignment horizontal="center" vertical="center" wrapText="1"/>
    </xf>
    <xf numFmtId="0" fontId="23" fillId="0" borderId="0" xfId="5" applyFont="1" applyAlignment="1">
      <alignment horizontal="left" vertical="center"/>
    </xf>
    <xf numFmtId="0" fontId="27" fillId="8" borderId="1" xfId="5" applyFont="1" applyFill="1" applyBorder="1" applyAlignment="1">
      <alignment horizontal="center" vertical="center" wrapText="1" readingOrder="1"/>
    </xf>
    <xf numFmtId="167" fontId="8" fillId="0" borderId="0" xfId="2" applyNumberFormat="1" applyFont="1" applyAlignment="1">
      <alignment horizontal="center" vertical="center" wrapText="1"/>
    </xf>
    <xf numFmtId="0" fontId="8" fillId="0" borderId="0" xfId="3" applyFont="1" applyAlignment="1">
      <alignment horizontal="left" vertical="center" wrapText="1"/>
    </xf>
    <xf numFmtId="0" fontId="14" fillId="0" borderId="0" xfId="3" applyFont="1" applyAlignment="1">
      <alignment horizontal="center" vertical="center" wrapText="1"/>
    </xf>
    <xf numFmtId="165" fontId="14" fillId="0" borderId="0" xfId="3" applyNumberFormat="1" applyFont="1" applyAlignment="1">
      <alignment horizontal="center" vertical="center" wrapText="1"/>
    </xf>
    <xf numFmtId="14" fontId="14" fillId="0" borderId="0" xfId="3" applyNumberFormat="1" applyFont="1" applyAlignment="1">
      <alignment horizontal="center" vertical="center" wrapText="1"/>
    </xf>
    <xf numFmtId="0" fontId="16" fillId="0" borderId="0" xfId="5" applyFont="1" applyAlignment="1">
      <alignment horizontal="center" vertical="center" wrapText="1" readingOrder="1"/>
    </xf>
    <xf numFmtId="9" fontId="16" fillId="0" borderId="0" xfId="5" applyNumberFormat="1" applyFont="1" applyAlignment="1">
      <alignment horizontal="center" vertical="center" wrapText="1" readingOrder="1"/>
    </xf>
    <xf numFmtId="0" fontId="15" fillId="0" borderId="0" xfId="1" applyFont="1" applyAlignment="1">
      <alignment horizontal="center" vertical="center" wrapText="1"/>
    </xf>
    <xf numFmtId="166" fontId="20" fillId="0" borderId="0" xfId="1" applyNumberFormat="1" applyFont="1" applyAlignment="1">
      <alignment horizontal="center" vertical="center" wrapText="1"/>
    </xf>
    <xf numFmtId="0" fontId="28" fillId="0" borderId="0" xfId="1" applyFont="1" applyAlignment="1">
      <alignment horizontal="center" vertical="center" wrapText="1"/>
    </xf>
    <xf numFmtId="0" fontId="18" fillId="0" borderId="0" xfId="1" applyFont="1" applyAlignment="1">
      <alignment horizontal="center" vertical="center" wrapText="1"/>
    </xf>
    <xf numFmtId="166" fontId="15" fillId="0" borderId="0" xfId="4" applyNumberFormat="1" applyFont="1" applyAlignment="1">
      <alignment horizontal="left" vertical="center" wrapText="1"/>
    </xf>
    <xf numFmtId="0" fontId="17" fillId="0" borderId="0" xfId="1" applyFont="1" applyAlignment="1">
      <alignment horizontal="left" vertical="center" wrapText="1"/>
    </xf>
    <xf numFmtId="0" fontId="18" fillId="0" borderId="0" xfId="1" applyFont="1" applyAlignment="1">
      <alignment horizontal="left" vertical="center" wrapText="1"/>
    </xf>
    <xf numFmtId="166" fontId="20" fillId="0" borderId="0" xfId="1" applyNumberFormat="1" applyFont="1" applyAlignment="1">
      <alignment horizontal="left" vertical="center" wrapText="1"/>
    </xf>
    <xf numFmtId="166" fontId="21" fillId="0" borderId="0" xfId="1" applyNumberFormat="1" applyFont="1" applyAlignment="1">
      <alignment horizontal="left" vertical="center" wrapText="1"/>
    </xf>
    <xf numFmtId="164" fontId="8" fillId="0" borderId="0" xfId="2" applyNumberFormat="1" applyFont="1" applyAlignment="1">
      <alignment horizontal="center" vertical="center" wrapText="1"/>
    </xf>
    <xf numFmtId="0" fontId="7" fillId="0" borderId="0" xfId="2" applyFont="1" applyAlignment="1">
      <alignment horizontal="left" vertical="center" wrapText="1"/>
    </xf>
    <xf numFmtId="0" fontId="8" fillId="0" borderId="0" xfId="3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7" fillId="0" borderId="0" xfId="3" applyFont="1" applyAlignment="1">
      <alignment horizontal="center" vertical="center" wrapText="1"/>
    </xf>
    <xf numFmtId="49" fontId="16" fillId="8" borderId="1" xfId="5" applyNumberFormat="1" applyFont="1" applyFill="1" applyBorder="1" applyAlignment="1">
      <alignment horizontal="center" vertical="center" wrapText="1" readingOrder="1"/>
    </xf>
    <xf numFmtId="0" fontId="16" fillId="10" borderId="1" xfId="5" applyFont="1" applyFill="1" applyBorder="1" applyAlignment="1">
      <alignment horizontal="center" vertical="center" wrapText="1" readingOrder="1"/>
    </xf>
    <xf numFmtId="9" fontId="24" fillId="10" borderId="1" xfId="5" applyNumberFormat="1" applyFont="1" applyFill="1" applyBorder="1" applyAlignment="1">
      <alignment horizontal="center" vertical="center" wrapText="1" readingOrder="1"/>
    </xf>
    <xf numFmtId="165" fontId="11" fillId="0" borderId="0" xfId="3" applyNumberFormat="1" applyFont="1" applyAlignment="1">
      <alignment horizontal="center" vertical="center" wrapText="1"/>
    </xf>
    <xf numFmtId="14" fontId="11" fillId="0" borderId="0" xfId="3" applyNumberFormat="1" applyFont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0" fontId="2" fillId="0" borderId="0" xfId="1" applyFont="1" applyAlignment="1">
      <alignment horizontal="center" vertical="center" wrapText="1"/>
    </xf>
    <xf numFmtId="0" fontId="8" fillId="0" borderId="1" xfId="3" applyFont="1" applyBorder="1" applyAlignment="1">
      <alignment vertical="center" wrapText="1"/>
    </xf>
    <xf numFmtId="0" fontId="33" fillId="0" borderId="1" xfId="3" applyFont="1" applyBorder="1" applyAlignment="1">
      <alignment vertical="center" wrapText="1"/>
    </xf>
    <xf numFmtId="0" fontId="36" fillId="13" borderId="3" xfId="0" applyFont="1" applyFill="1" applyBorder="1" applyAlignment="1">
      <alignment horizontal="center" vertical="center" wrapText="1"/>
    </xf>
    <xf numFmtId="14" fontId="38" fillId="0" borderId="1" xfId="6" applyNumberFormat="1" applyFont="1" applyFill="1" applyBorder="1" applyAlignment="1">
      <alignment horizontal="center" vertical="center" wrapText="1"/>
    </xf>
    <xf numFmtId="0" fontId="38" fillId="0" borderId="1" xfId="6" applyFont="1" applyFill="1" applyBorder="1" applyAlignment="1">
      <alignment horizontal="center" vertical="center" wrapText="1"/>
    </xf>
    <xf numFmtId="165" fontId="38" fillId="0" borderId="1" xfId="6" applyNumberFormat="1" applyFont="1" applyFill="1" applyBorder="1" applyAlignment="1">
      <alignment horizontal="center" vertical="center" wrapText="1"/>
    </xf>
    <xf numFmtId="0" fontId="24" fillId="0" borderId="0" xfId="2" applyFont="1" applyAlignment="1">
      <alignment horizontal="center" vertical="center" wrapText="1"/>
    </xf>
    <xf numFmtId="165" fontId="5" fillId="0" borderId="1" xfId="3" applyNumberFormat="1" applyFont="1" applyBorder="1" applyAlignment="1">
      <alignment horizontal="right" vertical="center" wrapText="1"/>
    </xf>
    <xf numFmtId="0" fontId="5" fillId="0" borderId="1" xfId="2" applyFont="1" applyBorder="1" applyAlignment="1">
      <alignment horizontal="right" vertical="center" wrapText="1"/>
    </xf>
    <xf numFmtId="0" fontId="5" fillId="0" borderId="1" xfId="3" applyFont="1" applyBorder="1" applyAlignment="1">
      <alignment horizontal="center" vertical="center" wrapText="1"/>
    </xf>
    <xf numFmtId="0" fontId="24" fillId="0" borderId="0" xfId="1" applyFont="1" applyAlignment="1">
      <alignment horizontal="center" vertical="center" wrapText="1"/>
    </xf>
    <xf numFmtId="165" fontId="5" fillId="0" borderId="1" xfId="1" applyNumberFormat="1" applyFont="1" applyBorder="1" applyAlignment="1">
      <alignment horizontal="right" vertical="center" wrapText="1"/>
    </xf>
    <xf numFmtId="0" fontId="5" fillId="0" borderId="1" xfId="4" applyFont="1" applyBorder="1" applyAlignment="1">
      <alignment horizontal="right" vertical="center" wrapText="1"/>
    </xf>
    <xf numFmtId="14" fontId="24" fillId="0" borderId="1" xfId="3" applyNumberFormat="1" applyFont="1" applyBorder="1" applyAlignment="1">
      <alignment horizontal="center" vertical="center" wrapText="1"/>
    </xf>
    <xf numFmtId="165" fontId="5" fillId="0" borderId="2" xfId="1" applyNumberFormat="1" applyFont="1" applyBorder="1" applyAlignment="1">
      <alignment horizontal="right" vertical="center" wrapText="1"/>
    </xf>
    <xf numFmtId="0" fontId="5" fillId="0" borderId="1" xfId="1" applyFont="1" applyBorder="1" applyAlignment="1">
      <alignment horizontal="right" vertical="center" wrapText="1"/>
    </xf>
    <xf numFmtId="0" fontId="5" fillId="0" borderId="1" xfId="3" applyFont="1" applyBorder="1" applyAlignment="1">
      <alignment horizontal="right" vertical="center" wrapText="1"/>
    </xf>
    <xf numFmtId="165" fontId="5" fillId="0" borderId="1" xfId="4" applyNumberFormat="1" applyFont="1" applyBorder="1" applyAlignment="1">
      <alignment horizontal="right" vertical="center" wrapText="1"/>
    </xf>
    <xf numFmtId="0" fontId="24" fillId="0" borderId="1" xfId="3" applyFont="1" applyBorder="1" applyAlignment="1">
      <alignment horizontal="center" vertical="center" wrapText="1"/>
    </xf>
    <xf numFmtId="14" fontId="27" fillId="0" borderId="1" xfId="3" applyNumberFormat="1" applyFont="1" applyBorder="1" applyAlignment="1">
      <alignment horizontal="center" vertical="center" wrapText="1"/>
    </xf>
    <xf numFmtId="165" fontId="5" fillId="0" borderId="1" xfId="2" applyNumberFormat="1" applyFont="1" applyBorder="1" applyAlignment="1">
      <alignment horizontal="right" vertical="center" wrapText="1"/>
    </xf>
    <xf numFmtId="14" fontId="5" fillId="0" borderId="1" xfId="3" applyNumberFormat="1" applyFont="1" applyBorder="1" applyAlignment="1">
      <alignment horizontal="center" vertical="center" wrapText="1"/>
    </xf>
    <xf numFmtId="0" fontId="24" fillId="0" borderId="0" xfId="1" applyFont="1" applyAlignment="1">
      <alignment vertical="center" wrapText="1"/>
    </xf>
    <xf numFmtId="165" fontId="39" fillId="0" borderId="1" xfId="6" applyNumberFormat="1" applyFont="1" applyFill="1" applyBorder="1" applyAlignment="1">
      <alignment horizontal="center" vertical="center" wrapText="1"/>
    </xf>
    <xf numFmtId="0" fontId="39" fillId="0" borderId="1" xfId="6" applyFont="1" applyFill="1" applyBorder="1" applyAlignment="1">
      <alignment horizontal="center" vertical="center" wrapText="1"/>
    </xf>
    <xf numFmtId="0" fontId="5" fillId="13" borderId="2" xfId="3" applyFont="1" applyFill="1" applyBorder="1" applyAlignment="1">
      <alignment horizontal="center" vertical="center" wrapText="1"/>
    </xf>
    <xf numFmtId="0" fontId="5" fillId="13" borderId="3" xfId="3" applyFont="1" applyFill="1" applyBorder="1" applyAlignment="1">
      <alignment horizontal="center" vertical="center" wrapText="1"/>
    </xf>
    <xf numFmtId="0" fontId="5" fillId="13" borderId="4" xfId="3" applyFont="1" applyFill="1" applyBorder="1" applyAlignment="1">
      <alignment horizontal="center" vertical="center" wrapText="1"/>
    </xf>
    <xf numFmtId="0" fontId="5" fillId="13" borderId="3" xfId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169" fontId="24" fillId="0" borderId="7" xfId="1" applyNumberFormat="1" applyFont="1" applyBorder="1" applyAlignment="1">
      <alignment horizontal="center" vertical="center" wrapText="1"/>
    </xf>
    <xf numFmtId="0" fontId="32" fillId="0" borderId="0" xfId="1" applyFont="1" applyAlignment="1">
      <alignment horizontal="center" vertical="center" wrapText="1"/>
    </xf>
    <xf numFmtId="0" fontId="29" fillId="0" borderId="1" xfId="1" applyFont="1" applyBorder="1" applyAlignment="1">
      <alignment horizontal="center" vertical="center" wrapText="1"/>
    </xf>
    <xf numFmtId="0" fontId="29" fillId="0" borderId="0" xfId="1" applyFont="1" applyAlignment="1">
      <alignment horizontal="center" vertical="center" wrapText="1"/>
    </xf>
    <xf numFmtId="167" fontId="5" fillId="16" borderId="2" xfId="2" applyNumberFormat="1" applyFont="1" applyFill="1" applyBorder="1" applyAlignment="1">
      <alignment horizontal="center" vertical="center" wrapText="1"/>
    </xf>
    <xf numFmtId="0" fontId="5" fillId="16" borderId="2" xfId="2" applyFont="1" applyFill="1" applyBorder="1" applyAlignment="1">
      <alignment horizontal="center" vertical="center" wrapText="1"/>
    </xf>
    <xf numFmtId="167" fontId="5" fillId="16" borderId="1" xfId="1" applyNumberFormat="1" applyFont="1" applyFill="1" applyBorder="1" applyAlignment="1">
      <alignment horizontal="center" vertical="center" wrapText="1"/>
    </xf>
    <xf numFmtId="0" fontId="5" fillId="16" borderId="1" xfId="1" applyFont="1" applyFill="1" applyBorder="1" applyAlignment="1">
      <alignment horizontal="center" vertical="center" wrapText="1"/>
    </xf>
    <xf numFmtId="0" fontId="5" fillId="16" borderId="2" xfId="1" applyFont="1" applyFill="1" applyBorder="1" applyAlignment="1">
      <alignment horizontal="center" vertical="center" wrapText="1"/>
    </xf>
    <xf numFmtId="0" fontId="5" fillId="16" borderId="4" xfId="1" applyFont="1" applyFill="1" applyBorder="1" applyAlignment="1">
      <alignment horizontal="center" vertical="center" wrapText="1"/>
    </xf>
    <xf numFmtId="0" fontId="5" fillId="16" borderId="2" xfId="3" applyFont="1" applyFill="1" applyBorder="1" applyAlignment="1">
      <alignment horizontal="center" vertical="center" wrapText="1"/>
    </xf>
    <xf numFmtId="0" fontId="5" fillId="16" borderId="3" xfId="3" applyFont="1" applyFill="1" applyBorder="1" applyAlignment="1">
      <alignment horizontal="center" vertical="center" wrapText="1"/>
    </xf>
    <xf numFmtId="0" fontId="5" fillId="16" borderId="3" xfId="1" applyFont="1" applyFill="1" applyBorder="1" applyAlignment="1">
      <alignment horizontal="center" vertical="center" wrapText="1"/>
    </xf>
    <xf numFmtId="0" fontId="5" fillId="16" borderId="4" xfId="3" applyFont="1" applyFill="1" applyBorder="1" applyAlignment="1">
      <alignment horizontal="center" vertical="center" wrapText="1"/>
    </xf>
    <xf numFmtId="0" fontId="8" fillId="0" borderId="2" xfId="3" applyFont="1" applyBorder="1" applyAlignment="1">
      <alignment vertical="center" wrapText="1"/>
    </xf>
    <xf numFmtId="0" fontId="8" fillId="0" borderId="3" xfId="3" applyFont="1" applyBorder="1" applyAlignment="1">
      <alignment vertical="center" wrapText="1"/>
    </xf>
    <xf numFmtId="0" fontId="8" fillId="0" borderId="4" xfId="3" applyFont="1" applyBorder="1" applyAlignment="1">
      <alignment vertical="center" wrapText="1"/>
    </xf>
    <xf numFmtId="0" fontId="5" fillId="16" borderId="1" xfId="2" applyFont="1" applyFill="1" applyBorder="1" applyAlignment="1">
      <alignment horizontal="center" vertical="center" wrapText="1"/>
    </xf>
    <xf numFmtId="0" fontId="5" fillId="16" borderId="4" xfId="2" applyFont="1" applyFill="1" applyBorder="1" applyAlignment="1">
      <alignment horizontal="center" vertical="center" wrapText="1"/>
    </xf>
    <xf numFmtId="0" fontId="8" fillId="0" borderId="0" xfId="2" applyFont="1" applyAlignment="1">
      <alignment horizontal="center" vertical="center" wrapText="1"/>
    </xf>
    <xf numFmtId="0" fontId="15" fillId="0" borderId="1" xfId="4" applyFont="1" applyBorder="1" applyAlignment="1">
      <alignment horizontal="center" vertical="center" wrapText="1"/>
    </xf>
    <xf numFmtId="0" fontId="20" fillId="0" borderId="1" xfId="4" applyFont="1" applyBorder="1" applyAlignment="1">
      <alignment horizontal="center" vertical="center" wrapText="1"/>
    </xf>
    <xf numFmtId="0" fontId="17" fillId="0" borderId="1" xfId="4" applyFont="1" applyBorder="1" applyAlignment="1">
      <alignment horizontal="center" vertical="center" wrapText="1"/>
    </xf>
    <xf numFmtId="0" fontId="28" fillId="0" borderId="1" xfId="4" applyFont="1" applyBorder="1" applyAlignment="1">
      <alignment horizontal="center" vertical="center" wrapText="1"/>
    </xf>
    <xf numFmtId="0" fontId="18" fillId="0" borderId="1" xfId="4" applyFont="1" applyBorder="1" applyAlignment="1">
      <alignment horizontal="center" vertical="center" wrapText="1"/>
    </xf>
    <xf numFmtId="0" fontId="5" fillId="0" borderId="0" xfId="3" applyFont="1" applyAlignment="1">
      <alignment horizontal="left" vertical="center" wrapText="1"/>
    </xf>
    <xf numFmtId="0" fontId="5" fillId="0" borderId="0" xfId="3" applyFont="1" applyAlignment="1">
      <alignment horizontal="center" vertical="center" wrapText="1"/>
    </xf>
    <xf numFmtId="0" fontId="24" fillId="0" borderId="0" xfId="1" applyFont="1" applyAlignment="1">
      <alignment horizontal="left" vertical="center" wrapText="1"/>
    </xf>
    <xf numFmtId="0" fontId="44" fillId="0" borderId="1" xfId="3" applyFont="1" applyBorder="1" applyAlignment="1">
      <alignment horizontal="center" vertical="center" wrapText="1"/>
    </xf>
    <xf numFmtId="0" fontId="42" fillId="0" borderId="0" xfId="2" applyFont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165" fontId="11" fillId="12" borderId="1" xfId="3" applyNumberFormat="1" applyFont="1" applyFill="1" applyBorder="1" applyAlignment="1">
      <alignment horizontal="center" vertical="center" wrapText="1"/>
    </xf>
    <xf numFmtId="0" fontId="11" fillId="12" borderId="1" xfId="3" applyFont="1" applyFill="1" applyBorder="1" applyAlignment="1">
      <alignment horizontal="center" vertical="center" wrapText="1"/>
    </xf>
    <xf numFmtId="165" fontId="8" fillId="12" borderId="1" xfId="3" applyNumberFormat="1" applyFont="1" applyFill="1" applyBorder="1" applyAlignment="1">
      <alignment horizontal="right" vertical="center" wrapText="1"/>
    </xf>
    <xf numFmtId="0" fontId="12" fillId="12" borderId="1" xfId="3" applyFont="1" applyFill="1" applyBorder="1" applyAlignment="1">
      <alignment horizontal="center" vertical="center" wrapText="1"/>
    </xf>
    <xf numFmtId="165" fontId="44" fillId="11" borderId="1" xfId="3" applyNumberFormat="1" applyFont="1" applyFill="1" applyBorder="1" applyAlignment="1">
      <alignment horizontal="center" vertical="center" wrapText="1"/>
    </xf>
    <xf numFmtId="14" fontId="44" fillId="11" borderId="1" xfId="3" applyNumberFormat="1" applyFont="1" applyFill="1" applyBorder="1" applyAlignment="1">
      <alignment horizontal="center" vertical="center" wrapText="1"/>
    </xf>
    <xf numFmtId="0" fontId="44" fillId="11" borderId="1" xfId="3" applyFont="1" applyFill="1" applyBorder="1" applyAlignment="1">
      <alignment vertical="center" wrapText="1"/>
    </xf>
    <xf numFmtId="0" fontId="4" fillId="12" borderId="0" xfId="2" applyFont="1" applyFill="1" applyAlignment="1">
      <alignment horizontal="center" vertical="center" wrapText="1"/>
    </xf>
    <xf numFmtId="168" fontId="5" fillId="12" borderId="1" xfId="2" applyNumberFormat="1" applyFont="1" applyFill="1" applyBorder="1" applyAlignment="1">
      <alignment horizontal="right" vertical="center" wrapText="1"/>
    </xf>
    <xf numFmtId="0" fontId="5" fillId="12" borderId="1" xfId="3" applyFont="1" applyFill="1" applyBorder="1" applyAlignment="1">
      <alignment horizontal="center" vertical="center" wrapText="1"/>
    </xf>
    <xf numFmtId="165" fontId="12" fillId="12" borderId="1" xfId="3" applyNumberFormat="1" applyFont="1" applyFill="1" applyBorder="1" applyAlignment="1">
      <alignment horizontal="center" vertical="center" wrapText="1"/>
    </xf>
    <xf numFmtId="14" fontId="12" fillId="12" borderId="1" xfId="3" applyNumberFormat="1" applyFont="1" applyFill="1" applyBorder="1" applyAlignment="1">
      <alignment horizontal="center" vertical="center" wrapText="1"/>
    </xf>
    <xf numFmtId="0" fontId="12" fillId="12" borderId="1" xfId="3" applyFont="1" applyFill="1" applyBorder="1" applyAlignment="1">
      <alignment vertical="center" wrapText="1"/>
    </xf>
    <xf numFmtId="165" fontId="5" fillId="12" borderId="1" xfId="3" applyNumberFormat="1" applyFont="1" applyFill="1" applyBorder="1" applyAlignment="1">
      <alignment horizontal="right" vertical="center" wrapText="1"/>
    </xf>
    <xf numFmtId="165" fontId="5" fillId="12" borderId="1" xfId="1" applyNumberFormat="1" applyFont="1" applyFill="1" applyBorder="1" applyAlignment="1">
      <alignment horizontal="right" vertical="center" wrapText="1"/>
    </xf>
    <xf numFmtId="0" fontId="8" fillId="12" borderId="1" xfId="3" applyFont="1" applyFill="1" applyBorder="1" applyAlignment="1">
      <alignment horizontal="center" vertical="center" wrapText="1"/>
    </xf>
    <xf numFmtId="165" fontId="14" fillId="12" borderId="1" xfId="3" applyNumberFormat="1" applyFont="1" applyFill="1" applyBorder="1" applyAlignment="1">
      <alignment horizontal="center" vertical="center" wrapText="1"/>
    </xf>
    <xf numFmtId="14" fontId="14" fillId="12" borderId="1" xfId="3" applyNumberFormat="1" applyFont="1" applyFill="1" applyBorder="1" applyAlignment="1">
      <alignment horizontal="center" vertical="center" wrapText="1"/>
    </xf>
    <xf numFmtId="0" fontId="14" fillId="12" borderId="1" xfId="3" applyFont="1" applyFill="1" applyBorder="1" applyAlignment="1">
      <alignment horizontal="center" vertical="center" wrapText="1"/>
    </xf>
    <xf numFmtId="14" fontId="11" fillId="12" borderId="1" xfId="3" applyNumberFormat="1" applyFont="1" applyFill="1" applyBorder="1" applyAlignment="1">
      <alignment horizontal="center" vertical="center" wrapText="1"/>
    </xf>
    <xf numFmtId="0" fontId="5" fillId="16" borderId="2" xfId="3" applyFont="1" applyFill="1" applyBorder="1" applyAlignment="1">
      <alignment horizontal="left" vertical="center" wrapText="1"/>
    </xf>
    <xf numFmtId="0" fontId="5" fillId="16" borderId="1" xfId="1" applyFont="1" applyFill="1" applyBorder="1" applyAlignment="1">
      <alignment horizontal="left" vertical="center" wrapText="1"/>
    </xf>
    <xf numFmtId="0" fontId="5" fillId="16" borderId="3" xfId="3" applyFont="1" applyFill="1" applyBorder="1" applyAlignment="1">
      <alignment horizontal="left" vertical="center" wrapText="1"/>
    </xf>
    <xf numFmtId="0" fontId="5" fillId="13" borderId="3" xfId="3" applyFont="1" applyFill="1" applyBorder="1" applyAlignment="1">
      <alignment horizontal="left" vertical="center" wrapText="1"/>
    </xf>
    <xf numFmtId="0" fontId="15" fillId="0" borderId="0" xfId="1" applyFont="1" applyAlignment="1">
      <alignment horizontal="left" vertical="center" wrapText="1"/>
    </xf>
    <xf numFmtId="0" fontId="29" fillId="0" borderId="0" xfId="1" applyFont="1" applyAlignment="1">
      <alignment horizontal="left" vertical="center" wrapText="1"/>
    </xf>
    <xf numFmtId="0" fontId="28" fillId="0" borderId="0" xfId="1" applyFont="1" applyAlignment="1">
      <alignment horizontal="left" vertical="center" wrapText="1"/>
    </xf>
    <xf numFmtId="165" fontId="7" fillId="12" borderId="1" xfId="1" applyNumberFormat="1" applyFont="1" applyFill="1" applyBorder="1" applyAlignment="1">
      <alignment horizontal="right" vertical="center" wrapText="1"/>
    </xf>
    <xf numFmtId="168" fontId="8" fillId="12" borderId="1" xfId="2" applyNumberFormat="1" applyFont="1" applyFill="1" applyBorder="1" applyAlignment="1">
      <alignment horizontal="right" vertical="center" wrapText="1"/>
    </xf>
    <xf numFmtId="0" fontId="24" fillId="12" borderId="0" xfId="2" applyFont="1" applyFill="1" applyAlignment="1">
      <alignment horizontal="center" vertical="center" wrapText="1"/>
    </xf>
    <xf numFmtId="166" fontId="41" fillId="0" borderId="0" xfId="4" applyNumberFormat="1" applyFont="1" applyAlignment="1">
      <alignment horizontal="left" vertical="center" wrapText="1"/>
    </xf>
    <xf numFmtId="0" fontId="41" fillId="0" borderId="0" xfId="1" applyFont="1" applyAlignment="1">
      <alignment horizontal="left" vertical="center" wrapText="1"/>
    </xf>
    <xf numFmtId="166" fontId="41" fillId="0" borderId="0" xfId="1" applyNumberFormat="1" applyFont="1" applyAlignment="1">
      <alignment horizontal="left" vertical="center" wrapText="1"/>
    </xf>
    <xf numFmtId="166" fontId="50" fillId="0" borderId="0" xfId="1" applyNumberFormat="1" applyFont="1" applyAlignment="1">
      <alignment horizontal="left" vertical="center" wrapText="1"/>
    </xf>
    <xf numFmtId="0" fontId="5" fillId="12" borderId="1" xfId="2" applyFont="1" applyFill="1" applyBorder="1" applyAlignment="1">
      <alignment horizontal="right" vertical="center" wrapText="1"/>
    </xf>
    <xf numFmtId="165" fontId="33" fillId="12" borderId="1" xfId="3" applyNumberFormat="1" applyFont="1" applyFill="1" applyBorder="1" applyAlignment="1">
      <alignment horizontal="right" vertical="center" wrapText="1"/>
    </xf>
    <xf numFmtId="0" fontId="33" fillId="12" borderId="1" xfId="2" applyFont="1" applyFill="1" applyBorder="1" applyAlignment="1">
      <alignment horizontal="right" vertical="center" wrapText="1"/>
    </xf>
    <xf numFmtId="0" fontId="24" fillId="10" borderId="0" xfId="2" applyFont="1" applyFill="1" applyAlignment="1">
      <alignment horizontal="center" vertical="center" wrapText="1"/>
    </xf>
    <xf numFmtId="0" fontId="24" fillId="10" borderId="7" xfId="2" applyFont="1" applyFill="1" applyBorder="1" applyAlignment="1">
      <alignment horizontal="center" vertical="center" wrapText="1"/>
    </xf>
    <xf numFmtId="0" fontId="5" fillId="10" borderId="1" xfId="3" applyFont="1" applyFill="1" applyBorder="1" applyAlignment="1">
      <alignment horizontal="center" vertical="center" wrapText="1"/>
    </xf>
    <xf numFmtId="165" fontId="5" fillId="10" borderId="1" xfId="1" applyNumberFormat="1" applyFont="1" applyFill="1" applyBorder="1" applyAlignment="1">
      <alignment horizontal="right" vertical="center" wrapText="1"/>
    </xf>
    <xf numFmtId="165" fontId="5" fillId="10" borderId="1" xfId="3" applyNumberFormat="1" applyFont="1" applyFill="1" applyBorder="1" applyAlignment="1">
      <alignment horizontal="right" vertical="center" wrapText="1"/>
    </xf>
    <xf numFmtId="0" fontId="5" fillId="10" borderId="1" xfId="2" applyFont="1" applyFill="1" applyBorder="1" applyAlignment="1">
      <alignment horizontal="right" vertical="center" wrapText="1"/>
    </xf>
    <xf numFmtId="0" fontId="12" fillId="10" borderId="1" xfId="3" applyFont="1" applyFill="1" applyBorder="1" applyAlignment="1">
      <alignment horizontal="center" vertical="center" wrapText="1"/>
    </xf>
    <xf numFmtId="165" fontId="12" fillId="10" borderId="1" xfId="3" applyNumberFormat="1" applyFont="1" applyFill="1" applyBorder="1" applyAlignment="1">
      <alignment horizontal="center" vertical="center" wrapText="1"/>
    </xf>
    <xf numFmtId="14" fontId="12" fillId="10" borderId="1" xfId="3" applyNumberFormat="1" applyFont="1" applyFill="1" applyBorder="1" applyAlignment="1">
      <alignment horizontal="center" vertical="center" wrapText="1"/>
    </xf>
    <xf numFmtId="0" fontId="12" fillId="10" borderId="1" xfId="3" applyFont="1" applyFill="1" applyBorder="1" applyAlignment="1">
      <alignment vertical="center" wrapText="1"/>
    </xf>
    <xf numFmtId="0" fontId="45" fillId="10" borderId="0" xfId="2" applyFont="1" applyFill="1" applyAlignment="1">
      <alignment horizontal="center" vertical="center" wrapText="1"/>
    </xf>
    <xf numFmtId="165" fontId="46" fillId="10" borderId="1" xfId="3" applyNumberFormat="1" applyFont="1" applyFill="1" applyBorder="1" applyAlignment="1">
      <alignment horizontal="right" vertical="center" wrapText="1"/>
    </xf>
    <xf numFmtId="0" fontId="46" fillId="10" borderId="1" xfId="2" applyFont="1" applyFill="1" applyBorder="1" applyAlignment="1">
      <alignment horizontal="right" vertical="center" wrapText="1"/>
    </xf>
    <xf numFmtId="0" fontId="46" fillId="10" borderId="1" xfId="3" applyFont="1" applyFill="1" applyBorder="1" applyAlignment="1">
      <alignment horizontal="center" vertical="center" wrapText="1"/>
    </xf>
    <xf numFmtId="0" fontId="47" fillId="10" borderId="1" xfId="3" applyFont="1" applyFill="1" applyBorder="1" applyAlignment="1">
      <alignment horizontal="center" vertical="center" wrapText="1"/>
    </xf>
    <xf numFmtId="165" fontId="47" fillId="10" borderId="1" xfId="3" applyNumberFormat="1" applyFont="1" applyFill="1" applyBorder="1" applyAlignment="1">
      <alignment horizontal="center" vertical="center" wrapText="1"/>
    </xf>
    <xf numFmtId="14" fontId="47" fillId="10" borderId="1" xfId="3" applyNumberFormat="1" applyFont="1" applyFill="1" applyBorder="1" applyAlignment="1">
      <alignment horizontal="center" vertical="center" wrapText="1"/>
    </xf>
    <xf numFmtId="0" fontId="47" fillId="10" borderId="1" xfId="3" applyFont="1" applyFill="1" applyBorder="1" applyAlignment="1">
      <alignment vertical="center" wrapText="1"/>
    </xf>
    <xf numFmtId="0" fontId="11" fillId="10" borderId="1" xfId="3" applyFont="1" applyFill="1" applyBorder="1" applyAlignment="1">
      <alignment horizontal="center" vertical="center" wrapText="1"/>
    </xf>
    <xf numFmtId="165" fontId="51" fillId="10" borderId="1" xfId="3" applyNumberFormat="1" applyFont="1" applyFill="1" applyBorder="1" applyAlignment="1">
      <alignment horizontal="center" vertical="center" wrapText="1"/>
    </xf>
    <xf numFmtId="0" fontId="52" fillId="10" borderId="1" xfId="0" applyFont="1" applyFill="1" applyBorder="1" applyAlignment="1">
      <alignment horizontal="center" vertical="center" wrapText="1"/>
    </xf>
    <xf numFmtId="165" fontId="7" fillId="10" borderId="1" xfId="1" applyNumberFormat="1" applyFont="1" applyFill="1" applyBorder="1" applyAlignment="1">
      <alignment horizontal="right" vertical="center" wrapText="1"/>
    </xf>
    <xf numFmtId="165" fontId="7" fillId="10" borderId="1" xfId="3" applyNumberFormat="1" applyFont="1" applyFill="1" applyBorder="1" applyAlignment="1">
      <alignment horizontal="right" vertical="center" wrapText="1"/>
    </xf>
    <xf numFmtId="168" fontId="5" fillId="10" borderId="1" xfId="2" applyNumberFormat="1" applyFont="1" applyFill="1" applyBorder="1" applyAlignment="1">
      <alignment horizontal="right" vertical="center" wrapText="1"/>
    </xf>
    <xf numFmtId="165" fontId="8" fillId="9" borderId="1" xfId="3" applyNumberFormat="1" applyFont="1" applyFill="1" applyBorder="1" applyAlignment="1">
      <alignment horizontal="right" vertical="center" wrapText="1"/>
    </xf>
    <xf numFmtId="0" fontId="8" fillId="9" borderId="1" xfId="2" applyFont="1" applyFill="1" applyBorder="1" applyAlignment="1">
      <alignment horizontal="right" vertical="center" wrapText="1"/>
    </xf>
    <xf numFmtId="0" fontId="8" fillId="9" borderId="1" xfId="3" applyFont="1" applyFill="1" applyBorder="1" applyAlignment="1">
      <alignment horizontal="center" vertical="center" wrapText="1"/>
    </xf>
    <xf numFmtId="0" fontId="11" fillId="9" borderId="1" xfId="3" applyFont="1" applyFill="1" applyBorder="1" applyAlignment="1">
      <alignment horizontal="center" vertical="center" wrapText="1"/>
    </xf>
    <xf numFmtId="165" fontId="14" fillId="9" borderId="1" xfId="3" applyNumberFormat="1" applyFont="1" applyFill="1" applyBorder="1" applyAlignment="1">
      <alignment horizontal="center" vertical="center" wrapText="1"/>
    </xf>
    <xf numFmtId="14" fontId="14" fillId="9" borderId="1" xfId="3" applyNumberFormat="1" applyFont="1" applyFill="1" applyBorder="1" applyAlignment="1">
      <alignment horizontal="center" vertical="center" wrapText="1"/>
    </xf>
    <xf numFmtId="0" fontId="14" fillId="9" borderId="1" xfId="3" applyFont="1" applyFill="1" applyBorder="1" applyAlignment="1">
      <alignment horizontal="center" vertical="center" wrapText="1"/>
    </xf>
    <xf numFmtId="165" fontId="12" fillId="9" borderId="1" xfId="3" applyNumberFormat="1" applyFont="1" applyFill="1" applyBorder="1" applyAlignment="1">
      <alignment horizontal="center" vertical="center" wrapText="1"/>
    </xf>
    <xf numFmtId="0" fontId="12" fillId="9" borderId="1" xfId="3" applyFont="1" applyFill="1" applyBorder="1" applyAlignment="1">
      <alignment vertical="center" wrapText="1"/>
    </xf>
    <xf numFmtId="0" fontId="4" fillId="9" borderId="0" xfId="2" applyFont="1" applyFill="1" applyAlignment="1">
      <alignment horizontal="center" vertical="center" wrapText="1"/>
    </xf>
    <xf numFmtId="165" fontId="11" fillId="9" borderId="1" xfId="3" applyNumberFormat="1" applyFont="1" applyFill="1" applyBorder="1" applyAlignment="1">
      <alignment horizontal="center" vertical="center" wrapText="1"/>
    </xf>
    <xf numFmtId="14" fontId="11" fillId="9" borderId="1" xfId="3" applyNumberFormat="1" applyFont="1" applyFill="1" applyBorder="1" applyAlignment="1">
      <alignment horizontal="center" vertical="center" wrapText="1"/>
    </xf>
    <xf numFmtId="14" fontId="12" fillId="9" borderId="1" xfId="3" applyNumberFormat="1" applyFont="1" applyFill="1" applyBorder="1" applyAlignment="1">
      <alignment horizontal="center" vertical="center" wrapText="1"/>
    </xf>
    <xf numFmtId="0" fontId="7" fillId="9" borderId="2" xfId="2" applyFont="1" applyFill="1" applyBorder="1" applyAlignment="1">
      <alignment horizontal="left" vertical="center" wrapText="1"/>
    </xf>
    <xf numFmtId="0" fontId="7" fillId="9" borderId="3" xfId="2" applyFont="1" applyFill="1" applyBorder="1" applyAlignment="1">
      <alignment horizontal="left" vertical="center" wrapText="1"/>
    </xf>
    <xf numFmtId="0" fontId="7" fillId="9" borderId="4" xfId="2" applyFont="1" applyFill="1" applyBorder="1" applyAlignment="1">
      <alignment horizontal="left" vertical="center" wrapText="1"/>
    </xf>
    <xf numFmtId="0" fontId="5" fillId="9" borderId="1" xfId="3" applyFont="1" applyFill="1" applyBorder="1" applyAlignment="1">
      <alignment horizontal="center" vertical="center" wrapText="1"/>
    </xf>
    <xf numFmtId="0" fontId="4" fillId="9" borderId="0" xfId="1" applyFont="1" applyFill="1" applyAlignment="1">
      <alignment horizontal="center" vertical="center" wrapText="1"/>
    </xf>
    <xf numFmtId="165" fontId="8" fillId="9" borderId="1" xfId="1" applyNumberFormat="1" applyFont="1" applyFill="1" applyBorder="1" applyAlignment="1">
      <alignment horizontal="right" vertical="center" wrapText="1"/>
    </xf>
    <xf numFmtId="165" fontId="8" fillId="9" borderId="1" xfId="2" applyNumberFormat="1" applyFont="1" applyFill="1" applyBorder="1" applyAlignment="1">
      <alignment horizontal="right" vertical="center" wrapText="1"/>
    </xf>
    <xf numFmtId="0" fontId="12" fillId="9" borderId="1" xfId="3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vertical="center" wrapText="1"/>
    </xf>
    <xf numFmtId="0" fontId="8" fillId="9" borderId="3" xfId="1" applyFont="1" applyFill="1" applyBorder="1" applyAlignment="1">
      <alignment vertical="center" wrapText="1"/>
    </xf>
    <xf numFmtId="14" fontId="7" fillId="9" borderId="1" xfId="3" applyNumberFormat="1" applyFont="1" applyFill="1" applyBorder="1" applyAlignment="1">
      <alignment horizontal="center" vertical="center" wrapText="1"/>
    </xf>
    <xf numFmtId="0" fontId="8" fillId="9" borderId="4" xfId="1" applyFont="1" applyFill="1" applyBorder="1" applyAlignment="1">
      <alignment vertical="center" wrapText="1"/>
    </xf>
    <xf numFmtId="0" fontId="24" fillId="9" borderId="0" xfId="1" applyFont="1" applyFill="1" applyAlignment="1">
      <alignment horizontal="center" vertical="center" wrapText="1"/>
    </xf>
    <xf numFmtId="165" fontId="5" fillId="9" borderId="1" xfId="1" applyNumberFormat="1" applyFont="1" applyFill="1" applyBorder="1" applyAlignment="1">
      <alignment horizontal="right" vertical="center" wrapText="1"/>
    </xf>
    <xf numFmtId="165" fontId="5" fillId="9" borderId="1" xfId="2" applyNumberFormat="1" applyFont="1" applyFill="1" applyBorder="1" applyAlignment="1">
      <alignment horizontal="right" vertical="center" wrapText="1"/>
    </xf>
    <xf numFmtId="0" fontId="5" fillId="9" borderId="1" xfId="2" applyFont="1" applyFill="1" applyBorder="1" applyAlignment="1">
      <alignment horizontal="right" vertical="center" wrapText="1"/>
    </xf>
    <xf numFmtId="165" fontId="5" fillId="9" borderId="1" xfId="3" applyNumberFormat="1" applyFont="1" applyFill="1" applyBorder="1" applyAlignment="1">
      <alignment horizontal="right" vertical="center" wrapText="1"/>
    </xf>
    <xf numFmtId="0" fontId="57" fillId="11" borderId="0" xfId="2" applyFont="1" applyFill="1" applyAlignment="1">
      <alignment horizontal="center" vertical="center" wrapText="1"/>
    </xf>
    <xf numFmtId="0" fontId="9" fillId="11" borderId="2" xfId="3" applyFont="1" applyFill="1" applyBorder="1" applyAlignment="1">
      <alignment horizontal="center" vertical="center" wrapText="1"/>
    </xf>
    <xf numFmtId="0" fontId="34" fillId="11" borderId="2" xfId="2" applyFont="1" applyFill="1" applyBorder="1" applyAlignment="1">
      <alignment horizontal="center" vertical="center" wrapText="1"/>
    </xf>
    <xf numFmtId="165" fontId="9" fillId="11" borderId="1" xfId="1" applyNumberFormat="1" applyFont="1" applyFill="1" applyBorder="1" applyAlignment="1">
      <alignment horizontal="right" vertical="center" wrapText="1"/>
    </xf>
    <xf numFmtId="165" fontId="9" fillId="11" borderId="1" xfId="3" applyNumberFormat="1" applyFont="1" applyFill="1" applyBorder="1" applyAlignment="1">
      <alignment horizontal="right" vertical="center" wrapText="1"/>
    </xf>
    <xf numFmtId="168" fontId="9" fillId="11" borderId="1" xfId="2" applyNumberFormat="1" applyFont="1" applyFill="1" applyBorder="1" applyAlignment="1">
      <alignment horizontal="right" vertical="center" wrapText="1"/>
    </xf>
    <xf numFmtId="0" fontId="9" fillId="11" borderId="1" xfId="2" applyFont="1" applyFill="1" applyBorder="1" applyAlignment="1">
      <alignment horizontal="center" vertical="center" wrapText="1"/>
    </xf>
    <xf numFmtId="0" fontId="9" fillId="11" borderId="1" xfId="3" applyFont="1" applyFill="1" applyBorder="1" applyAlignment="1">
      <alignment horizontal="center" vertical="center" wrapText="1"/>
    </xf>
    <xf numFmtId="0" fontId="13" fillId="11" borderId="1" xfId="3" applyFont="1" applyFill="1" applyBorder="1" applyAlignment="1">
      <alignment horizontal="center" vertical="center" wrapText="1"/>
    </xf>
    <xf numFmtId="165" fontId="48" fillId="11" borderId="1" xfId="3" applyNumberFormat="1" applyFont="1" applyFill="1" applyBorder="1" applyAlignment="1">
      <alignment horizontal="center" vertical="center" wrapText="1"/>
    </xf>
    <xf numFmtId="14" fontId="48" fillId="11" borderId="1" xfId="3" applyNumberFormat="1" applyFont="1" applyFill="1" applyBorder="1" applyAlignment="1">
      <alignment horizontal="center" vertical="center" wrapText="1"/>
    </xf>
    <xf numFmtId="0" fontId="48" fillId="11" borderId="1" xfId="3" applyFont="1" applyFill="1" applyBorder="1" applyAlignment="1">
      <alignment horizontal="center" vertical="center" wrapText="1"/>
    </xf>
    <xf numFmtId="0" fontId="9" fillId="11" borderId="3" xfId="3" applyFont="1" applyFill="1" applyBorder="1" applyAlignment="1">
      <alignment horizontal="center" vertical="center" wrapText="1"/>
    </xf>
    <xf numFmtId="0" fontId="34" fillId="11" borderId="3" xfId="2" applyFont="1" applyFill="1" applyBorder="1" applyAlignment="1">
      <alignment horizontal="center" vertical="center" wrapText="1"/>
    </xf>
    <xf numFmtId="165" fontId="13" fillId="11" borderId="1" xfId="3" applyNumberFormat="1" applyFont="1" applyFill="1" applyBorder="1" applyAlignment="1">
      <alignment horizontal="center" vertical="center" wrapText="1"/>
    </xf>
    <xf numFmtId="14" fontId="13" fillId="11" borderId="1" xfId="3" applyNumberFormat="1" applyFont="1" applyFill="1" applyBorder="1" applyAlignment="1">
      <alignment horizontal="center" vertical="center" wrapText="1"/>
    </xf>
    <xf numFmtId="0" fontId="9" fillId="11" borderId="4" xfId="3" applyFont="1" applyFill="1" applyBorder="1" applyAlignment="1">
      <alignment horizontal="center" vertical="center" wrapText="1"/>
    </xf>
    <xf numFmtId="0" fontId="34" fillId="11" borderId="4" xfId="2" applyFont="1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16" borderId="4" xfId="3" applyFont="1" applyFill="1" applyBorder="1" applyAlignment="1">
      <alignment horizontal="left" vertical="center" wrapText="1"/>
    </xf>
    <xf numFmtId="0" fontId="4" fillId="17" borderId="0" xfId="1" applyFont="1" applyFill="1" applyAlignment="1">
      <alignment horizontal="center" vertical="center" wrapText="1"/>
    </xf>
    <xf numFmtId="0" fontId="8" fillId="17" borderId="2" xfId="1" applyFont="1" applyFill="1" applyBorder="1" applyAlignment="1">
      <alignment vertical="center" wrapText="1"/>
    </xf>
    <xf numFmtId="165" fontId="8" fillId="17" borderId="1" xfId="3" applyNumberFormat="1" applyFont="1" applyFill="1" applyBorder="1" applyAlignment="1">
      <alignment horizontal="right" vertical="center" wrapText="1"/>
    </xf>
    <xf numFmtId="165" fontId="8" fillId="17" borderId="1" xfId="1" applyNumberFormat="1" applyFont="1" applyFill="1" applyBorder="1" applyAlignment="1">
      <alignment horizontal="right" vertical="center" wrapText="1"/>
    </xf>
    <xf numFmtId="165" fontId="8" fillId="17" borderId="1" xfId="2" applyNumberFormat="1" applyFont="1" applyFill="1" applyBorder="1" applyAlignment="1">
      <alignment horizontal="right" vertical="center" wrapText="1"/>
    </xf>
    <xf numFmtId="0" fontId="8" fillId="17" borderId="1" xfId="2" applyFont="1" applyFill="1" applyBorder="1" applyAlignment="1">
      <alignment horizontal="right" vertical="center" wrapText="1"/>
    </xf>
    <xf numFmtId="0" fontId="8" fillId="17" borderId="1" xfId="3" applyFont="1" applyFill="1" applyBorder="1" applyAlignment="1">
      <alignment horizontal="center" vertical="center" wrapText="1"/>
    </xf>
    <xf numFmtId="0" fontId="11" fillId="17" borderId="1" xfId="3" applyFont="1" applyFill="1" applyBorder="1" applyAlignment="1">
      <alignment horizontal="center" vertical="center" wrapText="1"/>
    </xf>
    <xf numFmtId="165" fontId="11" fillId="17" borderId="1" xfId="3" applyNumberFormat="1" applyFont="1" applyFill="1" applyBorder="1" applyAlignment="1">
      <alignment horizontal="center" vertical="center" wrapText="1"/>
    </xf>
    <xf numFmtId="165" fontId="12" fillId="17" borderId="1" xfId="3" applyNumberFormat="1" applyFont="1" applyFill="1" applyBorder="1" applyAlignment="1">
      <alignment horizontal="center" vertical="center" wrapText="1"/>
    </xf>
    <xf numFmtId="14" fontId="12" fillId="17" borderId="1" xfId="3" applyNumberFormat="1" applyFont="1" applyFill="1" applyBorder="1" applyAlignment="1">
      <alignment horizontal="center" vertical="center" wrapText="1"/>
    </xf>
    <xf numFmtId="0" fontId="12" fillId="17" borderId="1" xfId="3" applyFont="1" applyFill="1" applyBorder="1" applyAlignment="1">
      <alignment vertical="center" wrapText="1"/>
    </xf>
    <xf numFmtId="0" fontId="8" fillId="17" borderId="3" xfId="1" applyFont="1" applyFill="1" applyBorder="1" applyAlignment="1">
      <alignment vertical="center" wrapText="1"/>
    </xf>
    <xf numFmtId="14" fontId="7" fillId="17" borderId="1" xfId="3" applyNumberFormat="1" applyFont="1" applyFill="1" applyBorder="1" applyAlignment="1">
      <alignment horizontal="center" vertical="center" wrapText="1"/>
    </xf>
    <xf numFmtId="0" fontId="12" fillId="17" borderId="1" xfId="3" applyFont="1" applyFill="1" applyBorder="1" applyAlignment="1">
      <alignment horizontal="center" vertical="center" wrapText="1"/>
    </xf>
    <xf numFmtId="0" fontId="8" fillId="17" borderId="4" xfId="1" applyFont="1" applyFill="1" applyBorder="1" applyAlignment="1">
      <alignment vertical="center" wrapText="1"/>
    </xf>
    <xf numFmtId="0" fontId="7" fillId="17" borderId="1" xfId="3" applyFont="1" applyFill="1" applyBorder="1" applyAlignment="1">
      <alignment horizontal="center" vertical="center" wrapText="1"/>
    </xf>
    <xf numFmtId="0" fontId="14" fillId="17" borderId="1" xfId="3" applyFont="1" applyFill="1" applyBorder="1" applyAlignment="1">
      <alignment horizontal="center" vertical="center" wrapText="1"/>
    </xf>
    <xf numFmtId="165" fontId="14" fillId="17" borderId="1" xfId="3" applyNumberFormat="1" applyFont="1" applyFill="1" applyBorder="1" applyAlignment="1">
      <alignment horizontal="center" vertical="center" wrapText="1"/>
    </xf>
    <xf numFmtId="168" fontId="8" fillId="0" borderId="1" xfId="2" applyNumberFormat="1" applyFont="1" applyBorder="1" applyAlignment="1">
      <alignment horizontal="right" vertical="center" wrapText="1"/>
    </xf>
    <xf numFmtId="165" fontId="43" fillId="0" borderId="1" xfId="1" applyNumberFormat="1" applyFont="1" applyBorder="1" applyAlignment="1">
      <alignment horizontal="right" vertical="center" wrapText="1"/>
    </xf>
    <xf numFmtId="165" fontId="43" fillId="0" borderId="1" xfId="3" applyNumberFormat="1" applyFont="1" applyBorder="1" applyAlignment="1">
      <alignment horizontal="right" vertical="center" wrapText="1"/>
    </xf>
    <xf numFmtId="168" fontId="43" fillId="0" borderId="1" xfId="2" applyNumberFormat="1" applyFont="1" applyBorder="1" applyAlignment="1">
      <alignment horizontal="right" vertical="center" wrapText="1"/>
    </xf>
    <xf numFmtId="0" fontId="43" fillId="0" borderId="1" xfId="2" applyFont="1" applyBorder="1" applyAlignment="1">
      <alignment horizontal="center" vertical="center" wrapText="1"/>
    </xf>
    <xf numFmtId="0" fontId="43" fillId="0" borderId="1" xfId="3" applyFont="1" applyBorder="1" applyAlignment="1">
      <alignment horizontal="center" vertical="center" wrapText="1"/>
    </xf>
    <xf numFmtId="165" fontId="11" fillId="8" borderId="1" xfId="3" applyNumberFormat="1" applyFont="1" applyFill="1" applyBorder="1" applyAlignment="1">
      <alignment horizontal="center" vertical="center" wrapText="1"/>
    </xf>
    <xf numFmtId="165" fontId="14" fillId="8" borderId="1" xfId="3" applyNumberFormat="1" applyFont="1" applyFill="1" applyBorder="1" applyAlignment="1">
      <alignment horizontal="center" vertical="center" wrapText="1"/>
    </xf>
    <xf numFmtId="14" fontId="14" fillId="8" borderId="1" xfId="3" applyNumberFormat="1" applyFont="1" applyFill="1" applyBorder="1" applyAlignment="1">
      <alignment horizontal="center" vertical="center" wrapText="1"/>
    </xf>
    <xf numFmtId="0" fontId="14" fillId="8" borderId="1" xfId="3" applyFont="1" applyFill="1" applyBorder="1" applyAlignment="1">
      <alignment horizontal="center" vertical="center" wrapText="1"/>
    </xf>
    <xf numFmtId="14" fontId="11" fillId="8" borderId="1" xfId="3" applyNumberFormat="1" applyFont="1" applyFill="1" applyBorder="1" applyAlignment="1">
      <alignment horizontal="center" vertical="center" wrapText="1"/>
    </xf>
    <xf numFmtId="0" fontId="11" fillId="8" borderId="1" xfId="3" applyFont="1" applyFill="1" applyBorder="1" applyAlignment="1">
      <alignment horizontal="center" vertical="center" wrapText="1"/>
    </xf>
    <xf numFmtId="0" fontId="37" fillId="0" borderId="1" xfId="6" applyFill="1" applyBorder="1" applyAlignment="1">
      <alignment horizontal="center" vertical="center" wrapText="1"/>
    </xf>
    <xf numFmtId="165" fontId="43" fillId="0" borderId="1" xfId="2" applyNumberFormat="1" applyFont="1" applyBorder="1" applyAlignment="1">
      <alignment horizontal="right" vertical="center" wrapText="1"/>
    </xf>
    <xf numFmtId="0" fontId="38" fillId="0" borderId="1" xfId="6" applyFont="1" applyBorder="1" applyAlignment="1">
      <alignment horizontal="center" vertical="center" wrapText="1"/>
    </xf>
    <xf numFmtId="0" fontId="5" fillId="16" borderId="1" xfId="3" applyFont="1" applyFill="1" applyBorder="1" applyAlignment="1">
      <alignment horizontal="center" vertical="center" wrapText="1"/>
    </xf>
    <xf numFmtId="0" fontId="44" fillId="0" borderId="4" xfId="3" applyFont="1" applyBorder="1" applyAlignment="1">
      <alignment horizontal="center" vertical="center" wrapText="1"/>
    </xf>
    <xf numFmtId="0" fontId="4" fillId="0" borderId="0" xfId="1" applyFont="1" applyAlignment="1">
      <alignment horizontal="left" vertical="center" wrapText="1" indent="1"/>
    </xf>
    <xf numFmtId="0" fontId="18" fillId="0" borderId="1" xfId="1" applyFont="1" applyBorder="1" applyAlignment="1">
      <alignment horizontal="left" vertical="center" wrapText="1"/>
    </xf>
    <xf numFmtId="0" fontId="28" fillId="0" borderId="1" xfId="1" applyFont="1" applyBorder="1" applyAlignment="1">
      <alignment horizontal="left" vertical="center" wrapText="1"/>
    </xf>
    <xf numFmtId="0" fontId="17" fillId="0" borderId="1" xfId="1" applyFont="1" applyBorder="1" applyAlignment="1">
      <alignment horizontal="left" vertical="center" wrapText="1"/>
    </xf>
    <xf numFmtId="166" fontId="20" fillId="0" borderId="1" xfId="1" applyNumberFormat="1" applyFont="1" applyBorder="1" applyAlignment="1">
      <alignment horizontal="left" vertical="center" wrapText="1"/>
    </xf>
    <xf numFmtId="0" fontId="15" fillId="0" borderId="1" xfId="1" applyFont="1" applyBorder="1" applyAlignment="1">
      <alignment horizontal="left" vertical="center" wrapText="1"/>
    </xf>
    <xf numFmtId="0" fontId="7" fillId="0" borderId="0" xfId="3" applyFont="1" applyAlignment="1">
      <alignment horizontal="left" vertical="center" wrapText="1" indent="1"/>
    </xf>
    <xf numFmtId="0" fontId="2" fillId="0" borderId="0" xfId="1" applyFont="1" applyAlignment="1">
      <alignment horizontal="left" vertical="center" wrapText="1"/>
    </xf>
    <xf numFmtId="168" fontId="8" fillId="0" borderId="0" xfId="2" applyNumberFormat="1" applyFont="1" applyAlignment="1">
      <alignment horizontal="right" vertical="center" wrapText="1"/>
    </xf>
    <xf numFmtId="0" fontId="8" fillId="0" borderId="0" xfId="1" applyFont="1" applyAlignment="1">
      <alignment horizontal="left" vertical="center" wrapText="1"/>
    </xf>
    <xf numFmtId="0" fontId="42" fillId="19" borderId="0" xfId="2" applyFont="1" applyFill="1" applyAlignment="1">
      <alignment horizontal="center" vertical="center" wrapText="1"/>
    </xf>
    <xf numFmtId="0" fontId="14" fillId="0" borderId="1" xfId="3" applyFont="1" applyBorder="1" applyAlignment="1">
      <alignment vertical="center" wrapText="1"/>
    </xf>
    <xf numFmtId="0" fontId="4" fillId="8" borderId="0" xfId="1" applyFont="1" applyFill="1" applyAlignment="1">
      <alignment vertical="center" wrapText="1"/>
    </xf>
    <xf numFmtId="0" fontId="4" fillId="8" borderId="0" xfId="1" applyFont="1" applyFill="1" applyAlignment="1">
      <alignment horizontal="left" vertical="center" wrapText="1"/>
    </xf>
    <xf numFmtId="0" fontId="4" fillId="8" borderId="0" xfId="1" applyFont="1" applyFill="1" applyAlignment="1">
      <alignment horizontal="center" vertical="center" wrapText="1"/>
    </xf>
    <xf numFmtId="0" fontId="16" fillId="8" borderId="0" xfId="1" applyFont="1" applyFill="1" applyAlignment="1">
      <alignment horizontal="center" vertical="center" wrapText="1"/>
    </xf>
    <xf numFmtId="0" fontId="16" fillId="8" borderId="0" xfId="1" applyFont="1" applyFill="1" applyAlignment="1">
      <alignment horizontal="left" vertical="center" wrapText="1"/>
    </xf>
    <xf numFmtId="49" fontId="4" fillId="8" borderId="0" xfId="1" applyNumberFormat="1" applyFont="1" applyFill="1" applyAlignment="1">
      <alignment horizontal="center" vertical="center" wrapText="1"/>
    </xf>
    <xf numFmtId="166" fontId="59" fillId="8" borderId="0" xfId="1" applyNumberFormat="1" applyFont="1" applyFill="1" applyAlignment="1">
      <alignment horizontal="center" vertical="center" wrapText="1"/>
    </xf>
    <xf numFmtId="166" fontId="59" fillId="8" borderId="0" xfId="1" applyNumberFormat="1" applyFont="1" applyFill="1" applyAlignment="1">
      <alignment horizontal="left" vertical="center" wrapText="1"/>
    </xf>
    <xf numFmtId="0" fontId="15" fillId="8" borderId="1" xfId="4" applyFont="1" applyFill="1" applyBorder="1" applyAlignment="1">
      <alignment vertical="center" wrapText="1"/>
    </xf>
    <xf numFmtId="0" fontId="15" fillId="8" borderId="0" xfId="1" applyFont="1" applyFill="1" applyAlignment="1">
      <alignment horizontal="center" vertical="center" wrapText="1"/>
    </xf>
    <xf numFmtId="0" fontId="15" fillId="8" borderId="0" xfId="4" applyFont="1" applyFill="1" applyAlignment="1">
      <alignment vertical="center" wrapText="1"/>
    </xf>
    <xf numFmtId="166" fontId="15" fillId="8" borderId="0" xfId="1" applyNumberFormat="1" applyFont="1" applyFill="1" applyAlignment="1">
      <alignment horizontal="center" vertical="center" wrapText="1"/>
    </xf>
    <xf numFmtId="166" fontId="15" fillId="8" borderId="0" xfId="1" applyNumberFormat="1" applyFont="1" applyFill="1" applyAlignment="1">
      <alignment horizontal="left" vertical="center" wrapText="1"/>
    </xf>
    <xf numFmtId="0" fontId="15" fillId="8" borderId="0" xfId="1" applyFont="1" applyFill="1" applyAlignment="1">
      <alignment horizontal="left" vertical="center" wrapText="1"/>
    </xf>
    <xf numFmtId="166" fontId="15" fillId="8" borderId="1" xfId="1" applyNumberFormat="1" applyFont="1" applyFill="1" applyBorder="1" applyAlignment="1">
      <alignment horizontal="center" vertical="center" wrapText="1"/>
    </xf>
    <xf numFmtId="0" fontId="15" fillId="8" borderId="0" xfId="4" applyFont="1" applyFill="1" applyAlignment="1">
      <alignment horizontal="center" vertical="center" wrapText="1"/>
    </xf>
    <xf numFmtId="166" fontId="15" fillId="8" borderId="0" xfId="4" applyNumberFormat="1" applyFont="1" applyFill="1" applyAlignment="1">
      <alignment horizontal="center" vertical="center" wrapText="1"/>
    </xf>
    <xf numFmtId="166" fontId="15" fillId="8" borderId="0" xfId="4" applyNumberFormat="1" applyFont="1" applyFill="1" applyAlignment="1">
      <alignment horizontal="left" vertical="center" wrapText="1"/>
    </xf>
    <xf numFmtId="0" fontId="11" fillId="8" borderId="0" xfId="3" applyFont="1" applyFill="1" applyAlignment="1">
      <alignment vertical="center" wrapText="1"/>
    </xf>
    <xf numFmtId="0" fontId="11" fillId="8" borderId="0" xfId="3" applyFont="1" applyFill="1" applyAlignment="1">
      <alignment horizontal="center" vertical="center" wrapText="1"/>
    </xf>
    <xf numFmtId="165" fontId="11" fillId="8" borderId="0" xfId="3" applyNumberFormat="1" applyFont="1" applyFill="1" applyAlignment="1">
      <alignment horizontal="center" vertical="center" wrapText="1"/>
    </xf>
    <xf numFmtId="14" fontId="11" fillId="8" borderId="0" xfId="3" applyNumberFormat="1" applyFont="1" applyFill="1" applyAlignment="1">
      <alignment horizontal="center" vertical="center" wrapText="1"/>
    </xf>
    <xf numFmtId="0" fontId="8" fillId="8" borderId="0" xfId="3" applyFont="1" applyFill="1" applyAlignment="1">
      <alignment horizontal="center" vertical="center" wrapText="1"/>
    </xf>
    <xf numFmtId="0" fontId="8" fillId="8" borderId="0" xfId="2" applyFont="1" applyFill="1" applyAlignment="1">
      <alignment horizontal="right" vertical="center" wrapText="1"/>
    </xf>
    <xf numFmtId="165" fontId="8" fillId="8" borderId="0" xfId="2" applyNumberFormat="1" applyFont="1" applyFill="1" applyAlignment="1">
      <alignment horizontal="right" vertical="center" wrapText="1"/>
    </xf>
    <xf numFmtId="165" fontId="8" fillId="8" borderId="0" xfId="1" applyNumberFormat="1" applyFont="1" applyFill="1" applyAlignment="1">
      <alignment horizontal="right" vertical="center" wrapText="1"/>
    </xf>
    <xf numFmtId="165" fontId="8" fillId="8" borderId="0" xfId="3" applyNumberFormat="1" applyFont="1" applyFill="1" applyAlignment="1">
      <alignment horizontal="right" vertical="center" wrapText="1"/>
    </xf>
    <xf numFmtId="0" fontId="8" fillId="8" borderId="0" xfId="3" applyFont="1" applyFill="1" applyAlignment="1">
      <alignment horizontal="left" vertical="center" wrapText="1"/>
    </xf>
    <xf numFmtId="0" fontId="2" fillId="8" borderId="0" xfId="1" applyFont="1" applyFill="1" applyAlignment="1">
      <alignment vertical="center" wrapText="1"/>
    </xf>
    <xf numFmtId="49" fontId="8" fillId="8" borderId="0" xfId="2" applyNumberFormat="1" applyFont="1" applyFill="1" applyAlignment="1">
      <alignment horizontal="center" vertical="center" wrapText="1"/>
    </xf>
    <xf numFmtId="0" fontId="4" fillId="8" borderId="0" xfId="2" applyFont="1" applyFill="1" applyAlignment="1">
      <alignment horizontal="center" vertical="center" wrapText="1"/>
    </xf>
    <xf numFmtId="0" fontId="8" fillId="8" borderId="0" xfId="3" applyFont="1" applyFill="1" applyAlignment="1">
      <alignment vertical="center" wrapText="1"/>
    </xf>
    <xf numFmtId="0" fontId="8" fillId="8" borderId="0" xfId="2" applyFont="1" applyFill="1" applyAlignment="1">
      <alignment horizontal="left" vertical="center" wrapText="1"/>
    </xf>
    <xf numFmtId="164" fontId="8" fillId="8" borderId="0" xfId="2" applyNumberFormat="1" applyFont="1" applyFill="1" applyAlignment="1">
      <alignment horizontal="center" vertical="center" wrapText="1"/>
    </xf>
    <xf numFmtId="167" fontId="8" fillId="8" borderId="0" xfId="2" applyNumberFormat="1" applyFont="1" applyFill="1" applyAlignment="1">
      <alignment horizontal="center" vertical="center" wrapText="1"/>
    </xf>
    <xf numFmtId="0" fontId="11" fillId="8" borderId="1" xfId="3" applyFont="1" applyFill="1" applyBorder="1" applyAlignment="1">
      <alignment vertical="center" wrapText="1"/>
    </xf>
    <xf numFmtId="0" fontId="8" fillId="8" borderId="1" xfId="3" applyFont="1" applyFill="1" applyBorder="1" applyAlignment="1">
      <alignment horizontal="center" vertical="center" wrapText="1"/>
    </xf>
    <xf numFmtId="0" fontId="8" fillId="8" borderId="1" xfId="2" applyFont="1" applyFill="1" applyBorder="1" applyAlignment="1">
      <alignment horizontal="right" vertical="center" wrapText="1"/>
    </xf>
    <xf numFmtId="165" fontId="8" fillId="8" borderId="1" xfId="3" applyNumberFormat="1" applyFont="1" applyFill="1" applyBorder="1" applyAlignment="1">
      <alignment horizontal="right" vertical="center" wrapText="1"/>
    </xf>
    <xf numFmtId="165" fontId="8" fillId="8" borderId="1" xfId="1" applyNumberFormat="1" applyFont="1" applyFill="1" applyBorder="1" applyAlignment="1">
      <alignment horizontal="right" vertical="center" wrapText="1"/>
    </xf>
    <xf numFmtId="0" fontId="8" fillId="8" borderId="1" xfId="2" applyFont="1" applyFill="1" applyBorder="1" applyAlignment="1">
      <alignment horizontal="center" vertical="center" wrapText="1"/>
    </xf>
    <xf numFmtId="0" fontId="4" fillId="8" borderId="1" xfId="2" applyFont="1" applyFill="1" applyBorder="1" applyAlignment="1">
      <alignment horizontal="center" vertical="center" wrapText="1"/>
    </xf>
    <xf numFmtId="168" fontId="8" fillId="8" borderId="1" xfId="2" applyNumberFormat="1" applyFont="1" applyFill="1" applyBorder="1" applyAlignment="1">
      <alignment horizontal="right" vertical="center" wrapText="1"/>
    </xf>
    <xf numFmtId="0" fontId="8" fillId="18" borderId="4" xfId="3" applyFont="1" applyFill="1" applyBorder="1" applyAlignment="1">
      <alignment horizontal="center" vertical="center" wrapText="1"/>
    </xf>
    <xf numFmtId="49" fontId="11" fillId="8" borderId="1" xfId="3" applyNumberFormat="1" applyFont="1" applyFill="1" applyBorder="1" applyAlignment="1">
      <alignment horizontal="center" vertical="center" wrapText="1"/>
    </xf>
    <xf numFmtId="0" fontId="8" fillId="18" borderId="3" xfId="3" applyFont="1" applyFill="1" applyBorder="1" applyAlignment="1">
      <alignment horizontal="center" vertical="center" wrapText="1"/>
    </xf>
    <xf numFmtId="0" fontId="8" fillId="18" borderId="2" xfId="3" applyFont="1" applyFill="1" applyBorder="1" applyAlignment="1">
      <alignment horizontal="center" vertical="center" wrapText="1"/>
    </xf>
    <xf numFmtId="0" fontId="7" fillId="8" borderId="1" xfId="3" applyFont="1" applyFill="1" applyBorder="1" applyAlignment="1">
      <alignment horizontal="center" vertical="center" wrapText="1"/>
    </xf>
    <xf numFmtId="0" fontId="8" fillId="20" borderId="4" xfId="3" applyFont="1" applyFill="1" applyBorder="1" applyAlignment="1">
      <alignment horizontal="center" vertical="center" wrapText="1"/>
    </xf>
    <xf numFmtId="0" fontId="8" fillId="20" borderId="4" xfId="1" applyFont="1" applyFill="1" applyBorder="1" applyAlignment="1">
      <alignment vertical="center" wrapText="1"/>
    </xf>
    <xf numFmtId="0" fontId="8" fillId="20" borderId="3" xfId="3" applyFont="1" applyFill="1" applyBorder="1" applyAlignment="1">
      <alignment horizontal="center" vertical="center" wrapText="1"/>
    </xf>
    <xf numFmtId="0" fontId="8" fillId="20" borderId="3" xfId="1" applyFont="1" applyFill="1" applyBorder="1" applyAlignment="1">
      <alignment vertical="center" wrapText="1"/>
    </xf>
    <xf numFmtId="0" fontId="8" fillId="20" borderId="2" xfId="3" applyFont="1" applyFill="1" applyBorder="1" applyAlignment="1">
      <alignment horizontal="center" vertical="center" wrapText="1"/>
    </xf>
    <xf numFmtId="0" fontId="8" fillId="20" borderId="2" xfId="1" applyFont="1" applyFill="1" applyBorder="1" applyAlignment="1">
      <alignment vertical="center" wrapText="1"/>
    </xf>
    <xf numFmtId="165" fontId="8" fillId="8" borderId="1" xfId="2" applyNumberFormat="1" applyFont="1" applyFill="1" applyBorder="1" applyAlignment="1">
      <alignment horizontal="right" vertical="center" wrapText="1"/>
    </xf>
    <xf numFmtId="0" fontId="8" fillId="8" borderId="4" xfId="3" applyFont="1" applyFill="1" applyBorder="1" applyAlignment="1">
      <alignment horizontal="center" vertical="center" wrapText="1"/>
    </xf>
    <xf numFmtId="0" fontId="8" fillId="8" borderId="3" xfId="3" applyFont="1" applyFill="1" applyBorder="1" applyAlignment="1">
      <alignment horizontal="center" vertical="center" wrapText="1"/>
    </xf>
    <xf numFmtId="0" fontId="8" fillId="8" borderId="2" xfId="3" applyFont="1" applyFill="1" applyBorder="1" applyAlignment="1">
      <alignment horizontal="center" vertical="center" wrapText="1"/>
    </xf>
    <xf numFmtId="0" fontId="8" fillId="20" borderId="4" xfId="2" applyFont="1" applyFill="1" applyBorder="1" applyAlignment="1">
      <alignment horizontal="left" vertical="center" wrapText="1"/>
    </xf>
    <xf numFmtId="0" fontId="8" fillId="20" borderId="3" xfId="2" applyFont="1" applyFill="1" applyBorder="1" applyAlignment="1">
      <alignment horizontal="left" vertical="center" wrapText="1"/>
    </xf>
    <xf numFmtId="0" fontId="8" fillId="20" borderId="2" xfId="2" applyFont="1" applyFill="1" applyBorder="1" applyAlignment="1">
      <alignment horizontal="left" vertical="center" wrapText="1"/>
    </xf>
    <xf numFmtId="0" fontId="8" fillId="8" borderId="1" xfId="1" applyFont="1" applyFill="1" applyBorder="1" applyAlignment="1">
      <alignment horizontal="center" vertical="center" wrapText="1"/>
    </xf>
    <xf numFmtId="49" fontId="8" fillId="8" borderId="3" xfId="1" applyNumberFormat="1" applyFont="1" applyFill="1" applyBorder="1" applyAlignment="1">
      <alignment horizontal="center" vertical="center" wrapText="1"/>
    </xf>
    <xf numFmtId="49" fontId="8" fillId="8" borderId="2" xfId="1" applyNumberFormat="1" applyFont="1" applyFill="1" applyBorder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165" fontId="8" fillId="18" borderId="1" xfId="3" applyNumberFormat="1" applyFont="1" applyFill="1" applyBorder="1" applyAlignment="1">
      <alignment horizontal="right" vertical="center" wrapText="1"/>
    </xf>
    <xf numFmtId="165" fontId="8" fillId="18" borderId="1" xfId="1" applyNumberFormat="1" applyFont="1" applyFill="1" applyBorder="1" applyAlignment="1">
      <alignment horizontal="right" vertical="center" wrapText="1"/>
    </xf>
    <xf numFmtId="0" fontId="12" fillId="0" borderId="0" xfId="3" applyFont="1" applyAlignment="1">
      <alignment horizontal="center" vertical="center" wrapText="1"/>
    </xf>
    <xf numFmtId="0" fontId="24" fillId="0" borderId="1" xfId="1" applyFont="1" applyBorder="1" applyAlignment="1">
      <alignment horizontal="center" vertical="center" wrapText="1"/>
    </xf>
    <xf numFmtId="0" fontId="12" fillId="0" borderId="1" xfId="1" applyFont="1" applyBorder="1" applyAlignment="1">
      <alignment horizontal="center" vertical="center" wrapText="1"/>
    </xf>
    <xf numFmtId="170" fontId="12" fillId="0" borderId="1" xfId="3" applyNumberFormat="1" applyFont="1" applyBorder="1" applyAlignment="1">
      <alignment horizontal="center" vertical="center" wrapText="1"/>
    </xf>
    <xf numFmtId="0" fontId="24" fillId="0" borderId="1" xfId="2" applyFont="1" applyBorder="1" applyAlignment="1">
      <alignment horizontal="center" vertical="center" wrapText="1"/>
    </xf>
    <xf numFmtId="0" fontId="12" fillId="0" borderId="1" xfId="2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170" fontId="14" fillId="0" borderId="1" xfId="3" applyNumberFormat="1" applyFont="1" applyBorder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168" fontId="5" fillId="0" borderId="1" xfId="2" applyNumberFormat="1" applyFont="1" applyBorder="1" applyAlignment="1">
      <alignment horizontal="right" vertical="center" wrapText="1"/>
    </xf>
    <xf numFmtId="14" fontId="12" fillId="0" borderId="4" xfId="3" applyNumberFormat="1" applyFont="1" applyBorder="1" applyAlignment="1">
      <alignment horizontal="center" vertical="center" wrapText="1"/>
    </xf>
    <xf numFmtId="165" fontId="12" fillId="0" borderId="4" xfId="3" applyNumberFormat="1" applyFont="1" applyBorder="1" applyAlignment="1">
      <alignment horizontal="center" vertical="center" wrapText="1"/>
    </xf>
    <xf numFmtId="0" fontId="5" fillId="6" borderId="2" xfId="1" applyFont="1" applyFill="1" applyBorder="1" applyAlignment="1">
      <alignment horizontal="center"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center" vertical="center" wrapText="1"/>
    </xf>
    <xf numFmtId="165" fontId="8" fillId="0" borderId="1" xfId="1" applyNumberFormat="1" applyFont="1" applyBorder="1" applyAlignment="1">
      <alignment horizontal="center" vertical="center" wrapText="1"/>
    </xf>
    <xf numFmtId="165" fontId="8" fillId="0" borderId="1" xfId="3" applyNumberFormat="1" applyFont="1" applyBorder="1" applyAlignment="1">
      <alignment horizontal="center" vertical="center" wrapText="1"/>
    </xf>
    <xf numFmtId="165" fontId="8" fillId="0" borderId="0" xfId="3" applyNumberFormat="1" applyFont="1" applyAlignment="1">
      <alignment horizontal="center" vertical="center" wrapText="1"/>
    </xf>
    <xf numFmtId="0" fontId="17" fillId="0" borderId="0" xfId="4" applyFont="1" applyAlignment="1">
      <alignment horizontal="center" vertical="center" wrapText="1"/>
    </xf>
    <xf numFmtId="0" fontId="19" fillId="0" borderId="0" xfId="4" applyFont="1" applyAlignment="1">
      <alignment horizontal="center" vertical="center" wrapText="1"/>
    </xf>
    <xf numFmtId="0" fontId="20" fillId="0" borderId="0" xfId="4" applyFont="1" applyAlignment="1">
      <alignment horizontal="center" vertical="center" wrapText="1"/>
    </xf>
    <xf numFmtId="0" fontId="43" fillId="11" borderId="1" xfId="2" applyFont="1" applyFill="1" applyBorder="1" applyAlignment="1">
      <alignment vertical="center" wrapText="1"/>
    </xf>
    <xf numFmtId="165" fontId="43" fillId="11" borderId="1" xfId="2" applyNumberFormat="1" applyFont="1" applyFill="1" applyBorder="1" applyAlignment="1">
      <alignment vertical="center" wrapText="1"/>
    </xf>
    <xf numFmtId="0" fontId="37" fillId="0" borderId="1" xfId="6" applyBorder="1" applyAlignment="1">
      <alignment horizontal="center" vertical="center" wrapText="1"/>
    </xf>
    <xf numFmtId="0" fontId="8" fillId="11" borderId="1" xfId="3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8" fillId="11" borderId="1" xfId="3" applyFont="1" applyFill="1" applyBorder="1" applyAlignment="1">
      <alignment vertical="center" wrapText="1"/>
    </xf>
    <xf numFmtId="0" fontId="8" fillId="11" borderId="2" xfId="3" applyFont="1" applyFill="1" applyBorder="1" applyAlignment="1">
      <alignment vertical="center" wrapText="1"/>
    </xf>
    <xf numFmtId="165" fontId="8" fillId="11" borderId="1" xfId="1" applyNumberFormat="1" applyFont="1" applyFill="1" applyBorder="1" applyAlignment="1">
      <alignment horizontal="center" vertical="center" wrapText="1"/>
    </xf>
    <xf numFmtId="165" fontId="8" fillId="11" borderId="1" xfId="1" applyNumberFormat="1" applyFont="1" applyFill="1" applyBorder="1" applyAlignment="1">
      <alignment horizontal="right" vertical="center" wrapText="1"/>
    </xf>
    <xf numFmtId="165" fontId="8" fillId="11" borderId="1" xfId="3" applyNumberFormat="1" applyFont="1" applyFill="1" applyBorder="1" applyAlignment="1">
      <alignment horizontal="right" vertical="center" wrapText="1"/>
    </xf>
    <xf numFmtId="0" fontId="8" fillId="11" borderId="1" xfId="2" applyFont="1" applyFill="1" applyBorder="1" applyAlignment="1">
      <alignment horizontal="right" vertical="center" wrapText="1"/>
    </xf>
    <xf numFmtId="0" fontId="11" fillId="11" borderId="1" xfId="3" applyFont="1" applyFill="1" applyBorder="1" applyAlignment="1">
      <alignment horizontal="center" vertical="center" wrapText="1"/>
    </xf>
    <xf numFmtId="165" fontId="14" fillId="11" borderId="1" xfId="3" applyNumberFormat="1" applyFont="1" applyFill="1" applyBorder="1" applyAlignment="1">
      <alignment horizontal="center" vertical="center" wrapText="1"/>
    </xf>
    <xf numFmtId="14" fontId="14" fillId="11" borderId="1" xfId="3" applyNumberFormat="1" applyFont="1" applyFill="1" applyBorder="1" applyAlignment="1">
      <alignment horizontal="center" vertical="center" wrapText="1"/>
    </xf>
    <xf numFmtId="0" fontId="14" fillId="11" borderId="1" xfId="3" applyFont="1" applyFill="1" applyBorder="1" applyAlignment="1">
      <alignment horizontal="center" vertical="center" wrapText="1"/>
    </xf>
    <xf numFmtId="165" fontId="12" fillId="11" borderId="1" xfId="3" applyNumberFormat="1" applyFont="1" applyFill="1" applyBorder="1" applyAlignment="1">
      <alignment horizontal="center" vertical="center" wrapText="1"/>
    </xf>
    <xf numFmtId="0" fontId="8" fillId="11" borderId="3" xfId="3" applyFont="1" applyFill="1" applyBorder="1" applyAlignment="1">
      <alignment vertical="center" wrapText="1"/>
    </xf>
    <xf numFmtId="165" fontId="8" fillId="11" borderId="1" xfId="3" applyNumberFormat="1" applyFont="1" applyFill="1" applyBorder="1" applyAlignment="1">
      <alignment horizontal="center" vertical="center" wrapText="1"/>
    </xf>
    <xf numFmtId="165" fontId="11" fillId="11" borderId="1" xfId="3" applyNumberFormat="1" applyFont="1" applyFill="1" applyBorder="1" applyAlignment="1">
      <alignment horizontal="center" vertical="center" wrapText="1"/>
    </xf>
    <xf numFmtId="14" fontId="11" fillId="11" borderId="1" xfId="3" applyNumberFormat="1" applyFont="1" applyFill="1" applyBorder="1" applyAlignment="1">
      <alignment horizontal="center" vertical="center" wrapText="1"/>
    </xf>
    <xf numFmtId="14" fontId="12" fillId="11" borderId="1" xfId="3" applyNumberFormat="1" applyFont="1" applyFill="1" applyBorder="1" applyAlignment="1">
      <alignment horizontal="center" vertical="center" wrapText="1"/>
    </xf>
    <xf numFmtId="0" fontId="8" fillId="11" borderId="4" xfId="3" applyFont="1" applyFill="1" applyBorder="1" applyAlignment="1">
      <alignment vertical="center" wrapText="1"/>
    </xf>
    <xf numFmtId="0" fontId="24" fillId="10" borderId="1" xfId="2" applyFont="1" applyFill="1" applyBorder="1" applyAlignment="1">
      <alignment horizontal="center" vertical="center" wrapText="1"/>
    </xf>
    <xf numFmtId="0" fontId="43" fillId="0" borderId="2" xfId="3" applyFont="1" applyBorder="1" applyAlignment="1">
      <alignment horizontal="left" vertical="center" wrapText="1"/>
    </xf>
    <xf numFmtId="0" fontId="43" fillId="0" borderId="3" xfId="3" applyFont="1" applyBorder="1" applyAlignment="1">
      <alignment horizontal="left" vertical="center" wrapText="1"/>
    </xf>
    <xf numFmtId="0" fontId="43" fillId="0" borderId="4" xfId="3" applyFont="1" applyBorder="1" applyAlignment="1">
      <alignment horizontal="left" vertical="center" wrapText="1"/>
    </xf>
    <xf numFmtId="0" fontId="43" fillId="0" borderId="1" xfId="1" applyFont="1" applyBorder="1" applyAlignment="1">
      <alignment horizontal="left" vertical="center" wrapText="1"/>
    </xf>
    <xf numFmtId="0" fontId="34" fillId="0" borderId="2" xfId="3" applyFont="1" applyBorder="1" applyAlignment="1">
      <alignment horizontal="left" vertical="center" wrapText="1"/>
    </xf>
    <xf numFmtId="0" fontId="34" fillId="0" borderId="3" xfId="3" applyFont="1" applyBorder="1" applyAlignment="1">
      <alignment horizontal="left" vertical="center" wrapText="1"/>
    </xf>
    <xf numFmtId="0" fontId="34" fillId="0" borderId="4" xfId="3" applyFont="1" applyBorder="1" applyAlignment="1">
      <alignment horizontal="left" vertical="center" wrapText="1"/>
    </xf>
    <xf numFmtId="0" fontId="43" fillId="0" borderId="1" xfId="2" applyFont="1" applyBorder="1" applyAlignment="1">
      <alignment vertical="center" wrapText="1"/>
    </xf>
    <xf numFmtId="49" fontId="8" fillId="0" borderId="1" xfId="1" applyNumberFormat="1" applyFont="1" applyBorder="1" applyAlignment="1">
      <alignment horizontal="center" vertical="center" wrapText="1"/>
    </xf>
    <xf numFmtId="0" fontId="33" fillId="0" borderId="1" xfId="1" applyFont="1" applyBorder="1" applyAlignment="1">
      <alignment horizontal="left" vertical="center" wrapText="1"/>
    </xf>
    <xf numFmtId="0" fontId="8" fillId="0" borderId="1" xfId="1" applyFont="1" applyBorder="1" applyAlignment="1">
      <alignment horizontal="right" vertical="center" wrapText="1"/>
    </xf>
    <xf numFmtId="0" fontId="33" fillId="0" borderId="2" xfId="3" applyFont="1" applyBorder="1" applyAlignment="1">
      <alignment horizontal="left" vertical="center" wrapText="1"/>
    </xf>
    <xf numFmtId="0" fontId="33" fillId="0" borderId="3" xfId="3" applyFont="1" applyBorder="1" applyAlignment="1">
      <alignment horizontal="left" vertical="center" wrapText="1"/>
    </xf>
    <xf numFmtId="0" fontId="33" fillId="0" borderId="4" xfId="3" applyFont="1" applyBorder="1" applyAlignment="1">
      <alignment horizontal="left" vertical="center" wrapText="1"/>
    </xf>
    <xf numFmtId="0" fontId="8" fillId="0" borderId="2" xfId="3" applyFont="1" applyBorder="1" applyAlignment="1">
      <alignment horizontal="left" vertical="center" wrapText="1"/>
    </xf>
    <xf numFmtId="0" fontId="8" fillId="0" borderId="3" xfId="3" applyFont="1" applyBorder="1" applyAlignment="1">
      <alignment horizontal="left" vertical="center" wrapText="1"/>
    </xf>
    <xf numFmtId="0" fontId="8" fillId="0" borderId="4" xfId="3" applyFont="1" applyBorder="1" applyAlignment="1">
      <alignment horizontal="left" vertical="center" wrapText="1"/>
    </xf>
    <xf numFmtId="0" fontId="43" fillId="0" borderId="1" xfId="2" applyFont="1" applyBorder="1" applyAlignment="1">
      <alignment horizontal="right" vertical="center" wrapText="1"/>
    </xf>
    <xf numFmtId="165" fontId="44" fillId="0" borderId="1" xfId="3" applyNumberFormat="1" applyFont="1" applyBorder="1" applyAlignment="1">
      <alignment horizontal="center" vertical="center" wrapText="1"/>
    </xf>
    <xf numFmtId="14" fontId="44" fillId="0" borderId="1" xfId="3" applyNumberFormat="1" applyFont="1" applyBorder="1" applyAlignment="1">
      <alignment horizontal="center" vertical="center" wrapText="1"/>
    </xf>
    <xf numFmtId="0" fontId="44" fillId="0" borderId="1" xfId="3" applyFont="1" applyBorder="1" applyAlignment="1">
      <alignment vertical="center" wrapText="1"/>
    </xf>
    <xf numFmtId="0" fontId="5" fillId="24" borderId="1" xfId="1" applyFont="1" applyFill="1" applyBorder="1" applyAlignment="1">
      <alignment horizontal="center" vertical="center" wrapText="1"/>
    </xf>
    <xf numFmtId="0" fontId="43" fillId="11" borderId="1" xfId="3" applyFont="1" applyFill="1" applyBorder="1" applyAlignment="1">
      <alignment horizontal="center" vertical="center" wrapText="1"/>
    </xf>
    <xf numFmtId="0" fontId="8" fillId="18" borderId="2" xfId="2" applyFont="1" applyFill="1" applyBorder="1" applyAlignment="1">
      <alignment horizontal="center" vertical="center" wrapText="1"/>
    </xf>
    <xf numFmtId="0" fontId="4" fillId="8" borderId="2" xfId="2" applyFont="1" applyFill="1" applyBorder="1" applyAlignment="1">
      <alignment horizontal="center" vertical="center" wrapText="1"/>
    </xf>
    <xf numFmtId="0" fontId="4" fillId="8" borderId="3" xfId="2" applyFont="1" applyFill="1" applyBorder="1" applyAlignment="1">
      <alignment horizontal="center" vertical="center" wrapText="1"/>
    </xf>
    <xf numFmtId="0" fontId="4" fillId="8" borderId="4" xfId="2" applyFont="1" applyFill="1" applyBorder="1" applyAlignment="1">
      <alignment horizontal="center" vertical="center" wrapText="1"/>
    </xf>
    <xf numFmtId="0" fontId="4" fillId="8" borderId="0" xfId="1" applyFont="1" applyFill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4" fillId="8" borderId="1" xfId="2" applyFont="1" applyFill="1" applyBorder="1" applyAlignment="1">
      <alignment horizontal="center" vertical="center" wrapText="1"/>
    </xf>
    <xf numFmtId="0" fontId="8" fillId="8" borderId="2" xfId="2" applyFont="1" applyFill="1" applyBorder="1" applyAlignment="1">
      <alignment horizontal="left" vertical="center" wrapText="1"/>
    </xf>
    <xf numFmtId="0" fontId="8" fillId="8" borderId="3" xfId="2" applyFont="1" applyFill="1" applyBorder="1" applyAlignment="1">
      <alignment horizontal="left" vertical="center" wrapText="1"/>
    </xf>
    <xf numFmtId="0" fontId="8" fillId="8" borderId="4" xfId="2" applyFont="1" applyFill="1" applyBorder="1" applyAlignment="1">
      <alignment horizontal="left" vertical="center" wrapText="1"/>
    </xf>
    <xf numFmtId="0" fontId="8" fillId="8" borderId="2" xfId="3" applyFont="1" applyFill="1" applyBorder="1" applyAlignment="1">
      <alignment horizontal="center" vertical="center" wrapText="1"/>
    </xf>
    <xf numFmtId="0" fontId="8" fillId="8" borderId="3" xfId="3" applyFont="1" applyFill="1" applyBorder="1" applyAlignment="1">
      <alignment horizontal="center" vertical="center" wrapText="1"/>
    </xf>
    <xf numFmtId="0" fontId="8" fillId="8" borderId="4" xfId="3" applyFont="1" applyFill="1" applyBorder="1" applyAlignment="1">
      <alignment horizontal="center" vertical="center" wrapText="1"/>
    </xf>
    <xf numFmtId="0" fontId="8" fillId="8" borderId="2" xfId="2" applyFont="1" applyFill="1" applyBorder="1" applyAlignment="1">
      <alignment horizontal="center" vertical="center" wrapText="1"/>
    </xf>
    <xf numFmtId="0" fontId="8" fillId="8" borderId="3" xfId="2" applyFont="1" applyFill="1" applyBorder="1" applyAlignment="1">
      <alignment horizontal="center" vertical="center" wrapText="1"/>
    </xf>
    <xf numFmtId="0" fontId="8" fillId="8" borderId="4" xfId="2" applyFont="1" applyFill="1" applyBorder="1" applyAlignment="1">
      <alignment horizontal="center" vertical="center" wrapText="1"/>
    </xf>
    <xf numFmtId="167" fontId="8" fillId="8" borderId="2" xfId="2" applyNumberFormat="1" applyFont="1" applyFill="1" applyBorder="1" applyAlignment="1">
      <alignment horizontal="center" vertical="center" wrapText="1"/>
    </xf>
    <xf numFmtId="167" fontId="8" fillId="8" borderId="3" xfId="2" applyNumberFormat="1" applyFont="1" applyFill="1" applyBorder="1" applyAlignment="1">
      <alignment horizontal="center" vertical="center" wrapText="1"/>
    </xf>
    <xf numFmtId="167" fontId="8" fillId="8" borderId="4" xfId="2" applyNumberFormat="1" applyFont="1" applyFill="1" applyBorder="1" applyAlignment="1">
      <alignment horizontal="center" vertical="center" wrapText="1"/>
    </xf>
    <xf numFmtId="164" fontId="8" fillId="8" borderId="2" xfId="2" applyNumberFormat="1" applyFont="1" applyFill="1" applyBorder="1" applyAlignment="1">
      <alignment horizontal="center" vertical="center" wrapText="1"/>
    </xf>
    <xf numFmtId="164" fontId="8" fillId="8" borderId="3" xfId="2" applyNumberFormat="1" applyFont="1" applyFill="1" applyBorder="1" applyAlignment="1">
      <alignment horizontal="center" vertical="center" wrapText="1"/>
    </xf>
    <xf numFmtId="164" fontId="8" fillId="8" borderId="4" xfId="2" applyNumberFormat="1" applyFont="1" applyFill="1" applyBorder="1" applyAlignment="1">
      <alignment horizontal="center" vertical="center" wrapText="1"/>
    </xf>
    <xf numFmtId="0" fontId="8" fillId="8" borderId="2" xfId="3" applyFont="1" applyFill="1" applyBorder="1" applyAlignment="1">
      <alignment vertical="center" wrapText="1"/>
    </xf>
    <xf numFmtId="0" fontId="8" fillId="8" borderId="3" xfId="3" applyFont="1" applyFill="1" applyBorder="1" applyAlignment="1">
      <alignment vertical="center" wrapText="1"/>
    </xf>
    <xf numFmtId="0" fontId="8" fillId="8" borderId="4" xfId="3" applyFont="1" applyFill="1" applyBorder="1" applyAlignment="1">
      <alignment vertical="center" wrapText="1"/>
    </xf>
    <xf numFmtId="0" fontId="8" fillId="5" borderId="2" xfId="2" applyFont="1" applyFill="1" applyBorder="1" applyAlignment="1">
      <alignment horizontal="left" vertical="center" wrapText="1"/>
    </xf>
    <xf numFmtId="0" fontId="8" fillId="5" borderId="3" xfId="2" applyFont="1" applyFill="1" applyBorder="1" applyAlignment="1">
      <alignment horizontal="left" vertical="center" wrapText="1"/>
    </xf>
    <xf numFmtId="0" fontId="8" fillId="5" borderId="4" xfId="2" applyFont="1" applyFill="1" applyBorder="1" applyAlignment="1">
      <alignment horizontal="left" vertical="center" wrapText="1"/>
    </xf>
    <xf numFmtId="164" fontId="8" fillId="18" borderId="2" xfId="2" applyNumberFormat="1" applyFont="1" applyFill="1" applyBorder="1" applyAlignment="1">
      <alignment horizontal="center" vertical="center" wrapText="1"/>
    </xf>
    <xf numFmtId="164" fontId="8" fillId="18" borderId="3" xfId="2" applyNumberFormat="1" applyFont="1" applyFill="1" applyBorder="1" applyAlignment="1">
      <alignment horizontal="center" vertical="center" wrapText="1"/>
    </xf>
    <xf numFmtId="164" fontId="8" fillId="18" borderId="4" xfId="2" applyNumberFormat="1" applyFont="1" applyFill="1" applyBorder="1" applyAlignment="1">
      <alignment horizontal="center" vertical="center" wrapText="1"/>
    </xf>
    <xf numFmtId="0" fontId="4" fillId="8" borderId="7" xfId="1" applyFont="1" applyFill="1" applyBorder="1" applyAlignment="1">
      <alignment horizontal="center" vertical="center" wrapText="1"/>
    </xf>
    <xf numFmtId="164" fontId="8" fillId="20" borderId="2" xfId="2" applyNumberFormat="1" applyFont="1" applyFill="1" applyBorder="1" applyAlignment="1">
      <alignment horizontal="center" vertical="center" wrapText="1"/>
    </xf>
    <xf numFmtId="164" fontId="8" fillId="20" borderId="3" xfId="2" applyNumberFormat="1" applyFont="1" applyFill="1" applyBorder="1" applyAlignment="1">
      <alignment horizontal="center" vertical="center" wrapText="1"/>
    </xf>
    <xf numFmtId="164" fontId="8" fillId="20" borderId="4" xfId="2" applyNumberFormat="1" applyFont="1" applyFill="1" applyBorder="1" applyAlignment="1">
      <alignment horizontal="center" vertical="center" wrapText="1"/>
    </xf>
    <xf numFmtId="164" fontId="8" fillId="5" borderId="2" xfId="2" applyNumberFormat="1" applyFont="1" applyFill="1" applyBorder="1" applyAlignment="1">
      <alignment horizontal="center" vertical="center" wrapText="1"/>
    </xf>
    <xf numFmtId="164" fontId="8" fillId="5" borderId="3" xfId="2" applyNumberFormat="1" applyFont="1" applyFill="1" applyBorder="1" applyAlignment="1">
      <alignment horizontal="center" vertical="center" wrapText="1"/>
    </xf>
    <xf numFmtId="164" fontId="8" fillId="5" borderId="4" xfId="2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vertical="center" wrapText="1"/>
    </xf>
    <xf numFmtId="164" fontId="8" fillId="8" borderId="1" xfId="2" applyNumberFormat="1" applyFont="1" applyFill="1" applyBorder="1" applyAlignment="1">
      <alignment horizontal="center" vertical="center" wrapText="1"/>
    </xf>
    <xf numFmtId="0" fontId="8" fillId="8" borderId="1" xfId="2" applyFont="1" applyFill="1" applyBorder="1" applyAlignment="1">
      <alignment horizontal="left" vertical="center" wrapText="1"/>
    </xf>
    <xf numFmtId="0" fontId="8" fillId="8" borderId="1" xfId="3" applyFont="1" applyFill="1" applyBorder="1" applyAlignment="1">
      <alignment vertical="center" wrapText="1"/>
    </xf>
    <xf numFmtId="0" fontId="8" fillId="18" borderId="2" xfId="3" applyFont="1" applyFill="1" applyBorder="1" applyAlignment="1">
      <alignment vertical="center" wrapText="1"/>
    </xf>
    <xf numFmtId="0" fontId="8" fillId="18" borderId="3" xfId="3" applyFont="1" applyFill="1" applyBorder="1" applyAlignment="1">
      <alignment vertical="center" wrapText="1"/>
    </xf>
    <xf numFmtId="0" fontId="8" fillId="18" borderId="4" xfId="3" applyFont="1" applyFill="1" applyBorder="1" applyAlignment="1">
      <alignment vertical="center" wrapText="1"/>
    </xf>
    <xf numFmtId="0" fontId="8" fillId="5" borderId="2" xfId="3" applyFont="1" applyFill="1" applyBorder="1" applyAlignment="1">
      <alignment horizontal="center" vertical="center" wrapText="1"/>
    </xf>
    <xf numFmtId="0" fontId="8" fillId="5" borderId="3" xfId="3" applyFont="1" applyFill="1" applyBorder="1" applyAlignment="1">
      <alignment horizontal="center" vertical="center" wrapText="1"/>
    </xf>
    <xf numFmtId="0" fontId="8" fillId="5" borderId="4" xfId="3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left" vertical="center" wrapText="1"/>
    </xf>
    <xf numFmtId="0" fontId="1" fillId="8" borderId="4" xfId="0" applyFont="1" applyFill="1" applyBorder="1" applyAlignment="1">
      <alignment horizontal="left" vertical="center" wrapText="1"/>
    </xf>
    <xf numFmtId="0" fontId="8" fillId="18" borderId="2" xfId="2" applyFont="1" applyFill="1" applyBorder="1" applyAlignment="1">
      <alignment horizontal="left" vertical="center" wrapText="1"/>
    </xf>
    <xf numFmtId="0" fontId="8" fillId="18" borderId="3" xfId="2" applyFont="1" applyFill="1" applyBorder="1" applyAlignment="1">
      <alignment horizontal="left" vertical="center" wrapText="1"/>
    </xf>
    <xf numFmtId="0" fontId="8" fillId="18" borderId="4" xfId="2" applyFont="1" applyFill="1" applyBorder="1" applyAlignment="1">
      <alignment horizontal="left" vertical="center" wrapText="1"/>
    </xf>
    <xf numFmtId="0" fontId="1" fillId="18" borderId="3" xfId="0" applyFont="1" applyFill="1" applyBorder="1" applyAlignment="1">
      <alignment horizontal="left" vertical="center" wrapText="1"/>
    </xf>
    <xf numFmtId="0" fontId="1" fillId="18" borderId="4" xfId="0" applyFont="1" applyFill="1" applyBorder="1" applyAlignment="1">
      <alignment horizontal="left" vertical="center" wrapText="1"/>
    </xf>
    <xf numFmtId="0" fontId="8" fillId="5" borderId="2" xfId="3" applyFont="1" applyFill="1" applyBorder="1" applyAlignment="1">
      <alignment vertical="center" wrapText="1"/>
    </xf>
    <xf numFmtId="0" fontId="8" fillId="5" borderId="3" xfId="3" applyFont="1" applyFill="1" applyBorder="1" applyAlignment="1">
      <alignment vertical="center" wrapText="1"/>
    </xf>
    <xf numFmtId="0" fontId="8" fillId="5" borderId="4" xfId="3" applyFont="1" applyFill="1" applyBorder="1" applyAlignment="1">
      <alignment vertical="center" wrapText="1"/>
    </xf>
    <xf numFmtId="0" fontId="8" fillId="18" borderId="2" xfId="1" applyFont="1" applyFill="1" applyBorder="1" applyAlignment="1">
      <alignment vertical="center" wrapText="1"/>
    </xf>
    <xf numFmtId="0" fontId="8" fillId="18" borderId="3" xfId="1" applyFont="1" applyFill="1" applyBorder="1" applyAlignment="1">
      <alignment vertical="center" wrapText="1"/>
    </xf>
    <xf numFmtId="0" fontId="8" fillId="18" borderId="4" xfId="1" applyFont="1" applyFill="1" applyBorder="1" applyAlignment="1">
      <alignment vertical="center" wrapText="1"/>
    </xf>
    <xf numFmtId="0" fontId="8" fillId="18" borderId="2" xfId="3" applyFont="1" applyFill="1" applyBorder="1" applyAlignment="1">
      <alignment horizontal="left" vertical="center" wrapText="1"/>
    </xf>
    <xf numFmtId="0" fontId="8" fillId="18" borderId="3" xfId="3" applyFont="1" applyFill="1" applyBorder="1" applyAlignment="1">
      <alignment horizontal="left" vertical="center" wrapText="1"/>
    </xf>
    <xf numFmtId="0" fontId="8" fillId="18" borderId="4" xfId="3" applyFont="1" applyFill="1" applyBorder="1" applyAlignment="1">
      <alignment horizontal="left" vertical="center" wrapText="1"/>
    </xf>
    <xf numFmtId="0" fontId="8" fillId="20" borderId="2" xfId="2" applyFont="1" applyFill="1" applyBorder="1" applyAlignment="1">
      <alignment horizontal="left" vertical="center" wrapText="1"/>
    </xf>
    <xf numFmtId="0" fontId="8" fillId="20" borderId="3" xfId="2" applyFont="1" applyFill="1" applyBorder="1" applyAlignment="1">
      <alignment horizontal="left" vertical="center" wrapText="1"/>
    </xf>
    <xf numFmtId="0" fontId="8" fillId="20" borderId="4" xfId="2" applyFont="1" applyFill="1" applyBorder="1" applyAlignment="1">
      <alignment horizontal="left" vertical="center" wrapText="1"/>
    </xf>
    <xf numFmtId="0" fontId="8" fillId="20" borderId="2" xfId="3" applyFont="1" applyFill="1" applyBorder="1" applyAlignment="1">
      <alignment vertical="center" wrapText="1"/>
    </xf>
    <xf numFmtId="0" fontId="8" fillId="20" borderId="3" xfId="3" applyFont="1" applyFill="1" applyBorder="1" applyAlignment="1">
      <alignment vertical="center" wrapText="1"/>
    </xf>
    <xf numFmtId="0" fontId="8" fillId="20" borderId="4" xfId="3" applyFont="1" applyFill="1" applyBorder="1" applyAlignment="1">
      <alignment vertical="center" wrapText="1"/>
    </xf>
    <xf numFmtId="0" fontId="8" fillId="18" borderId="2" xfId="3" applyFont="1" applyFill="1" applyBorder="1" applyAlignment="1">
      <alignment horizontal="center" vertical="center" wrapText="1"/>
    </xf>
    <xf numFmtId="0" fontId="8" fillId="18" borderId="3" xfId="3" applyFont="1" applyFill="1" applyBorder="1" applyAlignment="1">
      <alignment horizontal="center" vertical="center" wrapText="1"/>
    </xf>
    <xf numFmtId="0" fontId="8" fillId="18" borderId="4" xfId="3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2" fillId="8" borderId="0" xfId="1" applyFont="1" applyFill="1" applyAlignment="1">
      <alignment horizontal="center" vertical="center" wrapText="1"/>
    </xf>
    <xf numFmtId="49" fontId="8" fillId="8" borderId="1" xfId="1" applyNumberFormat="1" applyFont="1" applyFill="1" applyBorder="1" applyAlignment="1">
      <alignment horizontal="center" vertical="center" wrapText="1"/>
    </xf>
    <xf numFmtId="49" fontId="8" fillId="8" borderId="2" xfId="1" applyNumberFormat="1" applyFont="1" applyFill="1" applyBorder="1" applyAlignment="1">
      <alignment horizontal="center" vertical="center" wrapText="1"/>
    </xf>
    <xf numFmtId="49" fontId="8" fillId="8" borderId="3" xfId="1" applyNumberFormat="1" applyFont="1" applyFill="1" applyBorder="1" applyAlignment="1">
      <alignment horizontal="center" vertical="center" wrapText="1"/>
    </xf>
    <xf numFmtId="49" fontId="8" fillId="8" borderId="4" xfId="1" applyNumberFormat="1" applyFont="1" applyFill="1" applyBorder="1" applyAlignment="1">
      <alignment horizontal="center" vertical="center" wrapText="1"/>
    </xf>
    <xf numFmtId="0" fontId="8" fillId="8" borderId="1" xfId="2" applyFont="1" applyFill="1" applyBorder="1" applyAlignment="1">
      <alignment horizontal="center" vertical="center" wrapText="1"/>
    </xf>
    <xf numFmtId="0" fontId="8" fillId="8" borderId="2" xfId="1" applyFont="1" applyFill="1" applyBorder="1" applyAlignment="1">
      <alignment horizontal="center" vertical="center" wrapText="1"/>
    </xf>
    <xf numFmtId="0" fontId="8" fillId="8" borderId="3" xfId="1" applyFont="1" applyFill="1" applyBorder="1" applyAlignment="1">
      <alignment horizontal="center" vertical="center" wrapText="1"/>
    </xf>
    <xf numFmtId="0" fontId="8" fillId="8" borderId="4" xfId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8" fillId="20" borderId="2" xfId="3" applyFont="1" applyFill="1" applyBorder="1" applyAlignment="1">
      <alignment horizontal="center" vertical="center" wrapText="1"/>
    </xf>
    <xf numFmtId="0" fontId="8" fillId="20" borderId="3" xfId="3" applyFont="1" applyFill="1" applyBorder="1" applyAlignment="1">
      <alignment horizontal="center" vertical="center" wrapText="1"/>
    </xf>
    <xf numFmtId="0" fontId="8" fillId="20" borderId="4" xfId="3" applyFont="1" applyFill="1" applyBorder="1" applyAlignment="1">
      <alignment horizontal="center" vertical="center" wrapText="1"/>
    </xf>
    <xf numFmtId="0" fontId="8" fillId="20" borderId="2" xfId="3" applyFont="1" applyFill="1" applyBorder="1" applyAlignment="1">
      <alignment horizontal="left" vertical="center" wrapText="1"/>
    </xf>
    <xf numFmtId="0" fontId="8" fillId="20" borderId="3" xfId="3" applyFont="1" applyFill="1" applyBorder="1" applyAlignment="1">
      <alignment horizontal="left" vertical="center" wrapText="1"/>
    </xf>
    <xf numFmtId="0" fontId="8" fillId="20" borderId="4" xfId="3" applyFont="1" applyFill="1" applyBorder="1" applyAlignment="1">
      <alignment horizontal="left" vertical="center" wrapText="1"/>
    </xf>
    <xf numFmtId="0" fontId="8" fillId="18" borderId="1" xfId="3" applyFont="1" applyFill="1" applyBorder="1" applyAlignment="1">
      <alignment vertical="center" wrapText="1"/>
    </xf>
    <xf numFmtId="0" fontId="8" fillId="18" borderId="1" xfId="2" applyFont="1" applyFill="1" applyBorder="1" applyAlignment="1">
      <alignment horizontal="left" vertical="center" wrapText="1"/>
    </xf>
    <xf numFmtId="0" fontId="8" fillId="18" borderId="2" xfId="2" applyFont="1" applyFill="1" applyBorder="1" applyAlignment="1">
      <alignment horizontal="center" vertical="center" wrapText="1"/>
    </xf>
    <xf numFmtId="0" fontId="8" fillId="18" borderId="3" xfId="2" applyFont="1" applyFill="1" applyBorder="1" applyAlignment="1">
      <alignment horizontal="center" vertical="center" wrapText="1"/>
    </xf>
    <xf numFmtId="0" fontId="8" fillId="18" borderId="4" xfId="2" applyFont="1" applyFill="1" applyBorder="1" applyAlignment="1">
      <alignment horizontal="center" vertical="center" wrapText="1"/>
    </xf>
    <xf numFmtId="0" fontId="9" fillId="18" borderId="2" xfId="2" applyFont="1" applyFill="1" applyBorder="1" applyAlignment="1">
      <alignment horizontal="left" vertical="center" wrapText="1"/>
    </xf>
    <xf numFmtId="0" fontId="8" fillId="20" borderId="2" xfId="1" applyFont="1" applyFill="1" applyBorder="1" applyAlignment="1">
      <alignment vertical="center" wrapText="1"/>
    </xf>
    <xf numFmtId="0" fontId="8" fillId="20" borderId="3" xfId="1" applyFont="1" applyFill="1" applyBorder="1" applyAlignment="1">
      <alignment vertical="center" wrapText="1"/>
    </xf>
    <xf numFmtId="0" fontId="8" fillId="20" borderId="4" xfId="1" applyFont="1" applyFill="1" applyBorder="1" applyAlignment="1">
      <alignment vertical="center" wrapText="1"/>
    </xf>
    <xf numFmtId="0" fontId="1" fillId="20" borderId="3" xfId="0" applyFont="1" applyFill="1" applyBorder="1" applyAlignment="1">
      <alignment horizontal="left" vertical="center" wrapText="1"/>
    </xf>
    <xf numFmtId="0" fontId="1" fillId="20" borderId="4" xfId="0" applyFont="1" applyFill="1" applyBorder="1" applyAlignment="1">
      <alignment horizontal="left" vertical="center" wrapText="1"/>
    </xf>
    <xf numFmtId="164" fontId="9" fillId="18" borderId="2" xfId="2" applyNumberFormat="1" applyFont="1" applyFill="1" applyBorder="1" applyAlignment="1">
      <alignment horizontal="center" vertical="center" wrapText="1"/>
    </xf>
    <xf numFmtId="0" fontId="8" fillId="5" borderId="2" xfId="2" applyFont="1" applyFill="1" applyBorder="1" applyAlignment="1">
      <alignment horizontal="center" vertical="center" wrapText="1"/>
    </xf>
    <xf numFmtId="0" fontId="8" fillId="5" borderId="3" xfId="2" applyFont="1" applyFill="1" applyBorder="1" applyAlignment="1">
      <alignment horizontal="center" vertical="center" wrapText="1"/>
    </xf>
    <xf numFmtId="0" fontId="8" fillId="5" borderId="4" xfId="2" applyFont="1" applyFill="1" applyBorder="1" applyAlignment="1">
      <alignment horizontal="center" vertical="center" wrapText="1"/>
    </xf>
    <xf numFmtId="0" fontId="8" fillId="20" borderId="2" xfId="2" applyFont="1" applyFill="1" applyBorder="1" applyAlignment="1">
      <alignment horizontal="center" vertical="center" wrapText="1"/>
    </xf>
    <xf numFmtId="0" fontId="8" fillId="20" borderId="3" xfId="2" applyFont="1" applyFill="1" applyBorder="1" applyAlignment="1">
      <alignment horizontal="center" vertical="center" wrapText="1"/>
    </xf>
    <xf numFmtId="0" fontId="8" fillId="20" borderId="4" xfId="2" applyFont="1" applyFill="1" applyBorder="1" applyAlignment="1">
      <alignment horizontal="center" vertical="center" wrapText="1"/>
    </xf>
    <xf numFmtId="0" fontId="8" fillId="11" borderId="2" xfId="2" applyFont="1" applyFill="1" applyBorder="1" applyAlignment="1">
      <alignment horizontal="center" vertical="center" wrapText="1"/>
    </xf>
    <xf numFmtId="0" fontId="8" fillId="11" borderId="3" xfId="2" applyFont="1" applyFill="1" applyBorder="1" applyAlignment="1">
      <alignment horizontal="center" vertical="center" wrapText="1"/>
    </xf>
    <xf numFmtId="0" fontId="8" fillId="11" borderId="4" xfId="2" applyFont="1" applyFill="1" applyBorder="1" applyAlignment="1">
      <alignment horizontal="center" vertical="center" wrapText="1"/>
    </xf>
    <xf numFmtId="0" fontId="12" fillId="11" borderId="2" xfId="3" applyFont="1" applyFill="1" applyBorder="1" applyAlignment="1">
      <alignment horizontal="center" vertical="center" wrapText="1"/>
    </xf>
    <xf numFmtId="0" fontId="12" fillId="11" borderId="3" xfId="3" applyFont="1" applyFill="1" applyBorder="1" applyAlignment="1">
      <alignment horizontal="center" vertical="center" wrapText="1"/>
    </xf>
    <xf numFmtId="0" fontId="12" fillId="11" borderId="4" xfId="3" applyFont="1" applyFill="1" applyBorder="1" applyAlignment="1">
      <alignment horizontal="center" vertical="center" wrapText="1"/>
    </xf>
    <xf numFmtId="0" fontId="4" fillId="11" borderId="2" xfId="2" applyFont="1" applyFill="1" applyBorder="1" applyAlignment="1">
      <alignment horizontal="center" vertical="center" wrapText="1"/>
    </xf>
    <xf numFmtId="0" fontId="4" fillId="11" borderId="3" xfId="2" applyFont="1" applyFill="1" applyBorder="1" applyAlignment="1">
      <alignment horizontal="center" vertical="center" wrapText="1"/>
    </xf>
    <xf numFmtId="0" fontId="4" fillId="11" borderId="4" xfId="2" applyFont="1" applyFill="1" applyBorder="1" applyAlignment="1">
      <alignment horizontal="center" vertical="center" wrapText="1"/>
    </xf>
    <xf numFmtId="167" fontId="8" fillId="11" borderId="2" xfId="2" applyNumberFormat="1" applyFont="1" applyFill="1" applyBorder="1" applyAlignment="1">
      <alignment horizontal="center" vertical="center" wrapText="1"/>
    </xf>
    <xf numFmtId="167" fontId="8" fillId="11" borderId="3" xfId="2" applyNumberFormat="1" applyFont="1" applyFill="1" applyBorder="1" applyAlignment="1">
      <alignment horizontal="center" vertical="center" wrapText="1"/>
    </xf>
    <xf numFmtId="167" fontId="8" fillId="11" borderId="4" xfId="2" applyNumberFormat="1" applyFont="1" applyFill="1" applyBorder="1" applyAlignment="1">
      <alignment horizontal="center" vertical="center" wrapText="1"/>
    </xf>
    <xf numFmtId="164" fontId="8" fillId="11" borderId="2" xfId="2" applyNumberFormat="1" applyFont="1" applyFill="1" applyBorder="1" applyAlignment="1">
      <alignment horizontal="center" vertical="center" wrapText="1"/>
    </xf>
    <xf numFmtId="164" fontId="8" fillId="11" borderId="3" xfId="2" applyNumberFormat="1" applyFont="1" applyFill="1" applyBorder="1" applyAlignment="1">
      <alignment horizontal="center" vertical="center" wrapText="1"/>
    </xf>
    <xf numFmtId="164" fontId="8" fillId="11" borderId="4" xfId="2" applyNumberFormat="1" applyFont="1" applyFill="1" applyBorder="1" applyAlignment="1">
      <alignment horizontal="center" vertical="center" wrapText="1"/>
    </xf>
    <xf numFmtId="0" fontId="8" fillId="11" borderId="2" xfId="2" applyFont="1" applyFill="1" applyBorder="1" applyAlignment="1">
      <alignment horizontal="left" vertical="center" wrapText="1"/>
    </xf>
    <xf numFmtId="0" fontId="8" fillId="11" borderId="3" xfId="2" applyFont="1" applyFill="1" applyBorder="1" applyAlignment="1">
      <alignment horizontal="left" vertical="center" wrapText="1"/>
    </xf>
    <xf numFmtId="0" fontId="8" fillId="11" borderId="4" xfId="2" applyFont="1" applyFill="1" applyBorder="1" applyAlignment="1">
      <alignment horizontal="left" vertical="center" wrapText="1"/>
    </xf>
    <xf numFmtId="0" fontId="8" fillId="11" borderId="2" xfId="3" applyFont="1" applyFill="1" applyBorder="1" applyAlignment="1">
      <alignment vertical="center" wrapText="1"/>
    </xf>
    <xf numFmtId="0" fontId="8" fillId="11" borderId="3" xfId="3" applyFont="1" applyFill="1" applyBorder="1" applyAlignment="1">
      <alignment vertical="center" wrapText="1"/>
    </xf>
    <xf numFmtId="0" fontId="8" fillId="11" borderId="4" xfId="3" applyFont="1" applyFill="1" applyBorder="1" applyAlignment="1">
      <alignment vertical="center" wrapText="1"/>
    </xf>
    <xf numFmtId="0" fontId="8" fillId="11" borderId="2" xfId="3" applyFont="1" applyFill="1" applyBorder="1" applyAlignment="1">
      <alignment horizontal="center" vertical="center" wrapText="1"/>
    </xf>
    <xf numFmtId="0" fontId="8" fillId="11" borderId="3" xfId="3" applyFont="1" applyFill="1" applyBorder="1" applyAlignment="1">
      <alignment horizontal="center" vertical="center" wrapText="1"/>
    </xf>
    <xf numFmtId="0" fontId="8" fillId="11" borderId="4" xfId="3" applyFont="1" applyFill="1" applyBorder="1" applyAlignment="1">
      <alignment horizontal="center" vertical="center" wrapText="1"/>
    </xf>
    <xf numFmtId="0" fontId="25" fillId="8" borderId="0" xfId="5" applyFont="1" applyFill="1" applyAlignment="1">
      <alignment horizontal="center" vertical="center" wrapText="1" readingOrder="1"/>
    </xf>
    <xf numFmtId="0" fontId="16" fillId="8" borderId="1" xfId="5" applyFont="1" applyFill="1" applyBorder="1" applyAlignment="1">
      <alignment horizontal="center" vertical="center" wrapText="1" readingOrder="1"/>
    </xf>
    <xf numFmtId="0" fontId="16" fillId="10" borderId="6" xfId="5" applyFont="1" applyFill="1" applyBorder="1" applyAlignment="1">
      <alignment horizontal="center" vertical="center" wrapText="1" readingOrder="1"/>
    </xf>
    <xf numFmtId="0" fontId="16" fillId="10" borderId="5" xfId="5" applyFont="1" applyFill="1" applyBorder="1" applyAlignment="1">
      <alignment horizontal="center" vertical="center" wrapText="1" readingOrder="1"/>
    </xf>
    <xf numFmtId="49" fontId="43" fillId="0" borderId="2" xfId="2" applyNumberFormat="1" applyFont="1" applyBorder="1" applyAlignment="1">
      <alignment horizontal="center" vertical="center" wrapText="1"/>
    </xf>
    <xf numFmtId="49" fontId="43" fillId="0" borderId="3" xfId="2" applyNumberFormat="1" applyFont="1" applyBorder="1" applyAlignment="1">
      <alignment horizontal="center" vertical="center" wrapText="1"/>
    </xf>
    <xf numFmtId="49" fontId="43" fillId="0" borderId="4" xfId="2" applyNumberFormat="1" applyFont="1" applyBorder="1" applyAlignment="1">
      <alignment horizontal="center" vertical="center" wrapText="1"/>
    </xf>
    <xf numFmtId="0" fontId="43" fillId="0" borderId="2" xfId="3" applyFont="1" applyBorder="1" applyAlignment="1">
      <alignment horizontal="left" vertical="center" wrapText="1"/>
    </xf>
    <xf numFmtId="0" fontId="43" fillId="0" borderId="3" xfId="3" applyFont="1" applyBorder="1" applyAlignment="1">
      <alignment horizontal="left" vertical="center" wrapText="1"/>
    </xf>
    <xf numFmtId="0" fontId="43" fillId="0" borderId="4" xfId="3" applyFont="1" applyBorder="1" applyAlignment="1">
      <alignment horizontal="left" vertical="center" wrapText="1"/>
    </xf>
    <xf numFmtId="0" fontId="2" fillId="0" borderId="0" xfId="1" applyFont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7" fillId="2" borderId="2" xfId="2" applyFont="1" applyFill="1" applyBorder="1" applyAlignment="1">
      <alignment horizontal="center" vertical="center" wrapText="1"/>
    </xf>
    <xf numFmtId="0" fontId="7" fillId="2" borderId="3" xfId="2" applyFont="1" applyFill="1" applyBorder="1" applyAlignment="1">
      <alignment horizontal="center" vertical="center" wrapText="1"/>
    </xf>
    <xf numFmtId="0" fontId="7" fillId="2" borderId="4" xfId="2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7" fillId="2" borderId="3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center" vertical="center" wrapText="1"/>
    </xf>
    <xf numFmtId="0" fontId="7" fillId="2" borderId="1" xfId="2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49" fontId="9" fillId="0" borderId="2" xfId="2" applyNumberFormat="1" applyFont="1" applyBorder="1" applyAlignment="1">
      <alignment horizontal="center" vertical="center" wrapText="1"/>
    </xf>
    <xf numFmtId="49" fontId="8" fillId="0" borderId="3" xfId="2" applyNumberFormat="1" applyFont="1" applyBorder="1" applyAlignment="1">
      <alignment horizontal="center" vertical="center" wrapText="1"/>
    </xf>
    <xf numFmtId="49" fontId="8" fillId="0" borderId="4" xfId="2" applyNumberFormat="1" applyFont="1" applyBorder="1" applyAlignment="1">
      <alignment horizontal="center" vertical="center" wrapText="1"/>
    </xf>
    <xf numFmtId="0" fontId="43" fillId="0" borderId="2" xfId="1" applyFont="1" applyBorder="1" applyAlignment="1">
      <alignment vertical="center" wrapText="1"/>
    </xf>
    <xf numFmtId="0" fontId="43" fillId="0" borderId="3" xfId="1" applyFont="1" applyBorder="1" applyAlignment="1">
      <alignment vertical="center" wrapText="1"/>
    </xf>
    <xf numFmtId="0" fontId="43" fillId="0" borderId="4" xfId="1" applyFont="1" applyBorder="1" applyAlignment="1">
      <alignment vertical="center" wrapText="1"/>
    </xf>
    <xf numFmtId="0" fontId="33" fillId="2" borderId="2" xfId="1" applyFont="1" applyFill="1" applyBorder="1" applyAlignment="1">
      <alignment horizontal="center" vertical="center" wrapText="1"/>
    </xf>
    <xf numFmtId="0" fontId="33" fillId="2" borderId="3" xfId="1" applyFont="1" applyFill="1" applyBorder="1" applyAlignment="1">
      <alignment horizontal="center" vertical="center" wrapText="1"/>
    </xf>
    <xf numFmtId="0" fontId="33" fillId="2" borderId="4" xfId="1" applyFont="1" applyFill="1" applyBorder="1" applyAlignment="1">
      <alignment horizontal="center" vertical="center" wrapText="1"/>
    </xf>
    <xf numFmtId="49" fontId="5" fillId="2" borderId="2" xfId="1" applyNumberFormat="1" applyFont="1" applyFill="1" applyBorder="1" applyAlignment="1">
      <alignment horizontal="center" vertical="center" wrapText="1"/>
    </xf>
    <xf numFmtId="49" fontId="5" fillId="2" borderId="3" xfId="1" applyNumberFormat="1" applyFont="1" applyFill="1" applyBorder="1" applyAlignment="1">
      <alignment horizontal="center" vertical="center" wrapText="1"/>
    </xf>
    <xf numFmtId="49" fontId="33" fillId="2" borderId="2" xfId="1" applyNumberFormat="1" applyFont="1" applyFill="1" applyBorder="1" applyAlignment="1">
      <alignment horizontal="center" vertical="center" wrapText="1"/>
    </xf>
    <xf numFmtId="49" fontId="33" fillId="2" borderId="3" xfId="1" applyNumberFormat="1" applyFont="1" applyFill="1" applyBorder="1" applyAlignment="1">
      <alignment horizontal="center" vertical="center" wrapText="1"/>
    </xf>
    <xf numFmtId="49" fontId="33" fillId="2" borderId="4" xfId="1" applyNumberFormat="1" applyFont="1" applyFill="1" applyBorder="1" applyAlignment="1">
      <alignment horizontal="center" vertical="center" wrapText="1"/>
    </xf>
    <xf numFmtId="0" fontId="5" fillId="16" borderId="3" xfId="1" applyFont="1" applyFill="1" applyBorder="1" applyAlignment="1">
      <alignment horizontal="center" vertical="center" wrapText="1"/>
    </xf>
    <xf numFmtId="0" fontId="5" fillId="16" borderId="4" xfId="1" applyFont="1" applyFill="1" applyBorder="1" applyAlignment="1">
      <alignment horizontal="center" vertical="center" wrapText="1"/>
    </xf>
    <xf numFmtId="0" fontId="5" fillId="16" borderId="2" xfId="1" applyFont="1" applyFill="1" applyBorder="1" applyAlignment="1">
      <alignment horizontal="center" vertical="center" wrapText="1"/>
    </xf>
    <xf numFmtId="0" fontId="5" fillId="16" borderId="2" xfId="3" applyFont="1" applyFill="1" applyBorder="1" applyAlignment="1">
      <alignment horizontal="center" vertical="center" wrapText="1"/>
    </xf>
    <xf numFmtId="0" fontId="5" fillId="16" borderId="4" xfId="3" applyFont="1" applyFill="1" applyBorder="1" applyAlignment="1">
      <alignment horizontal="center" vertical="center" wrapText="1"/>
    </xf>
    <xf numFmtId="0" fontId="5" fillId="16" borderId="3" xfId="3" applyFont="1" applyFill="1" applyBorder="1" applyAlignment="1">
      <alignment horizontal="center" vertical="center" wrapText="1"/>
    </xf>
    <xf numFmtId="0" fontId="5" fillId="16" borderId="2" xfId="3" applyFont="1" applyFill="1" applyBorder="1" applyAlignment="1">
      <alignment horizontal="left" vertical="center" wrapText="1"/>
    </xf>
    <xf numFmtId="0" fontId="5" fillId="16" borderId="4" xfId="3" applyFont="1" applyFill="1" applyBorder="1" applyAlignment="1">
      <alignment horizontal="left" vertical="center" wrapText="1"/>
    </xf>
    <xf numFmtId="167" fontId="5" fillId="16" borderId="2" xfId="2" applyNumberFormat="1" applyFont="1" applyFill="1" applyBorder="1" applyAlignment="1">
      <alignment horizontal="center" vertical="center" wrapText="1"/>
    </xf>
    <xf numFmtId="167" fontId="5" fillId="16" borderId="4" xfId="2" applyNumberFormat="1" applyFont="1" applyFill="1" applyBorder="1" applyAlignment="1">
      <alignment horizontal="center" vertical="center" wrapText="1"/>
    </xf>
    <xf numFmtId="0" fontId="5" fillId="16" borderId="3" xfId="3" applyFont="1" applyFill="1" applyBorder="1" applyAlignment="1">
      <alignment horizontal="left" vertical="center" wrapText="1"/>
    </xf>
    <xf numFmtId="167" fontId="5" fillId="16" borderId="1" xfId="2" applyNumberFormat="1" applyFont="1" applyFill="1" applyBorder="1" applyAlignment="1">
      <alignment horizontal="center" vertical="center" wrapText="1"/>
    </xf>
    <xf numFmtId="0" fontId="5" fillId="16" borderId="2" xfId="1" applyFont="1" applyFill="1" applyBorder="1" applyAlignment="1">
      <alignment horizontal="left" vertical="center" wrapText="1"/>
    </xf>
    <xf numFmtId="0" fontId="5" fillId="16" borderId="3" xfId="1" applyFont="1" applyFill="1" applyBorder="1" applyAlignment="1">
      <alignment horizontal="left" vertical="center" wrapText="1"/>
    </xf>
    <xf numFmtId="0" fontId="5" fillId="16" borderId="4" xfId="1" applyFont="1" applyFill="1" applyBorder="1" applyAlignment="1">
      <alignment horizontal="left" vertical="center" wrapText="1"/>
    </xf>
    <xf numFmtId="0" fontId="5" fillId="27" borderId="2" xfId="3" applyFont="1" applyFill="1" applyBorder="1" applyAlignment="1">
      <alignment horizontal="center" vertical="center" wrapText="1"/>
    </xf>
    <xf numFmtId="0" fontId="5" fillId="27" borderId="3" xfId="3" applyFont="1" applyFill="1" applyBorder="1" applyAlignment="1">
      <alignment horizontal="center" vertical="center" wrapText="1"/>
    </xf>
    <xf numFmtId="0" fontId="5" fillId="27" borderId="4" xfId="3" applyFont="1" applyFill="1" applyBorder="1" applyAlignment="1">
      <alignment horizontal="center" vertical="center" wrapText="1"/>
    </xf>
    <xf numFmtId="0" fontId="5" fillId="14" borderId="2" xfId="3" applyFont="1" applyFill="1" applyBorder="1" applyAlignment="1">
      <alignment horizontal="center" vertical="center" wrapText="1"/>
    </xf>
    <xf numFmtId="0" fontId="5" fillId="14" borderId="3" xfId="3" applyFont="1" applyFill="1" applyBorder="1" applyAlignment="1">
      <alignment horizontal="center" vertical="center" wrapText="1"/>
    </xf>
    <xf numFmtId="0" fontId="5" fillId="14" borderId="4" xfId="3" applyFont="1" applyFill="1" applyBorder="1" applyAlignment="1">
      <alignment horizontal="center" vertical="center" wrapText="1"/>
    </xf>
    <xf numFmtId="0" fontId="5" fillId="16" borderId="2" xfId="2" applyFont="1" applyFill="1" applyBorder="1" applyAlignment="1">
      <alignment horizontal="center" vertical="center" wrapText="1"/>
    </xf>
    <xf numFmtId="0" fontId="5" fillId="16" borderId="4" xfId="2" applyFont="1" applyFill="1" applyBorder="1" applyAlignment="1">
      <alignment horizontal="center" vertical="center" wrapText="1"/>
    </xf>
    <xf numFmtId="167" fontId="5" fillId="16" borderId="2" xfId="1" applyNumberFormat="1" applyFont="1" applyFill="1" applyBorder="1" applyAlignment="1">
      <alignment horizontal="center" vertical="center" wrapText="1"/>
    </xf>
    <xf numFmtId="167" fontId="5" fillId="16" borderId="4" xfId="1" applyNumberFormat="1" applyFont="1" applyFill="1" applyBorder="1" applyAlignment="1">
      <alignment horizontal="center" vertical="center" wrapText="1"/>
    </xf>
    <xf numFmtId="0" fontId="5" fillId="26" borderId="2" xfId="3" applyFont="1" applyFill="1" applyBorder="1" applyAlignment="1">
      <alignment horizontal="center" vertical="center" wrapText="1"/>
    </xf>
    <xf numFmtId="0" fontId="5" fillId="26" borderId="3" xfId="3" applyFont="1" applyFill="1" applyBorder="1" applyAlignment="1">
      <alignment horizontal="center" vertical="center" wrapText="1"/>
    </xf>
    <xf numFmtId="0" fontId="5" fillId="26" borderId="4" xfId="3" applyFont="1" applyFill="1" applyBorder="1" applyAlignment="1">
      <alignment horizontal="center" vertical="center" wrapText="1"/>
    </xf>
    <xf numFmtId="0" fontId="5" fillId="13" borderId="2" xfId="1" applyFont="1" applyFill="1" applyBorder="1" applyAlignment="1">
      <alignment horizontal="center" vertical="center" wrapText="1"/>
    </xf>
    <xf numFmtId="0" fontId="5" fillId="13" borderId="3" xfId="1" applyFont="1" applyFill="1" applyBorder="1" applyAlignment="1">
      <alignment horizontal="center" vertical="center" wrapText="1"/>
    </xf>
    <xf numFmtId="0" fontId="5" fillId="13" borderId="4" xfId="1" applyFont="1" applyFill="1" applyBorder="1" applyAlignment="1">
      <alignment horizontal="center" vertical="center" wrapText="1"/>
    </xf>
    <xf numFmtId="0" fontId="5" fillId="13" borderId="2" xfId="3" applyFont="1" applyFill="1" applyBorder="1" applyAlignment="1">
      <alignment horizontal="center" vertical="center" wrapText="1"/>
    </xf>
    <xf numFmtId="0" fontId="5" fillId="13" borderId="3" xfId="3" applyFont="1" applyFill="1" applyBorder="1" applyAlignment="1">
      <alignment horizontal="center" vertical="center" wrapText="1"/>
    </xf>
    <xf numFmtId="0" fontId="5" fillId="13" borderId="4" xfId="3" applyFont="1" applyFill="1" applyBorder="1" applyAlignment="1">
      <alignment horizontal="center" vertical="center" wrapText="1"/>
    </xf>
    <xf numFmtId="0" fontId="5" fillId="13" borderId="2" xfId="3" applyFont="1" applyFill="1" applyBorder="1" applyAlignment="1">
      <alignment horizontal="left" vertical="center" wrapText="1"/>
    </xf>
    <xf numFmtId="0" fontId="5" fillId="13" borderId="3" xfId="3" applyFont="1" applyFill="1" applyBorder="1" applyAlignment="1">
      <alignment horizontal="left" vertical="center" wrapText="1"/>
    </xf>
    <xf numFmtId="0" fontId="5" fillId="13" borderId="4" xfId="3" applyFont="1" applyFill="1" applyBorder="1" applyAlignment="1">
      <alignment horizontal="left" vertical="center" wrapText="1"/>
    </xf>
    <xf numFmtId="0" fontId="5" fillId="16" borderId="1" xfId="2" applyFont="1" applyFill="1" applyBorder="1" applyAlignment="1">
      <alignment horizontal="center" vertical="center" wrapText="1"/>
    </xf>
    <xf numFmtId="0" fontId="40" fillId="0" borderId="0" xfId="1" applyFont="1" applyAlignment="1">
      <alignment horizontal="center" vertical="center" wrapText="1"/>
    </xf>
    <xf numFmtId="49" fontId="5" fillId="0" borderId="1" xfId="1" applyNumberFormat="1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3" xfId="2" applyFont="1" applyBorder="1" applyAlignment="1">
      <alignment horizontal="center" vertical="center" wrapText="1"/>
    </xf>
    <xf numFmtId="0" fontId="5" fillId="0" borderId="4" xfId="2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 wrapText="1"/>
    </xf>
    <xf numFmtId="0" fontId="5" fillId="0" borderId="4" xfId="1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 wrapText="1"/>
    </xf>
    <xf numFmtId="49" fontId="5" fillId="0" borderId="2" xfId="1" applyNumberFormat="1" applyFont="1" applyBorder="1" applyAlignment="1">
      <alignment horizontal="left" vertical="center" wrapText="1"/>
    </xf>
    <xf numFmtId="49" fontId="5" fillId="0" borderId="3" xfId="1" applyNumberFormat="1" applyFont="1" applyBorder="1" applyAlignment="1">
      <alignment horizontal="left" vertical="center" wrapText="1"/>
    </xf>
    <xf numFmtId="49" fontId="5" fillId="0" borderId="2" xfId="1" applyNumberFormat="1" applyFont="1" applyBorder="1" applyAlignment="1">
      <alignment horizontal="center" vertical="center" wrapText="1"/>
    </xf>
    <xf numFmtId="49" fontId="5" fillId="0" borderId="3" xfId="1" applyNumberFormat="1" applyFont="1" applyBorder="1" applyAlignment="1">
      <alignment horizontal="center" vertical="center" wrapText="1"/>
    </xf>
    <xf numFmtId="49" fontId="5" fillId="0" borderId="4" xfId="1" applyNumberFormat="1" applyFont="1" applyBorder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169" fontId="24" fillId="0" borderId="7" xfId="1" applyNumberFormat="1" applyFont="1" applyBorder="1" applyAlignment="1">
      <alignment horizontal="center" vertical="center" wrapText="1"/>
    </xf>
    <xf numFmtId="167" fontId="5" fillId="16" borderId="3" xfId="2" applyNumberFormat="1" applyFont="1" applyFill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 wrapText="1"/>
    </xf>
    <xf numFmtId="0" fontId="5" fillId="16" borderId="1" xfId="1" applyFont="1" applyFill="1" applyBorder="1" applyAlignment="1">
      <alignment horizontal="center" vertical="center" wrapText="1"/>
    </xf>
    <xf numFmtId="0" fontId="5" fillId="13" borderId="1" xfId="3" applyFont="1" applyFill="1" applyBorder="1" applyAlignment="1">
      <alignment horizontal="center" vertical="center" wrapText="1"/>
    </xf>
    <xf numFmtId="167" fontId="5" fillId="13" borderId="2" xfId="2" applyNumberFormat="1" applyFont="1" applyFill="1" applyBorder="1" applyAlignment="1">
      <alignment horizontal="center" vertical="center" wrapText="1"/>
    </xf>
    <xf numFmtId="167" fontId="5" fillId="13" borderId="3" xfId="2" applyNumberFormat="1" applyFont="1" applyFill="1" applyBorder="1" applyAlignment="1">
      <alignment horizontal="center" vertical="center" wrapText="1"/>
    </xf>
    <xf numFmtId="167" fontId="5" fillId="13" borderId="4" xfId="2" applyNumberFormat="1" applyFont="1" applyFill="1" applyBorder="1" applyAlignment="1">
      <alignment horizontal="center" vertical="center" wrapText="1"/>
    </xf>
    <xf numFmtId="0" fontId="5" fillId="13" borderId="1" xfId="1" applyFont="1" applyFill="1" applyBorder="1" applyAlignment="1">
      <alignment horizontal="center" vertical="center" wrapText="1"/>
    </xf>
    <xf numFmtId="0" fontId="36" fillId="13" borderId="1" xfId="0" applyFont="1" applyFill="1" applyBorder="1" applyAlignment="1">
      <alignment horizontal="center" vertical="center" wrapText="1"/>
    </xf>
    <xf numFmtId="0" fontId="33" fillId="2" borderId="1" xfId="1" applyFont="1" applyFill="1" applyBorder="1" applyAlignment="1">
      <alignment horizontal="center" vertical="center" wrapText="1"/>
    </xf>
    <xf numFmtId="167" fontId="8" fillId="7" borderId="1" xfId="2" applyNumberFormat="1" applyFont="1" applyFill="1" applyBorder="1" applyAlignment="1">
      <alignment horizontal="center" vertical="center" wrapText="1"/>
    </xf>
    <xf numFmtId="167" fontId="8" fillId="0" borderId="1" xfId="2" applyNumberFormat="1" applyFont="1" applyBorder="1" applyAlignment="1">
      <alignment horizontal="center" vertical="center" wrapText="1"/>
    </xf>
    <xf numFmtId="167" fontId="9" fillId="7" borderId="2" xfId="2" applyNumberFormat="1" applyFont="1" applyFill="1" applyBorder="1" applyAlignment="1">
      <alignment horizontal="center" vertical="center" wrapText="1"/>
    </xf>
    <xf numFmtId="167" fontId="8" fillId="7" borderId="3" xfId="2" applyNumberFormat="1" applyFont="1" applyFill="1" applyBorder="1" applyAlignment="1">
      <alignment horizontal="center" vertical="center" wrapText="1"/>
    </xf>
    <xf numFmtId="167" fontId="8" fillId="7" borderId="4" xfId="2" applyNumberFormat="1" applyFont="1" applyFill="1" applyBorder="1" applyAlignment="1">
      <alignment horizontal="center" vertical="center" wrapText="1"/>
    </xf>
    <xf numFmtId="0" fontId="34" fillId="7" borderId="1" xfId="1" applyFont="1" applyFill="1" applyBorder="1" applyAlignment="1">
      <alignment vertical="center" wrapText="1"/>
    </xf>
    <xf numFmtId="0" fontId="34" fillId="7" borderId="2" xfId="3" applyFont="1" applyFill="1" applyBorder="1" applyAlignment="1">
      <alignment horizontal="left" vertical="center" wrapText="1"/>
    </xf>
    <xf numFmtId="0" fontId="34" fillId="7" borderId="3" xfId="3" applyFont="1" applyFill="1" applyBorder="1" applyAlignment="1">
      <alignment horizontal="left" vertical="center" wrapText="1"/>
    </xf>
    <xf numFmtId="0" fontId="34" fillId="7" borderId="4" xfId="3" applyFont="1" applyFill="1" applyBorder="1" applyAlignment="1">
      <alignment horizontal="left" vertical="center" wrapText="1"/>
    </xf>
    <xf numFmtId="167" fontId="9" fillId="7" borderId="3" xfId="2" applyNumberFormat="1" applyFont="1" applyFill="1" applyBorder="1" applyAlignment="1">
      <alignment horizontal="center" vertical="center" wrapText="1"/>
    </xf>
    <xf numFmtId="167" fontId="9" fillId="7" borderId="4" xfId="2" applyNumberFormat="1" applyFont="1" applyFill="1" applyBorder="1" applyAlignment="1">
      <alignment horizontal="center" vertical="center" wrapText="1"/>
    </xf>
    <xf numFmtId="0" fontId="34" fillId="7" borderId="2" xfId="1" applyFont="1" applyFill="1" applyBorder="1" applyAlignment="1">
      <alignment vertical="center" wrapText="1"/>
    </xf>
    <xf numFmtId="0" fontId="34" fillId="7" borderId="3" xfId="1" applyFont="1" applyFill="1" applyBorder="1" applyAlignment="1">
      <alignment vertical="center" wrapText="1"/>
    </xf>
    <xf numFmtId="0" fontId="34" fillId="7" borderId="4" xfId="1" applyFont="1" applyFill="1" applyBorder="1" applyAlignment="1">
      <alignment vertical="center" wrapText="1"/>
    </xf>
    <xf numFmtId="0" fontId="33" fillId="7" borderId="2" xfId="2" applyFont="1" applyFill="1" applyBorder="1" applyAlignment="1">
      <alignment vertical="center" wrapText="1"/>
    </xf>
    <xf numFmtId="0" fontId="33" fillId="7" borderId="3" xfId="2" applyFont="1" applyFill="1" applyBorder="1" applyAlignment="1">
      <alignment vertical="center" wrapText="1"/>
    </xf>
    <xf numFmtId="0" fontId="33" fillId="7" borderId="4" xfId="2" applyFont="1" applyFill="1" applyBorder="1" applyAlignment="1">
      <alignment vertical="center" wrapText="1"/>
    </xf>
    <xf numFmtId="0" fontId="33" fillId="7" borderId="2" xfId="1" applyFont="1" applyFill="1" applyBorder="1" applyAlignment="1">
      <alignment horizontal="left" vertical="center" wrapText="1"/>
    </xf>
    <xf numFmtId="0" fontId="33" fillId="7" borderId="3" xfId="1" applyFont="1" applyFill="1" applyBorder="1" applyAlignment="1">
      <alignment horizontal="left" vertical="center" wrapText="1"/>
    </xf>
    <xf numFmtId="0" fontId="33" fillId="7" borderId="4" xfId="1" applyFont="1" applyFill="1" applyBorder="1" applyAlignment="1">
      <alignment horizontal="left" vertical="center" wrapText="1"/>
    </xf>
    <xf numFmtId="0" fontId="9" fillId="7" borderId="2" xfId="1" applyFont="1" applyFill="1" applyBorder="1" applyAlignment="1">
      <alignment vertical="center" wrapText="1"/>
    </xf>
    <xf numFmtId="0" fontId="8" fillId="7" borderId="3" xfId="1" applyFont="1" applyFill="1" applyBorder="1" applyAlignment="1">
      <alignment vertical="center" wrapText="1"/>
    </xf>
    <xf numFmtId="0" fontId="8" fillId="7" borderId="4" xfId="1" applyFont="1" applyFill="1" applyBorder="1" applyAlignment="1">
      <alignment vertical="center" wrapText="1"/>
    </xf>
    <xf numFmtId="0" fontId="8" fillId="7" borderId="2" xfId="3" applyFont="1" applyFill="1" applyBorder="1" applyAlignment="1">
      <alignment horizontal="left" vertical="center" wrapText="1"/>
    </xf>
    <xf numFmtId="0" fontId="8" fillId="7" borderId="3" xfId="3" applyFont="1" applyFill="1" applyBorder="1" applyAlignment="1">
      <alignment horizontal="left" vertical="center" wrapText="1"/>
    </xf>
    <xf numFmtId="0" fontId="8" fillId="7" borderId="4" xfId="3" applyFont="1" applyFill="1" applyBorder="1" applyAlignment="1">
      <alignment horizontal="left" vertical="center" wrapText="1"/>
    </xf>
    <xf numFmtId="0" fontId="7" fillId="0" borderId="1" xfId="2" applyFont="1" applyBorder="1" applyAlignment="1">
      <alignment horizontal="left" vertical="center" wrapText="1"/>
    </xf>
    <xf numFmtId="0" fontId="8" fillId="0" borderId="1" xfId="3" applyFont="1" applyBorder="1" applyAlignment="1">
      <alignment vertical="center" wrapText="1"/>
    </xf>
    <xf numFmtId="0" fontId="8" fillId="7" borderId="1" xfId="2" applyFont="1" applyFill="1" applyBorder="1" applyAlignment="1">
      <alignment horizontal="left" vertical="center" wrapText="1"/>
    </xf>
    <xf numFmtId="0" fontId="8" fillId="7" borderId="1" xfId="3" applyFont="1" applyFill="1" applyBorder="1" applyAlignment="1">
      <alignment vertical="center" wrapText="1"/>
    </xf>
    <xf numFmtId="165" fontId="7" fillId="7" borderId="2" xfId="1" applyNumberFormat="1" applyFont="1" applyFill="1" applyBorder="1" applyAlignment="1">
      <alignment horizontal="center" vertical="center" wrapText="1"/>
    </xf>
    <xf numFmtId="165" fontId="7" fillId="7" borderId="3" xfId="1" applyNumberFormat="1" applyFont="1" applyFill="1" applyBorder="1" applyAlignment="1">
      <alignment horizontal="center" vertical="center" wrapText="1"/>
    </xf>
    <xf numFmtId="165" fontId="7" fillId="7" borderId="4" xfId="1" applyNumberFormat="1" applyFont="1" applyFill="1" applyBorder="1" applyAlignment="1">
      <alignment horizontal="center" vertical="center" wrapText="1"/>
    </xf>
    <xf numFmtId="165" fontId="8" fillId="7" borderId="2" xfId="1" applyNumberFormat="1" applyFont="1" applyFill="1" applyBorder="1" applyAlignment="1">
      <alignment horizontal="center" vertical="center" wrapText="1"/>
    </xf>
    <xf numFmtId="165" fontId="8" fillId="7" borderId="3" xfId="1" applyNumberFormat="1" applyFont="1" applyFill="1" applyBorder="1" applyAlignment="1">
      <alignment horizontal="center" vertical="center" wrapText="1"/>
    </xf>
    <xf numFmtId="165" fontId="8" fillId="7" borderId="4" xfId="1" applyNumberFormat="1" applyFont="1" applyFill="1" applyBorder="1" applyAlignment="1">
      <alignment horizontal="center" vertical="center" wrapText="1"/>
    </xf>
    <xf numFmtId="165" fontId="8" fillId="0" borderId="2" xfId="3" applyNumberFormat="1" applyFont="1" applyBorder="1" applyAlignment="1">
      <alignment horizontal="center" vertical="center" wrapText="1"/>
    </xf>
    <xf numFmtId="165" fontId="8" fillId="0" borderId="3" xfId="3" applyNumberFormat="1" applyFont="1" applyBorder="1" applyAlignment="1">
      <alignment horizontal="center" vertical="center" wrapText="1"/>
    </xf>
    <xf numFmtId="165" fontId="8" fillId="0" borderId="4" xfId="3" applyNumberFormat="1" applyFont="1" applyBorder="1" applyAlignment="1">
      <alignment horizontal="center" vertical="center" wrapText="1"/>
    </xf>
    <xf numFmtId="165" fontId="7" fillId="7" borderId="2" xfId="3" applyNumberFormat="1" applyFont="1" applyFill="1" applyBorder="1" applyAlignment="1">
      <alignment horizontal="center" vertical="center" wrapText="1"/>
    </xf>
    <xf numFmtId="165" fontId="7" fillId="7" borderId="3" xfId="3" applyNumberFormat="1" applyFont="1" applyFill="1" applyBorder="1" applyAlignment="1">
      <alignment horizontal="center" vertical="center" wrapText="1"/>
    </xf>
    <xf numFmtId="165" fontId="7" fillId="7" borderId="4" xfId="3" applyNumberFormat="1" applyFont="1" applyFill="1" applyBorder="1" applyAlignment="1">
      <alignment horizontal="center" vertical="center" wrapText="1"/>
    </xf>
    <xf numFmtId="165" fontId="8" fillId="7" borderId="2" xfId="3" applyNumberFormat="1" applyFont="1" applyFill="1" applyBorder="1" applyAlignment="1">
      <alignment horizontal="center" vertical="center" wrapText="1"/>
    </xf>
    <xf numFmtId="165" fontId="8" fillId="7" borderId="3" xfId="3" applyNumberFormat="1" applyFont="1" applyFill="1" applyBorder="1" applyAlignment="1">
      <alignment horizontal="center" vertical="center" wrapText="1"/>
    </xf>
    <xf numFmtId="165" fontId="8" fillId="7" borderId="4" xfId="3" applyNumberFormat="1" applyFont="1" applyFill="1" applyBorder="1" applyAlignment="1">
      <alignment horizontal="center" vertical="center" wrapText="1"/>
    </xf>
    <xf numFmtId="165" fontId="7" fillId="0" borderId="2" xfId="3" applyNumberFormat="1" applyFont="1" applyBorder="1" applyAlignment="1">
      <alignment horizontal="center" vertical="center" wrapText="1"/>
    </xf>
    <xf numFmtId="165" fontId="7" fillId="0" borderId="3" xfId="3" applyNumberFormat="1" applyFont="1" applyBorder="1" applyAlignment="1">
      <alignment horizontal="center" vertical="center" wrapText="1"/>
    </xf>
    <xf numFmtId="165" fontId="7" fillId="0" borderId="4" xfId="3" applyNumberFormat="1" applyFont="1" applyBorder="1" applyAlignment="1">
      <alignment horizontal="center" vertical="center" wrapText="1"/>
    </xf>
    <xf numFmtId="167" fontId="43" fillId="11" borderId="1" xfId="1" applyNumberFormat="1" applyFont="1" applyFill="1" applyBorder="1" applyAlignment="1">
      <alignment horizontal="center" vertical="center" wrapText="1"/>
    </xf>
    <xf numFmtId="0" fontId="43" fillId="11" borderId="1" xfId="1" applyFont="1" applyFill="1" applyBorder="1" applyAlignment="1">
      <alignment horizontal="center" vertical="center" wrapText="1"/>
    </xf>
    <xf numFmtId="0" fontId="43" fillId="11" borderId="1" xfId="2" applyFont="1" applyFill="1" applyBorder="1" applyAlignment="1">
      <alignment horizontal="center" vertical="center" wrapText="1"/>
    </xf>
    <xf numFmtId="0" fontId="8" fillId="11" borderId="1" xfId="3" applyFont="1" applyFill="1" applyBorder="1" applyAlignment="1">
      <alignment horizontal="left" vertical="center" wrapText="1"/>
    </xf>
    <xf numFmtId="0" fontId="8" fillId="11" borderId="1" xfId="3" applyFont="1" applyFill="1" applyBorder="1" applyAlignment="1">
      <alignment horizontal="center" vertical="center" wrapText="1"/>
    </xf>
    <xf numFmtId="0" fontId="43" fillId="11" borderId="1" xfId="3" applyFont="1" applyFill="1" applyBorder="1" applyAlignment="1">
      <alignment horizontal="left" vertical="center" wrapText="1"/>
    </xf>
    <xf numFmtId="0" fontId="11" fillId="11" borderId="2" xfId="3" applyFont="1" applyFill="1" applyBorder="1" applyAlignment="1">
      <alignment horizontal="center" vertical="center" wrapText="1"/>
    </xf>
    <xf numFmtId="0" fontId="11" fillId="11" borderId="3" xfId="3" applyFont="1" applyFill="1" applyBorder="1" applyAlignment="1">
      <alignment horizontal="center" vertical="center" wrapText="1"/>
    </xf>
    <xf numFmtId="0" fontId="11" fillId="11" borderId="4" xfId="3" applyFont="1" applyFill="1" applyBorder="1" applyAlignment="1">
      <alignment horizontal="center" vertical="center" wrapText="1"/>
    </xf>
    <xf numFmtId="0" fontId="43" fillId="0" borderId="1" xfId="3" applyFont="1" applyBorder="1" applyAlignment="1">
      <alignment horizontal="left" vertical="center" wrapText="1"/>
    </xf>
    <xf numFmtId="0" fontId="8" fillId="0" borderId="1" xfId="3" applyFont="1" applyBorder="1" applyAlignment="1">
      <alignment horizontal="center" vertical="center" wrapText="1"/>
    </xf>
    <xf numFmtId="0" fontId="8" fillId="10" borderId="1" xfId="3" applyFont="1" applyFill="1" applyBorder="1" applyAlignment="1">
      <alignment horizontal="left" vertical="center" wrapText="1"/>
    </xf>
    <xf numFmtId="0" fontId="8" fillId="10" borderId="1" xfId="3" applyFont="1" applyFill="1" applyBorder="1" applyAlignment="1">
      <alignment horizontal="center" vertical="center" wrapText="1"/>
    </xf>
    <xf numFmtId="167" fontId="43" fillId="0" borderId="1" xfId="1" applyNumberFormat="1" applyFont="1" applyBorder="1" applyAlignment="1">
      <alignment horizontal="center" vertical="center" wrapText="1"/>
    </xf>
    <xf numFmtId="0" fontId="43" fillId="0" borderId="1" xfId="1" applyFont="1" applyBorder="1" applyAlignment="1">
      <alignment horizontal="center" vertical="center" wrapText="1"/>
    </xf>
    <xf numFmtId="0" fontId="43" fillId="0" borderId="1" xfId="2" applyFont="1" applyBorder="1" applyAlignment="1">
      <alignment horizontal="center" vertical="center" wrapText="1"/>
    </xf>
    <xf numFmtId="0" fontId="8" fillId="0" borderId="1" xfId="3" applyFont="1" applyBorder="1" applyAlignment="1">
      <alignment horizontal="left" vertical="center" wrapText="1"/>
    </xf>
    <xf numFmtId="0" fontId="8" fillId="25" borderId="1" xfId="3" applyFont="1" applyFill="1" applyBorder="1" applyAlignment="1">
      <alignment horizontal="left" vertical="center" wrapText="1"/>
    </xf>
    <xf numFmtId="49" fontId="43" fillId="2" borderId="1" xfId="1" applyNumberFormat="1" applyFont="1" applyFill="1" applyBorder="1" applyAlignment="1">
      <alignment horizontal="center" vertical="center" wrapText="1"/>
    </xf>
    <xf numFmtId="0" fontId="43" fillId="2" borderId="1" xfId="1" applyFont="1" applyFill="1" applyBorder="1" applyAlignment="1">
      <alignment horizontal="center" vertical="center" wrapText="1"/>
    </xf>
    <xf numFmtId="49" fontId="43" fillId="2" borderId="2" xfId="1" applyNumberFormat="1" applyFont="1" applyFill="1" applyBorder="1" applyAlignment="1">
      <alignment horizontal="center" vertical="center" wrapText="1"/>
    </xf>
    <xf numFmtId="49" fontId="43" fillId="2" borderId="3" xfId="1" applyNumberFormat="1" applyFont="1" applyFill="1" applyBorder="1" applyAlignment="1">
      <alignment horizontal="center" vertical="center" wrapText="1"/>
    </xf>
    <xf numFmtId="0" fontId="43" fillId="2" borderId="2" xfId="1" applyFont="1" applyFill="1" applyBorder="1" applyAlignment="1">
      <alignment horizontal="center" vertical="center" wrapText="1"/>
    </xf>
    <xf numFmtId="0" fontId="43" fillId="2" borderId="3" xfId="1" applyFont="1" applyFill="1" applyBorder="1" applyAlignment="1">
      <alignment horizontal="center" vertical="center" wrapText="1"/>
    </xf>
    <xf numFmtId="0" fontId="43" fillId="2" borderId="4" xfId="1" applyFont="1" applyFill="1" applyBorder="1" applyAlignment="1">
      <alignment horizontal="center" vertical="center" wrapText="1"/>
    </xf>
    <xf numFmtId="49" fontId="43" fillId="2" borderId="4" xfId="1" applyNumberFormat="1" applyFont="1" applyFill="1" applyBorder="1" applyAlignment="1">
      <alignment horizontal="center" vertical="center" wrapText="1"/>
    </xf>
    <xf numFmtId="0" fontId="42" fillId="0" borderId="0" xfId="1" applyFont="1" applyAlignment="1">
      <alignment horizontal="center" vertical="center" wrapText="1"/>
    </xf>
    <xf numFmtId="0" fontId="42" fillId="0" borderId="7" xfId="1" applyFont="1" applyBorder="1" applyAlignment="1">
      <alignment horizontal="center" vertical="center" wrapText="1"/>
    </xf>
    <xf numFmtId="0" fontId="34" fillId="0" borderId="2" xfId="3" applyFont="1" applyBorder="1" applyAlignment="1">
      <alignment horizontal="left" vertical="center" wrapText="1"/>
    </xf>
    <xf numFmtId="0" fontId="34" fillId="0" borderId="3" xfId="3" applyFont="1" applyBorder="1" applyAlignment="1">
      <alignment horizontal="left" vertical="center" wrapText="1"/>
    </xf>
    <xf numFmtId="0" fontId="34" fillId="0" borderId="4" xfId="3" applyFont="1" applyBorder="1" applyAlignment="1">
      <alignment horizontal="left" vertical="center" wrapText="1"/>
    </xf>
    <xf numFmtId="0" fontId="43" fillId="0" borderId="2" xfId="1" applyFont="1" applyBorder="1" applyAlignment="1">
      <alignment horizontal="center" vertical="center" wrapText="1"/>
    </xf>
    <xf numFmtId="0" fontId="43" fillId="0" borderId="3" xfId="1" applyFont="1" applyBorder="1" applyAlignment="1">
      <alignment horizontal="center" vertical="center" wrapText="1"/>
    </xf>
    <xf numFmtId="0" fontId="43" fillId="0" borderId="4" xfId="1" applyFont="1" applyBorder="1" applyAlignment="1">
      <alignment horizontal="center" vertical="center" wrapText="1"/>
    </xf>
    <xf numFmtId="167" fontId="43" fillId="0" borderId="2" xfId="2" applyNumberFormat="1" applyFont="1" applyBorder="1" applyAlignment="1">
      <alignment horizontal="center" vertical="center" wrapText="1"/>
    </xf>
    <xf numFmtId="167" fontId="43" fillId="0" borderId="3" xfId="2" applyNumberFormat="1" applyFont="1" applyBorder="1" applyAlignment="1">
      <alignment horizontal="center" vertical="center" wrapText="1"/>
    </xf>
    <xf numFmtId="167" fontId="43" fillId="0" borderId="4" xfId="2" applyNumberFormat="1" applyFont="1" applyBorder="1" applyAlignment="1">
      <alignment horizontal="center" vertical="center" wrapText="1"/>
    </xf>
    <xf numFmtId="0" fontId="43" fillId="13" borderId="2" xfId="3" applyFont="1" applyFill="1" applyBorder="1" applyAlignment="1">
      <alignment horizontal="left" vertical="center" wrapText="1"/>
    </xf>
    <xf numFmtId="0" fontId="43" fillId="0" borderId="2" xfId="2" applyFont="1" applyBorder="1" applyAlignment="1">
      <alignment horizontal="center" vertical="center" wrapText="1"/>
    </xf>
    <xf numFmtId="0" fontId="43" fillId="0" borderId="3" xfId="2" applyFont="1" applyBorder="1" applyAlignment="1">
      <alignment horizontal="center" vertical="center" wrapText="1"/>
    </xf>
    <xf numFmtId="0" fontId="43" fillId="0" borderId="4" xfId="2" applyFont="1" applyBorder="1" applyAlignment="1">
      <alignment horizontal="center" vertical="center" wrapText="1"/>
    </xf>
    <xf numFmtId="0" fontId="43" fillId="15" borderId="1" xfId="3" applyFont="1" applyFill="1" applyBorder="1" applyAlignment="1">
      <alignment horizontal="left" vertical="center" wrapText="1"/>
    </xf>
    <xf numFmtId="0" fontId="43" fillId="0" borderId="2" xfId="3" applyFont="1" applyBorder="1" applyAlignment="1">
      <alignment horizontal="center" vertical="center" wrapText="1"/>
    </xf>
    <xf numFmtId="0" fontId="43" fillId="0" borderId="3" xfId="3" applyFont="1" applyBorder="1" applyAlignment="1">
      <alignment horizontal="center" vertical="center" wrapText="1"/>
    </xf>
    <xf numFmtId="0" fontId="43" fillId="0" borderId="4" xfId="3" applyFont="1" applyBorder="1" applyAlignment="1">
      <alignment horizontal="center" vertical="center" wrapText="1"/>
    </xf>
    <xf numFmtId="0" fontId="43" fillId="15" borderId="2" xfId="3" applyFont="1" applyFill="1" applyBorder="1" applyAlignment="1">
      <alignment horizontal="left" vertical="center" wrapText="1"/>
    </xf>
    <xf numFmtId="0" fontId="43" fillId="15" borderId="3" xfId="3" applyFont="1" applyFill="1" applyBorder="1" applyAlignment="1">
      <alignment horizontal="left" vertical="center" wrapText="1"/>
    </xf>
    <xf numFmtId="0" fontId="43" fillId="15" borderId="4" xfId="3" applyFont="1" applyFill="1" applyBorder="1" applyAlignment="1">
      <alignment horizontal="left" vertical="center" wrapText="1"/>
    </xf>
    <xf numFmtId="0" fontId="43" fillId="15" borderId="8" xfId="3" applyFont="1" applyFill="1" applyBorder="1" applyAlignment="1">
      <alignment horizontal="center" vertical="center" wrapText="1"/>
    </xf>
    <xf numFmtId="0" fontId="43" fillId="15" borderId="0" xfId="3" applyFont="1" applyFill="1" applyAlignment="1">
      <alignment horizontal="center" vertical="center" wrapText="1"/>
    </xf>
    <xf numFmtId="0" fontId="43" fillId="15" borderId="9" xfId="3" applyFont="1" applyFill="1" applyBorder="1" applyAlignment="1">
      <alignment horizontal="center" vertical="center" wrapText="1"/>
    </xf>
    <xf numFmtId="0" fontId="43" fillId="13" borderId="3" xfId="3" applyFont="1" applyFill="1" applyBorder="1" applyAlignment="1">
      <alignment horizontal="center" vertical="center" wrapText="1"/>
    </xf>
    <xf numFmtId="167" fontId="43" fillId="0" borderId="2" xfId="1" applyNumberFormat="1" applyFont="1" applyBorder="1" applyAlignment="1">
      <alignment horizontal="center" vertical="center" wrapText="1"/>
    </xf>
    <xf numFmtId="0" fontId="43" fillId="24" borderId="1" xfId="3" applyFont="1" applyFill="1" applyBorder="1" applyAlignment="1">
      <alignment horizontal="center" vertical="center" wrapText="1"/>
    </xf>
    <xf numFmtId="0" fontId="43" fillId="0" borderId="1" xfId="3" applyFont="1" applyBorder="1" applyAlignment="1">
      <alignment horizontal="center" vertical="center" wrapText="1"/>
    </xf>
    <xf numFmtId="0" fontId="43" fillId="14" borderId="1" xfId="3" applyFont="1" applyFill="1" applyBorder="1" applyAlignment="1">
      <alignment horizontal="left" vertical="center" wrapText="1"/>
    </xf>
    <xf numFmtId="0" fontId="43" fillId="7" borderId="2" xfId="3" applyFont="1" applyFill="1" applyBorder="1" applyAlignment="1">
      <alignment horizontal="center" vertical="center" wrapText="1"/>
    </xf>
    <xf numFmtId="0" fontId="43" fillId="13" borderId="2" xfId="3" applyFont="1" applyFill="1" applyBorder="1" applyAlignment="1">
      <alignment horizontal="center" vertical="center" wrapText="1"/>
    </xf>
    <xf numFmtId="0" fontId="43" fillId="0" borderId="0" xfId="3" applyFont="1" applyAlignment="1">
      <alignment horizontal="center" vertical="center" wrapText="1"/>
    </xf>
    <xf numFmtId="0" fontId="43" fillId="0" borderId="9" xfId="3" applyFont="1" applyBorder="1" applyAlignment="1">
      <alignment horizontal="center" vertical="center" wrapText="1"/>
    </xf>
    <xf numFmtId="0" fontId="43" fillId="7" borderId="1" xfId="3" applyFont="1" applyFill="1" applyBorder="1" applyAlignment="1">
      <alignment horizontal="center" vertical="center" wrapText="1"/>
    </xf>
    <xf numFmtId="0" fontId="43" fillId="7" borderId="1" xfId="3" applyFont="1" applyFill="1" applyBorder="1" applyAlignment="1">
      <alignment horizontal="left" vertical="center" wrapText="1"/>
    </xf>
    <xf numFmtId="0" fontId="43" fillId="7" borderId="1" xfId="3" applyFont="1" applyFill="1" applyBorder="1" applyAlignment="1">
      <alignment vertical="center" wrapText="1"/>
    </xf>
    <xf numFmtId="0" fontId="43" fillId="0" borderId="1" xfId="3" applyFont="1" applyBorder="1" applyAlignment="1">
      <alignment vertical="center" wrapText="1"/>
    </xf>
    <xf numFmtId="0" fontId="43" fillId="24" borderId="1" xfId="3" applyFont="1" applyFill="1" applyBorder="1" applyAlignment="1">
      <alignment horizontal="left" vertical="center" wrapText="1"/>
    </xf>
    <xf numFmtId="0" fontId="43" fillId="13" borderId="1" xfId="3" applyFont="1" applyFill="1" applyBorder="1" applyAlignment="1">
      <alignment horizontal="center" vertical="center" wrapText="1"/>
    </xf>
    <xf numFmtId="0" fontId="43" fillId="7" borderId="2" xfId="3" applyFont="1" applyFill="1" applyBorder="1" applyAlignment="1">
      <alignment horizontal="left" vertical="center" wrapText="1"/>
    </xf>
    <xf numFmtId="0" fontId="43" fillId="23" borderId="1" xfId="3" applyFont="1" applyFill="1" applyBorder="1" applyAlignment="1">
      <alignment horizontal="left" vertical="center" wrapText="1"/>
    </xf>
    <xf numFmtId="0" fontId="43" fillId="23" borderId="1" xfId="3" applyFont="1" applyFill="1" applyBorder="1" applyAlignment="1">
      <alignment horizontal="center" vertical="center" wrapText="1"/>
    </xf>
    <xf numFmtId="0" fontId="43" fillId="14" borderId="1" xfId="3" applyFont="1" applyFill="1" applyBorder="1" applyAlignment="1">
      <alignment horizontal="center" vertical="center" wrapText="1"/>
    </xf>
    <xf numFmtId="0" fontId="43" fillId="22" borderId="2" xfId="3" applyFont="1" applyFill="1" applyBorder="1" applyAlignment="1">
      <alignment horizontal="left" vertical="center" wrapText="1"/>
    </xf>
    <xf numFmtId="0" fontId="43" fillId="22" borderId="2" xfId="3" applyFont="1" applyFill="1" applyBorder="1" applyAlignment="1">
      <alignment horizontal="center" vertical="center" wrapText="1"/>
    </xf>
    <xf numFmtId="0" fontId="43" fillId="15" borderId="1" xfId="3" applyFont="1" applyFill="1" applyBorder="1" applyAlignment="1">
      <alignment horizontal="center" vertical="center" wrapText="1"/>
    </xf>
    <xf numFmtId="0" fontId="43" fillId="21" borderId="2" xfId="3" applyFont="1" applyFill="1" applyBorder="1" applyAlignment="1">
      <alignment horizontal="left" vertical="center" wrapText="1"/>
    </xf>
    <xf numFmtId="0" fontId="43" fillId="21" borderId="3" xfId="3" applyFont="1" applyFill="1" applyBorder="1" applyAlignment="1">
      <alignment horizontal="left" vertical="center" wrapText="1"/>
    </xf>
    <xf numFmtId="0" fontId="43" fillId="21" borderId="4" xfId="3" applyFont="1" applyFill="1" applyBorder="1" applyAlignment="1">
      <alignment horizontal="left" vertical="center" wrapText="1"/>
    </xf>
    <xf numFmtId="0" fontId="43" fillId="21" borderId="10" xfId="3" applyFont="1" applyFill="1" applyBorder="1" applyAlignment="1">
      <alignment horizontal="center" vertical="center" wrapText="1"/>
    </xf>
    <xf numFmtId="0" fontId="43" fillId="21" borderId="7" xfId="3" applyFont="1" applyFill="1" applyBorder="1" applyAlignment="1">
      <alignment horizontal="center" vertical="center" wrapText="1"/>
    </xf>
    <xf numFmtId="0" fontId="58" fillId="0" borderId="2" xfId="3" applyFont="1" applyBorder="1" applyAlignment="1">
      <alignment horizontal="left" vertical="center" wrapText="1"/>
    </xf>
    <xf numFmtId="0" fontId="58" fillId="0" borderId="3" xfId="3" applyFont="1" applyBorder="1" applyAlignment="1">
      <alignment horizontal="left" vertical="center" wrapText="1"/>
    </xf>
    <xf numFmtId="0" fontId="58" fillId="0" borderId="4" xfId="3" applyFont="1" applyBorder="1" applyAlignment="1">
      <alignment horizontal="left" vertical="center" wrapText="1"/>
    </xf>
    <xf numFmtId="0" fontId="58" fillId="0" borderId="1" xfId="3" applyFont="1" applyBorder="1" applyAlignment="1">
      <alignment horizontal="left" vertical="center" wrapText="1"/>
    </xf>
    <xf numFmtId="0" fontId="43" fillId="22" borderId="1" xfId="3" applyFont="1" applyFill="1" applyBorder="1" applyAlignment="1">
      <alignment horizontal="left" vertical="center" wrapText="1"/>
    </xf>
    <xf numFmtId="0" fontId="43" fillId="22" borderId="1" xfId="3" applyFont="1" applyFill="1" applyBorder="1" applyAlignment="1">
      <alignment horizontal="center" vertical="center" wrapText="1"/>
    </xf>
    <xf numFmtId="0" fontId="43" fillId="21" borderId="1" xfId="3" applyFont="1" applyFill="1" applyBorder="1" applyAlignment="1">
      <alignment horizontal="center" vertical="center" wrapText="1"/>
    </xf>
    <xf numFmtId="0" fontId="43" fillId="13" borderId="1" xfId="3" applyFont="1" applyFill="1" applyBorder="1" applyAlignment="1">
      <alignment horizontal="left" vertical="center" wrapText="1"/>
    </xf>
    <xf numFmtId="0" fontId="43" fillId="21" borderId="1" xfId="3" applyFont="1" applyFill="1" applyBorder="1" applyAlignment="1">
      <alignment horizontal="left" vertical="center" wrapText="1"/>
    </xf>
    <xf numFmtId="0" fontId="43" fillId="0" borderId="1" xfId="2" applyFont="1" applyBorder="1" applyAlignment="1">
      <alignment horizontal="left" vertical="center" wrapText="1"/>
    </xf>
    <xf numFmtId="0" fontId="43" fillId="0" borderId="1" xfId="1" applyFont="1" applyBorder="1" applyAlignment="1">
      <alignment horizontal="left" vertical="center" wrapText="1"/>
    </xf>
    <xf numFmtId="0" fontId="7" fillId="9" borderId="1" xfId="2" applyFont="1" applyFill="1" applyBorder="1" applyAlignment="1">
      <alignment horizontal="left" vertical="center" wrapText="1"/>
    </xf>
    <xf numFmtId="0" fontId="8" fillId="9" borderId="2" xfId="3" applyFont="1" applyFill="1" applyBorder="1" applyAlignment="1">
      <alignment horizontal="center" vertical="center" wrapText="1"/>
    </xf>
    <xf numFmtId="0" fontId="8" fillId="9" borderId="3" xfId="3" applyFont="1" applyFill="1" applyBorder="1" applyAlignment="1">
      <alignment horizontal="center" vertical="center" wrapText="1"/>
    </xf>
    <xf numFmtId="0" fontId="8" fillId="9" borderId="4" xfId="3" applyFont="1" applyFill="1" applyBorder="1" applyAlignment="1">
      <alignment horizontal="center" vertical="center" wrapText="1"/>
    </xf>
    <xf numFmtId="0" fontId="5" fillId="9" borderId="1" xfId="2" applyFont="1" applyFill="1" applyBorder="1" applyAlignment="1">
      <alignment horizontal="left" vertical="center" wrapText="1"/>
    </xf>
    <xf numFmtId="0" fontId="5" fillId="9" borderId="2" xfId="3" applyFont="1" applyFill="1" applyBorder="1" applyAlignment="1">
      <alignment horizontal="center" vertical="center" wrapText="1"/>
    </xf>
    <xf numFmtId="0" fontId="5" fillId="9" borderId="3" xfId="3" applyFont="1" applyFill="1" applyBorder="1" applyAlignment="1">
      <alignment horizontal="center" vertical="center" wrapText="1"/>
    </xf>
    <xf numFmtId="0" fontId="5" fillId="9" borderId="4" xfId="3" applyFont="1" applyFill="1" applyBorder="1" applyAlignment="1">
      <alignment horizontal="center" vertical="center" wrapText="1"/>
    </xf>
    <xf numFmtId="0" fontId="8" fillId="9" borderId="2" xfId="3" applyFont="1" applyFill="1" applyBorder="1" applyAlignment="1">
      <alignment vertical="center" wrapText="1"/>
    </xf>
    <xf numFmtId="0" fontId="8" fillId="9" borderId="3" xfId="3" applyFont="1" applyFill="1" applyBorder="1" applyAlignment="1">
      <alignment vertical="center" wrapText="1"/>
    </xf>
    <xf numFmtId="0" fontId="8" fillId="9" borderId="4" xfId="3" applyFont="1" applyFill="1" applyBorder="1" applyAlignment="1">
      <alignment vertical="center" wrapText="1"/>
    </xf>
    <xf numFmtId="167" fontId="8" fillId="9" borderId="2" xfId="2" applyNumberFormat="1" applyFont="1" applyFill="1" applyBorder="1" applyAlignment="1">
      <alignment horizontal="center" vertical="center" wrapText="1"/>
    </xf>
    <xf numFmtId="167" fontId="8" fillId="9" borderId="3" xfId="2" applyNumberFormat="1" applyFont="1" applyFill="1" applyBorder="1" applyAlignment="1">
      <alignment horizontal="center" vertical="center" wrapText="1"/>
    </xf>
    <xf numFmtId="167" fontId="8" fillId="9" borderId="4" xfId="2" applyNumberFormat="1" applyFont="1" applyFill="1" applyBorder="1" applyAlignment="1">
      <alignment horizontal="center" vertical="center" wrapText="1"/>
    </xf>
    <xf numFmtId="0" fontId="7" fillId="9" borderId="2" xfId="2" applyFont="1" applyFill="1" applyBorder="1" applyAlignment="1">
      <alignment horizontal="left" vertical="center" wrapText="1"/>
    </xf>
    <xf numFmtId="0" fontId="7" fillId="9" borderId="3" xfId="2" applyFont="1" applyFill="1" applyBorder="1" applyAlignment="1">
      <alignment horizontal="left" vertical="center" wrapText="1"/>
    </xf>
    <xf numFmtId="0" fontId="7" fillId="9" borderId="4" xfId="2" applyFont="1" applyFill="1" applyBorder="1" applyAlignment="1">
      <alignment horizontal="left" vertical="center" wrapText="1"/>
    </xf>
    <xf numFmtId="0" fontId="8" fillId="9" borderId="1" xfId="3" applyFont="1" applyFill="1" applyBorder="1" applyAlignment="1">
      <alignment vertical="center" wrapText="1"/>
    </xf>
    <xf numFmtId="0" fontId="8" fillId="17" borderId="2" xfId="3" applyFont="1" applyFill="1" applyBorder="1" applyAlignment="1">
      <alignment horizontal="center" vertical="center" wrapText="1"/>
    </xf>
    <xf numFmtId="0" fontId="8" fillId="17" borderId="3" xfId="3" applyFont="1" applyFill="1" applyBorder="1" applyAlignment="1">
      <alignment horizontal="center" vertical="center" wrapText="1"/>
    </xf>
    <xf numFmtId="0" fontId="8" fillId="17" borderId="4" xfId="3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5" fillId="2" borderId="4" xfId="1" applyFont="1" applyFill="1" applyBorder="1" applyAlignment="1">
      <alignment horizontal="center" vertical="center" wrapText="1"/>
    </xf>
    <xf numFmtId="0" fontId="4" fillId="17" borderId="7" xfId="1" applyFont="1" applyFill="1" applyBorder="1" applyAlignment="1">
      <alignment horizontal="center" vertical="center" wrapText="1"/>
    </xf>
    <xf numFmtId="0" fontId="31" fillId="10" borderId="7" xfId="2" applyFont="1" applyFill="1" applyBorder="1" applyAlignment="1">
      <alignment horizontal="center" vertical="center" wrapText="1"/>
    </xf>
    <xf numFmtId="0" fontId="4" fillId="9" borderId="7" xfId="2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vertical="center" wrapText="1"/>
    </xf>
    <xf numFmtId="0" fontId="8" fillId="9" borderId="3" xfId="1" applyFont="1" applyFill="1" applyBorder="1" applyAlignment="1">
      <alignment vertical="center" wrapText="1"/>
    </xf>
    <xf numFmtId="0" fontId="8" fillId="9" borderId="4" xfId="1" applyFont="1" applyFill="1" applyBorder="1" applyAlignment="1">
      <alignment vertical="center" wrapText="1"/>
    </xf>
    <xf numFmtId="0" fontId="8" fillId="9" borderId="2" xfId="3" applyFont="1" applyFill="1" applyBorder="1" applyAlignment="1">
      <alignment horizontal="left" vertical="center" wrapText="1"/>
    </xf>
    <xf numFmtId="0" fontId="8" fillId="9" borderId="3" xfId="3" applyFont="1" applyFill="1" applyBorder="1" applyAlignment="1">
      <alignment horizontal="left" vertical="center" wrapText="1"/>
    </xf>
    <xf numFmtId="0" fontId="8" fillId="9" borderId="4" xfId="3" applyFont="1" applyFill="1" applyBorder="1" applyAlignment="1">
      <alignment horizontal="left" vertical="center" wrapText="1"/>
    </xf>
    <xf numFmtId="167" fontId="8" fillId="17" borderId="2" xfId="2" applyNumberFormat="1" applyFont="1" applyFill="1" applyBorder="1" applyAlignment="1">
      <alignment horizontal="center" vertical="center" wrapText="1"/>
    </xf>
    <xf numFmtId="167" fontId="8" fillId="17" borderId="3" xfId="2" applyNumberFormat="1" applyFont="1" applyFill="1" applyBorder="1" applyAlignment="1">
      <alignment horizontal="center" vertical="center" wrapText="1"/>
    </xf>
    <xf numFmtId="167" fontId="8" fillId="17" borderId="4" xfId="2" applyNumberFormat="1" applyFont="1" applyFill="1" applyBorder="1" applyAlignment="1">
      <alignment horizontal="center" vertical="center" wrapText="1"/>
    </xf>
    <xf numFmtId="0" fontId="8" fillId="17" borderId="2" xfId="1" applyFont="1" applyFill="1" applyBorder="1" applyAlignment="1">
      <alignment vertical="center" wrapText="1"/>
    </xf>
    <xf numFmtId="0" fontId="8" fillId="17" borderId="3" xfId="1" applyFont="1" applyFill="1" applyBorder="1" applyAlignment="1">
      <alignment vertical="center" wrapText="1"/>
    </xf>
    <xf numFmtId="0" fontId="8" fillId="17" borderId="4" xfId="1" applyFont="1" applyFill="1" applyBorder="1" applyAlignment="1">
      <alignment vertical="center" wrapText="1"/>
    </xf>
    <xf numFmtId="0" fontId="43" fillId="17" borderId="2" xfId="3" applyFont="1" applyFill="1" applyBorder="1" applyAlignment="1">
      <alignment horizontal="left" vertical="center" wrapText="1"/>
    </xf>
    <xf numFmtId="0" fontId="43" fillId="17" borderId="3" xfId="3" applyFont="1" applyFill="1" applyBorder="1" applyAlignment="1">
      <alignment horizontal="left" vertical="center" wrapText="1"/>
    </xf>
    <xf numFmtId="0" fontId="43" fillId="17" borderId="4" xfId="3" applyFont="1" applyFill="1" applyBorder="1" applyAlignment="1">
      <alignment horizontal="left" vertical="center" wrapText="1"/>
    </xf>
    <xf numFmtId="0" fontId="5" fillId="9" borderId="2" xfId="1" applyFont="1" applyFill="1" applyBorder="1" applyAlignment="1">
      <alignment vertical="center" wrapText="1"/>
    </xf>
    <xf numFmtId="0" fontId="5" fillId="9" borderId="3" xfId="1" applyFont="1" applyFill="1" applyBorder="1" applyAlignment="1">
      <alignment vertical="center" wrapText="1"/>
    </xf>
    <xf numFmtId="0" fontId="5" fillId="9" borderId="4" xfId="1" applyFont="1" applyFill="1" applyBorder="1" applyAlignment="1">
      <alignment vertical="center" wrapText="1"/>
    </xf>
    <xf numFmtId="0" fontId="5" fillId="9" borderId="2" xfId="3" applyFont="1" applyFill="1" applyBorder="1" applyAlignment="1">
      <alignment horizontal="left" vertical="center" wrapText="1"/>
    </xf>
    <xf numFmtId="0" fontId="5" fillId="9" borderId="3" xfId="3" applyFont="1" applyFill="1" applyBorder="1" applyAlignment="1">
      <alignment horizontal="left" vertical="center" wrapText="1"/>
    </xf>
    <xf numFmtId="0" fontId="5" fillId="9" borderId="4" xfId="3" applyFont="1" applyFill="1" applyBorder="1" applyAlignment="1">
      <alignment horizontal="left" vertical="center" wrapText="1"/>
    </xf>
    <xf numFmtId="0" fontId="5" fillId="10" borderId="2" xfId="3" applyFont="1" applyFill="1" applyBorder="1" applyAlignment="1">
      <alignment vertical="center" wrapText="1"/>
    </xf>
    <xf numFmtId="0" fontId="5" fillId="10" borderId="3" xfId="3" applyFont="1" applyFill="1" applyBorder="1" applyAlignment="1">
      <alignment vertical="center" wrapText="1"/>
    </xf>
    <xf numFmtId="0" fontId="5" fillId="10" borderId="4" xfId="3" applyFont="1" applyFill="1" applyBorder="1" applyAlignment="1">
      <alignment vertical="center" wrapText="1"/>
    </xf>
    <xf numFmtId="0" fontId="5" fillId="10" borderId="2" xfId="3" applyFont="1" applyFill="1" applyBorder="1" applyAlignment="1">
      <alignment horizontal="center" vertical="center" wrapText="1"/>
    </xf>
    <xf numFmtId="0" fontId="5" fillId="10" borderId="3" xfId="3" applyFont="1" applyFill="1" applyBorder="1" applyAlignment="1">
      <alignment horizontal="center" vertical="center" wrapText="1"/>
    </xf>
    <xf numFmtId="0" fontId="5" fillId="10" borderId="4" xfId="3" applyFont="1" applyFill="1" applyBorder="1" applyAlignment="1">
      <alignment horizontal="center" vertical="center" wrapText="1"/>
    </xf>
    <xf numFmtId="167" fontId="5" fillId="9" borderId="2" xfId="2" applyNumberFormat="1" applyFont="1" applyFill="1" applyBorder="1" applyAlignment="1">
      <alignment horizontal="center" vertical="center" wrapText="1"/>
    </xf>
    <xf numFmtId="167" fontId="5" fillId="9" borderId="3" xfId="2" applyNumberFormat="1" applyFont="1" applyFill="1" applyBorder="1" applyAlignment="1">
      <alignment horizontal="center" vertical="center" wrapText="1"/>
    </xf>
    <xf numFmtId="167" fontId="5" fillId="9" borderId="4" xfId="2" applyNumberFormat="1" applyFont="1" applyFill="1" applyBorder="1" applyAlignment="1">
      <alignment horizontal="center" vertical="center" wrapText="1"/>
    </xf>
    <xf numFmtId="0" fontId="5" fillId="17" borderId="1" xfId="2" applyFont="1" applyFill="1" applyBorder="1" applyAlignment="1">
      <alignment horizontal="left" vertical="center" wrapText="1"/>
    </xf>
    <xf numFmtId="0" fontId="7" fillId="17" borderId="1" xfId="2" applyFont="1" applyFill="1" applyBorder="1" applyAlignment="1">
      <alignment horizontal="left" vertical="center" wrapText="1"/>
    </xf>
    <xf numFmtId="0" fontId="8" fillId="17" borderId="1" xfId="2" applyFont="1" applyFill="1" applyBorder="1" applyAlignment="1">
      <alignment horizontal="center" vertical="center" wrapText="1"/>
    </xf>
    <xf numFmtId="0" fontId="5" fillId="10" borderId="1" xfId="2" applyFont="1" applyFill="1" applyBorder="1" applyAlignment="1">
      <alignment horizontal="left" vertical="center" wrapText="1"/>
    </xf>
    <xf numFmtId="0" fontId="5" fillId="10" borderId="1" xfId="2" applyFont="1" applyFill="1" applyBorder="1" applyAlignment="1">
      <alignment horizontal="center" vertical="center" wrapText="1"/>
    </xf>
    <xf numFmtId="0" fontId="5" fillId="10" borderId="2" xfId="2" applyFont="1" applyFill="1" applyBorder="1" applyAlignment="1">
      <alignment horizontal="left" vertical="center" wrapText="1"/>
    </xf>
    <xf numFmtId="0" fontId="5" fillId="10" borderId="3" xfId="2" applyFont="1" applyFill="1" applyBorder="1" applyAlignment="1">
      <alignment horizontal="left" vertical="center" wrapText="1"/>
    </xf>
    <xf numFmtId="0" fontId="5" fillId="10" borderId="4" xfId="2" applyFont="1" applyFill="1" applyBorder="1" applyAlignment="1">
      <alignment horizontal="left" vertical="center" wrapText="1"/>
    </xf>
    <xf numFmtId="0" fontId="7" fillId="9" borderId="2" xfId="2" applyFont="1" applyFill="1" applyBorder="1" applyAlignment="1">
      <alignment horizontal="center" vertical="center" wrapText="1"/>
    </xf>
    <xf numFmtId="0" fontId="7" fillId="9" borderId="3" xfId="2" applyFont="1" applyFill="1" applyBorder="1" applyAlignment="1">
      <alignment horizontal="center" vertical="center" wrapText="1"/>
    </xf>
    <xf numFmtId="0" fontId="7" fillId="9" borderId="4" xfId="2" applyFont="1" applyFill="1" applyBorder="1" applyAlignment="1">
      <alignment horizontal="center" vertical="center" wrapText="1"/>
    </xf>
    <xf numFmtId="0" fontId="36" fillId="9" borderId="3" xfId="0" applyFont="1" applyFill="1" applyBorder="1" applyAlignment="1">
      <alignment horizontal="center" vertical="center" wrapText="1"/>
    </xf>
    <xf numFmtId="0" fontId="36" fillId="9" borderId="4" xfId="0" applyFont="1" applyFill="1" applyBorder="1" applyAlignment="1">
      <alignment horizontal="center" vertical="center" wrapText="1"/>
    </xf>
    <xf numFmtId="167" fontId="5" fillId="10" borderId="2" xfId="2" applyNumberFormat="1" applyFont="1" applyFill="1" applyBorder="1" applyAlignment="1">
      <alignment horizontal="center" vertical="center" wrapText="1"/>
    </xf>
    <xf numFmtId="167" fontId="5" fillId="10" borderId="3" xfId="2" applyNumberFormat="1" applyFont="1" applyFill="1" applyBorder="1" applyAlignment="1">
      <alignment horizontal="center" vertical="center" wrapText="1"/>
    </xf>
    <xf numFmtId="167" fontId="5" fillId="10" borderId="4" xfId="2" applyNumberFormat="1" applyFont="1" applyFill="1" applyBorder="1" applyAlignment="1">
      <alignment horizontal="center" vertical="center" wrapText="1"/>
    </xf>
    <xf numFmtId="0" fontId="24" fillId="9" borderId="0" xfId="1" applyFont="1" applyFill="1" applyAlignment="1">
      <alignment horizontal="center" vertical="center" wrapText="1"/>
    </xf>
    <xf numFmtId="0" fontId="12" fillId="0" borderId="2" xfId="3" applyFont="1" applyBorder="1" applyAlignment="1">
      <alignment horizontal="center" vertical="center" wrapText="1"/>
    </xf>
    <xf numFmtId="0" fontId="12" fillId="0" borderId="3" xfId="3" applyFont="1" applyBorder="1" applyAlignment="1">
      <alignment horizontal="center" vertical="center" wrapText="1"/>
    </xf>
    <xf numFmtId="0" fontId="12" fillId="0" borderId="4" xfId="3" applyFont="1" applyBorder="1" applyAlignment="1">
      <alignment horizontal="center" vertical="center" wrapText="1"/>
    </xf>
    <xf numFmtId="0" fontId="43" fillId="18" borderId="2" xfId="2" applyFont="1" applyFill="1" applyBorder="1" applyAlignment="1">
      <alignment horizontal="left" vertical="center" wrapText="1"/>
    </xf>
    <xf numFmtId="0" fontId="43" fillId="18" borderId="3" xfId="2" applyFont="1" applyFill="1" applyBorder="1" applyAlignment="1">
      <alignment horizontal="left" vertical="center" wrapText="1"/>
    </xf>
    <xf numFmtId="0" fontId="43" fillId="18" borderId="4" xfId="2" applyFont="1" applyFill="1" applyBorder="1" applyAlignment="1">
      <alignment horizontal="left" vertical="center" wrapText="1"/>
    </xf>
    <xf numFmtId="0" fontId="43" fillId="18" borderId="2" xfId="3" applyFont="1" applyFill="1" applyBorder="1" applyAlignment="1">
      <alignment horizontal="left" vertical="center" wrapText="1" indent="1"/>
    </xf>
    <xf numFmtId="0" fontId="43" fillId="18" borderId="3" xfId="3" applyFont="1" applyFill="1" applyBorder="1" applyAlignment="1">
      <alignment horizontal="left" vertical="center" wrapText="1" indent="1"/>
    </xf>
    <xf numFmtId="0" fontId="43" fillId="18" borderId="4" xfId="3" applyFont="1" applyFill="1" applyBorder="1" applyAlignment="1">
      <alignment horizontal="left" vertical="center" wrapText="1" indent="1"/>
    </xf>
    <xf numFmtId="0" fontId="43" fillId="18" borderId="2" xfId="1" applyFont="1" applyFill="1" applyBorder="1" applyAlignment="1">
      <alignment horizontal="left" vertical="center" wrapText="1"/>
    </xf>
    <xf numFmtId="0" fontId="43" fillId="18" borderId="3" xfId="1" applyFont="1" applyFill="1" applyBorder="1" applyAlignment="1">
      <alignment horizontal="left" vertical="center" wrapText="1"/>
    </xf>
    <xf numFmtId="0" fontId="43" fillId="18" borderId="4" xfId="1" applyFont="1" applyFill="1" applyBorder="1" applyAlignment="1">
      <alignment horizontal="left" vertical="center" wrapText="1"/>
    </xf>
    <xf numFmtId="0" fontId="43" fillId="0" borderId="2" xfId="1" applyFont="1" applyBorder="1" applyAlignment="1">
      <alignment horizontal="left" vertical="center" wrapText="1"/>
    </xf>
    <xf numFmtId="0" fontId="43" fillId="0" borderId="3" xfId="1" applyFont="1" applyBorder="1" applyAlignment="1">
      <alignment horizontal="left" vertical="center" wrapText="1"/>
    </xf>
    <xf numFmtId="0" fontId="43" fillId="0" borderId="4" xfId="1" applyFont="1" applyBorder="1" applyAlignment="1">
      <alignment horizontal="left" vertical="center" wrapText="1"/>
    </xf>
    <xf numFmtId="0" fontId="43" fillId="0" borderId="2" xfId="3" applyFont="1" applyBorder="1" applyAlignment="1">
      <alignment horizontal="left" vertical="center" wrapText="1" indent="1"/>
    </xf>
    <xf numFmtId="0" fontId="43" fillId="0" borderId="3" xfId="3" applyFont="1" applyBorder="1" applyAlignment="1">
      <alignment horizontal="left" vertical="center" wrapText="1" indent="1"/>
    </xf>
    <xf numFmtId="0" fontId="43" fillId="0" borderId="4" xfId="3" applyFont="1" applyBorder="1" applyAlignment="1">
      <alignment horizontal="left" vertical="center" wrapText="1" indent="1"/>
    </xf>
    <xf numFmtId="0" fontId="32" fillId="0" borderId="7" xfId="2" applyFont="1" applyBorder="1" applyAlignment="1">
      <alignment horizontal="center" vertical="center" wrapText="1"/>
    </xf>
    <xf numFmtId="0" fontId="5" fillId="0" borderId="2" xfId="3" applyFont="1" applyBorder="1" applyAlignment="1">
      <alignment horizontal="center" vertical="center" wrapText="1"/>
    </xf>
    <xf numFmtId="0" fontId="5" fillId="0" borderId="3" xfId="3" applyFont="1" applyBorder="1" applyAlignment="1">
      <alignment horizontal="center" vertical="center" wrapText="1"/>
    </xf>
    <xf numFmtId="0" fontId="5" fillId="0" borderId="4" xfId="3" applyFont="1" applyBorder="1" applyAlignment="1">
      <alignment horizontal="center" vertical="center" wrapText="1"/>
    </xf>
    <xf numFmtId="0" fontId="5" fillId="0" borderId="2" xfId="2" applyFont="1" applyBorder="1" applyAlignment="1">
      <alignment horizontal="left" vertical="center" wrapText="1"/>
    </xf>
    <xf numFmtId="0" fontId="5" fillId="0" borderId="3" xfId="2" applyFont="1" applyBorder="1" applyAlignment="1">
      <alignment horizontal="left" vertical="center" wrapText="1"/>
    </xf>
    <xf numFmtId="0" fontId="5" fillId="0" borderId="4" xfId="2" applyFont="1" applyBorder="1" applyAlignment="1">
      <alignment horizontal="left" vertical="center" wrapText="1"/>
    </xf>
    <xf numFmtId="0" fontId="43" fillId="0" borderId="2" xfId="2" applyFont="1" applyBorder="1" applyAlignment="1">
      <alignment horizontal="left" vertical="center" wrapText="1"/>
    </xf>
    <xf numFmtId="0" fontId="43" fillId="0" borderId="3" xfId="2" applyFont="1" applyBorder="1" applyAlignment="1">
      <alignment horizontal="left" vertical="center" wrapText="1"/>
    </xf>
    <xf numFmtId="0" fontId="43" fillId="0" borderId="4" xfId="2" applyFont="1" applyBorder="1" applyAlignment="1">
      <alignment horizontal="left" vertical="center" wrapText="1"/>
    </xf>
    <xf numFmtId="0" fontId="5" fillId="0" borderId="2" xfId="3" applyFont="1" applyBorder="1" applyAlignment="1">
      <alignment horizontal="left" vertical="center" wrapText="1" indent="1"/>
    </xf>
    <xf numFmtId="0" fontId="5" fillId="0" borderId="3" xfId="3" applyFont="1" applyBorder="1" applyAlignment="1">
      <alignment horizontal="left" vertical="center" wrapText="1" indent="1"/>
    </xf>
    <xf numFmtId="0" fontId="5" fillId="0" borderId="4" xfId="3" applyFont="1" applyBorder="1" applyAlignment="1">
      <alignment horizontal="left" vertical="center" wrapText="1" indent="1"/>
    </xf>
    <xf numFmtId="0" fontId="7" fillId="0" borderId="2" xfId="2" applyFont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  <xf numFmtId="0" fontId="42" fillId="0" borderId="7" xfId="2" applyFont="1" applyBorder="1" applyAlignment="1">
      <alignment horizontal="center" vertical="center" wrapText="1"/>
    </xf>
    <xf numFmtId="0" fontId="45" fillId="0" borderId="7" xfId="2" applyFont="1" applyBorder="1" applyAlignment="1">
      <alignment horizontal="center" vertical="center" wrapText="1"/>
    </xf>
    <xf numFmtId="0" fontId="43" fillId="0" borderId="1" xfId="2" applyFont="1" applyBorder="1" applyAlignment="1">
      <alignment vertical="center" wrapText="1"/>
    </xf>
    <xf numFmtId="49" fontId="50" fillId="2" borderId="1" xfId="1" applyNumberFormat="1" applyFont="1" applyFill="1" applyBorder="1" applyAlignment="1">
      <alignment horizontal="center" vertical="center" wrapText="1"/>
    </xf>
    <xf numFmtId="49" fontId="50" fillId="2" borderId="2" xfId="1" applyNumberFormat="1" applyFont="1" applyFill="1" applyBorder="1" applyAlignment="1">
      <alignment horizontal="center" vertical="center" wrapText="1"/>
    </xf>
    <xf numFmtId="49" fontId="50" fillId="2" borderId="3" xfId="1" applyNumberFormat="1" applyFont="1" applyFill="1" applyBorder="1" applyAlignment="1">
      <alignment horizontal="center" vertical="center" wrapText="1"/>
    </xf>
    <xf numFmtId="0" fontId="50" fillId="2" borderId="1" xfId="1" applyFont="1" applyFill="1" applyBorder="1" applyAlignment="1">
      <alignment horizontal="center" vertical="center" wrapText="1"/>
    </xf>
    <xf numFmtId="0" fontId="50" fillId="2" borderId="2" xfId="1" applyFont="1" applyFill="1" applyBorder="1" applyAlignment="1">
      <alignment horizontal="center" vertical="center" wrapText="1"/>
    </xf>
    <xf numFmtId="0" fontId="50" fillId="2" borderId="3" xfId="1" applyFont="1" applyFill="1" applyBorder="1" applyAlignment="1">
      <alignment horizontal="center" vertical="center" wrapText="1"/>
    </xf>
    <xf numFmtId="0" fontId="50" fillId="2" borderId="4" xfId="1" applyFont="1" applyFill="1" applyBorder="1" applyAlignment="1">
      <alignment horizontal="center" vertical="center" wrapText="1"/>
    </xf>
    <xf numFmtId="49" fontId="43" fillId="0" borderId="1" xfId="2" applyNumberFormat="1" applyFont="1" applyBorder="1" applyAlignment="1">
      <alignment horizontal="center" vertical="center" wrapText="1"/>
    </xf>
    <xf numFmtId="0" fontId="43" fillId="0" borderId="1" xfId="1" applyFont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167" fontId="43" fillId="0" borderId="1" xfId="2" applyNumberFormat="1" applyFont="1" applyBorder="1" applyAlignment="1">
      <alignment horizontal="center" vertical="center" wrapText="1"/>
    </xf>
    <xf numFmtId="0" fontId="43" fillId="18" borderId="1" xfId="2" applyFont="1" applyFill="1" applyBorder="1" applyAlignment="1">
      <alignment horizontal="left" vertical="center" wrapText="1"/>
    </xf>
    <xf numFmtId="0" fontId="43" fillId="18" borderId="1" xfId="2" applyFont="1" applyFill="1" applyBorder="1" applyAlignment="1">
      <alignment horizontal="center" vertical="center" wrapText="1"/>
    </xf>
    <xf numFmtId="0" fontId="5" fillId="0" borderId="2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7" fillId="0" borderId="2" xfId="3" applyFont="1" applyBorder="1" applyAlignment="1">
      <alignment horizontal="center" vertical="center" wrapText="1"/>
    </xf>
    <xf numFmtId="0" fontId="7" fillId="0" borderId="3" xfId="3" applyFont="1" applyBorder="1" applyAlignment="1">
      <alignment horizontal="center" vertical="center" wrapText="1"/>
    </xf>
    <xf numFmtId="0" fontId="7" fillId="0" borderId="4" xfId="3" applyFont="1" applyBorder="1" applyAlignment="1">
      <alignment horizontal="center" vertical="center" wrapText="1"/>
    </xf>
    <xf numFmtId="167" fontId="8" fillId="0" borderId="2" xfId="2" applyNumberFormat="1" applyFont="1" applyBorder="1" applyAlignment="1">
      <alignment horizontal="center" vertical="center" wrapText="1"/>
    </xf>
    <xf numFmtId="167" fontId="8" fillId="0" borderId="3" xfId="2" applyNumberFormat="1" applyFont="1" applyBorder="1" applyAlignment="1">
      <alignment horizontal="center" vertical="center" wrapText="1"/>
    </xf>
    <xf numFmtId="167" fontId="8" fillId="0" borderId="4" xfId="2" applyNumberFormat="1" applyFont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 wrapText="1"/>
    </xf>
    <xf numFmtId="0" fontId="7" fillId="0" borderId="2" xfId="1" applyFont="1" applyBorder="1" applyAlignment="1">
      <alignment vertical="center" wrapText="1"/>
    </xf>
    <xf numFmtId="0" fontId="8" fillId="0" borderId="3" xfId="1" applyFont="1" applyBorder="1" applyAlignment="1">
      <alignment vertical="center" wrapText="1"/>
    </xf>
    <xf numFmtId="0" fontId="8" fillId="0" borderId="4" xfId="1" applyFont="1" applyBorder="1" applyAlignment="1">
      <alignment vertical="center" wrapText="1"/>
    </xf>
    <xf numFmtId="0" fontId="7" fillId="0" borderId="2" xfId="3" applyFont="1" applyBorder="1" applyAlignment="1">
      <alignment horizontal="left" vertical="center" wrapText="1" indent="1"/>
    </xf>
    <xf numFmtId="0" fontId="7" fillId="0" borderId="3" xfId="3" applyFont="1" applyBorder="1" applyAlignment="1">
      <alignment horizontal="left" vertical="center" wrapText="1" indent="1"/>
    </xf>
    <xf numFmtId="0" fontId="7" fillId="0" borderId="4" xfId="3" applyFont="1" applyBorder="1" applyAlignment="1">
      <alignment horizontal="left" vertical="center" wrapText="1" indent="1"/>
    </xf>
    <xf numFmtId="0" fontId="5" fillId="0" borderId="2" xfId="1" applyFont="1" applyBorder="1" applyAlignment="1">
      <alignment vertical="center" wrapText="1"/>
    </xf>
    <xf numFmtId="0" fontId="5" fillId="0" borderId="3" xfId="1" applyFont="1" applyBorder="1" applyAlignment="1">
      <alignment vertical="center" wrapText="1"/>
    </xf>
    <xf numFmtId="0" fontId="5" fillId="0" borderId="4" xfId="1" applyFont="1" applyBorder="1" applyAlignment="1">
      <alignment vertical="center" wrapText="1"/>
    </xf>
    <xf numFmtId="0" fontId="5" fillId="0" borderId="1" xfId="2" applyFont="1" applyBorder="1" applyAlignment="1">
      <alignment horizontal="left" vertical="center" wrapText="1"/>
    </xf>
    <xf numFmtId="0" fontId="33" fillId="0" borderId="2" xfId="1" applyFont="1" applyBorder="1" applyAlignment="1">
      <alignment horizontal="left" vertical="center" wrapText="1"/>
    </xf>
    <xf numFmtId="0" fontId="33" fillId="0" borderId="3" xfId="1" applyFont="1" applyBorder="1" applyAlignment="1">
      <alignment horizontal="left" vertical="center" wrapText="1"/>
    </xf>
    <xf numFmtId="0" fontId="33" fillId="0" borderId="4" xfId="1" applyFont="1" applyBorder="1" applyAlignment="1">
      <alignment horizontal="left" vertical="center" wrapText="1"/>
    </xf>
    <xf numFmtId="0" fontId="35" fillId="0" borderId="0" xfId="2" applyFont="1" applyAlignment="1">
      <alignment horizontal="center" vertical="center" wrapText="1"/>
    </xf>
    <xf numFmtId="0" fontId="24" fillId="0" borderId="7" xfId="2" applyFont="1" applyBorder="1" applyAlignment="1">
      <alignment horizontal="center" vertical="center" wrapText="1"/>
    </xf>
    <xf numFmtId="0" fontId="5" fillId="20" borderId="2" xfId="1" applyFont="1" applyFill="1" applyBorder="1" applyAlignment="1">
      <alignment horizontal="center" vertical="center" wrapText="1"/>
    </xf>
    <xf numFmtId="0" fontId="5" fillId="20" borderId="3" xfId="1" applyFont="1" applyFill="1" applyBorder="1" applyAlignment="1">
      <alignment horizontal="center" vertical="center" wrapText="1"/>
    </xf>
    <xf numFmtId="0" fontId="5" fillId="20" borderId="4" xfId="1" applyFont="1" applyFill="1" applyBorder="1" applyAlignment="1">
      <alignment horizontal="center" vertical="center" wrapText="1"/>
    </xf>
    <xf numFmtId="0" fontId="43" fillId="18" borderId="2" xfId="3" applyFont="1" applyFill="1" applyBorder="1" applyAlignment="1">
      <alignment horizontal="center" vertical="center" wrapText="1"/>
    </xf>
    <xf numFmtId="0" fontId="43" fillId="18" borderId="3" xfId="3" applyFont="1" applyFill="1" applyBorder="1" applyAlignment="1">
      <alignment horizontal="center" vertical="center" wrapText="1"/>
    </xf>
    <xf numFmtId="0" fontId="43" fillId="18" borderId="4" xfId="3" applyFont="1" applyFill="1" applyBorder="1" applyAlignment="1">
      <alignment horizontal="center" vertical="center" wrapText="1"/>
    </xf>
    <xf numFmtId="0" fontId="5" fillId="6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20" borderId="1" xfId="1" applyFont="1" applyFill="1" applyBorder="1" applyAlignment="1">
      <alignment horizontal="center" vertical="center" wrapText="1"/>
    </xf>
    <xf numFmtId="0" fontId="5" fillId="20" borderId="6" xfId="1" applyFont="1" applyFill="1" applyBorder="1" applyAlignment="1">
      <alignment horizontal="center" vertical="center" wrapText="1"/>
    </xf>
    <xf numFmtId="0" fontId="5" fillId="20" borderId="11" xfId="1" applyFont="1" applyFill="1" applyBorder="1" applyAlignment="1">
      <alignment horizontal="center" vertical="center" wrapText="1"/>
    </xf>
    <xf numFmtId="0" fontId="5" fillId="20" borderId="5" xfId="1" applyFont="1" applyFill="1" applyBorder="1" applyAlignment="1">
      <alignment horizontal="center" vertical="center" wrapText="1"/>
    </xf>
    <xf numFmtId="0" fontId="5" fillId="12" borderId="2" xfId="3" applyFont="1" applyFill="1" applyBorder="1" applyAlignment="1">
      <alignment horizontal="center" vertical="center" wrapText="1"/>
    </xf>
    <xf numFmtId="0" fontId="5" fillId="12" borderId="3" xfId="3" applyFont="1" applyFill="1" applyBorder="1" applyAlignment="1">
      <alignment horizontal="center" vertical="center" wrapText="1"/>
    </xf>
    <xf numFmtId="0" fontId="5" fillId="12" borderId="4" xfId="3" applyFont="1" applyFill="1" applyBorder="1" applyAlignment="1">
      <alignment horizontal="center" vertical="center" wrapText="1"/>
    </xf>
    <xf numFmtId="0" fontId="49" fillId="12" borderId="2" xfId="0" applyFont="1" applyFill="1" applyBorder="1" applyAlignment="1">
      <alignment horizontal="center" vertical="center" wrapText="1"/>
    </xf>
    <xf numFmtId="0" fontId="49" fillId="12" borderId="3" xfId="0" applyFont="1" applyFill="1" applyBorder="1" applyAlignment="1">
      <alignment horizontal="center" vertical="center" wrapText="1"/>
    </xf>
    <xf numFmtId="0" fontId="49" fillId="12" borderId="4" xfId="0" applyFont="1" applyFill="1" applyBorder="1" applyAlignment="1">
      <alignment horizontal="center" vertical="center" wrapText="1"/>
    </xf>
    <xf numFmtId="0" fontId="5" fillId="10" borderId="1" xfId="3" applyFont="1" applyFill="1" applyBorder="1" applyAlignment="1">
      <alignment horizontal="center" vertical="center" wrapText="1"/>
    </xf>
    <xf numFmtId="0" fontId="8" fillId="12" borderId="2" xfId="3" applyFont="1" applyFill="1" applyBorder="1" applyAlignment="1">
      <alignment horizontal="center" vertical="center" wrapText="1"/>
    </xf>
    <xf numFmtId="0" fontId="8" fillId="12" borderId="3" xfId="3" applyFont="1" applyFill="1" applyBorder="1" applyAlignment="1">
      <alignment horizontal="center" vertical="center" wrapText="1"/>
    </xf>
    <xf numFmtId="0" fontId="8" fillId="12" borderId="4" xfId="3" applyFont="1" applyFill="1" applyBorder="1" applyAlignment="1">
      <alignment horizontal="center" vertical="center" wrapText="1"/>
    </xf>
    <xf numFmtId="0" fontId="24" fillId="10" borderId="7" xfId="2" applyFont="1" applyFill="1" applyBorder="1" applyAlignment="1">
      <alignment horizontal="center" vertical="center" wrapText="1"/>
    </xf>
    <xf numFmtId="164" fontId="5" fillId="10" borderId="2" xfId="2" applyNumberFormat="1" applyFont="1" applyFill="1" applyBorder="1" applyAlignment="1">
      <alignment horizontal="center" vertical="center" wrapText="1"/>
    </xf>
    <xf numFmtId="164" fontId="5" fillId="10" borderId="3" xfId="2" applyNumberFormat="1" applyFont="1" applyFill="1" applyBorder="1" applyAlignment="1">
      <alignment horizontal="center" vertical="center" wrapText="1"/>
    </xf>
    <xf numFmtId="164" fontId="5" fillId="10" borderId="4" xfId="2" applyNumberFormat="1" applyFont="1" applyFill="1" applyBorder="1" applyAlignment="1">
      <alignment horizontal="center" vertical="center" wrapText="1"/>
    </xf>
    <xf numFmtId="167" fontId="5" fillId="12" borderId="2" xfId="2" applyNumberFormat="1" applyFont="1" applyFill="1" applyBorder="1" applyAlignment="1">
      <alignment horizontal="center" vertical="center" wrapText="1"/>
    </xf>
    <xf numFmtId="167" fontId="5" fillId="12" borderId="3" xfId="2" applyNumberFormat="1" applyFont="1" applyFill="1" applyBorder="1" applyAlignment="1">
      <alignment horizontal="center" vertical="center" wrapText="1"/>
    </xf>
    <xf numFmtId="167" fontId="5" fillId="12" borderId="4" xfId="2" applyNumberFormat="1" applyFont="1" applyFill="1" applyBorder="1" applyAlignment="1">
      <alignment horizontal="center" vertical="center" wrapText="1"/>
    </xf>
    <xf numFmtId="164" fontId="5" fillId="12" borderId="2" xfId="2" applyNumberFormat="1" applyFont="1" applyFill="1" applyBorder="1" applyAlignment="1">
      <alignment horizontal="center" vertical="center" wrapText="1"/>
    </xf>
    <xf numFmtId="164" fontId="5" fillId="12" borderId="3" xfId="2" applyNumberFormat="1" applyFont="1" applyFill="1" applyBorder="1" applyAlignment="1">
      <alignment horizontal="center" vertical="center" wrapText="1"/>
    </xf>
    <xf numFmtId="164" fontId="5" fillId="12" borderId="4" xfId="2" applyNumberFormat="1" applyFont="1" applyFill="1" applyBorder="1" applyAlignment="1">
      <alignment horizontal="center" vertical="center" wrapText="1"/>
    </xf>
    <xf numFmtId="0" fontId="5" fillId="12" borderId="1" xfId="2" applyFont="1" applyFill="1" applyBorder="1" applyAlignment="1">
      <alignment horizontal="left" vertical="center" wrapText="1"/>
    </xf>
    <xf numFmtId="0" fontId="5" fillId="12" borderId="1" xfId="3" applyFont="1" applyFill="1" applyBorder="1" applyAlignment="1">
      <alignment vertical="center" wrapText="1"/>
    </xf>
    <xf numFmtId="0" fontId="5" fillId="12" borderId="2" xfId="2" applyFont="1" applyFill="1" applyBorder="1" applyAlignment="1">
      <alignment horizontal="left" vertical="center" wrapText="1"/>
    </xf>
    <xf numFmtId="0" fontId="5" fillId="12" borderId="3" xfId="2" applyFont="1" applyFill="1" applyBorder="1" applyAlignment="1">
      <alignment horizontal="left" vertical="center" wrapText="1"/>
    </xf>
    <xf numFmtId="0" fontId="5" fillId="12" borderId="4" xfId="2" applyFont="1" applyFill="1" applyBorder="1" applyAlignment="1">
      <alignment horizontal="left" vertical="center" wrapText="1"/>
    </xf>
    <xf numFmtId="0" fontId="5" fillId="12" borderId="2" xfId="3" applyFont="1" applyFill="1" applyBorder="1" applyAlignment="1">
      <alignment vertical="center" wrapText="1"/>
    </xf>
    <xf numFmtId="0" fontId="5" fillId="12" borderId="3" xfId="3" applyFont="1" applyFill="1" applyBorder="1" applyAlignment="1">
      <alignment vertical="center" wrapText="1"/>
    </xf>
    <xf numFmtId="0" fontId="5" fillId="12" borderId="4" xfId="3" applyFont="1" applyFill="1" applyBorder="1" applyAlignment="1">
      <alignment vertical="center" wrapText="1"/>
    </xf>
    <xf numFmtId="164" fontId="5" fillId="12" borderId="1" xfId="2" applyNumberFormat="1" applyFont="1" applyFill="1" applyBorder="1" applyAlignment="1">
      <alignment horizontal="center" vertical="center" wrapText="1"/>
    </xf>
    <xf numFmtId="49" fontId="5" fillId="2" borderId="4" xfId="1" applyNumberFormat="1" applyFont="1" applyFill="1" applyBorder="1" applyAlignment="1">
      <alignment horizontal="center" vertical="center" wrapText="1"/>
    </xf>
    <xf numFmtId="0" fontId="24" fillId="12" borderId="7" xfId="2" applyFont="1" applyFill="1" applyBorder="1" applyAlignment="1">
      <alignment horizontal="center" vertical="center" wrapText="1"/>
    </xf>
    <xf numFmtId="0" fontId="24" fillId="10" borderId="0" xfId="2" applyFont="1" applyFill="1" applyAlignment="1">
      <alignment horizontal="center" vertical="center" wrapText="1"/>
    </xf>
    <xf numFmtId="0" fontId="24" fillId="12" borderId="0" xfId="2" applyFont="1" applyFill="1" applyAlignment="1">
      <alignment horizontal="center" vertical="center" wrapText="1"/>
    </xf>
    <xf numFmtId="0" fontId="5" fillId="10" borderId="1" xfId="3" applyFont="1" applyFill="1" applyBorder="1" applyAlignment="1">
      <alignment vertical="center" wrapText="1"/>
    </xf>
    <xf numFmtId="167" fontId="43" fillId="10" borderId="2" xfId="2" applyNumberFormat="1" applyFont="1" applyFill="1" applyBorder="1" applyAlignment="1">
      <alignment horizontal="center" vertical="center" wrapText="1"/>
    </xf>
    <xf numFmtId="167" fontId="43" fillId="10" borderId="3" xfId="2" applyNumberFormat="1" applyFont="1" applyFill="1" applyBorder="1" applyAlignment="1">
      <alignment horizontal="center" vertical="center" wrapText="1"/>
    </xf>
    <xf numFmtId="167" fontId="43" fillId="10" borderId="4" xfId="2" applyNumberFormat="1" applyFont="1" applyFill="1" applyBorder="1" applyAlignment="1">
      <alignment horizontal="center" vertical="center" wrapText="1"/>
    </xf>
    <xf numFmtId="0" fontId="5" fillId="10" borderId="1" xfId="3" applyFont="1" applyFill="1" applyBorder="1" applyAlignment="1">
      <alignment horizontal="left" vertical="center" wrapText="1"/>
    </xf>
    <xf numFmtId="0" fontId="54" fillId="10" borderId="2" xfId="5" applyFont="1" applyFill="1" applyBorder="1" applyAlignment="1">
      <alignment horizontal="center" vertical="center" wrapText="1"/>
    </xf>
    <xf numFmtId="0" fontId="54" fillId="10" borderId="3" xfId="5" applyFont="1" applyFill="1" applyBorder="1" applyAlignment="1">
      <alignment horizontal="center" vertical="center" wrapText="1"/>
    </xf>
    <xf numFmtId="0" fontId="54" fillId="10" borderId="4" xfId="5" applyFont="1" applyFill="1" applyBorder="1" applyAlignment="1">
      <alignment horizontal="center" vertical="center" wrapText="1"/>
    </xf>
    <xf numFmtId="0" fontId="45" fillId="10" borderId="7" xfId="2" applyFont="1" applyFill="1" applyBorder="1" applyAlignment="1">
      <alignment horizontal="center" vertical="center" wrapText="1"/>
    </xf>
    <xf numFmtId="167" fontId="46" fillId="10" borderId="2" xfId="2" applyNumberFormat="1" applyFont="1" applyFill="1" applyBorder="1" applyAlignment="1">
      <alignment horizontal="center" vertical="center" wrapText="1"/>
    </xf>
    <xf numFmtId="167" fontId="46" fillId="10" borderId="3" xfId="2" applyNumberFormat="1" applyFont="1" applyFill="1" applyBorder="1" applyAlignment="1">
      <alignment horizontal="center" vertical="center" wrapText="1"/>
    </xf>
    <xf numFmtId="167" fontId="46" fillId="10" borderId="4" xfId="2" applyNumberFormat="1" applyFont="1" applyFill="1" applyBorder="1" applyAlignment="1">
      <alignment horizontal="center" vertical="center" wrapText="1"/>
    </xf>
    <xf numFmtId="0" fontId="46" fillId="10" borderId="1" xfId="2" applyFont="1" applyFill="1" applyBorder="1" applyAlignment="1">
      <alignment horizontal="left" vertical="center" wrapText="1"/>
    </xf>
    <xf numFmtId="0" fontId="46" fillId="10" borderId="2" xfId="2" applyFont="1" applyFill="1" applyBorder="1" applyAlignment="1">
      <alignment horizontal="center" vertical="center" wrapText="1"/>
    </xf>
    <xf numFmtId="0" fontId="46" fillId="10" borderId="3" xfId="2" applyFont="1" applyFill="1" applyBorder="1" applyAlignment="1">
      <alignment horizontal="center" vertical="center" wrapText="1"/>
    </xf>
    <xf numFmtId="0" fontId="46" fillId="10" borderId="4" xfId="2" applyFont="1" applyFill="1" applyBorder="1" applyAlignment="1">
      <alignment horizontal="center" vertical="center" wrapText="1"/>
    </xf>
    <xf numFmtId="0" fontId="46" fillId="10" borderId="1" xfId="3" applyFont="1" applyFill="1" applyBorder="1" applyAlignment="1">
      <alignment vertical="center" wrapText="1"/>
    </xf>
    <xf numFmtId="0" fontId="8" fillId="10" borderId="2" xfId="3" applyFont="1" applyFill="1" applyBorder="1" applyAlignment="1">
      <alignment horizontal="center" vertical="center" wrapText="1"/>
    </xf>
    <xf numFmtId="0" fontId="8" fillId="10" borderId="3" xfId="3" applyFont="1" applyFill="1" applyBorder="1" applyAlignment="1">
      <alignment horizontal="center" vertical="center" wrapText="1"/>
    </xf>
    <xf numFmtId="0" fontId="8" fillId="10" borderId="4" xfId="3" applyFont="1" applyFill="1" applyBorder="1" applyAlignment="1">
      <alignment horizontal="center" vertical="center" wrapText="1"/>
    </xf>
    <xf numFmtId="0" fontId="5" fillId="10" borderId="2" xfId="2" applyFont="1" applyFill="1" applyBorder="1" applyAlignment="1">
      <alignment horizontal="center" vertical="center" wrapText="1"/>
    </xf>
    <xf numFmtId="0" fontId="5" fillId="10" borderId="3" xfId="2" applyFont="1" applyFill="1" applyBorder="1" applyAlignment="1">
      <alignment horizontal="center" vertical="center" wrapText="1"/>
    </xf>
    <xf numFmtId="0" fontId="5" fillId="10" borderId="4" xfId="2" applyFont="1" applyFill="1" applyBorder="1" applyAlignment="1">
      <alignment horizontal="center" vertical="center" wrapText="1"/>
    </xf>
    <xf numFmtId="9" fontId="12" fillId="10" borderId="2" xfId="8" applyFont="1" applyFill="1" applyBorder="1" applyAlignment="1">
      <alignment horizontal="center" vertical="center" wrapText="1"/>
    </xf>
    <xf numFmtId="9" fontId="12" fillId="10" borderId="3" xfId="8" applyFont="1" applyFill="1" applyBorder="1" applyAlignment="1">
      <alignment horizontal="center" vertical="center" wrapText="1"/>
    </xf>
    <xf numFmtId="9" fontId="12" fillId="10" borderId="4" xfId="8" applyFont="1" applyFill="1" applyBorder="1" applyAlignment="1">
      <alignment horizontal="center" vertical="center" wrapText="1"/>
    </xf>
    <xf numFmtId="0" fontId="5" fillId="10" borderId="2" xfId="3" applyFont="1" applyFill="1" applyBorder="1" applyAlignment="1">
      <alignment horizontal="left" vertical="center" wrapText="1"/>
    </xf>
    <xf numFmtId="0" fontId="5" fillId="10" borderId="3" xfId="3" applyFont="1" applyFill="1" applyBorder="1" applyAlignment="1">
      <alignment horizontal="left" vertical="center" wrapText="1"/>
    </xf>
    <xf numFmtId="0" fontId="5" fillId="10" borderId="4" xfId="3" applyFont="1" applyFill="1" applyBorder="1" applyAlignment="1">
      <alignment horizontal="left" vertical="center" wrapText="1"/>
    </xf>
    <xf numFmtId="0" fontId="9" fillId="11" borderId="2" xfId="3" applyFont="1" applyFill="1" applyBorder="1" applyAlignment="1">
      <alignment horizontal="left" vertical="center" wrapText="1"/>
    </xf>
    <xf numFmtId="0" fontId="9" fillId="11" borderId="3" xfId="3" applyFont="1" applyFill="1" applyBorder="1" applyAlignment="1">
      <alignment horizontal="left" vertical="center" wrapText="1"/>
    </xf>
    <xf numFmtId="0" fontId="9" fillId="11" borderId="4" xfId="3" applyFont="1" applyFill="1" applyBorder="1" applyAlignment="1">
      <alignment horizontal="left" vertical="center" wrapText="1"/>
    </xf>
    <xf numFmtId="0" fontId="36" fillId="10" borderId="3" xfId="0" applyFont="1" applyFill="1" applyBorder="1" applyAlignment="1">
      <alignment horizontal="center" vertical="center" wrapText="1"/>
    </xf>
    <xf numFmtId="0" fontId="36" fillId="10" borderId="4" xfId="0" applyFont="1" applyFill="1" applyBorder="1" applyAlignment="1">
      <alignment horizontal="center" vertical="center" wrapText="1"/>
    </xf>
    <xf numFmtId="167" fontId="9" fillId="11" borderId="2" xfId="2" applyNumberFormat="1" applyFont="1" applyFill="1" applyBorder="1" applyAlignment="1">
      <alignment horizontal="center" vertical="center" wrapText="1"/>
    </xf>
    <xf numFmtId="167" fontId="9" fillId="11" borderId="3" xfId="2" applyNumberFormat="1" applyFont="1" applyFill="1" applyBorder="1" applyAlignment="1">
      <alignment horizontal="center" vertical="center" wrapText="1"/>
    </xf>
    <xf numFmtId="167" fontId="9" fillId="11" borderId="4" xfId="2" applyNumberFormat="1" applyFont="1" applyFill="1" applyBorder="1" applyAlignment="1">
      <alignment horizontal="center" vertical="center" wrapText="1"/>
    </xf>
    <xf numFmtId="164" fontId="9" fillId="11" borderId="2" xfId="2" applyNumberFormat="1" applyFont="1" applyFill="1" applyBorder="1" applyAlignment="1">
      <alignment horizontal="center" vertical="center" wrapText="1"/>
    </xf>
    <xf numFmtId="164" fontId="9" fillId="11" borderId="3" xfId="2" applyNumberFormat="1" applyFont="1" applyFill="1" applyBorder="1" applyAlignment="1">
      <alignment horizontal="center" vertical="center" wrapText="1"/>
    </xf>
    <xf numFmtId="164" fontId="9" fillId="11" borderId="4" xfId="2" applyNumberFormat="1" applyFont="1" applyFill="1" applyBorder="1" applyAlignment="1">
      <alignment horizontal="center" vertical="center" wrapText="1"/>
    </xf>
    <xf numFmtId="0" fontId="30" fillId="11" borderId="2" xfId="2" applyFont="1" applyFill="1" applyBorder="1" applyAlignment="1">
      <alignment horizontal="left" vertical="center" wrapText="1"/>
    </xf>
    <xf numFmtId="0" fontId="30" fillId="11" borderId="3" xfId="2" applyFont="1" applyFill="1" applyBorder="1" applyAlignment="1">
      <alignment horizontal="left" vertical="center" wrapText="1"/>
    </xf>
    <xf numFmtId="0" fontId="30" fillId="11" borderId="4" xfId="2" applyFont="1" applyFill="1" applyBorder="1" applyAlignment="1">
      <alignment horizontal="left" vertical="center" wrapText="1"/>
    </xf>
    <xf numFmtId="0" fontId="9" fillId="11" borderId="2" xfId="3" applyFont="1" applyFill="1" applyBorder="1" applyAlignment="1">
      <alignment horizontal="center" vertical="center" wrapText="1"/>
    </xf>
    <xf numFmtId="0" fontId="9" fillId="11" borderId="3" xfId="3" applyFont="1" applyFill="1" applyBorder="1" applyAlignment="1">
      <alignment horizontal="center" vertical="center" wrapText="1"/>
    </xf>
    <xf numFmtId="0" fontId="9" fillId="11" borderId="4" xfId="3" applyFont="1" applyFill="1" applyBorder="1" applyAlignment="1">
      <alignment horizontal="center" vertical="center" wrapText="1"/>
    </xf>
    <xf numFmtId="0" fontId="32" fillId="12" borderId="7" xfId="2" applyFont="1" applyFill="1" applyBorder="1" applyAlignment="1">
      <alignment horizontal="center" vertical="center" wrapText="1"/>
    </xf>
    <xf numFmtId="0" fontId="8" fillId="0" borderId="2" xfId="3" applyFont="1" applyBorder="1" applyAlignment="1">
      <alignment horizontal="center" vertical="center" wrapText="1"/>
    </xf>
    <xf numFmtId="0" fontId="8" fillId="0" borderId="3" xfId="3" applyFont="1" applyBorder="1" applyAlignment="1">
      <alignment horizontal="center" vertical="center" wrapText="1"/>
    </xf>
    <xf numFmtId="0" fontId="8" fillId="0" borderId="4" xfId="3" applyFont="1" applyBorder="1" applyAlignment="1">
      <alignment horizontal="center" vertical="center" wrapText="1"/>
    </xf>
    <xf numFmtId="167" fontId="33" fillId="12" borderId="2" xfId="2" applyNumberFormat="1" applyFont="1" applyFill="1" applyBorder="1" applyAlignment="1">
      <alignment horizontal="center" vertical="center" wrapText="1"/>
    </xf>
    <xf numFmtId="167" fontId="33" fillId="12" borderId="3" xfId="2" applyNumberFormat="1" applyFont="1" applyFill="1" applyBorder="1" applyAlignment="1">
      <alignment horizontal="center" vertical="center" wrapText="1"/>
    </xf>
    <xf numFmtId="167" fontId="33" fillId="12" borderId="4" xfId="2" applyNumberFormat="1" applyFont="1" applyFill="1" applyBorder="1" applyAlignment="1">
      <alignment horizontal="center" vertical="center" wrapText="1"/>
    </xf>
    <xf numFmtId="0" fontId="33" fillId="12" borderId="1" xfId="2" applyFont="1" applyFill="1" applyBorder="1" applyAlignment="1">
      <alignment horizontal="left" vertical="center" wrapText="1"/>
    </xf>
    <xf numFmtId="0" fontId="33" fillId="12" borderId="1" xfId="3" applyFont="1" applyFill="1" applyBorder="1" applyAlignment="1">
      <alignment vertical="center" wrapText="1"/>
    </xf>
    <xf numFmtId="0" fontId="33" fillId="12" borderId="2" xfId="2" applyFont="1" applyFill="1" applyBorder="1" applyAlignment="1">
      <alignment horizontal="center" vertical="center" wrapText="1"/>
    </xf>
    <xf numFmtId="0" fontId="33" fillId="12" borderId="3" xfId="2" applyFont="1" applyFill="1" applyBorder="1" applyAlignment="1">
      <alignment horizontal="center" vertical="center" wrapText="1"/>
    </xf>
    <xf numFmtId="0" fontId="33" fillId="12" borderId="4" xfId="2" applyFont="1" applyFill="1" applyBorder="1" applyAlignment="1">
      <alignment horizontal="center" vertical="center" wrapText="1"/>
    </xf>
    <xf numFmtId="0" fontId="7" fillId="11" borderId="1" xfId="2" applyFont="1" applyFill="1" applyBorder="1" applyAlignment="1">
      <alignment horizontal="left" vertical="center" wrapText="1"/>
    </xf>
    <xf numFmtId="0" fontId="8" fillId="11" borderId="1" xfId="3" applyFont="1" applyFill="1" applyBorder="1" applyAlignment="1">
      <alignment vertical="center" wrapText="1"/>
    </xf>
    <xf numFmtId="0" fontId="12" fillId="8" borderId="1" xfId="3" applyFont="1" applyFill="1" applyBorder="1" applyAlignment="1">
      <alignment horizontal="center" vertical="center" wrapText="1"/>
    </xf>
    <xf numFmtId="14" fontId="12" fillId="8" borderId="1" xfId="3" applyNumberFormat="1" applyFont="1" applyFill="1" applyBorder="1" applyAlignment="1">
      <alignment horizontal="center" vertical="center" wrapText="1"/>
    </xf>
    <xf numFmtId="165" fontId="12" fillId="8" borderId="1" xfId="3" applyNumberFormat="1" applyFont="1" applyFill="1" applyBorder="1" applyAlignment="1">
      <alignment horizontal="center" vertical="center" wrapText="1"/>
    </xf>
    <xf numFmtId="0" fontId="7" fillId="8" borderId="4" xfId="3" applyFont="1" applyFill="1" applyBorder="1" applyAlignment="1">
      <alignment horizontal="center" vertical="center" wrapText="1"/>
    </xf>
    <xf numFmtId="0" fontId="7" fillId="8" borderId="4" xfId="3" applyFont="1" applyFill="1" applyBorder="1" applyAlignment="1">
      <alignment horizontal="center" vertical="center" wrapText="1"/>
    </xf>
    <xf numFmtId="0" fontId="7" fillId="8" borderId="4" xfId="3" applyFont="1" applyFill="1" applyBorder="1" applyAlignment="1">
      <alignment vertical="center" wrapText="1"/>
    </xf>
    <xf numFmtId="0" fontId="7" fillId="8" borderId="4" xfId="2" applyFont="1" applyFill="1" applyBorder="1" applyAlignment="1">
      <alignment horizontal="left" vertical="center" wrapText="1"/>
    </xf>
    <xf numFmtId="164" fontId="7" fillId="8" borderId="4" xfId="2" applyNumberFormat="1" applyFont="1" applyFill="1" applyBorder="1" applyAlignment="1">
      <alignment horizontal="center" vertical="center" wrapText="1"/>
    </xf>
    <xf numFmtId="0" fontId="7" fillId="8" borderId="3" xfId="3" applyFont="1" applyFill="1" applyBorder="1" applyAlignment="1">
      <alignment horizontal="center" vertical="center" wrapText="1"/>
    </xf>
    <xf numFmtId="0" fontId="7" fillId="8" borderId="3" xfId="3" applyFont="1" applyFill="1" applyBorder="1" applyAlignment="1">
      <alignment horizontal="center" vertical="center" wrapText="1"/>
    </xf>
    <xf numFmtId="0" fontId="7" fillId="8" borderId="3" xfId="3" applyFont="1" applyFill="1" applyBorder="1" applyAlignment="1">
      <alignment vertical="center" wrapText="1"/>
    </xf>
    <xf numFmtId="0" fontId="61" fillId="8" borderId="3" xfId="3" applyFont="1" applyFill="1" applyBorder="1" applyAlignment="1">
      <alignment horizontal="center" vertical="center" wrapText="1"/>
    </xf>
    <xf numFmtId="0" fontId="7" fillId="8" borderId="3" xfId="2" applyFont="1" applyFill="1" applyBorder="1" applyAlignment="1">
      <alignment horizontal="left" vertical="center" wrapText="1"/>
    </xf>
    <xf numFmtId="164" fontId="61" fillId="8" borderId="3" xfId="2" applyNumberFormat="1" applyFont="1" applyFill="1" applyBorder="1" applyAlignment="1">
      <alignment horizontal="center" vertical="center" wrapText="1"/>
    </xf>
    <xf numFmtId="0" fontId="7" fillId="8" borderId="2" xfId="3" applyFont="1" applyFill="1" applyBorder="1" applyAlignment="1">
      <alignment horizontal="center" vertical="center" wrapText="1"/>
    </xf>
    <xf numFmtId="0" fontId="7" fillId="8" borderId="2" xfId="3" applyFont="1" applyFill="1" applyBorder="1" applyAlignment="1">
      <alignment horizontal="center" vertical="center" wrapText="1"/>
    </xf>
    <xf numFmtId="0" fontId="7" fillId="8" borderId="2" xfId="3" applyFont="1" applyFill="1" applyBorder="1" applyAlignment="1">
      <alignment vertical="center" wrapText="1"/>
    </xf>
    <xf numFmtId="0" fontId="7" fillId="8" borderId="2" xfId="2" applyFont="1" applyFill="1" applyBorder="1" applyAlignment="1">
      <alignment horizontal="left" vertical="center" wrapText="1"/>
    </xf>
    <xf numFmtId="164" fontId="7" fillId="8" borderId="2" xfId="2" applyNumberFormat="1" applyFont="1" applyFill="1" applyBorder="1" applyAlignment="1">
      <alignment horizontal="center" vertical="center" wrapText="1"/>
    </xf>
    <xf numFmtId="0" fontId="7" fillId="8" borderId="4" xfId="2" applyFont="1" applyFill="1" applyBorder="1" applyAlignment="1">
      <alignment horizontal="center" vertical="center" wrapText="1"/>
    </xf>
    <xf numFmtId="0" fontId="31" fillId="8" borderId="1" xfId="2" applyFont="1" applyFill="1" applyBorder="1" applyAlignment="1">
      <alignment horizontal="center" vertical="center" wrapText="1"/>
    </xf>
    <xf numFmtId="0" fontId="7" fillId="8" borderId="3" xfId="2" applyFont="1" applyFill="1" applyBorder="1" applyAlignment="1">
      <alignment horizontal="center" vertical="center" wrapText="1"/>
    </xf>
    <xf numFmtId="164" fontId="7" fillId="8" borderId="3" xfId="2" applyNumberFormat="1" applyFont="1" applyFill="1" applyBorder="1" applyAlignment="1">
      <alignment horizontal="center" vertical="center" wrapText="1"/>
    </xf>
    <xf numFmtId="0" fontId="7" fillId="8" borderId="2" xfId="2" applyFont="1" applyFill="1" applyBorder="1" applyAlignment="1">
      <alignment horizontal="center" vertical="center" wrapText="1"/>
    </xf>
    <xf numFmtId="0" fontId="0" fillId="8" borderId="4" xfId="0" applyFill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8" borderId="3" xfId="0" applyFill="1" applyBorder="1" applyAlignment="1">
      <alignment vertical="center" wrapText="1"/>
    </xf>
    <xf numFmtId="0" fontId="0" fillId="0" borderId="3" xfId="0" applyBorder="1" applyAlignment="1">
      <alignment horizontal="center" vertical="center" wrapText="1"/>
    </xf>
  </cellXfs>
  <cellStyles count="9">
    <cellStyle name="Hyperlink 2" xfId="7" xr:uid="{BF5FEB12-06A7-4E54-9311-1D98DFABB6AA}"/>
    <cellStyle name="Porcentaje 3" xfId="8" xr:uid="{5C00A204-9CF8-4987-B53B-1C453B9D6529}"/>
    <cellStyle name="一般" xfId="0" builtinId="0"/>
    <cellStyle name="一般 2" xfId="5" xr:uid="{D3481BB7-928C-4272-AC51-C4D8478B6B76}"/>
    <cellStyle name="一般 3 4" xfId="3" xr:uid="{AF961D94-0BE5-4FB1-90BD-5A46B7773F59}"/>
    <cellStyle name="一般 8 2 2 2 2" xfId="2" xr:uid="{3BB6BD63-1BC5-403D-A01C-9570CF7686E1}"/>
    <cellStyle name="一般 8 2 2 2 2 2" xfId="4" xr:uid="{4A95544B-31CD-4D75-8EE0-0EBD6612B535}"/>
    <cellStyle name="一般 9 2 2 2" xfId="1" xr:uid="{C99E814F-0354-482F-89F4-33952D8A57C4}"/>
    <cellStyle name="超連結" xfId="6" builtinId="8"/>
  </cellStyles>
  <dxfs count="50">
    <dxf>
      <font>
        <color rgb="FF3333FF"/>
      </font>
    </dxf>
    <dxf>
      <font>
        <color rgb="FFC00000"/>
      </font>
    </dxf>
    <dxf>
      <font>
        <color rgb="FF3333FF"/>
      </font>
    </dxf>
    <dxf>
      <font>
        <color rgb="FFC00000"/>
      </font>
    </dxf>
    <dxf>
      <font>
        <color rgb="FF3333FF"/>
      </font>
    </dxf>
    <dxf>
      <font>
        <color rgb="FFC00000"/>
      </font>
    </dxf>
    <dxf>
      <font>
        <color rgb="FF3333FF"/>
      </font>
    </dxf>
    <dxf>
      <font>
        <color rgb="FF3333FF"/>
      </font>
    </dxf>
    <dxf>
      <font>
        <color rgb="FFC00000"/>
      </font>
    </dxf>
    <dxf>
      <font>
        <color rgb="FFC00000"/>
      </font>
    </dxf>
    <dxf>
      <font>
        <color rgb="FF0000FF"/>
      </font>
    </dxf>
    <dxf>
      <font>
        <color rgb="FFFF0000"/>
      </font>
    </dxf>
    <dxf>
      <font>
        <color theme="1"/>
      </font>
    </dxf>
    <dxf>
      <font>
        <color theme="8"/>
      </font>
    </dxf>
    <dxf>
      <font>
        <color rgb="FF3333FF"/>
      </font>
    </dxf>
    <dxf>
      <font>
        <color rgb="FFC00000"/>
      </font>
    </dxf>
    <dxf>
      <font>
        <color rgb="FF0000FF"/>
      </font>
    </dxf>
    <dxf>
      <font>
        <color theme="5"/>
      </font>
    </dxf>
    <dxf>
      <font>
        <color theme="1"/>
      </font>
    </dxf>
    <dxf>
      <font>
        <color rgb="FFFF0000"/>
      </font>
    </dxf>
    <dxf>
      <font>
        <color rgb="FFC00000"/>
      </font>
    </dxf>
    <dxf>
      <font>
        <color rgb="FF3333FF"/>
      </font>
    </dxf>
    <dxf>
      <font>
        <color rgb="FFFF0000"/>
      </font>
    </dxf>
    <dxf>
      <font>
        <color theme="1"/>
      </font>
    </dxf>
    <dxf>
      <font>
        <color theme="8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3333FF"/>
      </font>
    </dxf>
    <dxf>
      <font>
        <color rgb="FFC00000"/>
      </font>
    </dxf>
    <dxf>
      <font>
        <color rgb="FF3333FF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</dxf>
    <dxf>
      <font>
        <color rgb="FF3333FF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FF0000"/>
      </font>
    </dxf>
    <dxf>
      <font>
        <color rgb="FF0000FF"/>
      </font>
    </dxf>
  </dxfs>
  <tableStyles count="0" defaultTableStyle="TableStyleMedium2" defaultPivotStyle="PivotStyleLight16"/>
  <colors>
    <mruColors>
      <color rgb="FFFFCCFF"/>
      <color rgb="FFCCFF99"/>
      <color rgb="FFDAF2D0"/>
      <color rgb="FFFFCCCC"/>
      <color rgb="FFDAE9F8"/>
      <color rgb="FFCCCCFF"/>
      <color rgb="FFFFCC99"/>
      <color rgb="FFFF6699"/>
      <color rgb="FFCCFFFF"/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pow06.ctci.com.tw/PRJ/24A5600A/JVPartner/Correspondence/%E6%94%B6%E7%99%BC%E6%96%87/%E6%94%B6%E6%96%87/1150505_%E6%B0%B4%E5%8C%97%E5%A4%9A%E5%AD%97%E7%AC%AC11522022770%E8%99%9F/%E6%B0%B4%E5%8C%97%E5%A4%9A%E5%AD%97%E7%AC%AC11522022770%E8%99%9F.pdf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s://pow06.ctci.com.tw/PRJ/24A5600A/JVPartner/Correspondence/%E6%94%B6%E7%99%BC%E6%96%87/%E7%99%BC%E6%96%87/114-538/%E9%BC%8E%E6%B0%B4%E8%B3%87%E5%AD%97%E7%AC%AC1140000538%E8%99%9F.pdf?d=w475565e2e3054711843cfb94581a7c00" TargetMode="External"/><Relationship Id="rId21" Type="http://schemas.openxmlformats.org/officeDocument/2006/relationships/hyperlink" Target="https://pow06.ctci.com.tw/PRJ/24A5600A/JVPartner/Correspondence/%E6%94%B6%E7%99%BC%E6%96%87/%E7%99%BC%E6%96%87/115-0194/%E9%BC%8E%E6%B0%B4%E8%B3%87%E5%AD%97%E7%AC%AC1150000194%E8%99%9F.pdf?d=w2d018ceb38414daa87595787edde29f6" TargetMode="External"/><Relationship Id="rId42" Type="http://schemas.openxmlformats.org/officeDocument/2006/relationships/hyperlink" Target="https://pow06.ctci.com.tw/PRJ/24A5600A/JVPartner/Correspondence/%E6%94%B6%E7%99%BC%E6%96%87/%E7%99%BC%E6%96%87/114-365/%E9%BC%8E%E6%B0%B4%E8%B3%87%E5%AD%97%E7%AC%AC1140000365%E8%99%9F.pdf?d=wb4cfb384494848bcba6feefed4759230" TargetMode="External"/><Relationship Id="rId63" Type="http://schemas.openxmlformats.org/officeDocument/2006/relationships/hyperlink" Target="https://pow06.ctci.com.tw/PRJ/24A5600A/JVPartner/Correspondence/%E6%94%B6%E7%99%BC%E6%96%87/%E6%94%B6%E6%96%87/114%E5%B9%B4%E5%BA%A6/1141212_%E5%8C%97%E6%B0%B4%E5%88%86%E7%BD%B2_%E6%B0%B4%E5%8C%97%E5%A4%9A%E5%AD%97%E7%AC%AC11453136680%E8%99%9F(%E7%84%A1%E9%99%84%E4%BB%B6).pdf?d=wbc325c265df24e97b15b64f03b5d0ce9" TargetMode="External"/><Relationship Id="rId84" Type="http://schemas.openxmlformats.org/officeDocument/2006/relationships/hyperlink" Target="https://pow06.ctci.com.tw/PRJ/24A5600A/JVPartner/Correspondence/%E6%94%B6%E7%99%BC%E6%96%87/%E7%99%BC%E6%96%87/114-1354/%E9%BC%8E%E6%B0%B4%E8%B3%87%E5%AD%97%E7%AC%AC1140001354%E8%99%9F.pdf?d=w4edc018457f447fe960b18852992578a" TargetMode="External"/><Relationship Id="rId138" Type="http://schemas.openxmlformats.org/officeDocument/2006/relationships/hyperlink" Target="https://pow06.ctci.com.tw/PRJ/24A5600A/JVPartner/Correspondence/%E6%94%B6%E7%99%BC%E6%96%87/%E6%94%B6%E6%96%87/1150106_AECOM_%E8%89%BE%E5%A5%95%E5%BA%B7%E6%B0%B4%E5%AD%97%E7%AC%AC1140036516%E8%99%9F(%E7%84%A1%E9%99%84%E4%BB%B6).pdf?d=w9dfb5df567f44bbe817fdd5e5490b75f" TargetMode="External"/><Relationship Id="rId159" Type="http://schemas.openxmlformats.org/officeDocument/2006/relationships/hyperlink" Target="https://pow06.ctci.com.tw/PRJ/24A5600A/JVPartner/Correspondence/%E6%94%B6%E7%99%BC%E6%96%87/%E6%94%B6%E6%96%87/1150316_%E8%89%BE%E5%A5%95%E5%BA%B7%E6%B0%B4%E5%AD%97%E7%AC%AC1150004999%E8%99%9F/%E8%89%BE%E5%A5%95%E5%BA%B7%E6%B0%B4%E5%AD%97%E7%AC%AC1150004999%E8%99%9F.pdf?d=wbf03f856cc1346e8b76d0eef0464a302" TargetMode="External"/><Relationship Id="rId170" Type="http://schemas.openxmlformats.org/officeDocument/2006/relationships/hyperlink" Target="https://pow06.ctci.com.tw/PRJ/24A5600A/JVPartner/Correspondence/%E6%94%B6%E7%99%BC%E6%96%87/%E7%99%BC%E6%96%87/115-0208/%E9%BC%8E%E6%B0%B4%E8%B3%87%E5%AD%97%E7%AC%AC1150000208%E8%99%9F.pdf?d=w8aa80e61ed084b6689a46b328025e927" TargetMode="External"/><Relationship Id="rId191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205" Type="http://schemas.openxmlformats.org/officeDocument/2006/relationships/hyperlink" Target="https://pow06.ctci.com.tw/PRJ/24A5600A/JVPartner/Correspondence/%E6%94%B6%E7%99%BC%E6%96%87/%E7%99%BC%E6%96%87/114-1054/%E9%BC%8E%E6%B0%B4%E8%B3%87%E5%AD%97%E7%AC%AC1140001054%E8%99%9F.pdf?d=w692c9b40f5ca4f2faf2101e43b1e018f" TargetMode="External"/><Relationship Id="rId226" Type="http://schemas.openxmlformats.org/officeDocument/2006/relationships/hyperlink" Target="https://pow06.ctci.com.tw/PRJ/24A5600A/JVPartner/Correspondence/%E6%94%B6%E7%99%BC%E6%96%87/%E7%99%BC%E6%96%87/114-1054/%E9%BC%8E%E6%B0%B4%E8%B3%87%E5%AD%97%E7%AC%AC1140001054%E8%99%9F.pdf?d=w692c9b40f5ca4f2faf2101e43b1e018f" TargetMode="External"/><Relationship Id="rId107" Type="http://schemas.openxmlformats.org/officeDocument/2006/relationships/hyperlink" Target="https://pow06.ctci.com.tw/PRJ/24A5600A/JVPartner/Correspondence/%E6%94%B6%E7%99%BC%E6%96%87/%E7%99%BC%E6%96%87/114-305_%E9%8B%BC%E7%AD%8B(%E5%8D%9A%E5%A4%A7)%E6%9D%90%E6%96%99%E9%80%81%E5%AF%A9/%E9%BC%8E%E6%B0%B4%E8%B3%87%E5%AD%97%E7%AC%AC1140000305%E8%99%9F.pdf?d=wb4fa09cbc25d46c9bbf36b53e29b8d8a" TargetMode="External"/><Relationship Id="rId11" Type="http://schemas.openxmlformats.org/officeDocument/2006/relationships/hyperlink" Target="https://pow06.ctci.com.tw/PRJ/24A5600A/JVPartner/Correspondence/%E6%94%B6%E7%99%BC%E6%96%87/%E6%94%B6%E6%96%87/114%E5%B9%B4%E5%BA%A6/1140428_%E5%8C%97%E6%B0%B4%E5%88%86%E7%BD%B2_%E6%B0%B4%E5%8C%97%E5%A4%9A%E5%AD%97%E7%AC%AC11453040750%E8%99%9F(%E7%84%A1%E9%99%84%E4%BB%B6).pdf?d=w14ba328f57f346f58db13a5b4aa2ae34" TargetMode="External"/><Relationship Id="rId32" Type="http://schemas.openxmlformats.org/officeDocument/2006/relationships/hyperlink" Target="https://pow06.ctci.com.tw/PRJ/24A5600A/JVPartner/Correspondence/%E6%94%B6%E7%99%BC%E6%96%87/%E6%94%B6%E6%96%87/114%E5%B9%B4%E5%BA%A6/1140520_%E5%8C%97%E6%B0%B4%E5%88%86%E7%BD%B2_%E6%B0%B4%E5%8C%97%E5%A4%9A%E5%AD%97%E7%AC%AC11453049930%E8%99%9F(%E7%84%A1%E9%99%84%E4%BB%B6).pdf?d=w8304eed2426e47c7ae70b9e074456301" TargetMode="External"/><Relationship Id="rId53" Type="http://schemas.openxmlformats.org/officeDocument/2006/relationships/hyperlink" Target="https://pow06.ctci.com.tw/PRJ/24A5600A/JVPartner/Correspondence/%E6%94%B6%E7%99%BC%E6%96%87/%E7%99%BC%E6%96%87/115-0031/%E9%BC%8E%E6%B0%B4%E8%B3%87%E5%AD%97%E7%AC%AC1150000031%E8%99%9F.pdf?d=we78c3ad2ac3a44a58fc51d6afa1b7af3" TargetMode="External"/><Relationship Id="rId74" Type="http://schemas.openxmlformats.org/officeDocument/2006/relationships/hyperlink" Target="https://pow06.ctci.com.tw/PRJ/24A5600A/JVPartner/Correspondence/%E6%94%B6%E7%99%BC%E6%96%87/%E7%99%BC%E6%96%87/114-1315/%E9%BC%8E%E6%B0%B4%E8%B3%87%E5%AD%97%E7%AC%AC1140001315%E8%99%9F.pdf?d=w7eafc5b69b064811852517f16c137329" TargetMode="External"/><Relationship Id="rId128" Type="http://schemas.openxmlformats.org/officeDocument/2006/relationships/hyperlink" Target="https://pow06.ctci.com.tw/PRJ/24A5600A/JVPartner/Correspondence/%E6%94%B6%E7%99%BC%E6%96%87/%E6%94%B6%E6%96%87/114%E5%B9%B4%E5%BA%A6/1141017_%E5%8C%97%E6%B0%B4%E5%88%86%E7%BD%B2_%E6%B0%B4%E5%8C%97%E5%A4%9A%E5%AD%97%E7%AC%AC11453113020%E8%99%9F(%E7%84%A1%E9%99%84%E4%BB%B6).pdf?d=wccb6ec1f09ed4b44b587bcb3dd57cab6" TargetMode="External"/><Relationship Id="rId149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5" Type="http://schemas.openxmlformats.org/officeDocument/2006/relationships/hyperlink" Target="https://pow06.ctci.com.tw/PRJ/24A5600A/JVPartner/Correspondence/%E6%94%B6%E7%99%BC%E6%96%87/%E6%94%B6%E6%96%87/114%E5%B9%B4%E5%BA%A6/1141017_%E5%8C%97%E6%B0%B4%E5%88%86%E7%BD%B2_%E6%B0%B4%E5%8C%97%E5%A4%9A%E5%AD%97%E7%AC%AC11453113030%E8%99%9F(%E7%84%A1%E9%99%84%E4%BB%B6).pdf?d=w8b15fee89859469f91d32b9df8eb5111" TargetMode="External"/><Relationship Id="rId95" Type="http://schemas.openxmlformats.org/officeDocument/2006/relationships/hyperlink" Target="https://pow06.ctci.com.tw/PRJ/24A5600A/JVPartner/Correspondence/%E6%94%B6%E7%99%BC%E6%96%87/%E6%94%B6%E6%96%87/1150316_%E8%89%BE%E5%A5%95%E5%BA%B7%E6%B0%B4%E5%AD%97%E7%AC%AC1150004999%E8%99%9F/%E8%89%BE%E5%A5%95%E5%BA%B7%E6%B0%B4%E5%AD%97%E7%AC%AC1150004999%E8%99%9F.pdf?d=wbf03f856cc1346e8b76d0eef0464a302" TargetMode="External"/><Relationship Id="rId160" Type="http://schemas.openxmlformats.org/officeDocument/2006/relationships/hyperlink" Target="https://pow06.ctci.com.tw/PRJ/24A5600A/JVPartner/Correspondence/%E6%94%B6%E7%99%BC%E6%96%87/%E6%94%B6%E6%96%87/1150316_%E8%89%BE%E5%A5%95%E5%BA%B7%E6%B0%B4%E5%AD%97%E7%AC%AC1150004999%E8%99%9F/%E8%89%BE%E5%A5%95%E5%BA%B7%E6%B0%B4%E5%AD%97%E7%AC%AC1150004999%E8%99%9F.pdf?d=wbf03f856cc1346e8b76d0eef0464a302" TargetMode="External"/><Relationship Id="rId181" Type="http://schemas.openxmlformats.org/officeDocument/2006/relationships/hyperlink" Target="https://pow06.ctci.com.tw/PRJ/24A5600A/JVPartner/Correspondence/%E6%94%B6%E7%99%BC%E6%96%87/%E7%99%BC%E6%96%87/114-380/%E9%BC%8E%E6%B0%B4%E8%B3%87%E5%AD%97%E7%AC%AC1140000380%E8%99%9F.pdf?d=wd920e555c5604b99969020074cbf4504" TargetMode="External"/><Relationship Id="rId216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22" Type="http://schemas.openxmlformats.org/officeDocument/2006/relationships/hyperlink" Target="https://pow06.ctci.com.tw/PRJ/24A5600A/JVPartner/Correspondence/%E6%94%B6%E7%99%BC%E6%96%87/%E6%94%B6%E6%96%87/1150223_%E8%89%BE%E5%A5%95%E5%BA%B7%E6%B0%B4%E5%AD%97%E7%AC%AC1150003031%E8%99%9F/%E8%89%BE%E5%A5%95%E5%BA%B7%E6%B0%B4%E5%AD%97%E7%AC%AC1150003031%E8%99%9F.pdf" TargetMode="External"/><Relationship Id="rId43" Type="http://schemas.openxmlformats.org/officeDocument/2006/relationships/hyperlink" Target="https://pow06.ctci.com.tw/PRJ/24A5600A/JVPartner/Correspondence/%E6%94%B6%E7%99%BC%E6%96%87/%E6%94%B6%E6%96%87/114%E5%B9%B4%E5%BA%A6/1140904_%E5%8C%97%E6%B0%B4%E5%88%86%E7%BD%B2_%E6%B0%B4%E5%8C%97%E5%A4%9A%E5%AD%97%E7%AC%AC11453095540%E8%99%9F(%E7%84%A1%E9%99%84%E4%BB%B6).pdf?d=w49a6c0c7e01c430dab24afe577bb12ce" TargetMode="External"/><Relationship Id="rId64" Type="http://schemas.openxmlformats.org/officeDocument/2006/relationships/hyperlink" Target="https://pow06.ctci.com.tw/PRJ/24A5600A/JVPartner/Correspondence/%E6%94%B6%E7%99%BC%E6%96%87/%E6%94%B6%E6%96%87/114%E5%B9%B4%E5%BA%A6/1141212_%E5%8C%97%E6%B0%B4%E5%88%86%E7%BD%B2_%E6%B0%B4%E5%8C%97%E5%A4%9A%E5%AD%97%E7%AC%AC11453136690%E8%99%9F(%E7%84%A1%E9%99%84%E4%BB%B6).pdf?d=w83c6365918654c03bfefb920b38a4971" TargetMode="External"/><Relationship Id="rId118" Type="http://schemas.openxmlformats.org/officeDocument/2006/relationships/hyperlink" Target="https://pow06.ctci.com.tw/PRJ/24A5600A/JVPartner/Correspondence/%E6%94%B6%E7%99%BC%E6%96%87/%E7%99%BC%E6%96%87/115-0120/%E9%BC%8E%E6%B0%B4%E8%B3%87%E5%AD%97%E7%AC%AC1150000120%E8%99%9F.pdf?d=wf59cf9908d634cb7843479e4a0d69573" TargetMode="External"/><Relationship Id="rId139" Type="http://schemas.openxmlformats.org/officeDocument/2006/relationships/hyperlink" Target="https://pow06.ctci.com.tw/PRJ/24A5600A/JVPartner/Correspondence/%E6%94%B6%E7%99%BC%E6%96%87/%E7%99%BC%E6%96%87/114-1542_%E9%8B%BC%E7%AD%8B%E5%BB%A0%E5%95%860A/%E9%BC%8E%E6%B0%B4%E8%B3%87%E5%AD%97%E7%AC%AC1140001542%E8%99%9F.pdf?d=w8a53d276eb6b47d4971acb0443fc7267" TargetMode="External"/><Relationship Id="rId85" Type="http://schemas.openxmlformats.org/officeDocument/2006/relationships/hyperlink" Target="https://pow06.ctci.com.tw/PRJ/24A5600A/JVPartner/Correspondence/%E6%94%B6%E7%99%BC%E6%96%87/%E6%94%B6%E6%96%87/1150126_%E8%89%BE%E5%A5%95%E5%BA%B7%E6%B0%B4%E5%AD%97%E7%AC%AC1150002915%E8%99%9F/%E8%89%BE%E5%A5%95%E5%BA%B7%E6%B0%B4%E5%AD%97%E7%AC%AC1150002915%E8%99%9F.pdf?d=w41238f6a516b4fddaf8ed24c362c1212" TargetMode="External"/><Relationship Id="rId150" Type="http://schemas.openxmlformats.org/officeDocument/2006/relationships/hyperlink" Target="https://pow06.ctci.com.tw/PRJ/24A5600A/JVPartner/Correspondence/%E6%94%B6%E7%99%BC%E6%96%87/%E7%99%BC%E6%96%87/115-0205/%E9%BC%8E%E6%B0%B4%E8%B3%87%E5%AD%97%E7%AC%AC1150000205%E8%99%9F.pdf?d=w4b9ed73eb0834dbfa52732f78af2d67c" TargetMode="External"/><Relationship Id="rId171" Type="http://schemas.openxmlformats.org/officeDocument/2006/relationships/hyperlink" Target="https://pow06.ctci.com.tw/PRJ/24A5600A/JVPartner/Correspondence/%E6%94%B6%E7%99%BC%E6%96%87/%E6%94%B6%E6%96%87/1150316_%E8%89%BE%E5%A5%95%E5%BA%B7%E6%B0%B4%E5%AD%97%E7%AC%AC1150005002%E8%99%9F/%E8%89%BE%E5%A5%95%E5%BA%B7%E6%B0%B4%E5%AD%97%E7%AC%AC1150005002%E8%99%9F.pdf?d=w7d31fa1b21554b27a20a3b9cae58f327" TargetMode="External"/><Relationship Id="rId192" Type="http://schemas.openxmlformats.org/officeDocument/2006/relationships/hyperlink" Target="https://pow06.ctci.com.tw/PRJ/24A5600A/JVPartner/Correspondence/%E6%94%B6%E7%99%BC%E6%96%87/%E7%99%BC%E6%96%87/114-464/%E9%BC%8E%E6%B0%B4%E8%B3%87%E5%AD%97%E7%AC%AC1140000464%E8%99%9F.pdf?d=w7105b4a671c34cc785a2c867e493f8a2" TargetMode="External"/><Relationship Id="rId206" Type="http://schemas.openxmlformats.org/officeDocument/2006/relationships/hyperlink" Target="https://pow06.ctci.com.tw/PRJ/24A5600A/JVPartner/Correspondence/%E6%94%B6%E7%99%BC%E6%96%87/%E6%94%B6%E6%96%87/114%E5%B9%B4%E5%BA%A6/1141205_AECOM_%E8%89%BE%E5%A5%95%E5%BA%B7%E6%B0%B4%E5%AD%97%E7%AC%AC1140033311%E8%99%9F/1141205_AECOM_%E8%89%BE%E5%A5%95%E5%BA%B7%E6%B0%B4%E5%AD%97%E7%AC%AC1140033311%E8%99%9F.pdf?d=w863d17cad8e74130be7bda4c7bd896a6" TargetMode="External"/><Relationship Id="rId227" Type="http://schemas.openxmlformats.org/officeDocument/2006/relationships/printerSettings" Target="../printerSettings/printerSettings3.bin"/><Relationship Id="rId12" Type="http://schemas.openxmlformats.org/officeDocument/2006/relationships/hyperlink" Target="https://pow06.ctci.com.tw/PRJ/24A5600A/JVPartner/Correspondence/%E6%94%B6%E7%99%BC%E6%96%87/%E6%94%B6%E6%96%87/114%E5%B9%B4%E5%BA%A6/1140522_%E5%8C%97%E6%B0%B4%E5%88%86%E7%BD%B2_%E6%B0%B4%E5%8C%97%E5%A4%9A%E5%AD%97%E7%AC%AC11453053790%E8%99%9F(%E7%84%A1%E9%99%84%E4%BB%B6).pdf?d=w9e9941b6da8441e280dfb2be08309034" TargetMode="External"/><Relationship Id="rId33" Type="http://schemas.openxmlformats.org/officeDocument/2006/relationships/hyperlink" Target="https://pow06.ctci.com.tw/PRJ/24A5600A/JVPartner/Correspondence/%E6%94%B6%E7%99%BC%E6%96%87/%E7%99%BC%E6%96%87/114-321_%E6%B7%B7%E5%87%9D%E2%BC%9F(%E5%9C%8B%E9%A0%86)/%E9%BC%8E%E6%B0%B4%E8%B3%87%E5%AD%97%E7%AC%AC1140000321%E8%99%9F.pdf?d=we4780fb0968f4a1b8de30b5063ec8620" TargetMode="External"/><Relationship Id="rId108" Type="http://schemas.openxmlformats.org/officeDocument/2006/relationships/hyperlink" Target="https://pow06.ctci.com.tw/PRJ/24A5600A/JVPartner/Correspondence/%E6%94%B6%E7%99%BC%E6%96%87/%E6%94%B6%E6%96%87/114%E5%B9%B4%E5%BA%A6/1140428_%E5%8C%97%E6%B0%B4%E5%88%86%E7%BD%B2_%E6%B0%B4%E5%8C%97%E5%A4%9A%E5%AD%97%E7%AC%AC11453040750%E8%99%9F(%E7%84%A1%E9%99%84%E4%BB%B6).pdf?d=w14ba328f57f346f58db13a5b4aa2ae34" TargetMode="External"/><Relationship Id="rId129" Type="http://schemas.openxmlformats.org/officeDocument/2006/relationships/hyperlink" Target="https://pow06.ctci.com.tw/PRJ/24A5600A/JVPartner/Correspondence/%E6%94%B6%E7%99%BC%E6%96%87/%E7%99%BC%E6%96%87/114-1038/%E9%BC%8E%E6%B0%B4%E8%B3%87%E5%AD%97%E7%AC%AC1140001038%E8%99%9F.pdf?d=waf04d1205a6d4ddb8b168f5c66556125" TargetMode="External"/><Relationship Id="rId54" Type="http://schemas.openxmlformats.org/officeDocument/2006/relationships/hyperlink" Target="https://pow06.ctci.com.tw/PRJ/24A5600A/JVPartner/Correspondence/%E6%94%B6%E7%99%BC%E6%96%87/%E6%94%B6%E6%96%87/1150129_%E6%B0%B4%E5%8C%97%E5%A4%9A%E5%AD%97%E7%AC%AC11522004950%E8%99%9F/%E6%B0%B4%E5%8C%97%E5%A4%9A%E5%AD%97%E7%AC%AC11522004950%E8%99%9F.pdf?d=w9bbe7746e6b047349e25861502728101" TargetMode="External"/><Relationship Id="rId75" Type="http://schemas.openxmlformats.org/officeDocument/2006/relationships/hyperlink" Target="https://pow06.ctci.com.tw/PRJ/24A5600A/JVPartner/Correspondence/%E6%94%B6%E7%99%BC%E6%96%87/%E7%99%BC%E6%96%87/115-0237/%E9%BC%8E%E6%B0%B4%E8%B3%87%E5%AD%97%E7%AC%AC1150000237%E8%99%9F.pdf?d=w599f739d785d415d9f4ec4b6505b507d" TargetMode="External"/><Relationship Id="rId96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140" Type="http://schemas.openxmlformats.org/officeDocument/2006/relationships/hyperlink" Target="https://pow06.ctci.com.tw/PRJ/24A5600A/JVPartner/Correspondence/%E6%94%B6%E7%99%BC%E6%96%87/%E6%94%B6%E6%96%87/1150203_%E6%B0%B4%E5%8C%97%E5%A4%9A%E5%AD%97%E7%AC%AC11522005540%E8%99%9F/%E6%B0%B4%E5%8C%97%E5%A4%9A%E5%AD%97%E7%AC%AC11522005540%E8%99%9F.pdf?d=wdb027541c08a48a4bdf7426df6398ad4" TargetMode="External"/><Relationship Id="rId161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182" Type="http://schemas.openxmlformats.org/officeDocument/2006/relationships/hyperlink" Target="https://pow06.ctci.com.tw/PRJ/24A5600A/JVPartner/Correspondence/%E6%94%B6%E7%99%BC%E6%96%87/%E6%94%B6%E6%96%87/114%E5%B9%B4%E5%BA%A6/1141022_%E5%8C%97%E6%B0%B4%E5%88%86%E7%BD%B2_%E6%B0%B4%E5%8C%97%E5%A4%9A%E5%AD%97%E7%AC%AC11453113390%E8%99%9F(%E7%84%A1%E9%99%84%E4%BB%B6).pdf?d=w65f1c6bb7ebd408b8f8bf4beec4ed23c" TargetMode="External"/><Relationship Id="rId217" Type="http://schemas.openxmlformats.org/officeDocument/2006/relationships/hyperlink" Target="https://pow06.ctci.com.tw/PRJ/24A5600A/JVPartner/Correspondence/%E6%94%B6%E7%99%BC%E6%96%87/%E7%99%BC%E6%96%87/114-464/%E9%BC%8E%E6%B0%B4%E8%B3%87%E5%AD%97%E7%AC%AC1140000464%E8%99%9F.pdf?d=w7105b4a671c34cc785a2c867e493f8a2" TargetMode="External"/><Relationship Id="rId6" Type="http://schemas.openxmlformats.org/officeDocument/2006/relationships/hyperlink" Target="https://pow06.ctci.com.tw/PRJ/24A5600A/JVPartner/Correspondence/%E6%94%B6%E7%99%BC%E6%96%87/%E7%99%BC%E6%96%87/114-808/%E9%BC%8E%E6%B0%B4%E8%B3%87%E5%AD%97%E7%AC%AC1140000808%E8%99%9F.pdf?d=w5de7a477527f49e9a38f6c6d4e2f1006" TargetMode="External"/><Relationship Id="rId23" Type="http://schemas.openxmlformats.org/officeDocument/2006/relationships/hyperlink" Target="https://pow06.ctci.com.tw/PRJ/24A5600A/JVPartner/Correspondence/%E6%94%B6%E7%99%BC%E6%96%87/%E6%94%B6%E6%96%87/114%E5%B9%B4%E5%BA%A6/1140909_AECOM_%E8%89%BE%E5%A5%95%E5%BA%B7%E6%B0%B4%E5%AD%97%E7%AC%AC1140025608%E8%99%9F(%E7%84%A1%E9%99%84%E4%BB%B6).pdf?d=wc5948aecd8154cc3a5f53389d929e889" TargetMode="External"/><Relationship Id="rId119" Type="http://schemas.openxmlformats.org/officeDocument/2006/relationships/hyperlink" Target="https://pow06.ctci.com.tw/PRJ/24A5600A/JVPartner/Correspondence/%E6%94%B6%E7%99%BC%E6%96%87/%E6%94%B6%E6%96%87/1150223_%E8%89%BE%E5%A5%95%E5%BA%B7%E6%B0%B4%E5%AD%97%E7%AC%AC1150003031%E8%99%9F/%E8%89%BE%E5%A5%95%E5%BA%B7%E6%B0%B4%E5%AD%97%E7%AC%AC1150003031%E8%99%9F.pdf" TargetMode="External"/><Relationship Id="rId44" Type="http://schemas.openxmlformats.org/officeDocument/2006/relationships/hyperlink" Target="https://pow06.ctci.com.tw/PRJ/24A5600A/JVPartner/Correspondence/%E6%94%B6%E7%99%BC%E6%96%87/%E7%99%BC%E6%96%87/114-807/%E9%BC%8E%E6%B0%B4%E8%B3%87%E5%AD%97%E7%AC%AC1140000807%E8%99%9F.pdf?d=w29c79f137321453caaebd79533a88422" TargetMode="External"/><Relationship Id="rId65" Type="http://schemas.openxmlformats.org/officeDocument/2006/relationships/hyperlink" Target="https://pow06.ctci.com.tw/PRJ/24A5600A/JVPartner/Correspondence/%E6%94%B6%E7%99%BC%E6%96%87/%E6%94%B6%E6%96%87/1150102_%E5%8C%97%E6%B0%B4%E5%88%86%E7%BD%B2_%E6%B0%B4%E5%8C%97%E5%A4%9A%E5%AD%97%E7%AC%AC11522000060%E8%99%9F/1150102_%E5%8C%97%E6%B0%B4%E5%88%86%E7%BD%B2_%E6%B0%B4%E5%8C%97%E5%A4%9A%E5%AD%97%E7%AC%AC11522000060%E8%99%9F.pdf?d=w551cd97c520d4c2e8b770888bff4fed9" TargetMode="External"/><Relationship Id="rId86" Type="http://schemas.openxmlformats.org/officeDocument/2006/relationships/hyperlink" Target="https://pow06.ctci.com.tw/PRJ/24A5600A/JVPartner/Correspondence/%E6%94%B6%E7%99%BC%E6%96%87/%E6%94%B6%E6%96%87/1150126_%E8%89%BE%E5%A5%95%E5%BA%B7%E6%B0%B4%E5%AD%97%E7%AC%AC1150002915%E8%99%9F/%E8%89%BE%E5%A5%95%E5%BA%B7%E6%B0%B4%E5%AD%97%E7%AC%AC1150002915%E8%99%9F.pdf?d=w41238f6a516b4fddaf8ed24c362c1212" TargetMode="External"/><Relationship Id="rId130" Type="http://schemas.openxmlformats.org/officeDocument/2006/relationships/hyperlink" Target="https://pow06.ctci.com.tw/PRJ/24A5600A/JVPartner/Correspondence/%E6%94%B6%E7%99%BC%E6%96%87/%E6%94%B6%E6%96%87/1150106_AECOM_%E8%89%BE%E5%A5%95%E5%BA%B7%E6%B0%B4%E5%AD%97%E7%AC%AC1140036516%E8%99%9F(%E7%84%A1%E9%99%84%E4%BB%B6).pdf?d=w9dfb5df567f44bbe817fdd5e5490b75f" TargetMode="External"/><Relationship Id="rId151" Type="http://schemas.openxmlformats.org/officeDocument/2006/relationships/hyperlink" Target="https://pow06.ctci.com.tw/PRJ/24A5600A/JVPartner/Correspondence/%E6%94%B6%E7%99%BC%E6%96%87/%E6%94%B6%E6%96%87/1150316_%E8%89%BE%E5%A5%95%E5%BA%B7%E6%B0%B4%E5%AD%97%E7%AC%AC1150005046%E8%99%9F/%E8%89%BE%E5%A5%95%E5%BA%B7%E6%B0%B4%E5%AD%97%E7%AC%AC1150005046%E8%99%9F.pdf?d=w56ad672c57454d0e97ad0b10d8c33238" TargetMode="External"/><Relationship Id="rId172" Type="http://schemas.openxmlformats.org/officeDocument/2006/relationships/hyperlink" Target="https://pow06.ctci.com.tw/PRJ/24A5600A/JVPartner/Correspondence/%E6%94%B6%E7%99%BC%E6%96%87/%E6%94%B6%E6%96%87/1150316_%E8%89%BE%E5%A5%95%E5%BA%B7%E6%B0%B4%E5%AD%97%E7%AC%AC1150005002%E8%99%9F/%E8%89%BE%E5%A5%95%E5%BA%B7%E6%B0%B4%E5%AD%97%E7%AC%AC1150005002%E8%99%9F.pdf?d=w7d31fa1b21554b27a20a3b9cae58f327" TargetMode="External"/><Relationship Id="rId193" Type="http://schemas.openxmlformats.org/officeDocument/2006/relationships/hyperlink" Target="https://pow06.ctci.com.tw/PRJ/24A5600A/JVPartner/Correspondence/%E6%94%B6%E7%99%BC%E6%96%87/%E7%99%BC%E6%96%87/114-1053/%E9%BC%8E%E6%B0%B4%E8%B3%87%E5%AD%97%E7%AC%AC1140001053%E8%99%9F.pdf?d=w1f062d43bebf403684690cb136fc926d" TargetMode="External"/><Relationship Id="rId207" Type="http://schemas.openxmlformats.org/officeDocument/2006/relationships/hyperlink" Target="https://pow06.ctci.com.tw/PRJ/24A5600A/JVPartner/Correspondence/%E6%94%B6%E7%99%BC%E6%96%87/%E6%94%B6%E6%96%87/114%E5%B9%B4%E5%BA%A6/1141231_%E5%8C%97%E6%B0%B4%E5%88%86%E7%BD%B2_%E6%B0%B4%E5%8C%97%E5%A4%9A%E5%AD%97%E7%AC%AC11422046940%E8%99%9F(%E7%84%A1%E9%99%84%E4%BB%B6).pdf?d=wbedfbd869fc7432ebb95e7b92de23505" TargetMode="External"/><Relationship Id="rId13" Type="http://schemas.openxmlformats.org/officeDocument/2006/relationships/hyperlink" Target="https://pow06.ctci.com.tw/PRJ/24A5600A/JVPartner/Correspondence/%E6%94%B6%E7%99%BC%E6%96%87/%E6%94%B6%E6%96%87/114%E5%B9%B4%E5%BA%A6/1140624_%E5%8C%97%E6%B0%B4%E5%88%86%E7%BD%B2_%E6%B0%B4%E5%8C%97%E5%A4%9A%E5%AD%97%E7%AC%AC11453064050%E8%99%9F(%E7%84%A1%E9%99%84%E4%BB%B6).pdf?d=w3dca42a4074c48c9a478e7bbcdd08f0d" TargetMode="External"/><Relationship Id="rId109" Type="http://schemas.openxmlformats.org/officeDocument/2006/relationships/hyperlink" Target="https://pow06.ctci.com.tw/PRJ/24A5600A/JVPartner/Correspondence/%E6%94%B6%E7%99%BC%E6%96%87/%E7%99%BC%E6%96%87/114-320_%E9%8B%BC%E7%AD%8B(%E7%9B%8A%E8%81%AF)/%E9%BC%8E%E6%B0%B4%E8%B3%87%E5%AD%97%E7%AC%AC1140000320%E8%99%9F.pdf?d=wfdb90256c54645b8b737549fdcfd095d" TargetMode="External"/><Relationship Id="rId34" Type="http://schemas.openxmlformats.org/officeDocument/2006/relationships/hyperlink" Target="https://pow06.ctci.com.tw/PRJ/24A5600A/JVPartner/Correspondence/%E6%94%B6%E7%99%BC%E6%96%87/%E7%99%BC%E6%96%87/114-380/%E9%BC%8E%E6%B0%B4%E8%B3%87%E5%AD%97%E7%AC%AC1140000380%E8%99%9F.pdf?d=wd920e555c5604b99969020074cbf4504" TargetMode="External"/><Relationship Id="rId55" Type="http://schemas.openxmlformats.org/officeDocument/2006/relationships/hyperlink" Target="https://pow06.ctci.com.tw/PRJ/24A5600A/JVPartner/Correspondence/%E6%94%B6%E7%99%BC%E6%96%87/%E6%94%B6%E6%96%87/114%E5%B9%B4%E5%BA%A6/1141205_AECOM_%E8%89%BE%E5%A5%95%E5%BA%B7%E6%B0%B4%E5%AD%97%E7%AC%AC1140033311%E8%99%9F/1141205_AECOM_%E8%89%BE%E5%A5%95%E5%BA%B7%E6%B0%B4%E5%AD%97%E7%AC%AC1140033311%E8%99%9F.pdf?d=w863d17cad8e74130be7bda4c7bd896a6" TargetMode="External"/><Relationship Id="rId76" Type="http://schemas.openxmlformats.org/officeDocument/2006/relationships/hyperlink" Target="https://pow06.ctci.com.tw/PRJ/24A5600A/JVPartner/Correspondence/%E6%94%B6%E7%99%BC%E6%96%87/%E6%94%B6%E6%96%87/1150210_%E8%89%BE%E5%A5%95%E5%BA%B7%E6%B0%B4%E5%AD%97%E7%AC%AC1150003228%E8%99%9F/%E8%89%BE%E5%A5%95%E5%BA%B7%E6%B0%B4%E5%AD%97%E7%AC%AC1150003228%E8%99%9F.pdf?d=wd73a44397ac94800bac3637889aae961" TargetMode="External"/><Relationship Id="rId97" Type="http://schemas.openxmlformats.org/officeDocument/2006/relationships/hyperlink" Target="https://pow06.ctci.com.tw/PRJ/24A5600A/JVPartner/Correspondence/%E6%94%B6%E7%99%BC%E6%96%87/%E7%99%BC%E6%96%87/115-0208/%E9%BC%8E%E6%B0%B4%E8%B3%87%E5%AD%97%E7%AC%AC1150000208%E8%99%9F.pdf?d=w8aa80e61ed084b6689a46b328025e927" TargetMode="External"/><Relationship Id="rId120" Type="http://schemas.openxmlformats.org/officeDocument/2006/relationships/hyperlink" Target="https://pow06.ctci.com.tw/PRJ/24A5600A/JVPartner/Correspondence/%E6%94%B6%E7%99%BC%E6%96%87/%E6%94%B6%E6%96%87/114%E5%B9%B4%E5%BA%A6/1140624_%E5%8C%97%E6%B0%B4%E5%88%86%E7%BD%B2_%E6%B0%B4%E5%8C%97%E5%A4%9A%E5%AD%97%E7%AC%AC11453064050%E8%99%9F(%E7%84%A1%E9%99%84%E4%BB%B6).pdf?d=w3dca42a4074c48c9a478e7bbcdd08f0d" TargetMode="External"/><Relationship Id="rId141" Type="http://schemas.openxmlformats.org/officeDocument/2006/relationships/hyperlink" Target="https://pow06.ctci.com.tw/PRJ/24A5600A/JVPartner/Correspondence/%E6%94%B6%E7%99%BC%E6%96%87/%E7%99%BC%E6%96%87/115-0194/%E9%BC%8E%E6%B0%B4%E8%B3%87%E5%AD%97%E7%AC%AC1150000194%E8%99%9F.pdf?d=w2d018ceb38414daa87595787edde29f6" TargetMode="External"/><Relationship Id="rId7" Type="http://schemas.openxmlformats.org/officeDocument/2006/relationships/hyperlink" Target="https://pow06.ctci.com.tw/PRJ/24A5600A/JVPartner/Correspondence/%E6%94%B6%E7%99%BC%E6%96%87/%E7%99%BC%E6%96%87/114-911/%E9%BC%8E%E6%B0%B4%E8%B3%87%E5%AD%97%E7%AC%AC1140000911%E8%99%9F.pdf?d=wcff1763534d94eb59a116ba8ebc4d0f0" TargetMode="External"/><Relationship Id="rId162" Type="http://schemas.openxmlformats.org/officeDocument/2006/relationships/hyperlink" Target="https://pow06.ctci.com.tw/PRJ/24A5600A/JVPartner/Correspondence/%E6%94%B6%E7%99%BC%E6%96%87/%E7%99%BC%E6%96%87/115-0208/%E9%BC%8E%E6%B0%B4%E8%B3%87%E5%AD%97%E7%AC%AC1150000208%E8%99%9F.pdf?d=w8aa80e61ed084b6689a46b328025e927" TargetMode="External"/><Relationship Id="rId183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218" Type="http://schemas.openxmlformats.org/officeDocument/2006/relationships/hyperlink" Target="https://pow06.ctci.com.tw/PRJ/24A5600A/JVPartner/Correspondence/%E6%94%B6%E7%99%BC%E6%96%87/%E7%99%BC%E6%96%87/114-1053/%E9%BC%8E%E6%B0%B4%E8%B3%87%E5%AD%97%E7%AC%AC1140001053%E8%99%9F.pdf?d=w1f062d43bebf403684690cb136fc926d" TargetMode="External"/><Relationship Id="rId24" Type="http://schemas.openxmlformats.org/officeDocument/2006/relationships/hyperlink" Target="https://pow06.ctci.com.tw/PRJ/24A5600A/JVPartner/Correspondence/%E6%94%B6%E7%99%BC%E6%96%87/%E6%94%B6%E6%96%87/114%E5%B9%B4%E5%BA%A6/1141001_%E5%8C%97%E6%B0%B4%E5%88%86%E7%BD%B2_%E6%B0%B4%E5%8C%97%E5%A4%9A%E5%AD%97%E7%AC%AC11422032930%E8%99%9F(%E5%90%AB%E9%99%84%E4%BB%B6CV).pdf?d=w04225acd5efc454685af779dd42d9c1b" TargetMode="External"/><Relationship Id="rId45" Type="http://schemas.openxmlformats.org/officeDocument/2006/relationships/hyperlink" Target="https://pow06.ctci.com.tw/PRJ/24A5600A/JVPartner/Correspondence/%E6%94%B6%E7%99%BC%E6%96%87/%E6%94%B6%E6%96%87/114%E5%B9%B4%E5%BA%A6/1141113_%E5%8C%97%E6%B0%B4%E5%88%86%E7%BD%B2_%E6%B0%B4%E5%8C%97%E5%A4%9A%E5%AD%97%E7%AC%AC11453121800%E8%99%9F/1141113_%E5%8C%97%E6%B0%B4%E5%88%86%E7%BD%B2_%E6%B0%B4%E5%8C%97%E5%A4%9A%E5%AD%97%E7%AC%AC11453121800%E8%99%9F.pdf?d=we398d014f64e43dea4f0ceee7ea48504" TargetMode="External"/><Relationship Id="rId66" Type="http://schemas.openxmlformats.org/officeDocument/2006/relationships/hyperlink" Target="https://pow06.ctci.com.tw/PRJ/24A5600A/JVPartner/Correspondence/%E6%94%B6%E7%99%BC%E6%96%87/%E7%99%BC%E6%96%87/114-1571/%E9%BC%8E%E6%B0%B4%E8%B3%87%E5%AD%97%E7%AC%AC1140001571%E8%99%9F.pdf?d=w76ac9048ec474a159726be084eacc73b" TargetMode="External"/><Relationship Id="rId87" Type="http://schemas.openxmlformats.org/officeDocument/2006/relationships/hyperlink" Target="https://pow06.ctci.com.tw/PRJ/24A5600A/JVPartner/Correspondence/%E6%94%B6%E7%99%BC%E6%96%87/%E7%99%BC%E6%96%87/115-0031/%E9%BC%8E%E6%B0%B4%E8%B3%87%E5%AD%97%E7%AC%AC1150000031%E8%99%9F.pdf?d=we78c3ad2ac3a44a58fc51d6afa1b7af3" TargetMode="External"/><Relationship Id="rId110" Type="http://schemas.openxmlformats.org/officeDocument/2006/relationships/hyperlink" Target="https://pow06.ctci.com.tw/PRJ/24A5600A/JVPartner/Correspondence/%E6%94%B6%E7%99%BC%E6%96%87/%E6%94%B6%E6%96%87/114%E5%B9%B4%E5%BA%A6/1140428_%E5%8C%97%E6%B0%B4%E5%88%86%E7%BD%B2_%E6%B0%B4%E5%8C%97%E5%A4%9A%E5%AD%97%E7%AC%AC11453040750%E8%99%9F(%E7%84%A1%E9%99%84%E4%BB%B6).pdf?d=w14ba328f57f346f58db13a5b4aa2ae34" TargetMode="External"/><Relationship Id="rId131" Type="http://schemas.openxmlformats.org/officeDocument/2006/relationships/hyperlink" Target="https://pow06.ctci.com.tw/PRJ/24A5600A/JVPartner/Correspondence/%E6%94%B6%E7%99%BC%E6%96%87/%E7%99%BC%E6%96%87/114-1542_%E9%8B%BC%E7%AD%8B%E5%BB%A0%E5%95%860A/%E9%BC%8E%E6%B0%B4%E8%B3%87%E5%AD%97%E7%AC%AC1140001542%E8%99%9F.pdf?d=w8a53d276eb6b47d4971acb0443fc7267" TargetMode="External"/><Relationship Id="rId152" Type="http://schemas.openxmlformats.org/officeDocument/2006/relationships/hyperlink" Target="https://pow06.ctci.com.tw/PRJ/24A5600A/JVPartner/Correspondence/%E6%94%B6%E7%99%BC%E6%96%87/%E6%94%B6%E6%96%87/1150316_%E8%89%BE%E5%A5%95%E5%BA%B7%E6%B0%B4%E5%AD%97%E7%AC%AC1150005046%E8%99%9F/%E8%89%BE%E5%A5%95%E5%BA%B7%E6%B0%B4%E5%AD%97%E7%AC%AC1150005046%E8%99%9F.pdf?d=w56ad672c57454d0e97ad0b10d8c33238" TargetMode="External"/><Relationship Id="rId173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194" Type="http://schemas.openxmlformats.org/officeDocument/2006/relationships/hyperlink" Target="https://pow06.ctci.com.tw/PRJ/24A5600A/JVPartner/Correspondence/%E6%94%B6%E7%99%BC%E6%96%87/%E6%94%B6%E6%96%87/114%E5%B9%B4%E5%BA%A6/1141023_%E5%8C%97%E6%B0%B4%E5%88%86%E7%BD%B2_%E6%B0%B4%E5%8C%97%E5%A4%9A%E5%AD%97%E7%AC%AC11453113400%E8%99%9F(%E7%84%A1%E9%99%84%E4%BB%B6).pdf?d=w780a82b7bde449398f78d8763244e47b" TargetMode="External"/><Relationship Id="rId208" Type="http://schemas.openxmlformats.org/officeDocument/2006/relationships/hyperlink" Target="https://pow06.ctci.com.tw/PRJ/24A5600A/JVPartner/Correspondence/%E6%94%B6%E7%99%BC%E6%96%87/%E7%99%BC%E6%96%87/114-1371_%E6%8E%A7%E5%88%B6%E6%80%A7%E4%BD%8E%E5%BC%B7%E5%BA%A6%E5%9B%9E%E5%A1%AB%E6%9D%90%E6%96%99%E9%80%81%E5%AF%A9/%E9%BC%8E%E6%B0%B4%E8%B3%87%E5%AD%97%E7%AC%AC1140001371%E8%99%9F.pdf?d=wc914925e9c68413bbf077b71959adb0c" TargetMode="External"/><Relationship Id="rId14" Type="http://schemas.openxmlformats.org/officeDocument/2006/relationships/hyperlink" Target="https://pow06.ctci.com.tw/PRJ/24A5600A/JVPartner/Correspondence/%E6%94%B6%E7%99%BC%E6%96%87/%E7%99%BC%E6%96%87/114-305_%E9%8B%BC%E7%AD%8B(%E5%8D%9A%E5%A4%A7)%E6%9D%90%E6%96%99%E9%80%81%E5%AF%A9/%E9%BC%8E%E6%B0%B4%E8%B3%87%E5%AD%97%E7%AC%AC1140000305%E8%99%9F.pdf?d=wb4fa09cbc25d46c9bbf36b53e29b8d8a" TargetMode="External"/><Relationship Id="rId35" Type="http://schemas.openxmlformats.org/officeDocument/2006/relationships/hyperlink" Target="https://pow06.ctci.com.tw/PRJ/24A5600A/JVPartner/Correspondence/%E6%94%B6%E7%99%BC%E6%96%87/%E7%99%BC%E6%96%87/114-464/%E9%BC%8E%E6%B0%B4%E8%B3%87%E5%AD%97%E7%AC%AC1140000464%E8%99%9F.pdf?d=w7105b4a671c34cc785a2c867e493f8a2" TargetMode="External"/><Relationship Id="rId56" Type="http://schemas.openxmlformats.org/officeDocument/2006/relationships/hyperlink" Target="https://pow06.ctci.com.tw/PRJ/24A5600A/JVPartner/Correspondence/%E6%94%B6%E7%99%BC%E6%96%87/%E6%94%B6%E6%96%87/114%E5%B9%B4%E5%BA%A6/1141231_%E5%8C%97%E6%B0%B4%E5%88%86%E7%BD%B2_%E6%B0%B4%E5%8C%97%E5%A4%9A%E5%AD%97%E7%AC%AC11422046940%E8%99%9F(%E7%84%A1%E9%99%84%E4%BB%B6).pdf?d=wbedfbd869fc7432ebb95e7b92de23505" TargetMode="External"/><Relationship Id="rId77" Type="http://schemas.openxmlformats.org/officeDocument/2006/relationships/hyperlink" Target="https://pow06.ctci.com.tw/PRJ/24A5600A/JVPartner/Correspondence/%E6%94%B6%E7%99%BC%E6%96%87/%E6%94%B6%E6%96%87/114%E5%B9%B4%E5%BA%A6/1141218_AECOM_%E8%89%BE%E5%A5%95%E5%BA%B7%E6%B0%B4%E5%AD%97%E7%AC%AC1140034455%E8%99%9F(%E7%84%A1%E9%99%84%E4%BB%B6).pdf?d=w7c022cc65e8e4592a19c26d5ff5d89e4" TargetMode="External"/><Relationship Id="rId100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8" Type="http://schemas.openxmlformats.org/officeDocument/2006/relationships/hyperlink" Target="https://pow06.ctci.com.tw/PRJ/24A5600A/JVPartner/Correspondence/%E6%94%B6%E7%99%BC%E6%96%87/%E7%99%BC%E6%96%87/114-911/%E9%BC%8E%E6%B0%B4%E8%B3%87%E5%AD%97%E7%AC%AC1140000911%E8%99%9F.pdf?d=wcff1763534d94eb59a116ba8ebc4d0f0" TargetMode="External"/><Relationship Id="rId98" Type="http://schemas.openxmlformats.org/officeDocument/2006/relationships/hyperlink" Target="https://pow06.ctci.com.tw/PRJ/24A5600A/JVPartner/Correspondence/%E6%94%B6%E7%99%BC%E6%96%87/%E6%94%B6%E6%96%87/1150316_%E8%89%BE%E5%A5%95%E5%BA%B7%E6%B0%B4%E5%AD%97%E7%AC%AC1150005002%E8%99%9F/%E8%89%BE%E5%A5%95%E5%BA%B7%E6%B0%B4%E5%AD%97%E7%AC%AC1150005002%E8%99%9F.pdf?d=w7d31fa1b21554b27a20a3b9cae58f327" TargetMode="External"/><Relationship Id="rId121" Type="http://schemas.openxmlformats.org/officeDocument/2006/relationships/hyperlink" Target="https://pow06.ctci.com.tw/PRJ/24A5600A/JVPartner/Correspondence/%E6%94%B6%E7%99%BC%E6%96%87/%E7%99%BC%E6%96%87/114-538/%E9%BC%8E%E6%B0%B4%E8%B3%87%E5%AD%97%E7%AC%AC1140000538%E8%99%9F.pdf?d=w475565e2e3054711843cfb94581a7c00" TargetMode="External"/><Relationship Id="rId142" Type="http://schemas.openxmlformats.org/officeDocument/2006/relationships/hyperlink" Target="https://pow06.ctci.com.tw/PRJ/24A5600A/JVPartner/Correspondence/%E6%94%B6%E7%99%BC%E6%96%87/%E7%99%BC%E6%96%87/115-0205/%E9%BC%8E%E6%B0%B4%E8%B3%87%E5%AD%97%E7%AC%AC1150000205%E8%99%9F.pdf?d=w4b9ed73eb0834dbfa52732f78af2d67c" TargetMode="External"/><Relationship Id="rId163" Type="http://schemas.openxmlformats.org/officeDocument/2006/relationships/hyperlink" Target="https://pow06.ctci.com.tw/PRJ/24A5600A/JVPartner/Correspondence/%E6%94%B6%E7%99%BC%E6%96%87/%E6%94%B6%E6%96%87/1150316_%E8%89%BE%E5%A5%95%E5%BA%B7%E6%B0%B4%E5%AD%97%E7%AC%AC1150005002%E8%99%9F/%E8%89%BE%E5%A5%95%E5%BA%B7%E6%B0%B4%E5%AD%97%E7%AC%AC1150005002%E8%99%9F.pdf?d=w7d31fa1b21554b27a20a3b9cae58f327" TargetMode="External"/><Relationship Id="rId184" Type="http://schemas.openxmlformats.org/officeDocument/2006/relationships/hyperlink" Target="https://pow06.ctci.com.tw/PRJ/24A5600A/JVPartner/Correspondence/%E6%94%B6%E7%99%BC%E6%96%87/%E7%99%BC%E6%96%87/114-464/%E9%BC%8E%E6%B0%B4%E8%B3%87%E5%AD%97%E7%AC%AC1140000464%E8%99%9F.pdf?d=w7105b4a671c34cc785a2c867e493f8a2" TargetMode="External"/><Relationship Id="rId219" Type="http://schemas.openxmlformats.org/officeDocument/2006/relationships/hyperlink" Target="https://pow06.ctci.com.tw/PRJ/24A5600A/JVPartner/Correspondence/%E6%94%B6%E7%99%BC%E6%96%87/%E6%94%B6%E6%96%87/114%E5%B9%B4%E5%BA%A6/1141023_%E5%8C%97%E6%B0%B4%E5%88%86%E7%BD%B2_%E6%B0%B4%E5%8C%97%E5%A4%9A%E5%AD%97%E7%AC%AC11453113400%E8%99%9F(%E7%84%A1%E9%99%84%E4%BB%B6).pdf?d=w780a82b7bde449398f78d8763244e47b" TargetMode="External"/><Relationship Id="rId3" Type="http://schemas.openxmlformats.org/officeDocument/2006/relationships/hyperlink" Target="https://pow06.ctci.com.tw/PRJ/24A5600A/JVPartner/Correspondence/%E6%94%B6%E7%99%BC%E6%96%87/%E6%94%B6%E6%96%87/114%E5%B9%B4%E5%BA%A6/1140829_AECOM_%E8%89%BE%E5%A5%95%E5%BA%B7%E6%B0%B4%E5%AD%97%E7%AC%AC1140024577%E8%99%9F(%E7%84%A1%E9%99%84%E4%BB%B6).pdf?d=wa1e29fd9e419410b98c8633d810d6ac2" TargetMode="External"/><Relationship Id="rId214" Type="http://schemas.openxmlformats.org/officeDocument/2006/relationships/hyperlink" Target="https://pow06.ctci.com.tw/PRJ/24A5600A/JVPartner/Correspondence/%E6%94%B6%E7%99%BC%E6%96%87/%E7%99%BC%E6%96%87/114-1053/%E9%BC%8E%E6%B0%B4%E8%B3%87%E5%AD%97%E7%AC%AC1140001053%E8%99%9F.pdf?d=w1f062d43bebf403684690cb136fc926d" TargetMode="External"/><Relationship Id="rId25" Type="http://schemas.openxmlformats.org/officeDocument/2006/relationships/hyperlink" Target="https://pow06.ctci.com.tw/PRJ/24A5600A/JVPartner/Correspondence/%E6%94%B6%E7%99%BC%E6%96%87/%E7%99%BC%E6%96%87/114-865/%E9%BC%8E%E6%B0%B4%E8%B3%87%E5%AD%97%E7%AC%AC1140000865%E8%99%9F.pdf?d=w0457a8a7583d49889c9dd4aeaf55ee55" TargetMode="External"/><Relationship Id="rId46" Type="http://schemas.openxmlformats.org/officeDocument/2006/relationships/hyperlink" Target="https://pow06.ctci.com.tw/PRJ/24A5600A/JVPartner/Correspondence/%E6%94%B6%E7%99%BC%E6%96%87/%E7%99%BC%E6%96%87/114-1194_%E6%B7%B7%E5%87%9D%E5%9C%9F%E9%A4%8A%E8%AD%B7%E5%8A%91/%E9%BC%8E%E6%B0%B4%E8%B3%87%E5%AD%97%E7%AC%AC1140001194%E8%99%9F.pdf?d=wa0f1792a69af40d9b34d23dd356553b6" TargetMode="External"/><Relationship Id="rId67" Type="http://schemas.openxmlformats.org/officeDocument/2006/relationships/hyperlink" Target="https://pow06.ctci.com.tw/PRJ/24A5600A/JVPartner/Correspondence/%E6%94%B6%E7%99%BC%E6%96%87/%E6%94%B6%E6%96%87/114%E5%B9%B4%E5%BA%A6/1141209_AECOM_%E8%89%BE%E5%A5%95%E5%BA%B7%E6%B0%B4%E5%AD%97%E7%AC%AC1140033197%E8%99%9F(%E7%84%A1%E9%99%84%E4%BB%B6).pdf?d=w9e950879b02941e9ba1ecc88316f8e99" TargetMode="External"/><Relationship Id="rId116" Type="http://schemas.openxmlformats.org/officeDocument/2006/relationships/hyperlink" Target="https://pow06.ctci.com.tw/PRJ/24A5600A/JVPartner/Correspondence/%E6%94%B6%E7%99%BC%E6%96%87/%E6%94%B6%E6%96%87/114%E5%B9%B4%E5%BA%A6/1140624_%E5%8C%97%E6%B0%B4%E5%88%86%E7%BD%B2_%E6%B0%B4%E5%8C%97%E5%A4%9A%E5%AD%97%E7%AC%AC11453064050%E8%99%9F(%E7%84%A1%E9%99%84%E4%BB%B6).pdf?d=w3dca42a4074c48c9a478e7bbcdd08f0d" TargetMode="External"/><Relationship Id="rId137" Type="http://schemas.openxmlformats.org/officeDocument/2006/relationships/hyperlink" Target="https://pow06.ctci.com.tw/PRJ/24A5600A/JVPartner/Correspondence/%E6%94%B6%E7%99%BC%E6%96%87/%E7%99%BC%E6%96%87/115-0194/%E9%BC%8E%E6%B0%B4%E8%B3%87%E5%AD%97%E7%AC%AC1150000194%E8%99%9F.pdf?d=w2d018ceb38414daa87595787edde29f6" TargetMode="External"/><Relationship Id="rId158" Type="http://schemas.openxmlformats.org/officeDocument/2006/relationships/hyperlink" Target="https://pow06.ctci.com.tw/PRJ/24A5600A/JVPartner/Correspondence/%E6%94%B6%E7%99%BC%E6%96%87/%E7%99%BC%E6%96%87/115-0207/%E9%BC%8E%E6%B0%B4%E8%B3%87%E5%AD%97%E7%AC%AC1150000207%E8%99%9F.pdf?d=wdd656c2d9a1e4ae09039bafaae8c1a70" TargetMode="External"/><Relationship Id="rId20" Type="http://schemas.openxmlformats.org/officeDocument/2006/relationships/hyperlink" Target="https://pow06.ctci.com.tw/PRJ/24A5600A/JVPartner/Correspondence/%E6%94%B6%E7%99%BC%E6%96%87/%E6%94%B6%E6%96%87/1150203_%E6%B0%B4%E5%8C%97%E5%A4%9A%E5%AD%97%E7%AC%AC11522005540%E8%99%9F/%E6%B0%B4%E5%8C%97%E5%A4%9A%E5%AD%97%E7%AC%AC11522005540%E8%99%9F.pdf?d=wdb027541c08a48a4bdf7426df6398ad4" TargetMode="External"/><Relationship Id="rId41" Type="http://schemas.openxmlformats.org/officeDocument/2006/relationships/hyperlink" Target="https://pow06.ctci.com.tw/PRJ/24A5600A/JVPartner/Correspondence/%E6%94%B6%E7%99%BC%E6%96%87/%E6%94%B6%E6%96%87/114%E5%B9%B4%E5%BA%A6/1140507_%E5%8C%97%E6%B0%B4%E5%88%86%E7%BD%B2_%E6%B0%B4%E5%8C%97%E5%A4%9A%E5%AD%97%E7%AC%AC11453046490%E8%99%9F/1140507_%E5%8C%97%E6%B0%B4%E5%88%86%E7%BD%B2_%E6%B0%B4%E5%8C%97%E5%A4%9A%E5%AD%97%E7%AC%AC11453046490%E8%99%9F.pdf?d=w21ed77a7d16e4f39b7aec161235348d3" TargetMode="External"/><Relationship Id="rId62" Type="http://schemas.openxmlformats.org/officeDocument/2006/relationships/hyperlink" Target="https://pow06.ctci.com.tw/PRJ/24A5600A/JVPartner/Correspondence/%E6%94%B6%E7%99%BC%E6%96%87/%E6%94%B6%E6%96%87/114%E5%B9%B4%E5%BA%A6/1141124_%E5%8C%97%E6%B0%B4%E5%88%86%E7%BD%B2_%E6%B0%B4%E5%8C%97%E5%A4%9A%E5%AD%97%E7%AC%AC11453128480%E8%99%9F(%E7%84%A1%E9%99%84%E4%BB%B6).pdf?d=wfaec352ebe4440d5a872bdb1d4af21d8" TargetMode="External"/><Relationship Id="rId83" Type="http://schemas.openxmlformats.org/officeDocument/2006/relationships/hyperlink" Target="https://pow06.ctci.com.tw/PRJ/24A5600A/JVPartner/Correspondence/%E6%94%B6%E7%99%BC%E6%96%87/%E6%94%B6%E6%96%87/114%E5%B9%B4%E5%BA%A6/1141212_%E5%8C%97%E6%B0%B4%E5%88%86%E7%BD%B2_%E6%B0%B4%E5%8C%97%E5%A4%9A%E5%AD%97%E7%AC%AC11453136660%E8%99%9F(%E7%84%A1%E9%99%84%E4%BB%B6).pdf?d=w82dd745ee2464c118ca61aa9c2e818d5" TargetMode="External"/><Relationship Id="rId88" Type="http://schemas.openxmlformats.org/officeDocument/2006/relationships/hyperlink" Target="https://pow06.ctci.com.tw/PRJ/24A5600A/JVPartner/Correspondence/%E6%94%B6%E7%99%BC%E6%96%87/%E6%94%B6%E6%96%87/1150129_%E6%B0%B4%E5%8C%97%E5%A4%9A%E5%AD%97%E7%AC%AC11522004950%E8%99%9F/%E6%B0%B4%E5%8C%97%E5%A4%9A%E5%AD%97%E7%AC%AC11522004950%E8%99%9F.pdf?d=w9bbe7746e6b047349e25861502728101" TargetMode="External"/><Relationship Id="rId111" Type="http://schemas.openxmlformats.org/officeDocument/2006/relationships/hyperlink" Target="https://pow06.ctci.com.tw/PRJ/24A5600A/JVPartner/Correspondence/%E6%94%B6%E7%99%BC%E6%96%87/%E7%99%BC%E6%96%87/114-320_%E9%8B%BC%E7%AD%8B(%E7%9B%8A%E8%81%AF)/%E9%BC%8E%E6%B0%B4%E8%B3%87%E5%AD%97%E7%AC%AC1140000320%E8%99%9F.pdf?d=wfdb90256c54645b8b737549fdcfd095d" TargetMode="External"/><Relationship Id="rId132" Type="http://schemas.openxmlformats.org/officeDocument/2006/relationships/hyperlink" Target="https://pow06.ctci.com.tw/PRJ/24A5600A/JVPartner/Correspondence/%E6%94%B6%E7%99%BC%E6%96%87/%E6%94%B6%E6%96%87/1150203_%E6%B0%B4%E5%8C%97%E5%A4%9A%E5%AD%97%E7%AC%AC11522005540%E8%99%9F/%E6%B0%B4%E5%8C%97%E5%A4%9A%E5%AD%97%E7%AC%AC11522005540%E8%99%9F.pdf?d=wdb027541c08a48a4bdf7426df6398ad4" TargetMode="External"/><Relationship Id="rId153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174" Type="http://schemas.openxmlformats.org/officeDocument/2006/relationships/hyperlink" Target="https://pow06.ctci.com.tw/PRJ/24A5600A/JVPartner/Correspondence/%E6%94%B6%E7%99%BC%E6%96%87/%E6%94%B6%E6%96%87/114%E5%B9%B4%E5%BA%A6/1140421_AECOM_%E8%89%BE%E5%A5%95%E5%BA%B7%E6%B0%B4%E5%AD%97%E7%AC%AC1140012509%E8%99%9F/1140421_AECOM_%E8%89%BE%E5%A5%95%E5%BA%B7%E6%B0%B4%E5%AD%97%E7%AC%AC1140012509%E8%99%9F.pdf?d=w0d8e44140923460eab3ee0a5f2af6d50" TargetMode="External"/><Relationship Id="rId179" Type="http://schemas.openxmlformats.org/officeDocument/2006/relationships/hyperlink" Target="https://pow06.ctci.com.tw/PRJ/24A5600A/JVPartner/Correspondence/%E6%94%B6%E7%99%BC%E6%96%87/%E6%94%B6%E6%96%87/114%E5%B9%B4%E5%BA%A6/1140520_%E5%8C%97%E6%B0%B4%E5%88%86%E7%BD%B2_%E6%B0%B4%E5%8C%97%E5%A4%9A%E5%AD%97%E7%AC%AC11453049930%E8%99%9F(%E7%84%A1%E9%99%84%E4%BB%B6).pdf?d=w8304eed2426e47c7ae70b9e074456301" TargetMode="External"/><Relationship Id="rId195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209" Type="http://schemas.openxmlformats.org/officeDocument/2006/relationships/hyperlink" Target="https://pow06.ctci.com.tw/PRJ/24A5600A/JVPartner/Correspondence/%E6%94%B6%E7%99%BC%E6%96%87/%E7%99%BC%E6%96%87/114-1463/%E9%BC%8E%E6%B0%B4%E8%B3%87%E5%AD%97%E7%AC%AC1140001463%E8%99%9F.pdf?d=w3053a4c824844a6bbe5d7be4d9fdbca6" TargetMode="External"/><Relationship Id="rId190" Type="http://schemas.openxmlformats.org/officeDocument/2006/relationships/hyperlink" Target="https://pow06.ctci.com.tw/PRJ/24A5600A/JVPartner/Correspondence/%E6%94%B6%E7%99%BC%E6%96%87/%E6%94%B6%E6%96%87/114%E5%B9%B4%E5%BA%A6/1141022_%E5%8C%97%E6%B0%B4%E5%88%86%E7%BD%B2_%E6%B0%B4%E5%8C%97%E5%A4%9A%E5%AD%97%E7%AC%AC11453113390%E8%99%9F(%E7%84%A1%E9%99%84%E4%BB%B6).pdf?d=w65f1c6bb7ebd408b8f8bf4beec4ed23c" TargetMode="External"/><Relationship Id="rId204" Type="http://schemas.openxmlformats.org/officeDocument/2006/relationships/hyperlink" Target="https://pow06.ctci.com.tw/PRJ/24A5600A/JVPartner/Correspondence/%E6%94%B6%E7%99%BC%E6%96%87/%E7%99%BC%E6%96%87/114-467/%E9%BC%8E%E6%B0%B4%E8%B3%87%E5%AD%97%E7%AC%AC1140000467%E8%99%9F.pdf?d=wca3a840f95644a3db2dc66d7a892d620" TargetMode="External"/><Relationship Id="rId220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225" Type="http://schemas.openxmlformats.org/officeDocument/2006/relationships/hyperlink" Target="https://pow06.ctci.com.tw/PRJ/24A5600A/JVPartner/Correspondence/%E6%94%B6%E7%99%BC%E6%96%87/%E7%99%BC%E6%96%87/114-467/%E9%BC%8E%E6%B0%B4%E8%B3%87%E5%AD%97%E7%AC%AC1140000467%E8%99%9F.pdf?d=wca3a840f95644a3db2dc66d7a892d620" TargetMode="External"/><Relationship Id="rId15" Type="http://schemas.openxmlformats.org/officeDocument/2006/relationships/hyperlink" Target="https://pow06.ctci.com.tw/PRJ/24A5600A/JVPartner/Correspondence/%E6%94%B6%E7%99%BC%E6%96%87/%E7%99%BC%E6%96%87/114-320_%E9%8B%BC%E7%AD%8B(%E7%9B%8A%E8%81%AF)/%E9%BC%8E%E6%B0%B4%E8%B3%87%E5%AD%97%E7%AC%AC1140000320%E8%99%9F.pdf?d=wfdb90256c54645b8b737549fdcfd095d" TargetMode="External"/><Relationship Id="rId36" Type="http://schemas.openxmlformats.org/officeDocument/2006/relationships/hyperlink" Target="https://pow06.ctci.com.tw/PRJ/24A5600A/JVPartner/Correspondence/%E6%94%B6%E7%99%BC%E6%96%87/%E7%99%BC%E6%96%87/114-1053/%E9%BC%8E%E6%B0%B4%E8%B3%87%E5%AD%97%E7%AC%AC1140001053%E8%99%9F.pdf?d=w1f062d43bebf403684690cb136fc926d" TargetMode="External"/><Relationship Id="rId57" Type="http://schemas.openxmlformats.org/officeDocument/2006/relationships/hyperlink" Target="https://pow06.ctci.com.tw/PRJ/24A5600A/JVPartner/Correspondence/%E6%94%B6%E7%99%BC%E6%96%87/%E7%99%BC%E6%96%87/114-1371_%E6%8E%A7%E5%88%B6%E6%80%A7%E4%BD%8E%E5%BC%B7%E5%BA%A6%E5%9B%9E%E5%A1%AB%E6%9D%90%E6%96%99%E9%80%81%E5%AF%A9/%E9%BC%8E%E6%B0%B4%E8%B3%87%E5%AD%97%E7%AC%AC1140001371%E8%99%9F.pdf?d=wc914925e9c68413bbf077b71959adb0c" TargetMode="External"/><Relationship Id="rId106" Type="http://schemas.openxmlformats.org/officeDocument/2006/relationships/hyperlink" Target="https://pow06.ctci.com.tw/PRJ/24A5600A/JVPartner/Correspondence/%E6%94%B6%E7%99%BC%E6%96%87/%E6%94%B6%E6%96%87/114%E5%B9%B4%E5%BA%A6/1140428_%E5%8C%97%E6%B0%B4%E5%88%86%E7%BD%B2_%E6%B0%B4%E5%8C%97%E5%A4%9A%E5%AD%97%E7%AC%AC11453040750%E8%99%9F(%E7%84%A1%E9%99%84%E4%BB%B6).pdf?d=w14ba328f57f346f58db13a5b4aa2ae34" TargetMode="External"/><Relationship Id="rId127" Type="http://schemas.openxmlformats.org/officeDocument/2006/relationships/hyperlink" Target="https://pow06.ctci.com.tw/PRJ/24A5600A/JVPartner/Correspondence/%E6%94%B6%E7%99%BC%E6%96%87/%E6%94%B6%E6%96%87/1150223_%E8%89%BE%E5%A5%95%E5%BA%B7%E6%B0%B4%E5%AD%97%E7%AC%AC1150003031%E8%99%9F/%E8%89%BE%E5%A5%95%E5%BA%B7%E6%B0%B4%E5%AD%97%E7%AC%AC1150003031%E8%99%9F.pdf" TargetMode="External"/><Relationship Id="rId10" Type="http://schemas.openxmlformats.org/officeDocument/2006/relationships/hyperlink" Target="https://pow06.ctci.com.tw/PRJ/24A5600A/JVPartner/Correspondence/%E6%94%B6%E7%99%BC%E6%96%87/%E6%94%B6%E6%96%87/114%E5%B9%B4%E5%BA%A6/1140428_%E5%8C%97%E6%B0%B4%E5%88%86%E7%BD%B2_%E6%B0%B4%E5%8C%97%E5%A4%9A%E5%AD%97%E7%AC%AC11453040750%E8%99%9F(%E7%84%A1%E9%99%84%E4%BB%B6).pdf?d=w14ba328f57f346f58db13a5b4aa2ae34" TargetMode="External"/><Relationship Id="rId31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52" Type="http://schemas.openxmlformats.org/officeDocument/2006/relationships/hyperlink" Target="https://pow06.ctci.com.tw/PRJ/24A5600A/JVPartner/Correspondence/%E6%94%B6%E7%99%BC%E6%96%87/%E6%94%B6%E6%96%87/1150126_%E8%89%BE%E5%A5%95%E5%BA%B7%E6%B0%B4%E5%AD%97%E7%AC%AC1150002915%E8%99%9F/%E8%89%BE%E5%A5%95%E5%BA%B7%E6%B0%B4%E5%AD%97%E7%AC%AC1150002915%E8%99%9F.pdf?d=w41238f6a516b4fddaf8ed24c362c1212" TargetMode="External"/><Relationship Id="rId73" Type="http://schemas.openxmlformats.org/officeDocument/2006/relationships/hyperlink" Target="https://pow06.ctci.com.tw/PRJ/24A5600A/JVPartner/Correspondence/%E6%94%B6%E7%99%BC%E6%96%87/%E7%99%BC%E6%96%87/114-1298/%E9%BC%8E%E6%B0%B4%E8%B3%87%E5%AD%97%E7%AC%AC1140001298%E8%99%9F.pdf?d=w008abcd219da4f9197927879e2d138c3" TargetMode="External"/><Relationship Id="rId78" Type="http://schemas.openxmlformats.org/officeDocument/2006/relationships/hyperlink" Target="https://pow06.ctci.com.tw/PRJ/24A5600A/JVPartner/Correspondence/%E6%94%B6%E7%99%BC%E6%96%87/%E7%99%BC%E6%96%87/115-0033/%E9%BC%8E%E6%B0%B4%E8%B3%87%E5%AD%97%E7%AC%AC1150000033%E8%99%9F.pdf?d=wb0b510169da14fc38a2afffc93af3fcc" TargetMode="External"/><Relationship Id="rId94" Type="http://schemas.openxmlformats.org/officeDocument/2006/relationships/hyperlink" Target="https://pow06.ctci.com.tw/PRJ/24A5600A/JVPartner/Correspondence/%E6%94%B6%E7%99%BC%E6%96%87/%E6%94%B6%E6%96%87/1150316_%E8%89%BE%E5%A5%95%E5%BA%B7%E6%B0%B4%E5%AD%97%E7%AC%AC1150004999%E8%99%9F/%E8%89%BE%E5%A5%95%E5%BA%B7%E6%B0%B4%E5%AD%97%E7%AC%AC1150004999%E8%99%9F.pdf?d=wbf03f856cc1346e8b76d0eef0464a302" TargetMode="External"/><Relationship Id="rId99" Type="http://schemas.openxmlformats.org/officeDocument/2006/relationships/hyperlink" Target="https://pow06.ctci.com.tw/PRJ/24A5600A/JVPartner/Correspondence/%E6%94%B6%E7%99%BC%E6%96%87/%E6%94%B6%E6%96%87/1150316_%E8%89%BE%E5%A5%95%E5%BA%B7%E6%B0%B4%E5%AD%97%E7%AC%AC1150005002%E8%99%9F/%E8%89%BE%E5%A5%95%E5%BA%B7%E6%B0%B4%E5%AD%97%E7%AC%AC1150005002%E8%99%9F.pdf?d=w7d31fa1b21554b27a20a3b9cae58f327" TargetMode="External"/><Relationship Id="rId101" Type="http://schemas.openxmlformats.org/officeDocument/2006/relationships/hyperlink" Target="https://pow06.ctci.com.tw/PRJ/24A5600A/JVPartner/Correspondence/%E6%94%B6%E7%99%BC%E6%96%87/%E6%94%B6%E6%96%87/1150506_%E6%B0%B4%E5%8C%97%E5%A4%9A%E5%AD%97%E7%AC%AC11522022870%E8%99%9F/%E6%B0%B4%E5%8C%97%E5%A4%9A%E5%AD%97%E7%AC%AC11522022870%E8%99%9F.pdf" TargetMode="External"/><Relationship Id="rId122" Type="http://schemas.openxmlformats.org/officeDocument/2006/relationships/hyperlink" Target="https://pow06.ctci.com.tw/PRJ/24A5600A/JVPartner/Correspondence/%E6%94%B6%E7%99%BC%E6%96%87/%E7%99%BC%E6%96%87/115-0120/%E9%BC%8E%E6%B0%B4%E8%B3%87%E5%AD%97%E7%AC%AC1150000120%E8%99%9F.pdf?d=wf59cf9908d634cb7843479e4a0d69573" TargetMode="External"/><Relationship Id="rId143" Type="http://schemas.openxmlformats.org/officeDocument/2006/relationships/hyperlink" Target="https://pow06.ctci.com.tw/PRJ/24A5600A/JVPartner/Correspondence/%E6%94%B6%E7%99%BC%E6%96%87/%E6%94%B6%E6%96%87/1150316_%E8%89%BE%E5%A5%95%E5%BA%B7%E6%B0%B4%E5%AD%97%E7%AC%AC1150005046%E8%99%9F/%E8%89%BE%E5%A5%95%E5%BA%B7%E6%B0%B4%E5%AD%97%E7%AC%AC1150005046%E8%99%9F.pdf?d=w56ad672c57454d0e97ad0b10d8c33238" TargetMode="External"/><Relationship Id="rId148" Type="http://schemas.openxmlformats.org/officeDocument/2006/relationships/hyperlink" Target="https://pow06.ctci.com.tw/PRJ/24A5600A/JVPartner/Correspondence/%E6%94%B6%E7%99%BC%E6%96%87/%E6%94%B6%E6%96%87/1150316_%E8%89%BE%E5%A5%95%E5%BA%B7%E6%B0%B4%E5%AD%97%E7%AC%AC1150005046%E8%99%9F/%E8%89%BE%E5%A5%95%E5%BA%B7%E6%B0%B4%E5%AD%97%E7%AC%AC1150005046%E8%99%9F.pdf?d=w56ad672c57454d0e97ad0b10d8c33238" TargetMode="External"/><Relationship Id="rId164" Type="http://schemas.openxmlformats.org/officeDocument/2006/relationships/hyperlink" Target="https://pow06.ctci.com.tw/PRJ/24A5600A/JVPartner/Correspondence/%E6%94%B6%E7%99%BC%E6%96%87/%E6%94%B6%E6%96%87/1150316_%E8%89%BE%E5%A5%95%E5%BA%B7%E6%B0%B4%E5%AD%97%E7%AC%AC1150005002%E8%99%9F/%E8%89%BE%E5%A5%95%E5%BA%B7%E6%B0%B4%E5%AD%97%E7%AC%AC1150005002%E8%99%9F.pdf?d=w7d31fa1b21554b27a20a3b9cae58f327" TargetMode="External"/><Relationship Id="rId169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185" Type="http://schemas.openxmlformats.org/officeDocument/2006/relationships/hyperlink" Target="https://pow06.ctci.com.tw/PRJ/24A5600A/JVPartner/Correspondence/%E6%94%B6%E7%99%BC%E6%96%87/%E7%99%BC%E6%96%87/114-1053/%E9%BC%8E%E6%B0%B4%E8%B3%87%E5%AD%97%E7%AC%AC1140001053%E8%99%9F.pdf?d=w1f062d43bebf403684690cb136fc926d" TargetMode="External"/><Relationship Id="rId4" Type="http://schemas.openxmlformats.org/officeDocument/2006/relationships/hyperlink" Target="https://pow06.ctci.com.tw/PRJ/24A5600A/JVPartner/Correspondence/%E6%94%B6%E7%99%BC%E6%96%87/%E6%94%B6%E6%96%87/114%E5%B9%B4%E5%BA%A6/1140910_AECOM_%E8%89%BE%E5%A5%95%E5%BA%B7%E6%B0%B4%E5%AD%97%E7%AC%AC1140026310%E8%99%9F(%E7%84%A1%E9%99%84%E4%BB%B6).pdf?d=w9bf301221eac47d1a57275dc25ddd48b" TargetMode="External"/><Relationship Id="rId9" Type="http://schemas.openxmlformats.org/officeDocument/2006/relationships/hyperlink" Target="https://pow06.ctci.com.tw/PRJ/24A5600A/JVPartner/Correspondence/%E6%94%B6%E7%99%BC%E6%96%87/%E6%94%B6%E6%96%87/1150106_AECOM_%E8%89%BE%E5%A5%95%E5%BA%B7%E6%B0%B4%E5%AD%97%E7%AC%AC1140036516%E8%99%9F(%E7%84%A1%E9%99%84%E4%BB%B6).pdf?d=w9dfb5df567f44bbe817fdd5e5490b75f" TargetMode="External"/><Relationship Id="rId180" Type="http://schemas.openxmlformats.org/officeDocument/2006/relationships/hyperlink" Target="https://pow06.ctci.com.tw/PRJ/24A5600A/JVPartner/Correspondence/%E6%94%B6%E7%99%BC%E6%96%87/%E7%99%BC%E6%96%87/114-321_%E6%B7%B7%E5%87%9D%E2%BC%9F(%E5%9C%8B%E9%A0%86)/%E9%BC%8E%E6%B0%B4%E8%B3%87%E5%AD%97%E7%AC%AC1140000321%E8%99%9F.pdf?d=we4780fb0968f4a1b8de30b5063ec8620" TargetMode="External"/><Relationship Id="rId210" Type="http://schemas.openxmlformats.org/officeDocument/2006/relationships/hyperlink" Target="https://pow06.ctci.com.tw/PRJ/24A5600A/JVPartner/Correspondence/%E6%94%B6%E7%99%BC%E6%96%87/%E6%94%B6%E6%96%87/1150507_%E6%B0%B4%E5%8C%97%E5%A4%9A%E5%AD%97%E7%AC%AC11522022980%E8%99%9F/%E6%B0%B4%E5%8C%97%E5%A4%9A%E5%AD%97%E7%AC%AC11522022980%E8%99%9F.pdf" TargetMode="External"/><Relationship Id="rId215" Type="http://schemas.openxmlformats.org/officeDocument/2006/relationships/hyperlink" Target="https://pow06.ctci.com.tw/PRJ/24A5600A/JVPartner/Correspondence/%E6%94%B6%E7%99%BC%E6%96%87/%E6%94%B6%E6%96%87/114%E5%B9%B4%E5%BA%A6/1141022_%E5%8C%97%E6%B0%B4%E5%88%86%E7%BD%B2_%E6%B0%B4%E5%8C%97%E5%A4%9A%E5%AD%97%E7%AC%AC11453113390%E8%99%9F(%E7%84%A1%E9%99%84%E4%BB%B6).pdf?d=w65f1c6bb7ebd408b8f8bf4beec4ed23c" TargetMode="External"/><Relationship Id="rId26" Type="http://schemas.openxmlformats.org/officeDocument/2006/relationships/hyperlink" Target="https://pow06.ctci.com.tw/PRJ/24A5600A/JVPartner/Correspondence/%E6%94%B6%E7%99%BC%E6%96%87/%E7%99%BC%E6%96%87/114-971/%E9%BC%8E%E6%B0%B4%E8%B3%87%E5%AD%97%E7%AC%AC1140000971%E8%99%9F.pdf?d=w722f3ae9162e424787def8af3759d504" TargetMode="External"/><Relationship Id="rId47" Type="http://schemas.openxmlformats.org/officeDocument/2006/relationships/hyperlink" Target="https://pow06.ctci.com.tw/PRJ/24A5600A/JVPartner/Correspondence/%E6%94%B6%E7%99%BC%E6%96%87/%E6%94%B6%E6%96%87/114%E5%B9%B4%E5%BA%A6/1141212_%E5%8C%97%E6%B0%B4%E5%88%86%E7%BD%B2_%E6%B0%B4%E5%8C%97%E5%A4%9A%E5%AD%97%E7%AC%AC11453137490%E8%99%9F(%E7%84%A1%E9%99%84%E4%BB%B6).pdf?d=wbe5296d943184249b6ec6d1e5eb4f1a2" TargetMode="External"/><Relationship Id="rId68" Type="http://schemas.openxmlformats.org/officeDocument/2006/relationships/hyperlink" Target="https://pow06.ctci.com.tw/PRJ/24A5600A/JVPartner/Correspondence/%E6%94%B6%E7%99%BC%E6%96%87/%E6%94%B6%E6%96%87/1150109_AECOM_%E8%89%BE%E5%A5%95%E5%BA%B7%E6%B0%B4%E5%AD%97%E7%AC%AC1140036283%E8%99%9F(%E7%84%A1%E9%99%84%E4%BB%B6).pdf?d=w83badded82654178a9ae781b0b4f5453" TargetMode="External"/><Relationship Id="rId89" Type="http://schemas.openxmlformats.org/officeDocument/2006/relationships/hyperlink" Target="https://pow06.ctci.com.tw/PRJ/24A5600A/JVPartner/Correspondence/%E6%94%B6%E7%99%BC%E6%96%87/%E7%99%BC%E6%96%87/115-0205/%E9%BC%8E%E6%B0%B4%E8%B3%87%E5%AD%97%E7%AC%AC1150000205%E8%99%9F.pdf?d=w4b9ed73eb0834dbfa52732f78af2d67c" TargetMode="External"/><Relationship Id="rId112" Type="http://schemas.openxmlformats.org/officeDocument/2006/relationships/hyperlink" Target="https://pow06.ctci.com.tw/PRJ/24A5600A/JVPartner/Correspondence/%E6%94%B6%E7%99%BC%E6%96%87/%E6%94%B6%E6%96%87/114%E5%B9%B4%E5%BA%A6/1140522_%E5%8C%97%E6%B0%B4%E5%88%86%E7%BD%B2_%E6%B0%B4%E5%8C%97%E5%A4%9A%E5%AD%97%E7%AC%AC11453053790%E8%99%9F(%E7%84%A1%E9%99%84%E4%BB%B6).pdf?d=w9e9941b6da8441e280dfb2be08309034" TargetMode="External"/><Relationship Id="rId133" Type="http://schemas.openxmlformats.org/officeDocument/2006/relationships/hyperlink" Target="https://pow06.ctci.com.tw/PRJ/24A5600A/JVPartner/Correspondence/%E6%94%B6%E7%99%BC%E6%96%87/%E7%99%BC%E6%96%87/115-0194/%E9%BC%8E%E6%B0%B4%E8%B3%87%E5%AD%97%E7%AC%AC1150000194%E8%99%9F.pdf?d=w2d018ceb38414daa87595787edde29f6" TargetMode="External"/><Relationship Id="rId154" Type="http://schemas.openxmlformats.org/officeDocument/2006/relationships/hyperlink" Target="https://pow06.ctci.com.tw/PRJ/24A5600A/JVPartner/Correspondence/%E6%94%B6%E7%99%BC%E6%96%87/%E7%99%BC%E6%96%87/115-0207/%E9%BC%8E%E6%B0%B4%E8%B3%87%E5%AD%97%E7%AC%AC1150000207%E8%99%9F.pdf?d=wdd656c2d9a1e4ae09039bafaae8c1a70" TargetMode="External"/><Relationship Id="rId175" Type="http://schemas.openxmlformats.org/officeDocument/2006/relationships/hyperlink" Target="https://pow06.ctci.com.tw/PRJ/24A5600A/JVPartner/Correspondence/%E6%94%B6%E7%99%BC%E6%96%87/%E6%94%B6%E6%96%87/114%E5%B9%B4%E5%BA%A6/1140520_%E5%8C%97%E6%B0%B4%E5%88%86%E7%BD%B2_%E6%B0%B4%E5%8C%97%E5%A4%9A%E5%AD%97%E7%AC%AC11453049930%E8%99%9F(%E7%84%A1%E9%99%84%E4%BB%B6).pdf?d=w8304eed2426e47c7ae70b9e074456301" TargetMode="External"/><Relationship Id="rId196" Type="http://schemas.openxmlformats.org/officeDocument/2006/relationships/hyperlink" Target="https://pow06.ctci.com.tw/PRJ/24A5600A/JVPartner/Correspondence/%E6%94%B6%E7%99%BC%E6%96%87/%E7%99%BC%E6%96%87/114-467/%E9%BC%8E%E6%B0%B4%E8%B3%87%E5%AD%97%E7%AC%AC1140000467%E8%99%9F.pdf?d=wca3a840f95644a3db2dc66d7a892d620" TargetMode="External"/><Relationship Id="rId200" Type="http://schemas.openxmlformats.org/officeDocument/2006/relationships/hyperlink" Target="https://pow06.ctci.com.tw/PRJ/24A5600A/JVPartner/Correspondence/%E6%94%B6%E7%99%BC%E6%96%87/%E7%99%BC%E6%96%87/114-467/%E9%BC%8E%E6%B0%B4%E8%B3%87%E5%AD%97%E7%AC%AC1140000467%E8%99%9F.pdf?d=wca3a840f95644a3db2dc66d7a892d620" TargetMode="External"/><Relationship Id="rId16" Type="http://schemas.openxmlformats.org/officeDocument/2006/relationships/hyperlink" Target="https://pow06.ctci.com.tw/PRJ/24A5600A/JVPartner/Correspondence/%E6%94%B6%E7%99%BC%E6%96%87/%E7%99%BC%E6%96%87/114-440_%E9%8B%BC%E7%AD%8B(%E6%B5%B7%E5%85%89)/%E9%BC%8E%E6%B0%B4%E8%B3%87%E5%AD%97%E7%AC%AC1140000440%E8%99%9F.pdf?d=w82f7cf3e2e58453e85884f0ed5c7b561" TargetMode="External"/><Relationship Id="rId221" Type="http://schemas.openxmlformats.org/officeDocument/2006/relationships/hyperlink" Target="https://pow06.ctci.com.tw/PRJ/24A5600A/JVPartner/Correspondence/%E6%94%B6%E7%99%BC%E6%96%87/%E7%99%BC%E6%96%87/114-467/%E9%BC%8E%E6%B0%B4%E8%B3%87%E5%AD%97%E7%AC%AC1140000467%E8%99%9F.pdf?d=wca3a840f95644a3db2dc66d7a892d620" TargetMode="External"/><Relationship Id="rId37" Type="http://schemas.openxmlformats.org/officeDocument/2006/relationships/hyperlink" Target="https://pow06.ctci.com.tw/PRJ/24A5600A/JVPartner/Correspondence/%E6%94%B6%E7%99%BC%E6%96%87/%E7%99%BC%E6%96%87/114-467/%E9%BC%8E%E6%B0%B4%E8%B3%87%E5%AD%97%E7%AC%AC1140000467%E8%99%9F.pdf?d=wca3a840f95644a3db2dc66d7a892d620" TargetMode="External"/><Relationship Id="rId58" Type="http://schemas.openxmlformats.org/officeDocument/2006/relationships/hyperlink" Target="https://pow06.ctci.com.tw/PRJ/24A5600A/JVPartner/Correspondence/%E6%94%B6%E7%99%BC%E6%96%87/%E7%99%BC%E6%96%87/114-1463/%E9%BC%8E%E6%B0%B4%E8%B3%87%E5%AD%97%E7%AC%AC1140001463%E8%99%9F.pdf?d=w3053a4c824844a6bbe5d7be4d9fdbca6" TargetMode="External"/><Relationship Id="rId79" Type="http://schemas.openxmlformats.org/officeDocument/2006/relationships/hyperlink" Target="https://pow06.ctci.com.tw/PRJ/24A5600A/JVPartner/Correspondence/%E6%94%B6%E7%99%BC%E6%96%87/%E7%99%BC%E6%96%87/114-1454/%E9%BC%8E%E6%B0%B4%E8%B3%87%E5%AD%97%E7%AC%AC1140001454%E8%99%9F.pdf?d=w2fd2d5c44ef04e1f9ff9cc483a6388fa" TargetMode="External"/><Relationship Id="rId102" Type="http://schemas.openxmlformats.org/officeDocument/2006/relationships/hyperlink" Target="https://pow06.ctci.com.tw/PRJ/24A5600A/JVPartner/Correspondence/%E6%94%B6%E7%99%BC%E6%96%87/%E6%94%B6%E6%96%87/1150507_%E6%B0%B4%E5%8C%97%E5%A4%9A%E5%AD%97%E7%AC%AC11522022980%E8%99%9F/%E6%B0%B4%E5%8C%97%E5%A4%9A%E5%AD%97%E7%AC%AC11522022980%E8%99%9F.pdf" TargetMode="External"/><Relationship Id="rId123" Type="http://schemas.openxmlformats.org/officeDocument/2006/relationships/hyperlink" Target="https://pow06.ctci.com.tw/PRJ/24A5600A/JVPartner/Correspondence/%E6%94%B6%E7%99%BC%E6%96%87/%E6%94%B6%E6%96%87/1150223_%E8%89%BE%E5%A5%95%E5%BA%B7%E6%B0%B4%E5%AD%97%E7%AC%AC1150003031%E8%99%9F/%E8%89%BE%E5%A5%95%E5%BA%B7%E6%B0%B4%E5%AD%97%E7%AC%AC1150003031%E8%99%9F.pdf" TargetMode="External"/><Relationship Id="rId144" Type="http://schemas.openxmlformats.org/officeDocument/2006/relationships/hyperlink" Target="https://pow06.ctci.com.tw/PRJ/24A5600A/JVPartner/Correspondence/%E6%94%B6%E7%99%BC%E6%96%87/%E6%94%B6%E6%96%87/1150316_%E8%89%BE%E5%A5%95%E5%BA%B7%E6%B0%B4%E5%AD%97%E7%AC%AC1150005046%E8%99%9F/%E8%89%BE%E5%A5%95%E5%BA%B7%E6%B0%B4%E5%AD%97%E7%AC%AC1150005046%E8%99%9F.pdf?d=w56ad672c57454d0e97ad0b10d8c33238" TargetMode="External"/><Relationship Id="rId90" Type="http://schemas.openxmlformats.org/officeDocument/2006/relationships/hyperlink" Target="https://pow06.ctci.com.tw/PRJ/24A5600A/JVPartner/Correspondence/%E6%94%B6%E7%99%BC%E6%96%87/%E6%94%B6%E6%96%87/1150316_%E8%89%BE%E5%A5%95%E5%BA%B7%E6%B0%B4%E5%AD%97%E7%AC%AC1150005046%E8%99%9F/%E8%89%BE%E5%A5%95%E5%BA%B7%E6%B0%B4%E5%AD%97%E7%AC%AC1150005046%E8%99%9F.pdf?d=w56ad672c57454d0e97ad0b10d8c33238" TargetMode="External"/><Relationship Id="rId165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186" Type="http://schemas.openxmlformats.org/officeDocument/2006/relationships/hyperlink" Target="https://pow06.ctci.com.tw/PRJ/24A5600A/JVPartner/Correspondence/%E6%94%B6%E7%99%BC%E6%96%87/%E6%94%B6%E6%96%87/114%E5%B9%B4%E5%BA%A6/1141022_%E5%8C%97%E6%B0%B4%E5%88%86%E7%BD%B2_%E6%B0%B4%E5%8C%97%E5%A4%9A%E5%AD%97%E7%AC%AC11453113390%E8%99%9F(%E7%84%A1%E9%99%84%E4%BB%B6).pdf?d=w65f1c6bb7ebd408b8f8bf4beec4ed23c" TargetMode="External"/><Relationship Id="rId211" Type="http://schemas.openxmlformats.org/officeDocument/2006/relationships/hyperlink" Target="https://pow06.ctci.com.tw/PRJ/24A5600A/JVPartner/Correspondence/%E6%94%B6%E7%99%BC%E6%96%87/%E6%94%B6%E6%96%87/114%E5%B9%B4%E5%BA%A6/1141022_%E5%8C%97%E6%B0%B4%E5%88%86%E7%BD%B2_%E6%B0%B4%E5%8C%97%E5%A4%9A%E5%AD%97%E7%AC%AC11453113390%E8%99%9F(%E7%84%A1%E9%99%84%E4%BB%B6).pdf?d=w65f1c6bb7ebd408b8f8bf4beec4ed23c" TargetMode="External"/><Relationship Id="rId27" Type="http://schemas.openxmlformats.org/officeDocument/2006/relationships/hyperlink" Target="https://pow06.ctci.com.tw/PRJ/24A5600A/JVPartner/Correspondence/%E6%94%B6%E7%99%BC%E6%96%87/%E6%94%B6%E6%96%87/114%E5%B9%B4%E5%BA%A6/1140421_AECOM_%E8%89%BE%E5%A5%95%E5%BA%B7%E6%B0%B4%E5%AD%97%E7%AC%AC1140012509%E8%99%9F/1140421_AECOM_%E8%89%BE%E5%A5%95%E5%BA%B7%E6%B0%B4%E5%AD%97%E7%AC%AC1140012509%E8%99%9F.pdf?d=w0d8e44140923460eab3ee0a5f2af6d50" TargetMode="External"/><Relationship Id="rId48" Type="http://schemas.openxmlformats.org/officeDocument/2006/relationships/hyperlink" Target="https://pow06.ctci.com.tw/PRJ/24A5600A/Construction/%E8%B3%87%E6%96%99%E5%A4%BE%E6%9A%AB%E5%81%9C%E4%BD%9C%E6%A5%AD_Correspondence/%E7%99%BC%E6%96%87/114-1374/%E9%BC%8E%E6%B0%B4%E8%B3%87%E5%AD%97%E7%AC%AC1140001374%E8%99%9F.pdf?d=w286415c2c01d44daa5c9b5ba3334f881" TargetMode="External"/><Relationship Id="rId69" Type="http://schemas.openxmlformats.org/officeDocument/2006/relationships/hyperlink" Target="https://pow06.ctci.com.tw/PRJ/24A5600A/JVPartner/Correspondence/%E6%94%B6%E7%99%BC%E6%96%87/%E7%99%BC%E6%96%87/114-766/%E9%BC%8E%E6%B0%B4%E8%B3%87%E5%AD%97%E7%AC%AC1140000766%E8%99%9F.pdf?d=wed27612f02834476b14eea4517372ad5" TargetMode="External"/><Relationship Id="rId113" Type="http://schemas.openxmlformats.org/officeDocument/2006/relationships/hyperlink" Target="https://pow06.ctci.com.tw/PRJ/24A5600A/JVPartner/Correspondence/%E6%94%B6%E7%99%BC%E6%96%87/%E7%99%BC%E6%96%87/114-440_%E9%8B%BC%E7%AD%8B(%E6%B5%B7%E5%85%89)/%E9%BC%8E%E6%B0%B4%E8%B3%87%E5%AD%97%E7%AC%AC1140000440%E8%99%9F.pdf?d=w82f7cf3e2e58453e85884f0ed5c7b561" TargetMode="External"/><Relationship Id="rId134" Type="http://schemas.openxmlformats.org/officeDocument/2006/relationships/hyperlink" Target="https://pow06.ctci.com.tw/PRJ/24A5600A/JVPartner/Correspondence/%E6%94%B6%E7%99%BC%E6%96%87/%E6%94%B6%E6%96%87/1150106_AECOM_%E8%89%BE%E5%A5%95%E5%BA%B7%E6%B0%B4%E5%AD%97%E7%AC%AC1140036516%E8%99%9F(%E7%84%A1%E9%99%84%E4%BB%B6).pdf?d=w9dfb5df567f44bbe817fdd5e5490b75f" TargetMode="External"/><Relationship Id="rId80" Type="http://schemas.openxmlformats.org/officeDocument/2006/relationships/hyperlink" Target="https://pow06.ctci.com.tw/PRJ/24A5600A/JVPartner/Correspondence/%E6%94%B6%E7%99%BC%E6%96%87/%E6%94%B6%E6%96%87/1150126_%E8%89%BE%E5%A5%95%E5%BA%B7%E6%B0%B4%E5%AD%97%E7%AC%AC1150002914%E8%99%9F/%E8%89%BE%E5%A5%95%E5%BA%B7%E6%B0%B4%E5%AD%97%E7%AC%AC1150002914%E8%99%9F.pdf?d=w1177cb3725d74864a46b1e7550e8f579" TargetMode="External"/><Relationship Id="rId155" Type="http://schemas.openxmlformats.org/officeDocument/2006/relationships/hyperlink" Target="https://pow06.ctci.com.tw/PRJ/24A5600A/JVPartner/Correspondence/%E6%94%B6%E7%99%BC%E6%96%87/%E6%94%B6%E6%96%87/1150316_%E8%89%BE%E5%A5%95%E5%BA%B7%E6%B0%B4%E5%AD%97%E7%AC%AC1150004999%E8%99%9F/%E8%89%BE%E5%A5%95%E5%BA%B7%E6%B0%B4%E5%AD%97%E7%AC%AC1150004999%E8%99%9F.pdf?d=wbf03f856cc1346e8b76d0eef0464a302" TargetMode="External"/><Relationship Id="rId176" Type="http://schemas.openxmlformats.org/officeDocument/2006/relationships/hyperlink" Target="https://pow06.ctci.com.tw/PRJ/24A5600A/JVPartner/Correspondence/%E6%94%B6%E7%99%BC%E6%96%87/%E7%99%BC%E6%96%87/114-321_%E6%B7%B7%E5%87%9D%E2%BC%9F(%E5%9C%8B%E9%A0%86)/%E9%BC%8E%E6%B0%B4%E8%B3%87%E5%AD%97%E7%AC%AC1140000321%E8%99%9F.pdf?d=we4780fb0968f4a1b8de30b5063ec8620" TargetMode="External"/><Relationship Id="rId197" Type="http://schemas.openxmlformats.org/officeDocument/2006/relationships/hyperlink" Target="https://pow06.ctci.com.tw/PRJ/24A5600A/JVPartner/Correspondence/%E6%94%B6%E7%99%BC%E6%96%87/%E7%99%BC%E6%96%87/114-1054/%E9%BC%8E%E6%B0%B4%E8%B3%87%E5%AD%97%E7%AC%AC1140001054%E8%99%9F.pdf?d=w692c9b40f5ca4f2faf2101e43b1e018f" TargetMode="External"/><Relationship Id="rId201" Type="http://schemas.openxmlformats.org/officeDocument/2006/relationships/hyperlink" Target="https://pow06.ctci.com.tw/PRJ/24A5600A/JVPartner/Correspondence/%E6%94%B6%E7%99%BC%E6%96%87/%E7%99%BC%E6%96%87/114-1054/%E9%BC%8E%E6%B0%B4%E8%B3%87%E5%AD%97%E7%AC%AC1140001054%E8%99%9F.pdf?d=w692c9b40f5ca4f2faf2101e43b1e018f" TargetMode="External"/><Relationship Id="rId222" Type="http://schemas.openxmlformats.org/officeDocument/2006/relationships/hyperlink" Target="https://pow06.ctci.com.tw/PRJ/24A5600A/JVPartner/Correspondence/%E6%94%B6%E7%99%BC%E6%96%87/%E7%99%BC%E6%96%87/114-1054/%E9%BC%8E%E6%B0%B4%E8%B3%87%E5%AD%97%E7%AC%AC1140001054%E8%99%9F.pdf?d=w692c9b40f5ca4f2faf2101e43b1e018f" TargetMode="External"/><Relationship Id="rId17" Type="http://schemas.openxmlformats.org/officeDocument/2006/relationships/hyperlink" Target="https://pow06.ctci.com.tw/PRJ/24A5600A/JVPartner/Correspondence/%E6%94%B6%E7%99%BC%E6%96%87/%E7%99%BC%E6%96%87/114-538/%E9%BC%8E%E6%B0%B4%E8%B3%87%E5%AD%97%E7%AC%AC1140000538%E8%99%9F.pdf?d=w475565e2e3054711843cfb94581a7c00" TargetMode="External"/><Relationship Id="rId38" Type="http://schemas.openxmlformats.org/officeDocument/2006/relationships/hyperlink" Target="https://pow06.ctci.com.tw/PRJ/24A5600A/JVPartner/Correspondence/%E6%94%B6%E7%99%BC%E6%96%87/%E7%99%BC%E6%96%87/114-1054/%E9%BC%8E%E6%B0%B4%E8%B3%87%E5%AD%97%E7%AC%AC1140001054%E8%99%9F.pdf?d=w692c9b40f5ca4f2faf2101e43b1e018f" TargetMode="External"/><Relationship Id="rId59" Type="http://schemas.openxmlformats.org/officeDocument/2006/relationships/hyperlink" Target="https://pow06.ctci.com.tw/PRJ/24A5600A/JVPartner/Correspondence/%E6%94%B6%E7%99%BC%E6%96%87/%E6%94%B6%E6%96%87/114%E5%B9%B4%E5%BA%A6/1140818_AECOM_%E8%89%BE%E5%A5%95%E5%BA%B7%E6%B0%B4%E5%AD%97%E7%AC%AC1140023734%E8%99%9F(%E7%84%A1%E9%99%84%E4%BB%B6).pdf?d=we7debc1b5761476b9864b4a9493d6075" TargetMode="External"/><Relationship Id="rId103" Type="http://schemas.openxmlformats.org/officeDocument/2006/relationships/hyperlink" Target="https://pow06.ctci.com.tw/PRJ/24A5600A/JVPartner/Correspondence/%E6%94%B6%E7%99%BC%E6%96%87/%E6%94%B6%E6%96%87/1150210_%E8%89%BE%E5%A5%95%E5%BA%B7%E6%B0%B4%E5%AD%97%E7%AC%AC1150003228%E8%99%9F/%E8%89%BE%E5%A5%95%E5%BA%B7%E6%B0%B4%E5%AD%97%E7%AC%AC1150003228%E8%99%9F.pdf?d=wd73a44397ac94800bac3637889aae961" TargetMode="External"/><Relationship Id="rId124" Type="http://schemas.openxmlformats.org/officeDocument/2006/relationships/hyperlink" Target="https://pow06.ctci.com.tw/PRJ/24A5600A/JVPartner/Correspondence/%E6%94%B6%E7%99%BC%E6%96%87/%E6%94%B6%E6%96%87/114%E5%B9%B4%E5%BA%A6/1140624_%E5%8C%97%E6%B0%B4%E5%88%86%E7%BD%B2_%E6%B0%B4%E5%8C%97%E5%A4%9A%E5%AD%97%E7%AC%AC11453064050%E8%99%9F(%E7%84%A1%E9%99%84%E4%BB%B6).pdf?d=w3dca42a4074c48c9a478e7bbcdd08f0d" TargetMode="External"/><Relationship Id="rId70" Type="http://schemas.openxmlformats.org/officeDocument/2006/relationships/hyperlink" Target="https://pow06.ctci.com.tw/PRJ/24A5600A/JVPartner/Correspondence/%E6%94%B6%E7%99%BC%E6%96%87/%E7%99%BC%E6%96%87/114-988/%E9%BC%8E%E6%B0%B4%E8%B3%87%E5%AD%97%E7%AC%AC1140000988%E8%99%9F.pdf?d=wed4a44bdf723442b9dffcfcdb2ae1b42" TargetMode="External"/><Relationship Id="rId91" Type="http://schemas.openxmlformats.org/officeDocument/2006/relationships/hyperlink" Target="https://pow06.ctci.com.tw/PRJ/24A5600A/JVPartner/Correspondence/%E6%94%B6%E7%99%BC%E6%96%87/%E6%94%B6%E6%96%87/1150316_%E8%89%BE%E5%A5%95%E5%BA%B7%E6%B0%B4%E5%AD%97%E7%AC%AC1150005046%E8%99%9F/%E8%89%BE%E5%A5%95%E5%BA%B7%E6%B0%B4%E5%AD%97%E7%AC%AC1150005046%E8%99%9F.pdf?d=w56ad672c57454d0e97ad0b10d8c33238" TargetMode="External"/><Relationship Id="rId145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166" Type="http://schemas.openxmlformats.org/officeDocument/2006/relationships/hyperlink" Target="https://pow06.ctci.com.tw/PRJ/24A5600A/JVPartner/Correspondence/%E6%94%B6%E7%99%BC%E6%96%87/%E7%99%BC%E6%96%87/115-0208/%E9%BC%8E%E6%B0%B4%E8%B3%87%E5%AD%97%E7%AC%AC1150000208%E8%99%9F.pdf?d=w8aa80e61ed084b6689a46b328025e927" TargetMode="External"/><Relationship Id="rId187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1" Type="http://schemas.openxmlformats.org/officeDocument/2006/relationships/hyperlink" Target="https://pow06.ctci.com.tw/PRJ/24A5600A/JVPartner/Correspondence/%E6%94%B6%E7%99%BC%E6%96%87/%E6%94%B6%E6%96%87/114%E5%B9%B4%E5%BA%A6/1141212_%E5%8C%97%E6%B0%B4%E5%88%86%E7%BD%B2_%E6%B0%B4%E5%8C%97%E5%A4%9A%E5%AD%97%E7%AC%AC11453136670%E8%99%9F(%E7%84%A1%E9%99%84%E4%BB%B6).pdf?d=w76dc47b9554f4f8f9c90ca4865c14ece" TargetMode="External"/><Relationship Id="rId212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28" Type="http://schemas.openxmlformats.org/officeDocument/2006/relationships/hyperlink" Target="https://pow06.ctci.com.tw/PRJ/24A5600A/JVPartner/Correspondence/%E6%94%B6%E7%99%BC%E6%96%87/%E6%94%B6%E6%96%87/114%E5%B9%B4%E5%BA%A6/1141022_%E5%8C%97%E6%B0%B4%E5%88%86%E7%BD%B2_%E6%B0%B4%E5%8C%97%E5%A4%9A%E5%AD%97%E7%AC%AC11453113390%E8%99%9F(%E7%84%A1%E9%99%84%E4%BB%B6).pdf?d=w65f1c6bb7ebd408b8f8bf4beec4ed23c" TargetMode="External"/><Relationship Id="rId49" Type="http://schemas.openxmlformats.org/officeDocument/2006/relationships/hyperlink" Target="https://pow06.ctci.com.tw/PRJ/24A5600A/JVPartner/Correspondence/%E6%94%B6%E7%99%BC%E6%96%87/%E6%94%B6%E6%96%87/114%E5%B9%B4%E5%BA%A6/1141212_%E5%8C%97%E6%B0%B4%E5%88%86%E7%BD%B2_%E6%B0%B4%E5%8C%97%E5%A4%9A%E5%AD%97%E7%AC%AC11453136660%E8%99%9F(%E7%84%A1%E9%99%84%E4%BB%B6).pdf?d=w82dd745ee2464c118ca61aa9c2e818d5" TargetMode="External"/><Relationship Id="rId114" Type="http://schemas.openxmlformats.org/officeDocument/2006/relationships/hyperlink" Target="https://pow06.ctci.com.tw/PRJ/24A5600A/JVPartner/Correspondence/%E6%94%B6%E7%99%BC%E6%96%87/%E6%94%B6%E6%96%87/114%E5%B9%B4%E5%BA%A6/1140522_%E5%8C%97%E6%B0%B4%E5%88%86%E7%BD%B2_%E6%B0%B4%E5%8C%97%E5%A4%9A%E5%AD%97%E7%AC%AC11453053790%E8%99%9F(%E7%84%A1%E9%99%84%E4%BB%B6).pdf?d=w9e9941b6da8441e280dfb2be08309034" TargetMode="External"/><Relationship Id="rId60" Type="http://schemas.openxmlformats.org/officeDocument/2006/relationships/hyperlink" Target="https://pow06.ctci.com.tw/PRJ/24A5600A/JVPartner/Correspondence/%E6%94%B6%E7%99%BC%E6%96%87/%E6%94%B6%E6%96%87/114%E5%B9%B4%E5%BA%A6/1141016_%E5%8C%97%E6%B0%B4%E5%88%86%E7%BD%B2_%E6%B0%B4%E5%8C%97%E5%A4%9A%E5%AD%97%E7%AC%AC11422034720%E8%99%9F(%E7%84%A1%E9%99%84%E4%BB%B6).pdf?d=w64c2565448184b79998381f5ad5d9935" TargetMode="External"/><Relationship Id="rId81" Type="http://schemas.openxmlformats.org/officeDocument/2006/relationships/hyperlink" Target="https://pow06.ctci.com.tw/PRJ/24A5600A/JVPartner/Correspondence/%E6%94%B6%E7%99%BC%E6%96%87/%E6%94%B6%E6%96%87/1150126_%E8%89%BE%E5%A5%95%E5%BA%B7%E6%B0%B4%E5%AD%97%E7%AC%AC1150002914%E8%99%9F/%E8%89%BE%E5%A5%95%E5%BA%B7%E6%B0%B4%E5%AD%97%E7%AC%AC1150002914%E8%99%9F.pdf?d=w1177cb3725d74864a46b1e7550e8f579" TargetMode="External"/><Relationship Id="rId135" Type="http://schemas.openxmlformats.org/officeDocument/2006/relationships/hyperlink" Target="https://pow06.ctci.com.tw/PRJ/24A5600A/JVPartner/Correspondence/%E6%94%B6%E7%99%BC%E6%96%87/%E7%99%BC%E6%96%87/114-1542_%E9%8B%BC%E7%AD%8B%E5%BB%A0%E5%95%860A/%E9%BC%8E%E6%B0%B4%E8%B3%87%E5%AD%97%E7%AC%AC1140001542%E8%99%9F.pdf?d=w8a53d276eb6b47d4971acb0443fc7267" TargetMode="External"/><Relationship Id="rId156" Type="http://schemas.openxmlformats.org/officeDocument/2006/relationships/hyperlink" Target="https://pow06.ctci.com.tw/PRJ/24A5600A/JVPartner/Correspondence/%E6%94%B6%E7%99%BC%E6%96%87/%E6%94%B6%E6%96%87/1150316_%E8%89%BE%E5%A5%95%E5%BA%B7%E6%B0%B4%E5%AD%97%E7%AC%AC1150004999%E8%99%9F/%E8%89%BE%E5%A5%95%E5%BA%B7%E6%B0%B4%E5%AD%97%E7%AC%AC1150004999%E8%99%9F.pdf?d=wbf03f856cc1346e8b76d0eef0464a302" TargetMode="External"/><Relationship Id="rId177" Type="http://schemas.openxmlformats.org/officeDocument/2006/relationships/hyperlink" Target="https://pow06.ctci.com.tw/PRJ/24A5600A/JVPartner/Correspondence/%E6%94%B6%E7%99%BC%E6%96%87/%E7%99%BC%E6%96%87/114-380/%E9%BC%8E%E6%B0%B4%E8%B3%87%E5%AD%97%E7%AC%AC1140000380%E8%99%9F.pdf?d=wd920e555c5604b99969020074cbf4504" TargetMode="External"/><Relationship Id="rId198" Type="http://schemas.openxmlformats.org/officeDocument/2006/relationships/hyperlink" Target="https://pow06.ctci.com.tw/PRJ/24A5600A/JVPartner/Correspondence/%E6%94%B6%E7%99%BC%E6%96%87/%E6%94%B6%E6%96%87/114%E5%B9%B4%E5%BA%A6/1141023_%E5%8C%97%E6%B0%B4%E5%88%86%E7%BD%B2_%E6%B0%B4%E5%8C%97%E5%A4%9A%E5%AD%97%E7%AC%AC11453113400%E8%99%9F(%E7%84%A1%E9%99%84%E4%BB%B6).pdf?d=w780a82b7bde449398f78d8763244e47b" TargetMode="External"/><Relationship Id="rId202" Type="http://schemas.openxmlformats.org/officeDocument/2006/relationships/hyperlink" Target="https://pow06.ctci.com.tw/PRJ/24A5600A/JVPartner/Correspondence/%E6%94%B6%E7%99%BC%E6%96%87/%E6%94%B6%E6%96%87/114%E5%B9%B4%E5%BA%A6/1141023_%E5%8C%97%E6%B0%B4%E5%88%86%E7%BD%B2_%E6%B0%B4%E5%8C%97%E5%A4%9A%E5%AD%97%E7%AC%AC11453113400%E8%99%9F(%E7%84%A1%E9%99%84%E4%BB%B6).pdf?d=w780a82b7bde449398f78d8763244e47b" TargetMode="External"/><Relationship Id="rId223" Type="http://schemas.openxmlformats.org/officeDocument/2006/relationships/hyperlink" Target="https://pow06.ctci.com.tw/PRJ/24A5600A/JVPartner/Correspondence/%E6%94%B6%E7%99%BC%E6%96%87/%E6%94%B6%E6%96%87/114%E5%B9%B4%E5%BA%A6/1141023_%E5%8C%97%E6%B0%B4%E5%88%86%E7%BD%B2_%E6%B0%B4%E5%8C%97%E5%A4%9A%E5%AD%97%E7%AC%AC11453113400%E8%99%9F(%E7%84%A1%E9%99%84%E4%BB%B6).pdf?d=w780a82b7bde449398f78d8763244e47b" TargetMode="External"/><Relationship Id="rId18" Type="http://schemas.openxmlformats.org/officeDocument/2006/relationships/hyperlink" Target="https://pow06.ctci.com.tw/PRJ/24A5600A/JVPartner/Correspondence/%E6%94%B6%E7%99%BC%E6%96%87/%E7%99%BC%E6%96%87/114-1542_%E9%8B%BC%E7%AD%8B%E5%BB%A0%E5%95%860A/%E9%BC%8E%E6%B0%B4%E8%B3%87%E5%AD%97%E7%AC%AC1140001542%E8%99%9F.pdf?d=w8a53d276eb6b47d4971acb0443fc7267" TargetMode="External"/><Relationship Id="rId39" Type="http://schemas.openxmlformats.org/officeDocument/2006/relationships/hyperlink" Target="https://pow06.ctci.com.tw/PRJ/24A5600A/JVPartner/Correspondence/%E6%94%B6%E7%99%BC%E6%96%87/%E6%94%B6%E6%96%87/114%E5%B9%B4%E5%BA%A6/1140411_%E5%8C%97%E6%B0%B4%E5%88%86%E7%BD%B2_%E6%B0%B4%E5%8C%97%E5%A4%9A%E5%AD%97%E7%AC%AC11453037020%E8%99%9F(%E7%84%A1%E9%99%84%E4%BB%B6).pdf?d=wa9ea0ba31b3f4a67b746671c48aa78e0" TargetMode="External"/><Relationship Id="rId50" Type="http://schemas.openxmlformats.org/officeDocument/2006/relationships/hyperlink" Target="https://pow06.ctci.com.tw/PRJ/24A5600A/JVPartner/Correspondence/%E6%94%B6%E7%99%BC%E6%96%87/%E7%99%BC%E6%96%87/114-1354/%E9%BC%8E%E6%B0%B4%E8%B3%87%E5%AD%97%E7%AC%AC1140001354%E8%99%9F.pdf?d=w4edc018457f447fe960b18852992578a" TargetMode="External"/><Relationship Id="rId104" Type="http://schemas.openxmlformats.org/officeDocument/2006/relationships/hyperlink" Target="https://pow06.ctci.com.tw/PRJ/24A5600A/JVPartner/Correspondence/%E6%94%B6%E7%99%BC%E6%96%87/%E6%94%B6%E6%96%87/114%E5%B9%B4%E5%BA%A6/1140428_%E5%8C%97%E6%B0%B4%E5%88%86%E7%BD%B2_%E6%B0%B4%E5%8C%97%E5%A4%9A%E5%AD%97%E7%AC%AC11453040750%E8%99%9F(%E7%84%A1%E9%99%84%E4%BB%B6).pdf?d=w14ba328f57f346f58db13a5b4aa2ae34" TargetMode="External"/><Relationship Id="rId125" Type="http://schemas.openxmlformats.org/officeDocument/2006/relationships/hyperlink" Target="https://pow06.ctci.com.tw/PRJ/24A5600A/JVPartner/Correspondence/%E6%94%B6%E7%99%BC%E6%96%87/%E7%99%BC%E6%96%87/114-538/%E9%BC%8E%E6%B0%B4%E8%B3%87%E5%AD%97%E7%AC%AC1140000538%E8%99%9F.pdf?d=w475565e2e3054711843cfb94581a7c00" TargetMode="External"/><Relationship Id="rId146" Type="http://schemas.openxmlformats.org/officeDocument/2006/relationships/hyperlink" Target="https://pow06.ctci.com.tw/PRJ/24A5600A/JVPartner/Correspondence/%E6%94%B6%E7%99%BC%E6%96%87/%E7%99%BC%E6%96%87/115-0205/%E9%BC%8E%E6%B0%B4%E8%B3%87%E5%AD%97%E7%AC%AC1150000205%E8%99%9F.pdf?d=w4b9ed73eb0834dbfa52732f78af2d67c" TargetMode="External"/><Relationship Id="rId167" Type="http://schemas.openxmlformats.org/officeDocument/2006/relationships/hyperlink" Target="https://pow06.ctci.com.tw/PRJ/24A5600A/JVPartner/Correspondence/%E6%94%B6%E7%99%BC%E6%96%87/%E6%94%B6%E6%96%87/1150316_%E8%89%BE%E5%A5%95%E5%BA%B7%E6%B0%B4%E5%AD%97%E7%AC%AC1150005002%E8%99%9F/%E8%89%BE%E5%A5%95%E5%BA%B7%E6%B0%B4%E5%AD%97%E7%AC%AC1150005002%E8%99%9F.pdf?d=w7d31fa1b21554b27a20a3b9cae58f327" TargetMode="External"/><Relationship Id="rId188" Type="http://schemas.openxmlformats.org/officeDocument/2006/relationships/hyperlink" Target="https://pow06.ctci.com.tw/PRJ/24A5600A/JVPartner/Correspondence/%E6%94%B6%E7%99%BC%E6%96%87/%E7%99%BC%E6%96%87/114-464/%E9%BC%8E%E6%B0%B4%E8%B3%87%E5%AD%97%E7%AC%AC1140000464%E8%99%9F.pdf?d=w7105b4a671c34cc785a2c867e493f8a2" TargetMode="External"/><Relationship Id="rId71" Type="http://schemas.openxmlformats.org/officeDocument/2006/relationships/hyperlink" Target="https://pow06.ctci.com.tw/PRJ/24A5600A/JVPartner/Correspondence/%E6%94%B6%E7%99%BC%E6%96%87/%E7%99%BC%E6%96%87/114-1296/%E9%BC%8E%E6%B0%B4%E8%B3%87%E5%AD%97%E7%AC%AC1140001296%E8%99%9F.pdf?d=wfaca365893694759a66c696163bb6d9c" TargetMode="External"/><Relationship Id="rId92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213" Type="http://schemas.openxmlformats.org/officeDocument/2006/relationships/hyperlink" Target="https://pow06.ctci.com.tw/PRJ/24A5600A/JVPartner/Correspondence/%E6%94%B6%E7%99%BC%E6%96%87/%E7%99%BC%E6%96%87/114-464/%E9%BC%8E%E6%B0%B4%E8%B3%87%E5%AD%97%E7%AC%AC1140000464%E8%99%9F.pdf?d=w7105b4a671c34cc785a2c867e493f8a2" TargetMode="External"/><Relationship Id="rId2" Type="http://schemas.openxmlformats.org/officeDocument/2006/relationships/hyperlink" Target="https://pow06.ctci.com.tw/PRJ/24A5600A/JVPartner/Correspondence/%E6%94%B6%E7%99%BC%E6%96%87/%E7%99%BC%E6%96%87/114-1379_%E6%B0%B4%E8%86%A8%E8%84%B9%E5%9E%8B%E6%AD%A2%E6%B0%B4%E5%B8%B6%E6%9D%90%E6%96%99%E9%80%81%E5%AF%A9/%E9%BC%8E%E6%B0%B4%E8%B3%87%E5%AD%97%E7%AC%AC1140001379%E8%99%9F.pdf?d=w319b6369ec3247799cbdf39b64fe4b66" TargetMode="External"/><Relationship Id="rId29" Type="http://schemas.openxmlformats.org/officeDocument/2006/relationships/hyperlink" Target="https://pow06.ctci.com.tw/PRJ/24A5600A/JVPartner/Correspondence/%E6%94%B6%E7%99%BC%E6%96%87/%E6%94%B6%E6%96%87/114%E5%B9%B4%E5%BA%A6/1141023_%E5%8C%97%E6%B0%B4%E5%88%86%E7%BD%B2_%E6%B0%B4%E5%8C%97%E5%A4%9A%E5%AD%97%E7%AC%AC11453113400%E8%99%9F(%E7%84%A1%E9%99%84%E4%BB%B6).pdf?d=w780a82b7bde449398f78d8763244e47b" TargetMode="External"/><Relationship Id="rId40" Type="http://schemas.openxmlformats.org/officeDocument/2006/relationships/hyperlink" Target="https://pow06.ctci.com.tw/PRJ/24A5600A/JVPartner/Correspondence/%E6%94%B6%E7%99%BC%E6%96%87/%E7%99%BC%E6%96%87/114-276/%E9%BC%8E%E6%B0%B4%E8%B3%87%E5%AD%97%E7%AC%AC1140000276%E8%99%9F.pdf?d=w48e153ce8548468983a06a92d3ca4695" TargetMode="External"/><Relationship Id="rId115" Type="http://schemas.openxmlformats.org/officeDocument/2006/relationships/hyperlink" Target="https://pow06.ctci.com.tw/PRJ/24A5600A/JVPartner/Correspondence/%E6%94%B6%E7%99%BC%E6%96%87/%E7%99%BC%E6%96%87/114-440_%E9%8B%BC%E7%AD%8B(%E6%B5%B7%E5%85%89)/%E9%BC%8E%E6%B0%B4%E8%B3%87%E5%AD%97%E7%AC%AC1140000440%E8%99%9F.pdf?d=w82f7cf3e2e58453e85884f0ed5c7b561" TargetMode="External"/><Relationship Id="rId136" Type="http://schemas.openxmlformats.org/officeDocument/2006/relationships/hyperlink" Target="https://pow06.ctci.com.tw/PRJ/24A5600A/JVPartner/Correspondence/%E6%94%B6%E7%99%BC%E6%96%87/%E6%94%B6%E6%96%87/1150203_%E6%B0%B4%E5%8C%97%E5%A4%9A%E5%AD%97%E7%AC%AC11522005540%E8%99%9F/%E6%B0%B4%E5%8C%97%E5%A4%9A%E5%AD%97%E7%AC%AC11522005540%E8%99%9F.pdf?d=wdb027541c08a48a4bdf7426df6398ad4" TargetMode="External"/><Relationship Id="rId157" Type="http://schemas.openxmlformats.org/officeDocument/2006/relationships/hyperlink" Target="https://pow06.ctci.com.tw/PRJ/24A5600A/JVPartner/Correspondence/%E6%94%B6%E7%99%BC%E6%96%87/%E6%94%B6%E6%96%87/1150324_%E6%B0%B4%E5%8C%97%E5%A4%9A%E5%AD%97%E7%AC%AC11522013680%E8%99%9F/%E6%B0%B4%E5%8C%97%E5%A4%9A%E5%AD%97%E7%AC%AC11522013680%E8%99%9F.pdf" TargetMode="External"/><Relationship Id="rId178" Type="http://schemas.openxmlformats.org/officeDocument/2006/relationships/hyperlink" Target="https://pow06.ctci.com.tw/PRJ/24A5600A/JVPartner/Correspondence/%E6%94%B6%E7%99%BC%E6%96%87/%E6%94%B6%E6%96%87/114%E5%B9%B4%E5%BA%A6/1140421_AECOM_%E8%89%BE%E5%A5%95%E5%BA%B7%E6%B0%B4%E5%AD%97%E7%AC%AC1140012509%E8%99%9F/1140421_AECOM_%E8%89%BE%E5%A5%95%E5%BA%B7%E6%B0%B4%E5%AD%97%E7%AC%AC1140012509%E8%99%9F.pdf?d=w0d8e44140923460eab3ee0a5f2af6d50" TargetMode="External"/><Relationship Id="rId61" Type="http://schemas.openxmlformats.org/officeDocument/2006/relationships/hyperlink" Target="https://pow06.ctci.com.tw/PRJ/24A5600A/JVPartner/Correspondence/%E6%94%B6%E7%99%BC%E6%96%87/%E6%94%B6%E6%96%87/114%E5%B9%B4%E5%BA%A6/1141120_%E5%8C%97%E6%B0%B4%E5%88%86%E7%BD%B2_%E6%B0%B4%E5%8C%97%E5%A4%9A%E5%AD%97%E7%AC%AC11422039720%E8%99%9F(%E7%84%A1%E9%99%84%E4%BB%B6).pdf?d=wc98a13fb66694ecb9f3212e0e9b15aaa" TargetMode="External"/><Relationship Id="rId82" Type="http://schemas.openxmlformats.org/officeDocument/2006/relationships/hyperlink" Target="https://pow06.ctci.com.tw/PRJ/24A5600A/JVPartner/Correspondence/%E6%94%B6%E7%99%BC%E6%96%87/%E6%94%B6%E6%96%87/1150305_%E6%B0%B4%E5%8C%97%E5%A4%9A%E5%AD%97%E7%AC%AC11522010180%E8%99%9F/%E6%B0%B4%E5%8C%97%E5%A4%9A%E5%AD%97%E7%AC%AC11522010180%E8%99%9F.pdf?d=w12125f52e02945528467ab446fb2f75a" TargetMode="External"/><Relationship Id="rId199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203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19" Type="http://schemas.openxmlformats.org/officeDocument/2006/relationships/hyperlink" Target="https://pow06.ctci.com.tw/PRJ/24A5600A/JVPartner/Correspondence/%E6%94%B6%E7%99%BC%E6%96%87/%E7%99%BC%E6%96%87/115-0120/%E9%BC%8E%E6%B0%B4%E8%B3%87%E5%AD%97%E7%AC%AC1150000120%E8%99%9F.pdf?d=wf59cf9908d634cb7843479e4a0d69573" TargetMode="External"/><Relationship Id="rId224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30" Type="http://schemas.openxmlformats.org/officeDocument/2006/relationships/hyperlink" Target="https://pow06.ctci.com.tw/PRJ/24A5600A/JVPartner/Correspondence/%E6%94%B6%E7%99%BC%E6%96%87/%E6%94%B6%E6%96%87/114%E5%B9%B4%E5%BA%A6/1140602_%E5%8C%97%E6%B0%B4%E5%88%86%E7%BD%B2_%E6%B0%B4%E5%8C%97%E5%A4%9A%E5%AD%97%E7%AC%AC11453056870%E8%99%9F(%E7%84%A1%E9%99%84%E4%BB%B6).pdf?d=w5d19ed772dd64e2dae697fe9ad9d6468" TargetMode="External"/><Relationship Id="rId105" Type="http://schemas.openxmlformats.org/officeDocument/2006/relationships/hyperlink" Target="https://pow06.ctci.com.tw/PRJ/24A5600A/JVPartner/Correspondence/%E6%94%B6%E7%99%BC%E6%96%87/%E7%99%BC%E6%96%87/114-305_%E9%8B%BC%E7%AD%8B(%E5%8D%9A%E5%A4%A7)%E6%9D%90%E6%96%99%E9%80%81%E5%AF%A9/%E9%BC%8E%E6%B0%B4%E8%B3%87%E5%AD%97%E7%AC%AC1140000305%E8%99%9F.pdf?d=wb4fa09cbc25d46c9bbf36b53e29b8d8a" TargetMode="External"/><Relationship Id="rId126" Type="http://schemas.openxmlformats.org/officeDocument/2006/relationships/hyperlink" Target="https://pow06.ctci.com.tw/PRJ/24A5600A/JVPartner/Correspondence/%E6%94%B6%E7%99%BC%E6%96%87/%E7%99%BC%E6%96%87/115-0120/%E9%BC%8E%E6%B0%B4%E8%B3%87%E5%AD%97%E7%AC%AC1150000120%E8%99%9F.pdf?d=wf59cf9908d634cb7843479e4a0d69573" TargetMode="External"/><Relationship Id="rId147" Type="http://schemas.openxmlformats.org/officeDocument/2006/relationships/hyperlink" Target="https://pow06.ctci.com.tw/PRJ/24A5600A/JVPartner/Correspondence/%E6%94%B6%E7%99%BC%E6%96%87/%E6%94%B6%E6%96%87/1150316_%E8%89%BE%E5%A5%95%E5%BA%B7%E6%B0%B4%E5%AD%97%E7%AC%AC1150005046%E8%99%9F/%E8%89%BE%E5%A5%95%E5%BA%B7%E6%B0%B4%E5%AD%97%E7%AC%AC1150005046%E8%99%9F.pdf?d=w56ad672c57454d0e97ad0b10d8c33238" TargetMode="External"/><Relationship Id="rId168" Type="http://schemas.openxmlformats.org/officeDocument/2006/relationships/hyperlink" Target="https://pow06.ctci.com.tw/PRJ/24A5600A/JVPartner/Correspondence/%E6%94%B6%E7%99%BC%E6%96%87/%E6%94%B6%E6%96%87/1150316_%E8%89%BE%E5%A5%95%E5%BA%B7%E6%B0%B4%E5%AD%97%E7%AC%AC1150005002%E8%99%9F/%E8%89%BE%E5%A5%95%E5%BA%B7%E6%B0%B4%E5%AD%97%E7%AC%AC1150005002%E8%99%9F.pdf?d=w7d31fa1b21554b27a20a3b9cae58f327" TargetMode="External"/><Relationship Id="rId51" Type="http://schemas.openxmlformats.org/officeDocument/2006/relationships/hyperlink" Target="https://pow06.ctci.com.tw/PRJ/24A5600A/JVPartner/Correspondence/%E6%94%B6%E7%99%BC%E6%96%87/%E6%94%B6%E6%96%87/1150126_%E8%89%BE%E5%A5%95%E5%BA%B7%E6%B0%B4%E5%AD%97%E7%AC%AC1150002915%E8%99%9F/%E8%89%BE%E5%A5%95%E5%BA%B7%E6%B0%B4%E5%AD%97%E7%AC%AC1150002915%E8%99%9F.pdf?d=w41238f6a516b4fddaf8ed24c362c1212" TargetMode="External"/><Relationship Id="rId72" Type="http://schemas.openxmlformats.org/officeDocument/2006/relationships/hyperlink" Target="https://pow06.ctci.com.tw/PRJ/24A5600A/JVPartner/Correspondence/%E6%94%B6%E7%99%BC%E6%96%87/%E7%99%BC%E6%96%87/114-1229/%E9%BC%8E%E6%B0%B4%E8%B3%87%E5%AD%97%E7%AC%AC1140001229%E8%99%9F.pdf?d=wd065e327e71f4594bfa1ddeba6ca4b13" TargetMode="External"/><Relationship Id="rId93" Type="http://schemas.openxmlformats.org/officeDocument/2006/relationships/hyperlink" Target="https://pow06.ctci.com.tw/PRJ/24A5600A/JVPartner/Correspondence/%E6%94%B6%E7%99%BC%E6%96%87/%E7%99%BC%E6%96%87/115-0207/%E9%BC%8E%E6%B0%B4%E8%B3%87%E5%AD%97%E7%AC%AC1150000207%E8%99%9F.pdf?d=wdd656c2d9a1e4ae09039bafaae8c1a70" TargetMode="External"/><Relationship Id="rId189" Type="http://schemas.openxmlformats.org/officeDocument/2006/relationships/hyperlink" Target="https://pow06.ctci.com.tw/PRJ/24A5600A/JVPartner/Correspondence/%E6%94%B6%E7%99%BC%E6%96%87/%E7%99%BC%E6%96%87/114-1053/%E9%BC%8E%E6%B0%B4%E8%B3%87%E5%AD%97%E7%AC%AC1140001053%E8%99%9F.pdf?d=w1f062d43bebf403684690cb136fc926d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2882D-B7FE-4E68-BFEF-ADFB620CCD4F}">
  <sheetPr>
    <pageSetUpPr fitToPage="1"/>
  </sheetPr>
  <dimension ref="A1:K13"/>
  <sheetViews>
    <sheetView zoomScale="85" zoomScaleNormal="85" zoomScaleSheetLayoutView="85" workbookViewId="0">
      <selection activeCell="K13" sqref="K13"/>
    </sheetView>
  </sheetViews>
  <sheetFormatPr defaultColWidth="8.90625" defaultRowHeight="14.5"/>
  <cols>
    <col min="1" max="2" width="11.90625" style="68" customWidth="1"/>
    <col min="3" max="3" width="30.90625" style="68" customWidth="1"/>
    <col min="4" max="4" width="12.453125" style="68" customWidth="1"/>
    <col min="5" max="5" width="11.453125" style="68" customWidth="1"/>
    <col min="6" max="6" width="13.453125" style="68" customWidth="1"/>
    <col min="7" max="7" width="9.90625" style="68" customWidth="1"/>
    <col min="8" max="9" width="11" style="68" bestFit="1" customWidth="1"/>
    <col min="10" max="10" width="20.453125" style="68" bestFit="1" customWidth="1"/>
    <col min="11" max="11" width="35.453125" style="68" customWidth="1"/>
    <col min="12" max="16384" width="8.90625" style="68"/>
  </cols>
  <sheetData>
    <row r="1" spans="1:11" ht="30" customHeight="1">
      <c r="A1" s="598" t="s">
        <v>394</v>
      </c>
      <c r="B1" s="598"/>
      <c r="C1" s="598"/>
      <c r="D1" s="598"/>
      <c r="E1" s="598"/>
      <c r="F1" s="598"/>
      <c r="G1" s="598"/>
      <c r="H1" s="598"/>
      <c r="I1" s="598"/>
      <c r="J1" s="598"/>
    </row>
    <row r="2" spans="1:11" ht="30" customHeight="1">
      <c r="A2" s="70" t="s">
        <v>229</v>
      </c>
      <c r="B2" s="70" t="s">
        <v>1</v>
      </c>
      <c r="C2" s="70" t="s">
        <v>230</v>
      </c>
      <c r="D2" s="70" t="s">
        <v>231</v>
      </c>
      <c r="E2" s="70" t="s">
        <v>232</v>
      </c>
      <c r="F2" s="70" t="s">
        <v>233</v>
      </c>
      <c r="G2" s="70" t="s">
        <v>234</v>
      </c>
      <c r="H2" s="70" t="s">
        <v>251</v>
      </c>
      <c r="I2" s="70" t="s">
        <v>235</v>
      </c>
      <c r="J2" s="70" t="s">
        <v>393</v>
      </c>
      <c r="K2" s="74"/>
    </row>
    <row r="3" spans="1:11" ht="30" customHeight="1">
      <c r="A3" s="599" t="s">
        <v>236</v>
      </c>
      <c r="B3" s="97" t="s">
        <v>384</v>
      </c>
      <c r="C3" s="75" t="s">
        <v>238</v>
      </c>
      <c r="D3" s="69">
        <f>'10-1材料試驗單位'!C66</f>
        <v>21</v>
      </c>
      <c r="E3" s="69">
        <f>'10-1材料試驗單位'!C67</f>
        <v>0</v>
      </c>
      <c r="F3" s="69">
        <f t="shared" ref="F3:F11" si="0">G3+H3+I3</f>
        <v>21</v>
      </c>
      <c r="G3" s="69">
        <f>'10-1材料試驗單位'!C68</f>
        <v>19</v>
      </c>
      <c r="H3" s="69">
        <f>'10-1材料試驗單位'!C69</f>
        <v>2</v>
      </c>
      <c r="I3" s="69">
        <f>'10-1材料試驗單位'!C70</f>
        <v>0</v>
      </c>
      <c r="J3" s="71">
        <f>G3/D3</f>
        <v>0.90476190476190477</v>
      </c>
      <c r="K3" s="74" t="s">
        <v>248</v>
      </c>
    </row>
    <row r="4" spans="1:11" ht="30" customHeight="1">
      <c r="A4" s="599"/>
      <c r="B4" s="97" t="s">
        <v>385</v>
      </c>
      <c r="C4" s="75" t="s">
        <v>237</v>
      </c>
      <c r="D4" s="69">
        <f>'10-2土建'!H161</f>
        <v>73</v>
      </c>
      <c r="E4" s="69">
        <f>'10-2土建'!H162</f>
        <v>5</v>
      </c>
      <c r="F4" s="69">
        <f t="shared" si="0"/>
        <v>68</v>
      </c>
      <c r="G4" s="69">
        <f>'10-2土建'!H163</f>
        <v>64</v>
      </c>
      <c r="H4" s="69">
        <f>'10-2土建'!H164</f>
        <v>0</v>
      </c>
      <c r="I4" s="69">
        <f>'10-2土建'!H165</f>
        <v>4</v>
      </c>
      <c r="J4" s="71">
        <f>G4/D4</f>
        <v>0.87671232876712324</v>
      </c>
      <c r="K4" s="74" t="s">
        <v>244</v>
      </c>
    </row>
    <row r="5" spans="1:11" ht="30" customHeight="1">
      <c r="A5" s="599"/>
      <c r="B5" s="97" t="s">
        <v>386</v>
      </c>
      <c r="C5" s="75" t="s">
        <v>247</v>
      </c>
      <c r="D5" s="69">
        <f>'10-3取排水(宏華)'!C38</f>
        <v>10</v>
      </c>
      <c r="E5" s="69">
        <f>'10-3取排水(宏華)'!C39</f>
        <v>0</v>
      </c>
      <c r="F5" s="69">
        <f t="shared" si="0"/>
        <v>10</v>
      </c>
      <c r="G5" s="69">
        <f>'10-3取排水(宏華)'!C40</f>
        <v>6</v>
      </c>
      <c r="H5" s="69">
        <f>'10-3取排水(宏華)'!C41</f>
        <v>4</v>
      </c>
      <c r="I5" s="69">
        <f>'10-3取排水(宏華)'!C42</f>
        <v>0</v>
      </c>
      <c r="J5" s="71">
        <f t="shared" ref="J5:J10" si="1">G5/D5</f>
        <v>0.6</v>
      </c>
      <c r="K5" s="74" t="s">
        <v>242</v>
      </c>
    </row>
    <row r="6" spans="1:11" ht="30" customHeight="1">
      <c r="A6" s="599"/>
      <c r="B6" s="97" t="s">
        <v>387</v>
      </c>
      <c r="C6" s="75" t="s">
        <v>245</v>
      </c>
      <c r="D6" s="69">
        <f>'10-4 建築裝修'!F169</f>
        <v>54</v>
      </c>
      <c r="E6" s="69">
        <f>'10-4 建築裝修'!F170</f>
        <v>50</v>
      </c>
      <c r="F6" s="69">
        <f t="shared" si="0"/>
        <v>4</v>
      </c>
      <c r="G6" s="69">
        <f>'10-4 建築裝修'!F171</f>
        <v>4</v>
      </c>
      <c r="H6" s="69">
        <f>'10-4 建築裝修'!F172</f>
        <v>0</v>
      </c>
      <c r="I6" s="69">
        <f>'10-4 建築裝修'!F173</f>
        <v>0</v>
      </c>
      <c r="J6" s="71">
        <f t="shared" si="1"/>
        <v>7.407407407407407E-2</v>
      </c>
      <c r="K6" s="74" t="s">
        <v>252</v>
      </c>
    </row>
    <row r="7" spans="1:11" ht="30" customHeight="1">
      <c r="A7" s="599"/>
      <c r="B7" s="97" t="s">
        <v>388</v>
      </c>
      <c r="C7" s="75" t="s">
        <v>250</v>
      </c>
      <c r="D7" s="69">
        <f>'10-5消防空調給排水'!E49</f>
        <v>14</v>
      </c>
      <c r="E7" s="69">
        <f>'10-5消防空調給排水'!E50</f>
        <v>13</v>
      </c>
      <c r="F7" s="69">
        <f t="shared" si="0"/>
        <v>1</v>
      </c>
      <c r="G7" s="69">
        <f>'10-5消防空調給排水'!E51</f>
        <v>0</v>
      </c>
      <c r="H7" s="69">
        <f>'10-5消防空調給排水'!E52</f>
        <v>0</v>
      </c>
      <c r="I7" s="69">
        <f>'10-5消防空調給排水'!E53</f>
        <v>1</v>
      </c>
      <c r="J7" s="71">
        <f t="shared" si="1"/>
        <v>0</v>
      </c>
      <c r="K7" s="74" t="s">
        <v>318</v>
      </c>
    </row>
    <row r="8" spans="1:11" ht="30" customHeight="1">
      <c r="A8" s="599"/>
      <c r="B8" s="97" t="s">
        <v>389</v>
      </c>
      <c r="C8" s="75" t="s">
        <v>273</v>
      </c>
      <c r="D8" s="69">
        <f>'10-6機械設備'!F211</f>
        <v>68</v>
      </c>
      <c r="E8" s="69">
        <f>'10-6機械設備'!F212</f>
        <v>12</v>
      </c>
      <c r="F8" s="69">
        <f t="shared" si="0"/>
        <v>56</v>
      </c>
      <c r="G8" s="69">
        <f>'10-6機械設備'!F213</f>
        <v>45</v>
      </c>
      <c r="H8" s="69">
        <f>'10-6機械設備'!F214</f>
        <v>10</v>
      </c>
      <c r="I8" s="69">
        <f>'10-6機械設備'!F215</f>
        <v>1</v>
      </c>
      <c r="J8" s="71">
        <f t="shared" si="1"/>
        <v>0.66176470588235292</v>
      </c>
      <c r="K8" s="74" t="s">
        <v>267</v>
      </c>
    </row>
    <row r="9" spans="1:11" ht="30" customHeight="1">
      <c r="A9" s="599"/>
      <c r="B9" s="97" t="s">
        <v>390</v>
      </c>
      <c r="C9" s="75" t="s">
        <v>246</v>
      </c>
      <c r="D9" s="69">
        <f>'10-7電力儀控'!G253</f>
        <v>82</v>
      </c>
      <c r="E9" s="69">
        <f>'10-7電力儀控'!G254</f>
        <v>61</v>
      </c>
      <c r="F9" s="69">
        <f t="shared" si="0"/>
        <v>21</v>
      </c>
      <c r="G9" s="69">
        <f>'10-7電力儀控'!G255</f>
        <v>4</v>
      </c>
      <c r="H9" s="69">
        <f>'10-7電力儀控'!G256</f>
        <v>16</v>
      </c>
      <c r="I9" s="69">
        <f>'10-7電力儀控'!G257</f>
        <v>1</v>
      </c>
      <c r="J9" s="71">
        <f t="shared" si="1"/>
        <v>4.878048780487805E-2</v>
      </c>
      <c r="K9" s="74" t="s">
        <v>272</v>
      </c>
    </row>
    <row r="10" spans="1:11" ht="30" customHeight="1">
      <c r="A10" s="599"/>
      <c r="B10" s="97" t="s">
        <v>391</v>
      </c>
      <c r="C10" s="75" t="s">
        <v>325</v>
      </c>
      <c r="D10" s="69">
        <f>'10-8管線閥類'!F64</f>
        <v>19</v>
      </c>
      <c r="E10" s="69">
        <f>'10-8管線閥類'!F65</f>
        <v>18</v>
      </c>
      <c r="F10" s="69">
        <f t="shared" si="0"/>
        <v>1</v>
      </c>
      <c r="G10" s="69">
        <f>'10-8管線閥類'!F66</f>
        <v>0</v>
      </c>
      <c r="H10" s="69">
        <f>'10-8管線閥類'!F67</f>
        <v>1</v>
      </c>
      <c r="I10" s="69">
        <f>'10-8管線閥類'!F68</f>
        <v>0</v>
      </c>
      <c r="J10" s="71">
        <f t="shared" si="1"/>
        <v>0</v>
      </c>
      <c r="K10" s="74"/>
    </row>
    <row r="11" spans="1:11" ht="30" customHeight="1">
      <c r="A11" s="599"/>
      <c r="B11" s="97" t="s">
        <v>392</v>
      </c>
      <c r="C11" s="75" t="s">
        <v>364</v>
      </c>
      <c r="D11" s="69">
        <f>'10-9景觀植栽'!E37</f>
        <v>7</v>
      </c>
      <c r="E11" s="69">
        <f>'10-9景觀植栽'!E38</f>
        <v>7</v>
      </c>
      <c r="F11" s="69">
        <f t="shared" si="0"/>
        <v>0</v>
      </c>
      <c r="G11" s="69">
        <f>'10-9景觀植栽'!E39</f>
        <v>0</v>
      </c>
      <c r="H11" s="69">
        <f>'10-9景觀植栽'!E40</f>
        <v>0</v>
      </c>
      <c r="I11" s="69">
        <f>'10-9景觀植栽'!E41</f>
        <v>0</v>
      </c>
      <c r="J11" s="71">
        <f t="shared" ref="J11" si="2">G11/D11</f>
        <v>0</v>
      </c>
      <c r="K11" s="74"/>
    </row>
    <row r="12" spans="1:11" ht="30" customHeight="1">
      <c r="A12" s="599"/>
      <c r="B12" s="600" t="s">
        <v>249</v>
      </c>
      <c r="C12" s="601"/>
      <c r="D12" s="98">
        <f t="shared" ref="D12:I12" si="3">SUM(D3:D11)</f>
        <v>348</v>
      </c>
      <c r="E12" s="98">
        <f t="shared" si="3"/>
        <v>166</v>
      </c>
      <c r="F12" s="98">
        <f t="shared" si="3"/>
        <v>182</v>
      </c>
      <c r="G12" s="98">
        <f t="shared" si="3"/>
        <v>142</v>
      </c>
      <c r="H12" s="98">
        <f t="shared" si="3"/>
        <v>33</v>
      </c>
      <c r="I12" s="98">
        <f t="shared" si="3"/>
        <v>7</v>
      </c>
      <c r="J12" s="99">
        <f>G12/D12</f>
        <v>0.40804597701149425</v>
      </c>
    </row>
    <row r="13" spans="1:11" ht="40.4" customHeight="1">
      <c r="A13" s="81"/>
      <c r="B13" s="81"/>
      <c r="C13" s="81"/>
      <c r="D13" s="81"/>
      <c r="E13" s="81"/>
      <c r="F13" s="81"/>
      <c r="G13" s="81"/>
      <c r="H13" s="81"/>
      <c r="I13" s="81"/>
      <c r="J13" s="82"/>
    </row>
  </sheetData>
  <mergeCells count="3">
    <mergeCell ref="A1:J1"/>
    <mergeCell ref="A3:A12"/>
    <mergeCell ref="B12:C12"/>
  </mergeCells>
  <phoneticPr fontId="3" type="noConversion"/>
  <conditionalFormatting sqref="J3:J12">
    <cfRule type="expression" dxfId="49" priority="1">
      <formula>$J3&gt;=60%</formula>
    </cfRule>
    <cfRule type="expression" dxfId="48" priority="2">
      <formula>$J3&lt;60%</formula>
    </cfRule>
  </conditionalFormatting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3C3EF-D931-4845-87AB-B6BA0EBA3D00}">
  <sheetPr>
    <tabColor theme="9" tint="0.79998168889431442"/>
    <pageSetUpPr autoPageBreaks="0" fitToPage="1"/>
  </sheetPr>
  <dimension ref="A1:Z70"/>
  <sheetViews>
    <sheetView zoomScale="55" zoomScaleNormal="55" zoomScaleSheetLayoutView="55" zoomScalePageLayoutView="40" workbookViewId="0">
      <pane xSplit="3" ySplit="4" topLeftCell="D55" activePane="bottomRight" state="frozen"/>
      <selection activeCell="J17" sqref="J17"/>
      <selection pane="topRight" activeCell="J17" sqref="J17"/>
      <selection pane="bottomLeft" activeCell="J17" sqref="J17"/>
      <selection pane="bottomRight" activeCell="Z63" sqref="Z63"/>
    </sheetView>
  </sheetViews>
  <sheetFormatPr defaultColWidth="8" defaultRowHeight="16"/>
  <cols>
    <col min="1" max="1" width="10.90625" style="48" customWidth="1"/>
    <col min="2" max="2" width="28.08984375" style="2" customWidth="1"/>
    <col min="3" max="3" width="28.54296875" style="52" customWidth="1"/>
    <col min="4" max="7" width="20.08984375" style="52" hidden="1" customWidth="1"/>
    <col min="8" max="8" width="15.08984375" style="53" hidden="1" customWidth="1"/>
    <col min="9" max="9" width="17.453125" style="52" hidden="1" customWidth="1"/>
    <col min="10" max="10" width="16.453125" style="52" hidden="1" customWidth="1"/>
    <col min="11" max="11" width="20.08984375" style="53" hidden="1" customWidth="1"/>
    <col min="12" max="12" width="14.08984375" style="54" hidden="1" customWidth="1"/>
    <col min="13" max="13" width="13.08984375" style="54" customWidth="1"/>
    <col min="14" max="14" width="14.08984375" style="2" customWidth="1"/>
    <col min="15" max="15" width="16.453125" style="2" customWidth="1"/>
    <col min="16" max="16" width="24.453125" style="2" customWidth="1"/>
    <col min="17" max="17" width="16.08984375" style="2" bestFit="1" customWidth="1"/>
    <col min="18" max="18" width="24.453125" style="2" customWidth="1"/>
    <col min="19" max="19" width="24.90625" style="2" customWidth="1"/>
    <col min="20" max="20" width="16.08984375" style="2" bestFit="1" customWidth="1"/>
    <col min="21" max="21" width="20.453125" style="2" bestFit="1" customWidth="1"/>
    <col min="22" max="22" width="14.08984375" style="2" bestFit="1" customWidth="1"/>
    <col min="23" max="23" width="16.08984375" style="2" bestFit="1" customWidth="1"/>
    <col min="24" max="24" width="23" style="2" bestFit="1" customWidth="1"/>
    <col min="25" max="25" width="14.08984375" style="2" bestFit="1" customWidth="1"/>
    <col min="26" max="26" width="23.08984375" style="52" customWidth="1"/>
    <col min="27" max="16384" width="8" style="1"/>
  </cols>
  <sheetData>
    <row r="1" spans="1:26" ht="40.4" customHeight="1">
      <c r="A1" s="608" t="s">
        <v>369</v>
      </c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</row>
    <row r="2" spans="1:26" s="2" customFormat="1" ht="30" customHeight="1">
      <c r="A2" s="609" t="s">
        <v>1</v>
      </c>
      <c r="B2" s="610" t="s">
        <v>3</v>
      </c>
      <c r="C2" s="610" t="s">
        <v>4</v>
      </c>
      <c r="D2" s="629" t="s">
        <v>230</v>
      </c>
      <c r="E2" s="632" t="s">
        <v>255</v>
      </c>
      <c r="F2" s="634" t="s">
        <v>562</v>
      </c>
      <c r="G2" s="634" t="s">
        <v>565</v>
      </c>
      <c r="H2" s="611" t="s">
        <v>5</v>
      </c>
      <c r="I2" s="614" t="s">
        <v>6</v>
      </c>
      <c r="J2" s="614" t="s">
        <v>7</v>
      </c>
      <c r="K2" s="617" t="s">
        <v>8</v>
      </c>
      <c r="L2" s="611" t="s">
        <v>9</v>
      </c>
      <c r="M2" s="610" t="s">
        <v>10</v>
      </c>
      <c r="N2" s="610" t="s">
        <v>11</v>
      </c>
      <c r="O2" s="618" t="s">
        <v>12</v>
      </c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 t="s">
        <v>13</v>
      </c>
    </row>
    <row r="3" spans="1:26" s="2" customFormat="1" ht="30" customHeight="1">
      <c r="A3" s="609"/>
      <c r="B3" s="610"/>
      <c r="C3" s="610"/>
      <c r="D3" s="630"/>
      <c r="E3" s="633"/>
      <c r="F3" s="635"/>
      <c r="G3" s="635"/>
      <c r="H3" s="612"/>
      <c r="I3" s="615"/>
      <c r="J3" s="615"/>
      <c r="K3" s="617" t="s">
        <v>14</v>
      </c>
      <c r="L3" s="612"/>
      <c r="M3" s="610"/>
      <c r="N3" s="610"/>
      <c r="O3" s="619" t="s">
        <v>15</v>
      </c>
      <c r="P3" s="619"/>
      <c r="Q3" s="620" t="s">
        <v>16</v>
      </c>
      <c r="R3" s="620"/>
      <c r="S3" s="620"/>
      <c r="T3" s="621" t="s">
        <v>17</v>
      </c>
      <c r="U3" s="621"/>
      <c r="V3" s="621"/>
      <c r="W3" s="622" t="s">
        <v>18</v>
      </c>
      <c r="X3" s="622"/>
      <c r="Y3" s="622"/>
      <c r="Z3" s="618"/>
    </row>
    <row r="4" spans="1:26" s="2" customFormat="1" ht="30" customHeight="1">
      <c r="A4" s="609"/>
      <c r="B4" s="610"/>
      <c r="C4" s="610"/>
      <c r="D4" s="631"/>
      <c r="E4" s="633"/>
      <c r="F4" s="636"/>
      <c r="G4" s="636"/>
      <c r="H4" s="613"/>
      <c r="I4" s="616"/>
      <c r="J4" s="616"/>
      <c r="K4" s="617"/>
      <c r="L4" s="613"/>
      <c r="M4" s="610"/>
      <c r="N4" s="610"/>
      <c r="O4" s="3" t="s">
        <v>19</v>
      </c>
      <c r="P4" s="3" t="s">
        <v>20</v>
      </c>
      <c r="Q4" s="4" t="s">
        <v>19</v>
      </c>
      <c r="R4" s="4" t="s">
        <v>20</v>
      </c>
      <c r="S4" s="4" t="s">
        <v>21</v>
      </c>
      <c r="T4" s="5" t="s">
        <v>19</v>
      </c>
      <c r="U4" s="5" t="s">
        <v>20</v>
      </c>
      <c r="V4" s="5" t="s">
        <v>21</v>
      </c>
      <c r="W4" s="6" t="s">
        <v>19</v>
      </c>
      <c r="X4" s="6" t="s">
        <v>20</v>
      </c>
      <c r="Y4" s="6" t="s">
        <v>21</v>
      </c>
      <c r="Z4" s="618"/>
    </row>
    <row r="5" spans="1:26" ht="40.4" customHeight="1">
      <c r="A5" s="449" t="s">
        <v>214</v>
      </c>
      <c r="B5" s="448" t="s">
        <v>124</v>
      </c>
      <c r="C5" s="444" t="s">
        <v>1125</v>
      </c>
      <c r="D5" s="450"/>
      <c r="E5" s="450"/>
      <c r="F5" s="450"/>
      <c r="G5" s="450"/>
      <c r="H5" s="17"/>
      <c r="I5" s="31"/>
      <c r="J5" s="451"/>
      <c r="K5" s="18" t="str">
        <f t="shared" ref="K5:K54" ca="1" si="0">IF(H5="","",IF(O5&lt;&gt;"","",IF(AND(O5="",H5-TODAY()&lt;=60),H5-TODAY(),"")))</f>
        <v/>
      </c>
      <c r="L5" s="18" t="str">
        <f t="shared" ref="L5:L54" si="1">IF(AND(ISNUMBER(H5),ISNUMBER(O5)),H5-O5,"")</f>
        <v/>
      </c>
      <c r="M5" s="19" t="s">
        <v>26</v>
      </c>
      <c r="N5" s="22"/>
      <c r="O5" s="20">
        <v>45660</v>
      </c>
      <c r="P5" s="21" t="s">
        <v>125</v>
      </c>
      <c r="Q5" s="20">
        <v>45677</v>
      </c>
      <c r="R5" s="21" t="s">
        <v>126</v>
      </c>
      <c r="S5" s="22" t="s">
        <v>30</v>
      </c>
      <c r="T5" s="20" t="s">
        <v>75</v>
      </c>
      <c r="U5" s="20" t="s">
        <v>75</v>
      </c>
      <c r="V5" s="20" t="s">
        <v>75</v>
      </c>
      <c r="W5" s="20">
        <v>45681</v>
      </c>
      <c r="X5" s="22" t="s">
        <v>127</v>
      </c>
      <c r="Y5" s="22" t="s">
        <v>196</v>
      </c>
      <c r="Z5" s="15"/>
    </row>
    <row r="6" spans="1:26" ht="40.4" customHeight="1">
      <c r="A6" s="449" t="s">
        <v>215</v>
      </c>
      <c r="B6" s="448" t="s">
        <v>128</v>
      </c>
      <c r="C6" s="444" t="s">
        <v>1126</v>
      </c>
      <c r="D6" s="450"/>
      <c r="E6" s="450"/>
      <c r="F6" s="450"/>
      <c r="G6" s="450"/>
      <c r="H6" s="17"/>
      <c r="I6" s="31"/>
      <c r="J6" s="451"/>
      <c r="K6" s="18" t="str">
        <f t="shared" ca="1" si="0"/>
        <v/>
      </c>
      <c r="L6" s="18" t="str">
        <f t="shared" si="1"/>
        <v/>
      </c>
      <c r="M6" s="19" t="s">
        <v>26</v>
      </c>
      <c r="N6" s="22"/>
      <c r="O6" s="20">
        <v>45659</v>
      </c>
      <c r="P6" s="21" t="s">
        <v>129</v>
      </c>
      <c r="Q6" s="20">
        <v>45677</v>
      </c>
      <c r="R6" s="21" t="s">
        <v>126</v>
      </c>
      <c r="S6" s="22" t="s">
        <v>30</v>
      </c>
      <c r="T6" s="23" t="s">
        <v>75</v>
      </c>
      <c r="U6" s="23" t="s">
        <v>75</v>
      </c>
      <c r="V6" s="23" t="s">
        <v>75</v>
      </c>
      <c r="W6" s="23">
        <v>45681</v>
      </c>
      <c r="X6" s="22" t="s">
        <v>127</v>
      </c>
      <c r="Y6" s="22" t="s">
        <v>196</v>
      </c>
      <c r="Z6" s="15"/>
    </row>
    <row r="7" spans="1:26" s="2" customFormat="1" ht="40.4" customHeight="1">
      <c r="A7" s="623" t="s">
        <v>216</v>
      </c>
      <c r="B7" s="626" t="s">
        <v>195</v>
      </c>
      <c r="C7" s="605" t="s">
        <v>1127</v>
      </c>
      <c r="D7" s="445"/>
      <c r="E7" s="445"/>
      <c r="F7" s="445"/>
      <c r="G7" s="445"/>
      <c r="H7" s="17"/>
      <c r="I7" s="31"/>
      <c r="J7" s="32"/>
      <c r="K7" s="18" t="str">
        <f t="shared" ca="1" si="0"/>
        <v/>
      </c>
      <c r="L7" s="18" t="str">
        <f t="shared" si="1"/>
        <v/>
      </c>
      <c r="M7" s="19" t="s">
        <v>26</v>
      </c>
      <c r="N7" s="22" t="s">
        <v>40</v>
      </c>
      <c r="O7" s="23">
        <v>45744</v>
      </c>
      <c r="P7" s="24" t="s">
        <v>113</v>
      </c>
      <c r="Q7" s="23">
        <v>45754</v>
      </c>
      <c r="R7" s="24" t="s">
        <v>114</v>
      </c>
      <c r="S7" s="22" t="s">
        <v>38</v>
      </c>
      <c r="T7" s="23">
        <v>45754</v>
      </c>
      <c r="U7" s="24" t="s">
        <v>114</v>
      </c>
      <c r="V7" s="22" t="s">
        <v>201</v>
      </c>
      <c r="W7" s="23">
        <v>45755</v>
      </c>
      <c r="X7" s="22" t="s">
        <v>104</v>
      </c>
      <c r="Y7" s="22" t="s">
        <v>196</v>
      </c>
      <c r="Z7" s="15"/>
    </row>
    <row r="8" spans="1:26" s="2" customFormat="1" ht="40.4" customHeight="1">
      <c r="A8" s="624"/>
      <c r="B8" s="627"/>
      <c r="C8" s="606"/>
      <c r="D8" s="446"/>
      <c r="E8" s="446"/>
      <c r="F8" s="446"/>
      <c r="G8" s="446"/>
      <c r="H8" s="17"/>
      <c r="I8" s="31"/>
      <c r="J8" s="32"/>
      <c r="K8" s="18" t="str">
        <f t="shared" ca="1" si="0"/>
        <v/>
      </c>
      <c r="L8" s="18" t="str">
        <f t="shared" si="1"/>
        <v/>
      </c>
      <c r="M8" s="19"/>
      <c r="N8" s="22"/>
      <c r="O8" s="23"/>
      <c r="P8" s="24"/>
      <c r="Q8" s="23"/>
      <c r="R8" s="24"/>
      <c r="S8" s="22"/>
      <c r="T8" s="23"/>
      <c r="U8" s="24"/>
      <c r="V8" s="22"/>
      <c r="W8" s="23"/>
      <c r="X8" s="22"/>
      <c r="Y8" s="22"/>
      <c r="Z8" s="16"/>
    </row>
    <row r="9" spans="1:26" s="2" customFormat="1" ht="40.4" customHeight="1">
      <c r="A9" s="625"/>
      <c r="B9" s="628"/>
      <c r="C9" s="607"/>
      <c r="D9" s="447"/>
      <c r="E9" s="447"/>
      <c r="F9" s="447"/>
      <c r="G9" s="447"/>
      <c r="H9" s="17"/>
      <c r="I9" s="31"/>
      <c r="J9" s="32"/>
      <c r="K9" s="18" t="str">
        <f t="shared" ca="1" si="0"/>
        <v/>
      </c>
      <c r="L9" s="18" t="str">
        <f t="shared" si="1"/>
        <v/>
      </c>
      <c r="M9" s="19"/>
      <c r="N9" s="22"/>
      <c r="O9" s="20"/>
      <c r="P9" s="21"/>
      <c r="Q9" s="20"/>
      <c r="R9" s="21"/>
      <c r="S9" s="22"/>
      <c r="T9" s="20"/>
      <c r="U9" s="21"/>
      <c r="V9" s="22"/>
      <c r="W9" s="20"/>
      <c r="X9" s="22"/>
      <c r="Y9" s="22"/>
      <c r="Z9" s="16"/>
    </row>
    <row r="10" spans="1:26" s="2" customFormat="1" ht="40.4" customHeight="1">
      <c r="A10" s="623" t="s">
        <v>217</v>
      </c>
      <c r="B10" s="626" t="s">
        <v>197</v>
      </c>
      <c r="C10" s="605" t="s">
        <v>1128</v>
      </c>
      <c r="D10" s="445"/>
      <c r="E10" s="445"/>
      <c r="F10" s="445"/>
      <c r="G10" s="445"/>
      <c r="H10" s="17"/>
      <c r="I10" s="31"/>
      <c r="J10" s="32"/>
      <c r="K10" s="18" t="str">
        <f t="shared" ca="1" si="0"/>
        <v/>
      </c>
      <c r="L10" s="18" t="str">
        <f t="shared" si="1"/>
        <v/>
      </c>
      <c r="M10" s="19" t="s">
        <v>26</v>
      </c>
      <c r="N10" s="22" t="s">
        <v>22</v>
      </c>
      <c r="O10" s="23">
        <v>45744</v>
      </c>
      <c r="P10" s="24" t="s">
        <v>102</v>
      </c>
      <c r="Q10" s="23">
        <v>45754</v>
      </c>
      <c r="R10" s="24" t="s">
        <v>103</v>
      </c>
      <c r="S10" s="22" t="s">
        <v>38</v>
      </c>
      <c r="T10" s="23">
        <v>45754</v>
      </c>
      <c r="U10" s="24" t="s">
        <v>103</v>
      </c>
      <c r="V10" s="22" t="s">
        <v>201</v>
      </c>
      <c r="W10" s="23">
        <v>45755</v>
      </c>
      <c r="X10" s="22" t="s">
        <v>104</v>
      </c>
      <c r="Y10" s="22" t="s">
        <v>196</v>
      </c>
      <c r="Z10" s="15"/>
    </row>
    <row r="11" spans="1:26" s="2" customFormat="1" ht="40.4" customHeight="1">
      <c r="A11" s="624"/>
      <c r="B11" s="627"/>
      <c r="C11" s="606"/>
      <c r="D11" s="446"/>
      <c r="E11" s="446"/>
      <c r="F11" s="446"/>
      <c r="G11" s="446"/>
      <c r="H11" s="17"/>
      <c r="I11" s="31"/>
      <c r="J11" s="32"/>
      <c r="K11" s="18" t="str">
        <f t="shared" ca="1" si="0"/>
        <v/>
      </c>
      <c r="L11" s="18" t="str">
        <f t="shared" si="1"/>
        <v/>
      </c>
      <c r="M11" s="19"/>
      <c r="N11" s="22"/>
      <c r="O11" s="23"/>
      <c r="P11" s="24"/>
      <c r="Q11" s="23"/>
      <c r="R11" s="24"/>
      <c r="S11" s="22"/>
      <c r="T11" s="23"/>
      <c r="U11" s="24"/>
      <c r="V11" s="22"/>
      <c r="W11" s="23"/>
      <c r="X11" s="22"/>
      <c r="Y11" s="22"/>
      <c r="Z11" s="16"/>
    </row>
    <row r="12" spans="1:26" s="2" customFormat="1" ht="40.4" customHeight="1">
      <c r="A12" s="625"/>
      <c r="B12" s="628"/>
      <c r="C12" s="607"/>
      <c r="D12" s="447"/>
      <c r="E12" s="447"/>
      <c r="F12" s="447"/>
      <c r="G12" s="447"/>
      <c r="H12" s="17"/>
      <c r="I12" s="31"/>
      <c r="J12" s="32"/>
      <c r="K12" s="18" t="str">
        <f t="shared" ca="1" si="0"/>
        <v/>
      </c>
      <c r="L12" s="18" t="str">
        <f t="shared" si="1"/>
        <v/>
      </c>
      <c r="M12" s="19"/>
      <c r="N12" s="22"/>
      <c r="O12" s="20"/>
      <c r="P12" s="21"/>
      <c r="Q12" s="20"/>
      <c r="R12" s="21"/>
      <c r="S12" s="22"/>
      <c r="T12" s="20"/>
      <c r="U12" s="21"/>
      <c r="V12" s="22"/>
      <c r="W12" s="20"/>
      <c r="X12" s="22"/>
      <c r="Y12" s="22"/>
      <c r="Z12" s="16"/>
    </row>
    <row r="13" spans="1:26" s="2" customFormat="1" ht="40.4" customHeight="1">
      <c r="A13" s="623" t="s">
        <v>218</v>
      </c>
      <c r="B13" s="626" t="s">
        <v>198</v>
      </c>
      <c r="C13" s="605" t="s">
        <v>1129</v>
      </c>
      <c r="D13" s="445"/>
      <c r="E13" s="445"/>
      <c r="F13" s="445"/>
      <c r="G13" s="445"/>
      <c r="H13" s="17"/>
      <c r="I13" s="31"/>
      <c r="J13" s="32"/>
      <c r="K13" s="18" t="str">
        <f t="shared" ca="1" si="0"/>
        <v/>
      </c>
      <c r="L13" s="18" t="str">
        <f t="shared" si="1"/>
        <v/>
      </c>
      <c r="M13" s="19" t="s">
        <v>26</v>
      </c>
      <c r="N13" s="22" t="s">
        <v>40</v>
      </c>
      <c r="O13" s="23">
        <v>45786</v>
      </c>
      <c r="P13" s="24" t="s">
        <v>111</v>
      </c>
      <c r="Q13" s="23">
        <v>45789</v>
      </c>
      <c r="R13" s="24" t="s">
        <v>112</v>
      </c>
      <c r="S13" s="22" t="s">
        <v>38</v>
      </c>
      <c r="T13" s="23">
        <v>45791</v>
      </c>
      <c r="U13" s="24" t="s">
        <v>107</v>
      </c>
      <c r="V13" s="22" t="s">
        <v>201</v>
      </c>
      <c r="W13" s="23">
        <v>45799</v>
      </c>
      <c r="X13" s="22" t="s">
        <v>108</v>
      </c>
      <c r="Y13" s="22" t="s">
        <v>196</v>
      </c>
      <c r="Z13" s="15"/>
    </row>
    <row r="14" spans="1:26" s="2" customFormat="1" ht="40.4" customHeight="1">
      <c r="A14" s="624"/>
      <c r="B14" s="627"/>
      <c r="C14" s="606"/>
      <c r="D14" s="446"/>
      <c r="E14" s="446"/>
      <c r="F14" s="446"/>
      <c r="G14" s="446"/>
      <c r="H14" s="17"/>
      <c r="I14" s="31"/>
      <c r="J14" s="32"/>
      <c r="K14" s="18" t="str">
        <f t="shared" ca="1" si="0"/>
        <v/>
      </c>
      <c r="L14" s="18" t="str">
        <f t="shared" si="1"/>
        <v/>
      </c>
      <c r="M14" s="19"/>
      <c r="N14" s="22"/>
      <c r="O14" s="23"/>
      <c r="P14" s="24"/>
      <c r="Q14" s="23"/>
      <c r="R14" s="24"/>
      <c r="S14" s="22"/>
      <c r="T14" s="23"/>
      <c r="U14" s="24"/>
      <c r="V14" s="22"/>
      <c r="W14" s="23"/>
      <c r="X14" s="22"/>
      <c r="Y14" s="22"/>
      <c r="Z14" s="16"/>
    </row>
    <row r="15" spans="1:26" s="2" customFormat="1" ht="40.4" customHeight="1">
      <c r="A15" s="625"/>
      <c r="B15" s="628"/>
      <c r="C15" s="607"/>
      <c r="D15" s="447"/>
      <c r="E15" s="447"/>
      <c r="F15" s="447"/>
      <c r="G15" s="447"/>
      <c r="H15" s="17"/>
      <c r="I15" s="31"/>
      <c r="J15" s="32"/>
      <c r="K15" s="18" t="str">
        <f t="shared" ca="1" si="0"/>
        <v/>
      </c>
      <c r="L15" s="18" t="str">
        <f t="shared" si="1"/>
        <v/>
      </c>
      <c r="M15" s="19"/>
      <c r="N15" s="22"/>
      <c r="O15" s="20"/>
      <c r="P15" s="21"/>
      <c r="Q15" s="20"/>
      <c r="R15" s="21"/>
      <c r="S15" s="22"/>
      <c r="T15" s="20"/>
      <c r="U15" s="21"/>
      <c r="V15" s="22"/>
      <c r="W15" s="20"/>
      <c r="X15" s="22"/>
      <c r="Y15" s="22"/>
      <c r="Z15" s="16"/>
    </row>
    <row r="16" spans="1:26" s="2" customFormat="1" ht="40.4" customHeight="1">
      <c r="A16" s="623" t="s">
        <v>220</v>
      </c>
      <c r="B16" s="626" t="s">
        <v>199</v>
      </c>
      <c r="C16" s="605" t="s">
        <v>1130</v>
      </c>
      <c r="D16" s="445"/>
      <c r="E16" s="445"/>
      <c r="F16" s="445"/>
      <c r="G16" s="445"/>
      <c r="H16" s="17"/>
      <c r="I16" s="31"/>
      <c r="J16" s="32"/>
      <c r="K16" s="18" t="str">
        <f t="shared" ca="1" si="0"/>
        <v/>
      </c>
      <c r="L16" s="18" t="str">
        <f t="shared" si="1"/>
        <v/>
      </c>
      <c r="M16" s="19" t="s">
        <v>26</v>
      </c>
      <c r="N16" s="22" t="s">
        <v>22</v>
      </c>
      <c r="O16" s="23">
        <v>45786</v>
      </c>
      <c r="P16" s="24" t="s">
        <v>105</v>
      </c>
      <c r="Q16" s="23">
        <v>45789</v>
      </c>
      <c r="R16" s="24" t="s">
        <v>106</v>
      </c>
      <c r="S16" s="22" t="s">
        <v>38</v>
      </c>
      <c r="T16" s="23">
        <v>45791</v>
      </c>
      <c r="U16" s="24" t="s">
        <v>107</v>
      </c>
      <c r="V16" s="22" t="s">
        <v>201</v>
      </c>
      <c r="W16" s="23">
        <v>45799</v>
      </c>
      <c r="X16" s="22" t="s">
        <v>108</v>
      </c>
      <c r="Y16" s="22" t="s">
        <v>196</v>
      </c>
      <c r="Z16" s="15"/>
    </row>
    <row r="17" spans="1:26" s="2" customFormat="1" ht="40.4" customHeight="1">
      <c r="A17" s="624"/>
      <c r="B17" s="627"/>
      <c r="C17" s="606"/>
      <c r="D17" s="446"/>
      <c r="E17" s="446"/>
      <c r="F17" s="446"/>
      <c r="G17" s="446"/>
      <c r="H17" s="17"/>
      <c r="I17" s="31"/>
      <c r="J17" s="32"/>
      <c r="K17" s="18" t="str">
        <f t="shared" ca="1" si="0"/>
        <v/>
      </c>
      <c r="L17" s="18" t="str">
        <f t="shared" si="1"/>
        <v/>
      </c>
      <c r="M17" s="19"/>
      <c r="N17" s="22"/>
      <c r="O17" s="23"/>
      <c r="P17" s="24"/>
      <c r="Q17" s="23"/>
      <c r="R17" s="24"/>
      <c r="S17" s="22"/>
      <c r="T17" s="23"/>
      <c r="U17" s="24"/>
      <c r="V17" s="22"/>
      <c r="W17" s="23"/>
      <c r="X17" s="22"/>
      <c r="Y17" s="22"/>
      <c r="Z17" s="16"/>
    </row>
    <row r="18" spans="1:26" s="2" customFormat="1" ht="40.4" customHeight="1">
      <c r="A18" s="625"/>
      <c r="B18" s="628"/>
      <c r="C18" s="607"/>
      <c r="D18" s="447"/>
      <c r="E18" s="447"/>
      <c r="F18" s="447"/>
      <c r="G18" s="447"/>
      <c r="H18" s="17"/>
      <c r="I18" s="31"/>
      <c r="J18" s="32"/>
      <c r="K18" s="18" t="str">
        <f t="shared" ca="1" si="0"/>
        <v/>
      </c>
      <c r="L18" s="18" t="str">
        <f t="shared" si="1"/>
        <v/>
      </c>
      <c r="M18" s="19"/>
      <c r="N18" s="22"/>
      <c r="O18" s="20"/>
      <c r="P18" s="21"/>
      <c r="Q18" s="20"/>
      <c r="R18" s="21"/>
      <c r="S18" s="22"/>
      <c r="T18" s="20"/>
      <c r="U18" s="21"/>
      <c r="V18" s="22"/>
      <c r="W18" s="20"/>
      <c r="X18" s="22"/>
      <c r="Y18" s="22"/>
      <c r="Z18" s="16"/>
    </row>
    <row r="19" spans="1:26" s="2" customFormat="1" ht="40.4" customHeight="1">
      <c r="A19" s="623" t="s">
        <v>221</v>
      </c>
      <c r="B19" s="626" t="s">
        <v>202</v>
      </c>
      <c r="C19" s="605" t="s">
        <v>1131</v>
      </c>
      <c r="D19" s="445"/>
      <c r="E19" s="445"/>
      <c r="F19" s="445"/>
      <c r="G19" s="445"/>
      <c r="H19" s="17"/>
      <c r="I19" s="31"/>
      <c r="J19" s="32"/>
      <c r="K19" s="18" t="str">
        <f t="shared" ca="1" si="0"/>
        <v/>
      </c>
      <c r="L19" s="18" t="str">
        <f t="shared" si="1"/>
        <v/>
      </c>
      <c r="M19" s="19" t="s">
        <v>26</v>
      </c>
      <c r="N19" s="22" t="s">
        <v>40</v>
      </c>
      <c r="O19" s="23">
        <v>45786</v>
      </c>
      <c r="P19" s="24" t="s">
        <v>109</v>
      </c>
      <c r="Q19" s="23">
        <v>45789</v>
      </c>
      <c r="R19" s="24" t="s">
        <v>110</v>
      </c>
      <c r="S19" s="22" t="s">
        <v>38</v>
      </c>
      <c r="T19" s="23">
        <v>45791</v>
      </c>
      <c r="U19" s="24" t="s">
        <v>107</v>
      </c>
      <c r="V19" s="22" t="s">
        <v>201</v>
      </c>
      <c r="W19" s="23">
        <v>45799</v>
      </c>
      <c r="X19" s="22" t="s">
        <v>108</v>
      </c>
      <c r="Y19" s="22" t="s">
        <v>196</v>
      </c>
      <c r="Z19" s="15"/>
    </row>
    <row r="20" spans="1:26" s="2" customFormat="1" ht="40.4" customHeight="1">
      <c r="A20" s="624"/>
      <c r="B20" s="627"/>
      <c r="C20" s="606"/>
      <c r="D20" s="446"/>
      <c r="E20" s="446"/>
      <c r="F20" s="446"/>
      <c r="G20" s="446"/>
      <c r="H20" s="17"/>
      <c r="I20" s="31"/>
      <c r="J20" s="32"/>
      <c r="K20" s="18" t="str">
        <f t="shared" ca="1" si="0"/>
        <v/>
      </c>
      <c r="L20" s="18" t="str">
        <f t="shared" si="1"/>
        <v/>
      </c>
      <c r="M20" s="19"/>
      <c r="N20" s="22"/>
      <c r="O20" s="23"/>
      <c r="P20" s="24"/>
      <c r="Q20" s="23"/>
      <c r="R20" s="24"/>
      <c r="S20" s="22"/>
      <c r="T20" s="23"/>
      <c r="U20" s="24"/>
      <c r="V20" s="22"/>
      <c r="W20" s="23"/>
      <c r="X20" s="22"/>
      <c r="Y20" s="22"/>
      <c r="Z20" s="16"/>
    </row>
    <row r="21" spans="1:26" s="2" customFormat="1" ht="40.4" customHeight="1">
      <c r="A21" s="625"/>
      <c r="B21" s="628"/>
      <c r="C21" s="607"/>
      <c r="D21" s="447"/>
      <c r="E21" s="447"/>
      <c r="F21" s="447"/>
      <c r="G21" s="447"/>
      <c r="H21" s="17"/>
      <c r="I21" s="31"/>
      <c r="J21" s="32"/>
      <c r="K21" s="18" t="str">
        <f t="shared" ca="1" si="0"/>
        <v/>
      </c>
      <c r="L21" s="18" t="str">
        <f t="shared" si="1"/>
        <v/>
      </c>
      <c r="M21" s="19"/>
      <c r="N21" s="22"/>
      <c r="O21" s="20"/>
      <c r="P21" s="21"/>
      <c r="Q21" s="20"/>
      <c r="R21" s="21"/>
      <c r="S21" s="22"/>
      <c r="T21" s="20"/>
      <c r="U21" s="21"/>
      <c r="V21" s="22"/>
      <c r="W21" s="20"/>
      <c r="X21" s="22"/>
      <c r="Y21" s="22"/>
      <c r="Z21" s="16"/>
    </row>
    <row r="22" spans="1:26" s="2" customFormat="1" ht="40.4" customHeight="1">
      <c r="A22" s="623" t="s">
        <v>222</v>
      </c>
      <c r="B22" s="626" t="s">
        <v>203</v>
      </c>
      <c r="C22" s="605" t="s">
        <v>1132</v>
      </c>
      <c r="D22" s="445"/>
      <c r="E22" s="445"/>
      <c r="F22" s="445"/>
      <c r="G22" s="445"/>
      <c r="H22" s="17"/>
      <c r="I22" s="31"/>
      <c r="J22" s="32"/>
      <c r="K22" s="18" t="str">
        <f t="shared" ca="1" si="0"/>
        <v/>
      </c>
      <c r="L22" s="18" t="str">
        <f t="shared" si="1"/>
        <v/>
      </c>
      <c r="M22" s="19" t="s">
        <v>26</v>
      </c>
      <c r="N22" s="22" t="s">
        <v>40</v>
      </c>
      <c r="O22" s="20">
        <v>46000</v>
      </c>
      <c r="P22" s="21" t="s">
        <v>133</v>
      </c>
      <c r="Q22" s="20">
        <v>46009</v>
      </c>
      <c r="R22" s="21" t="s">
        <v>134</v>
      </c>
      <c r="S22" s="22" t="s">
        <v>30</v>
      </c>
      <c r="T22" s="20">
        <v>46010</v>
      </c>
      <c r="U22" s="21" t="s">
        <v>135</v>
      </c>
      <c r="V22" s="22" t="s">
        <v>44</v>
      </c>
      <c r="W22" s="20">
        <v>46048</v>
      </c>
      <c r="X22" s="22" t="s">
        <v>219</v>
      </c>
      <c r="Y22" s="22" t="s">
        <v>26</v>
      </c>
      <c r="Z22" s="15"/>
    </row>
    <row r="23" spans="1:26" s="2" customFormat="1" ht="40.4" customHeight="1">
      <c r="A23" s="624"/>
      <c r="B23" s="627"/>
      <c r="C23" s="606"/>
      <c r="D23" s="446"/>
      <c r="E23" s="446"/>
      <c r="F23" s="446"/>
      <c r="G23" s="446"/>
      <c r="H23" s="17"/>
      <c r="I23" s="31"/>
      <c r="J23" s="32"/>
      <c r="K23" s="18" t="str">
        <f t="shared" ca="1" si="0"/>
        <v/>
      </c>
      <c r="L23" s="18" t="str">
        <f t="shared" si="1"/>
        <v/>
      </c>
      <c r="M23" s="19"/>
      <c r="N23" s="22"/>
      <c r="O23" s="23"/>
      <c r="P23" s="24"/>
      <c r="Q23" s="23"/>
      <c r="R23" s="24"/>
      <c r="S23" s="22"/>
      <c r="T23" s="23"/>
      <c r="U23" s="24"/>
      <c r="V23" s="22"/>
      <c r="W23" s="23"/>
      <c r="X23" s="22"/>
      <c r="Y23" s="22"/>
      <c r="Z23" s="16"/>
    </row>
    <row r="24" spans="1:26" s="2" customFormat="1" ht="40.4" customHeight="1">
      <c r="A24" s="625"/>
      <c r="B24" s="628"/>
      <c r="C24" s="607"/>
      <c r="D24" s="447"/>
      <c r="E24" s="447"/>
      <c r="F24" s="447"/>
      <c r="G24" s="447"/>
      <c r="H24" s="17"/>
      <c r="I24" s="31"/>
      <c r="J24" s="32"/>
      <c r="K24" s="18" t="str">
        <f t="shared" ca="1" si="0"/>
        <v/>
      </c>
      <c r="L24" s="18" t="str">
        <f t="shared" si="1"/>
        <v/>
      </c>
      <c r="M24" s="19"/>
      <c r="N24" s="22"/>
      <c r="O24" s="20"/>
      <c r="P24" s="21"/>
      <c r="Q24" s="20"/>
      <c r="R24" s="21"/>
      <c r="S24" s="22"/>
      <c r="T24" s="20"/>
      <c r="U24" s="21"/>
      <c r="V24" s="22"/>
      <c r="W24" s="20"/>
      <c r="X24" s="22"/>
      <c r="Y24" s="22"/>
      <c r="Z24" s="16"/>
    </row>
    <row r="25" spans="1:26" s="2" customFormat="1" ht="40.4" customHeight="1">
      <c r="A25" s="623" t="s">
        <v>223</v>
      </c>
      <c r="B25" s="626" t="s">
        <v>204</v>
      </c>
      <c r="C25" s="605" t="s">
        <v>1133</v>
      </c>
      <c r="D25" s="445"/>
      <c r="E25" s="445"/>
      <c r="F25" s="445"/>
      <c r="G25" s="445"/>
      <c r="H25" s="17"/>
      <c r="I25" s="31"/>
      <c r="J25" s="32"/>
      <c r="K25" s="18" t="str">
        <f t="shared" ca="1" si="0"/>
        <v/>
      </c>
      <c r="L25" s="18" t="str">
        <f t="shared" si="1"/>
        <v/>
      </c>
      <c r="M25" s="19" t="s">
        <v>26</v>
      </c>
      <c r="N25" s="22" t="s">
        <v>22</v>
      </c>
      <c r="O25" s="23">
        <v>45800</v>
      </c>
      <c r="P25" s="24" t="s">
        <v>117</v>
      </c>
      <c r="Q25" s="23">
        <v>45805</v>
      </c>
      <c r="R25" s="24" t="s">
        <v>118</v>
      </c>
      <c r="S25" s="22" t="s">
        <v>38</v>
      </c>
      <c r="T25" s="23">
        <v>45810</v>
      </c>
      <c r="U25" s="24" t="s">
        <v>115</v>
      </c>
      <c r="V25" s="22" t="s">
        <v>201</v>
      </c>
      <c r="W25" s="23">
        <v>45814</v>
      </c>
      <c r="X25" s="22" t="s">
        <v>116</v>
      </c>
      <c r="Y25" s="22" t="s">
        <v>196</v>
      </c>
      <c r="Z25" s="15"/>
    </row>
    <row r="26" spans="1:26" s="2" customFormat="1" ht="40.4" customHeight="1">
      <c r="A26" s="624"/>
      <c r="B26" s="627"/>
      <c r="C26" s="606"/>
      <c r="D26" s="446"/>
      <c r="E26" s="446"/>
      <c r="F26" s="446"/>
      <c r="G26" s="446"/>
      <c r="H26" s="17"/>
      <c r="I26" s="31"/>
      <c r="J26" s="32"/>
      <c r="K26" s="18" t="str">
        <f t="shared" ca="1" si="0"/>
        <v/>
      </c>
      <c r="L26" s="18" t="str">
        <f t="shared" si="1"/>
        <v/>
      </c>
      <c r="M26" s="19"/>
      <c r="N26" s="22"/>
      <c r="O26" s="23"/>
      <c r="P26" s="24"/>
      <c r="Q26" s="23"/>
      <c r="R26" s="24"/>
      <c r="S26" s="22"/>
      <c r="T26" s="23"/>
      <c r="U26" s="24"/>
      <c r="V26" s="22"/>
      <c r="W26" s="23"/>
      <c r="X26" s="22"/>
      <c r="Y26" s="22"/>
      <c r="Z26" s="16"/>
    </row>
    <row r="27" spans="1:26" s="2" customFormat="1" ht="40.4" customHeight="1">
      <c r="A27" s="625"/>
      <c r="B27" s="628"/>
      <c r="C27" s="607"/>
      <c r="D27" s="447"/>
      <c r="E27" s="447"/>
      <c r="F27" s="447"/>
      <c r="G27" s="447"/>
      <c r="H27" s="17"/>
      <c r="I27" s="31"/>
      <c r="J27" s="32"/>
      <c r="K27" s="18" t="str">
        <f t="shared" ca="1" si="0"/>
        <v/>
      </c>
      <c r="L27" s="18" t="str">
        <f t="shared" si="1"/>
        <v/>
      </c>
      <c r="M27" s="19"/>
      <c r="N27" s="22"/>
      <c r="O27" s="20"/>
      <c r="P27" s="21"/>
      <c r="Q27" s="20"/>
      <c r="R27" s="21"/>
      <c r="S27" s="22"/>
      <c r="T27" s="20"/>
      <c r="U27" s="21"/>
      <c r="V27" s="22"/>
      <c r="W27" s="20"/>
      <c r="X27" s="22"/>
      <c r="Y27" s="22"/>
      <c r="Z27" s="16"/>
    </row>
    <row r="28" spans="1:26" s="2" customFormat="1" ht="40.4" customHeight="1">
      <c r="A28" s="623" t="s">
        <v>224</v>
      </c>
      <c r="B28" s="626" t="s">
        <v>205</v>
      </c>
      <c r="C28" s="605" t="s">
        <v>1134</v>
      </c>
      <c r="D28" s="445"/>
      <c r="E28" s="445"/>
      <c r="F28" s="445"/>
      <c r="G28" s="445"/>
      <c r="H28" s="17"/>
      <c r="I28" s="31"/>
      <c r="J28" s="32"/>
      <c r="K28" s="18" t="str">
        <f t="shared" ca="1" si="0"/>
        <v/>
      </c>
      <c r="L28" s="18" t="str">
        <f t="shared" si="1"/>
        <v/>
      </c>
      <c r="M28" s="19" t="s">
        <v>26</v>
      </c>
      <c r="N28" s="22" t="s">
        <v>40</v>
      </c>
      <c r="O28" s="23">
        <v>45800</v>
      </c>
      <c r="P28" s="24" t="s">
        <v>206</v>
      </c>
      <c r="Q28" s="23">
        <v>45805</v>
      </c>
      <c r="R28" s="24" t="s">
        <v>207</v>
      </c>
      <c r="S28" s="22" t="s">
        <v>208</v>
      </c>
      <c r="T28" s="23">
        <v>45810</v>
      </c>
      <c r="U28" s="24" t="s">
        <v>209</v>
      </c>
      <c r="V28" s="22" t="s">
        <v>200</v>
      </c>
      <c r="W28" s="23">
        <v>45814</v>
      </c>
      <c r="X28" s="22" t="s">
        <v>210</v>
      </c>
      <c r="Y28" s="22" t="s">
        <v>196</v>
      </c>
      <c r="Z28" s="15"/>
    </row>
    <row r="29" spans="1:26" s="2" customFormat="1" ht="40.4" customHeight="1">
      <c r="A29" s="624"/>
      <c r="B29" s="627"/>
      <c r="C29" s="606"/>
      <c r="D29" s="446"/>
      <c r="E29" s="446"/>
      <c r="F29" s="446"/>
      <c r="G29" s="446"/>
      <c r="H29" s="17"/>
      <c r="I29" s="31"/>
      <c r="J29" s="32"/>
      <c r="K29" s="18" t="str">
        <f t="shared" ca="1" si="0"/>
        <v/>
      </c>
      <c r="L29" s="18" t="str">
        <f t="shared" si="1"/>
        <v/>
      </c>
      <c r="M29" s="19"/>
      <c r="N29" s="22"/>
      <c r="O29" s="23"/>
      <c r="P29" s="24"/>
      <c r="Q29" s="23"/>
      <c r="R29" s="24"/>
      <c r="S29" s="22"/>
      <c r="T29" s="23"/>
      <c r="U29" s="24"/>
      <c r="V29" s="22"/>
      <c r="W29" s="23"/>
      <c r="X29" s="22"/>
      <c r="Y29" s="22"/>
      <c r="Z29" s="16"/>
    </row>
    <row r="30" spans="1:26" s="2" customFormat="1" ht="40.4" customHeight="1">
      <c r="A30" s="625"/>
      <c r="B30" s="628"/>
      <c r="C30" s="607"/>
      <c r="D30" s="447"/>
      <c r="E30" s="447"/>
      <c r="F30" s="447"/>
      <c r="G30" s="447"/>
      <c r="H30" s="17"/>
      <c r="I30" s="31"/>
      <c r="J30" s="32"/>
      <c r="K30" s="18" t="str">
        <f t="shared" ca="1" si="0"/>
        <v/>
      </c>
      <c r="L30" s="18" t="str">
        <f t="shared" si="1"/>
        <v/>
      </c>
      <c r="M30" s="19"/>
      <c r="N30" s="22"/>
      <c r="O30" s="20"/>
      <c r="P30" s="21"/>
      <c r="Q30" s="20"/>
      <c r="R30" s="21"/>
      <c r="S30" s="22"/>
      <c r="T30" s="20"/>
      <c r="U30" s="21"/>
      <c r="V30" s="22"/>
      <c r="W30" s="20"/>
      <c r="X30" s="22"/>
      <c r="Y30" s="22"/>
      <c r="Z30" s="16"/>
    </row>
    <row r="31" spans="1:26" s="2" customFormat="1" ht="40.4" customHeight="1">
      <c r="A31" s="623" t="s">
        <v>225</v>
      </c>
      <c r="B31" s="626" t="s">
        <v>211</v>
      </c>
      <c r="C31" s="605" t="s">
        <v>1135</v>
      </c>
      <c r="D31" s="445"/>
      <c r="E31" s="445"/>
      <c r="F31" s="445"/>
      <c r="G31" s="445"/>
      <c r="H31" s="17"/>
      <c r="I31" s="31"/>
      <c r="J31" s="32"/>
      <c r="K31" s="18" t="str">
        <f t="shared" ca="1" si="0"/>
        <v/>
      </c>
      <c r="L31" s="18" t="str">
        <f t="shared" si="1"/>
        <v/>
      </c>
      <c r="M31" s="19" t="s">
        <v>26</v>
      </c>
      <c r="N31" s="22" t="s">
        <v>40</v>
      </c>
      <c r="O31" s="23">
        <v>45814</v>
      </c>
      <c r="P31" s="24" t="s">
        <v>119</v>
      </c>
      <c r="Q31" s="23">
        <v>45819</v>
      </c>
      <c r="R31" s="24" t="s">
        <v>120</v>
      </c>
      <c r="S31" s="22" t="s">
        <v>38</v>
      </c>
      <c r="T31" s="23">
        <v>45821</v>
      </c>
      <c r="U31" s="24" t="s">
        <v>121</v>
      </c>
      <c r="V31" s="22" t="s">
        <v>200</v>
      </c>
      <c r="W31" s="23" t="s">
        <v>122</v>
      </c>
      <c r="X31" s="22" t="s">
        <v>123</v>
      </c>
      <c r="Y31" s="22" t="s">
        <v>196</v>
      </c>
      <c r="Z31" s="15"/>
    </row>
    <row r="32" spans="1:26" s="2" customFormat="1" ht="40.4" customHeight="1">
      <c r="A32" s="624"/>
      <c r="B32" s="627"/>
      <c r="C32" s="606"/>
      <c r="D32" s="446"/>
      <c r="E32" s="446"/>
      <c r="F32" s="446"/>
      <c r="G32" s="446"/>
      <c r="H32" s="17"/>
      <c r="I32" s="31"/>
      <c r="J32" s="32"/>
      <c r="K32" s="18" t="str">
        <f t="shared" ca="1" si="0"/>
        <v/>
      </c>
      <c r="L32" s="18" t="str">
        <f t="shared" si="1"/>
        <v/>
      </c>
      <c r="M32" s="19"/>
      <c r="N32" s="22"/>
      <c r="O32" s="23"/>
      <c r="P32" s="24"/>
      <c r="Q32" s="23"/>
      <c r="R32" s="24"/>
      <c r="S32" s="22"/>
      <c r="T32" s="23"/>
      <c r="U32" s="24"/>
      <c r="V32" s="22"/>
      <c r="W32" s="23"/>
      <c r="X32" s="22"/>
      <c r="Y32" s="22"/>
      <c r="Z32" s="16"/>
    </row>
    <row r="33" spans="1:26" s="2" customFormat="1" ht="40.4" customHeight="1">
      <c r="A33" s="625"/>
      <c r="B33" s="628"/>
      <c r="C33" s="607"/>
      <c r="D33" s="447"/>
      <c r="E33" s="447"/>
      <c r="F33" s="447"/>
      <c r="G33" s="447"/>
      <c r="H33" s="17"/>
      <c r="I33" s="31"/>
      <c r="J33" s="32"/>
      <c r="K33" s="18" t="str">
        <f t="shared" ca="1" si="0"/>
        <v/>
      </c>
      <c r="L33" s="18" t="str">
        <f t="shared" si="1"/>
        <v/>
      </c>
      <c r="M33" s="19"/>
      <c r="N33" s="22"/>
      <c r="O33" s="20"/>
      <c r="P33" s="21"/>
      <c r="Q33" s="20"/>
      <c r="R33" s="21"/>
      <c r="S33" s="22"/>
      <c r="T33" s="20"/>
      <c r="U33" s="21"/>
      <c r="V33" s="22"/>
      <c r="W33" s="20"/>
      <c r="X33" s="22"/>
      <c r="Y33" s="22"/>
      <c r="Z33" s="16"/>
    </row>
    <row r="34" spans="1:26" s="2" customFormat="1" ht="40.4" customHeight="1">
      <c r="A34" s="623" t="s">
        <v>226</v>
      </c>
      <c r="B34" s="605" t="s">
        <v>212</v>
      </c>
      <c r="C34" s="605" t="s">
        <v>1136</v>
      </c>
      <c r="D34" s="452"/>
      <c r="E34" s="452"/>
      <c r="F34" s="452"/>
      <c r="G34" s="452"/>
      <c r="H34" s="17"/>
      <c r="I34" s="31"/>
      <c r="J34" s="32"/>
      <c r="K34" s="18" t="str">
        <f t="shared" ca="1" si="0"/>
        <v/>
      </c>
      <c r="L34" s="18" t="str">
        <f t="shared" si="1"/>
        <v/>
      </c>
      <c r="M34" s="19" t="s">
        <v>26</v>
      </c>
      <c r="N34" s="22" t="s">
        <v>22</v>
      </c>
      <c r="O34" s="20">
        <v>45999</v>
      </c>
      <c r="P34" s="21" t="s">
        <v>130</v>
      </c>
      <c r="Q34" s="20">
        <v>46009</v>
      </c>
      <c r="R34" s="21" t="s">
        <v>131</v>
      </c>
      <c r="S34" s="22" t="s">
        <v>30</v>
      </c>
      <c r="T34" s="20">
        <v>46010</v>
      </c>
      <c r="U34" s="21" t="s">
        <v>132</v>
      </c>
      <c r="V34" s="22" t="s">
        <v>200</v>
      </c>
      <c r="W34" s="20">
        <v>46056</v>
      </c>
      <c r="X34" s="22" t="s">
        <v>395</v>
      </c>
      <c r="Y34" s="22" t="s">
        <v>396</v>
      </c>
      <c r="Z34" s="15"/>
    </row>
    <row r="35" spans="1:26" s="2" customFormat="1" ht="40.4" customHeight="1">
      <c r="A35" s="624"/>
      <c r="B35" s="606"/>
      <c r="C35" s="606"/>
      <c r="D35" s="453"/>
      <c r="E35" s="453"/>
      <c r="F35" s="453"/>
      <c r="G35" s="453"/>
      <c r="H35" s="17"/>
      <c r="I35" s="31"/>
      <c r="J35" s="32"/>
      <c r="K35" s="18" t="str">
        <f t="shared" ca="1" si="0"/>
        <v/>
      </c>
      <c r="L35" s="18" t="str">
        <f t="shared" si="1"/>
        <v/>
      </c>
      <c r="M35" s="19"/>
      <c r="N35" s="22"/>
      <c r="O35" s="20"/>
      <c r="P35" s="21"/>
      <c r="Q35" s="20"/>
      <c r="R35" s="21"/>
      <c r="S35" s="22"/>
      <c r="T35" s="20"/>
      <c r="U35" s="21"/>
      <c r="V35" s="22"/>
      <c r="W35" s="20"/>
      <c r="X35" s="22"/>
      <c r="Y35" s="22"/>
      <c r="Z35" s="16"/>
    </row>
    <row r="36" spans="1:26" s="2" customFormat="1" ht="40.4" customHeight="1">
      <c r="A36" s="625"/>
      <c r="B36" s="607"/>
      <c r="C36" s="607"/>
      <c r="D36" s="454"/>
      <c r="E36" s="454"/>
      <c r="F36" s="454"/>
      <c r="G36" s="454"/>
      <c r="H36" s="17"/>
      <c r="I36" s="31"/>
      <c r="J36" s="32"/>
      <c r="K36" s="18" t="str">
        <f t="shared" ca="1" si="0"/>
        <v/>
      </c>
      <c r="L36" s="18" t="str">
        <f t="shared" si="1"/>
        <v/>
      </c>
      <c r="M36" s="19"/>
      <c r="N36" s="22"/>
      <c r="O36" s="20"/>
      <c r="P36" s="21"/>
      <c r="Q36" s="20"/>
      <c r="R36" s="21"/>
      <c r="S36" s="22"/>
      <c r="T36" s="20"/>
      <c r="U36" s="21"/>
      <c r="V36" s="22"/>
      <c r="W36" s="20"/>
      <c r="X36" s="22"/>
      <c r="Y36" s="22"/>
      <c r="Z36" s="16"/>
    </row>
    <row r="37" spans="1:26" s="2" customFormat="1" ht="40.4" customHeight="1">
      <c r="A37" s="623" t="s">
        <v>227</v>
      </c>
      <c r="B37" s="605" t="s">
        <v>213</v>
      </c>
      <c r="C37" s="605" t="s">
        <v>1137</v>
      </c>
      <c r="D37" s="452"/>
      <c r="E37" s="452"/>
      <c r="F37" s="452"/>
      <c r="G37" s="452"/>
      <c r="H37" s="17"/>
      <c r="I37" s="31"/>
      <c r="J37" s="32"/>
      <c r="K37" s="18" t="str">
        <f t="shared" ca="1" si="0"/>
        <v/>
      </c>
      <c r="L37" s="18" t="str">
        <f t="shared" si="1"/>
        <v/>
      </c>
      <c r="M37" s="19" t="s">
        <v>26</v>
      </c>
      <c r="N37" s="22" t="s">
        <v>22</v>
      </c>
      <c r="O37" s="20">
        <v>46000</v>
      </c>
      <c r="P37" s="21" t="s">
        <v>133</v>
      </c>
      <c r="Q37" s="20">
        <v>46009</v>
      </c>
      <c r="R37" s="21" t="s">
        <v>134</v>
      </c>
      <c r="S37" s="22" t="s">
        <v>30</v>
      </c>
      <c r="T37" s="20">
        <v>46010</v>
      </c>
      <c r="U37" s="21" t="s">
        <v>135</v>
      </c>
      <c r="V37" s="22" t="s">
        <v>44</v>
      </c>
      <c r="W37" s="20">
        <v>46048</v>
      </c>
      <c r="X37" s="22" t="s">
        <v>219</v>
      </c>
      <c r="Y37" s="22" t="s">
        <v>26</v>
      </c>
      <c r="Z37" s="15"/>
    </row>
    <row r="38" spans="1:26" s="2" customFormat="1" ht="40.4" customHeight="1">
      <c r="A38" s="624"/>
      <c r="B38" s="606"/>
      <c r="C38" s="606"/>
      <c r="D38" s="453"/>
      <c r="E38" s="453"/>
      <c r="F38" s="453"/>
      <c r="G38" s="453"/>
      <c r="H38" s="17"/>
      <c r="I38" s="31"/>
      <c r="J38" s="32"/>
      <c r="K38" s="18" t="str">
        <f t="shared" ca="1" si="0"/>
        <v/>
      </c>
      <c r="L38" s="18" t="str">
        <f t="shared" si="1"/>
        <v/>
      </c>
      <c r="M38" s="19"/>
      <c r="N38" s="22"/>
      <c r="O38" s="20"/>
      <c r="P38" s="21"/>
      <c r="Q38" s="20"/>
      <c r="R38" s="21"/>
      <c r="S38" s="22"/>
      <c r="T38" s="20"/>
      <c r="U38" s="21"/>
      <c r="V38" s="22"/>
      <c r="W38" s="20"/>
      <c r="X38" s="22"/>
      <c r="Y38" s="22"/>
      <c r="Z38" s="16"/>
    </row>
    <row r="39" spans="1:26" s="2" customFormat="1" ht="40.4" customHeight="1">
      <c r="A39" s="625"/>
      <c r="B39" s="607"/>
      <c r="C39" s="607"/>
      <c r="D39" s="454"/>
      <c r="E39" s="454"/>
      <c r="F39" s="454"/>
      <c r="G39" s="454"/>
      <c r="H39" s="17"/>
      <c r="I39" s="31"/>
      <c r="J39" s="32"/>
      <c r="K39" s="18" t="str">
        <f t="shared" ca="1" si="0"/>
        <v/>
      </c>
      <c r="L39" s="18" t="str">
        <f t="shared" si="1"/>
        <v/>
      </c>
      <c r="M39" s="19"/>
      <c r="N39" s="22"/>
      <c r="O39" s="20"/>
      <c r="P39" s="21"/>
      <c r="Q39" s="20"/>
      <c r="R39" s="21"/>
      <c r="S39" s="22"/>
      <c r="T39" s="20"/>
      <c r="U39" s="21"/>
      <c r="V39" s="22"/>
      <c r="W39" s="20"/>
      <c r="X39" s="22"/>
      <c r="Y39" s="22"/>
      <c r="Z39" s="16"/>
    </row>
    <row r="40" spans="1:26" s="2" customFormat="1" ht="40.4" customHeight="1">
      <c r="A40" s="623" t="s">
        <v>403</v>
      </c>
      <c r="B40" s="605" t="s">
        <v>405</v>
      </c>
      <c r="C40" s="605" t="s">
        <v>1138</v>
      </c>
      <c r="D40" s="455"/>
      <c r="E40" s="455"/>
      <c r="F40" s="455"/>
      <c r="G40" s="455"/>
      <c r="H40" s="17"/>
      <c r="I40" s="31"/>
      <c r="J40" s="32"/>
      <c r="K40" s="18" t="str">
        <f t="shared" ca="1" si="0"/>
        <v/>
      </c>
      <c r="L40" s="18" t="str">
        <f t="shared" si="1"/>
        <v/>
      </c>
      <c r="M40" s="19" t="s">
        <v>196</v>
      </c>
      <c r="N40" s="22" t="s">
        <v>22</v>
      </c>
      <c r="O40" s="20">
        <v>46057</v>
      </c>
      <c r="P40" s="21" t="s">
        <v>407</v>
      </c>
      <c r="Q40" s="20">
        <v>46059</v>
      </c>
      <c r="R40" s="21" t="s">
        <v>401</v>
      </c>
      <c r="S40" s="22" t="s">
        <v>30</v>
      </c>
      <c r="T40" s="20">
        <v>46062</v>
      </c>
      <c r="U40" s="21" t="s">
        <v>402</v>
      </c>
      <c r="V40" s="22" t="s">
        <v>44</v>
      </c>
      <c r="W40" s="20">
        <v>46062</v>
      </c>
      <c r="X40" s="22" t="s">
        <v>456</v>
      </c>
      <c r="Y40" s="22" t="s">
        <v>455</v>
      </c>
      <c r="Z40" s="15"/>
    </row>
    <row r="41" spans="1:26" s="2" customFormat="1" ht="40.4" customHeight="1">
      <c r="A41" s="624"/>
      <c r="B41" s="606"/>
      <c r="C41" s="606"/>
      <c r="D41" s="456"/>
      <c r="E41" s="456"/>
      <c r="F41" s="456"/>
      <c r="G41" s="456"/>
      <c r="H41" s="17"/>
      <c r="I41" s="31"/>
      <c r="J41" s="32"/>
      <c r="K41" s="18" t="str">
        <f t="shared" ca="1" si="0"/>
        <v/>
      </c>
      <c r="L41" s="18" t="str">
        <f t="shared" si="1"/>
        <v/>
      </c>
      <c r="M41" s="19"/>
      <c r="N41" s="22"/>
      <c r="O41" s="20"/>
      <c r="P41" s="21"/>
      <c r="Q41" s="20"/>
      <c r="R41" s="21"/>
      <c r="S41" s="22"/>
      <c r="T41" s="20"/>
      <c r="U41" s="21"/>
      <c r="V41" s="22"/>
      <c r="W41" s="20"/>
      <c r="X41" s="22"/>
      <c r="Y41" s="22"/>
      <c r="Z41" s="16"/>
    </row>
    <row r="42" spans="1:26" s="2" customFormat="1" ht="40.4" customHeight="1">
      <c r="A42" s="625"/>
      <c r="B42" s="607"/>
      <c r="C42" s="607"/>
      <c r="D42" s="457"/>
      <c r="E42" s="457"/>
      <c r="F42" s="457"/>
      <c r="G42" s="457"/>
      <c r="H42" s="17"/>
      <c r="I42" s="31"/>
      <c r="J42" s="32"/>
      <c r="K42" s="18" t="str">
        <f t="shared" ca="1" si="0"/>
        <v/>
      </c>
      <c r="L42" s="18" t="str">
        <f t="shared" si="1"/>
        <v/>
      </c>
      <c r="M42" s="19"/>
      <c r="N42" s="22"/>
      <c r="O42" s="20"/>
      <c r="P42" s="21"/>
      <c r="Q42" s="20"/>
      <c r="R42" s="21"/>
      <c r="S42" s="22"/>
      <c r="T42" s="20"/>
      <c r="U42" s="21"/>
      <c r="V42" s="22"/>
      <c r="W42" s="20"/>
      <c r="X42" s="22"/>
      <c r="Y42" s="22"/>
      <c r="Z42" s="16"/>
    </row>
    <row r="43" spans="1:26" s="2" customFormat="1" ht="40.4" customHeight="1">
      <c r="A43" s="623" t="s">
        <v>404</v>
      </c>
      <c r="B43" s="605" t="s">
        <v>406</v>
      </c>
      <c r="C43" s="605" t="s">
        <v>1139</v>
      </c>
      <c r="D43" s="455"/>
      <c r="E43" s="455"/>
      <c r="F43" s="455"/>
      <c r="G43" s="455"/>
      <c r="H43" s="17"/>
      <c r="I43" s="31"/>
      <c r="J43" s="32"/>
      <c r="K43" s="18" t="str">
        <f t="shared" ca="1" si="0"/>
        <v/>
      </c>
      <c r="L43" s="18" t="str">
        <f t="shared" si="1"/>
        <v/>
      </c>
      <c r="M43" s="19" t="s">
        <v>196</v>
      </c>
      <c r="N43" s="22" t="s">
        <v>22</v>
      </c>
      <c r="O43" s="20">
        <v>46057</v>
      </c>
      <c r="P43" s="21" t="s">
        <v>407</v>
      </c>
      <c r="Q43" s="20">
        <v>46059</v>
      </c>
      <c r="R43" s="21" t="s">
        <v>401</v>
      </c>
      <c r="S43" s="22" t="s">
        <v>30</v>
      </c>
      <c r="T43" s="20">
        <v>46062</v>
      </c>
      <c r="U43" s="21" t="s">
        <v>402</v>
      </c>
      <c r="V43" s="22" t="s">
        <v>44</v>
      </c>
      <c r="W43" s="20">
        <v>46062</v>
      </c>
      <c r="X43" s="22" t="s">
        <v>456</v>
      </c>
      <c r="Y43" s="22" t="s">
        <v>455</v>
      </c>
      <c r="Z43" s="15"/>
    </row>
    <row r="44" spans="1:26" s="2" customFormat="1" ht="40.4" customHeight="1">
      <c r="A44" s="624"/>
      <c r="B44" s="606"/>
      <c r="C44" s="606"/>
      <c r="D44" s="456"/>
      <c r="E44" s="456"/>
      <c r="F44" s="456"/>
      <c r="G44" s="456"/>
      <c r="H44" s="17"/>
      <c r="I44" s="31"/>
      <c r="J44" s="32"/>
      <c r="K44" s="18" t="str">
        <f t="shared" ca="1" si="0"/>
        <v/>
      </c>
      <c r="L44" s="18" t="str">
        <f t="shared" si="1"/>
        <v/>
      </c>
      <c r="M44" s="19"/>
      <c r="N44" s="22"/>
      <c r="O44" s="20"/>
      <c r="P44" s="21"/>
      <c r="Q44" s="20"/>
      <c r="R44" s="21"/>
      <c r="S44" s="22"/>
      <c r="T44" s="20"/>
      <c r="U44" s="21"/>
      <c r="V44" s="22"/>
      <c r="W44" s="20"/>
      <c r="X44" s="22"/>
      <c r="Y44" s="22"/>
      <c r="Z44" s="16"/>
    </row>
    <row r="45" spans="1:26" s="2" customFormat="1" ht="40.4" customHeight="1">
      <c r="A45" s="625"/>
      <c r="B45" s="607"/>
      <c r="C45" s="607"/>
      <c r="D45" s="457"/>
      <c r="E45" s="457"/>
      <c r="F45" s="457"/>
      <c r="G45" s="457"/>
      <c r="H45" s="17"/>
      <c r="I45" s="31"/>
      <c r="J45" s="32"/>
      <c r="K45" s="18" t="str">
        <f t="shared" ca="1" si="0"/>
        <v/>
      </c>
      <c r="L45" s="18" t="str">
        <f t="shared" si="1"/>
        <v/>
      </c>
      <c r="M45" s="19"/>
      <c r="N45" s="22"/>
      <c r="O45" s="20"/>
      <c r="P45" s="21"/>
      <c r="Q45" s="20"/>
      <c r="R45" s="21"/>
      <c r="S45" s="22"/>
      <c r="T45" s="20"/>
      <c r="U45" s="21"/>
      <c r="V45" s="22"/>
      <c r="W45" s="20"/>
      <c r="X45" s="22"/>
      <c r="Y45" s="22"/>
      <c r="Z45" s="16"/>
    </row>
    <row r="46" spans="1:26" s="165" customFormat="1" ht="40.4" customHeight="1">
      <c r="A46" s="602" t="s">
        <v>858</v>
      </c>
      <c r="B46" s="605" t="s">
        <v>859</v>
      </c>
      <c r="C46" s="605" t="s">
        <v>1140</v>
      </c>
      <c r="D46" s="441"/>
      <c r="E46" s="441"/>
      <c r="F46" s="441"/>
      <c r="G46" s="441"/>
      <c r="H46" s="298"/>
      <c r="I46" s="297"/>
      <c r="J46" s="309"/>
      <c r="K46" s="458" t="str">
        <f t="shared" ca="1" si="0"/>
        <v/>
      </c>
      <c r="L46" s="458" t="str">
        <f t="shared" si="1"/>
        <v/>
      </c>
      <c r="M46" s="301" t="s">
        <v>1532</v>
      </c>
      <c r="N46" s="163" t="s">
        <v>22</v>
      </c>
      <c r="O46" s="459">
        <v>46087</v>
      </c>
      <c r="P46" s="460" t="s">
        <v>860</v>
      </c>
      <c r="Q46" s="459" t="s">
        <v>861</v>
      </c>
      <c r="R46" s="460" t="s">
        <v>862</v>
      </c>
      <c r="S46" s="163" t="s">
        <v>208</v>
      </c>
      <c r="T46" s="459" t="s">
        <v>861</v>
      </c>
      <c r="U46" s="460" t="s">
        <v>862</v>
      </c>
      <c r="V46" s="163" t="s">
        <v>208</v>
      </c>
      <c r="W46" s="459"/>
      <c r="X46" s="163"/>
      <c r="Y46" s="163"/>
      <c r="Z46" s="163"/>
    </row>
    <row r="47" spans="1:26" s="165" customFormat="1" ht="40.4" customHeight="1">
      <c r="A47" s="603"/>
      <c r="B47" s="606"/>
      <c r="C47" s="606"/>
      <c r="D47" s="442"/>
      <c r="E47" s="442"/>
      <c r="F47" s="442"/>
      <c r="G47" s="442"/>
      <c r="H47" s="298"/>
      <c r="I47" s="297"/>
      <c r="J47" s="309"/>
      <c r="K47" s="458" t="str">
        <f t="shared" ca="1" si="0"/>
        <v/>
      </c>
      <c r="L47" s="458" t="str">
        <f t="shared" si="1"/>
        <v/>
      </c>
      <c r="M47" s="301"/>
      <c r="N47" s="163"/>
      <c r="O47" s="459"/>
      <c r="P47" s="460"/>
      <c r="Q47" s="459"/>
      <c r="R47" s="460"/>
      <c r="S47" s="163"/>
      <c r="T47" s="459"/>
      <c r="U47" s="460"/>
      <c r="V47" s="163"/>
      <c r="W47" s="459"/>
      <c r="X47" s="163"/>
      <c r="Y47" s="163"/>
      <c r="Z47" s="461"/>
    </row>
    <row r="48" spans="1:26" s="165" customFormat="1" ht="40.4" customHeight="1">
      <c r="A48" s="604"/>
      <c r="B48" s="607"/>
      <c r="C48" s="607"/>
      <c r="D48" s="443"/>
      <c r="E48" s="443"/>
      <c r="F48" s="443"/>
      <c r="G48" s="443"/>
      <c r="H48" s="298"/>
      <c r="I48" s="297"/>
      <c r="J48" s="309"/>
      <c r="K48" s="458" t="str">
        <f t="shared" ca="1" si="0"/>
        <v/>
      </c>
      <c r="L48" s="458" t="str">
        <f t="shared" si="1"/>
        <v/>
      </c>
      <c r="M48" s="301"/>
      <c r="N48" s="163"/>
      <c r="O48" s="459"/>
      <c r="P48" s="460"/>
      <c r="Q48" s="459"/>
      <c r="R48" s="460"/>
      <c r="S48" s="163"/>
      <c r="T48" s="459"/>
      <c r="U48" s="460"/>
      <c r="V48" s="163"/>
      <c r="W48" s="459"/>
      <c r="X48" s="163"/>
      <c r="Y48" s="163"/>
      <c r="Z48" s="461"/>
    </row>
    <row r="49" spans="1:26" s="165" customFormat="1" ht="40.4" customHeight="1">
      <c r="A49" s="602" t="s">
        <v>863</v>
      </c>
      <c r="B49" s="605" t="s">
        <v>1118</v>
      </c>
      <c r="C49" s="605" t="s">
        <v>1120</v>
      </c>
      <c r="D49" s="441"/>
      <c r="E49" s="441"/>
      <c r="F49" s="441"/>
      <c r="G49" s="441"/>
      <c r="H49" s="298"/>
      <c r="I49" s="297"/>
      <c r="J49" s="309"/>
      <c r="K49" s="458" t="str">
        <f t="shared" ref="K49:K51" ca="1" si="2">IF(H49="","",IF(O49&lt;&gt;"","",IF(AND(O49="",H49-TODAY()&lt;=60),H49-TODAY(),"")))</f>
        <v/>
      </c>
      <c r="L49" s="458" t="str">
        <f t="shared" ref="L49:L51" si="3">IF(AND(ISNUMBER(H49),ISNUMBER(O49)),H49-O49,"")</f>
        <v/>
      </c>
      <c r="M49" s="19" t="s">
        <v>196</v>
      </c>
      <c r="N49" s="163" t="s">
        <v>22</v>
      </c>
      <c r="O49" s="459">
        <v>46087</v>
      </c>
      <c r="P49" s="460" t="s">
        <v>1119</v>
      </c>
      <c r="Q49" s="459" t="s">
        <v>1117</v>
      </c>
      <c r="R49" s="460" t="s">
        <v>1121</v>
      </c>
      <c r="S49" s="163" t="s">
        <v>208</v>
      </c>
      <c r="T49" s="459" t="s">
        <v>1117</v>
      </c>
      <c r="U49" s="460" t="s">
        <v>1121</v>
      </c>
      <c r="V49" s="163" t="s">
        <v>208</v>
      </c>
      <c r="W49" s="459" t="s">
        <v>1180</v>
      </c>
      <c r="X49" s="163" t="s">
        <v>1181</v>
      </c>
      <c r="Y49" s="19" t="s">
        <v>196</v>
      </c>
      <c r="Z49" s="163"/>
    </row>
    <row r="50" spans="1:26" s="165" customFormat="1" ht="40.4" customHeight="1">
      <c r="A50" s="603"/>
      <c r="B50" s="606"/>
      <c r="C50" s="606"/>
      <c r="D50" s="442"/>
      <c r="E50" s="442"/>
      <c r="F50" s="442"/>
      <c r="G50" s="442"/>
      <c r="H50" s="298"/>
      <c r="I50" s="297"/>
      <c r="J50" s="309"/>
      <c r="K50" s="458" t="str">
        <f t="shared" ca="1" si="2"/>
        <v/>
      </c>
      <c r="L50" s="458" t="str">
        <f t="shared" si="3"/>
        <v/>
      </c>
      <c r="M50" s="301"/>
      <c r="N50" s="163"/>
      <c r="O50" s="459"/>
      <c r="P50" s="460"/>
      <c r="Q50" s="459"/>
      <c r="R50" s="460"/>
      <c r="S50" s="163"/>
      <c r="T50" s="459"/>
      <c r="U50" s="460"/>
      <c r="V50" s="163"/>
      <c r="W50" s="459"/>
      <c r="X50" s="163"/>
      <c r="Y50" s="163"/>
      <c r="Z50" s="461"/>
    </row>
    <row r="51" spans="1:26" s="165" customFormat="1" ht="40.4" customHeight="1">
      <c r="A51" s="604"/>
      <c r="B51" s="607"/>
      <c r="C51" s="607"/>
      <c r="D51" s="443"/>
      <c r="E51" s="443"/>
      <c r="F51" s="443"/>
      <c r="G51" s="443"/>
      <c r="H51" s="298"/>
      <c r="I51" s="297"/>
      <c r="J51" s="309"/>
      <c r="K51" s="458" t="str">
        <f t="shared" ca="1" si="2"/>
        <v/>
      </c>
      <c r="L51" s="458" t="str">
        <f t="shared" si="3"/>
        <v/>
      </c>
      <c r="M51" s="301"/>
      <c r="N51" s="163"/>
      <c r="O51" s="459"/>
      <c r="P51" s="460"/>
      <c r="Q51" s="459"/>
      <c r="R51" s="460"/>
      <c r="S51" s="163"/>
      <c r="T51" s="459"/>
      <c r="U51" s="460"/>
      <c r="V51" s="163"/>
      <c r="W51" s="459"/>
      <c r="X51" s="163"/>
      <c r="Y51" s="163"/>
      <c r="Z51" s="461"/>
    </row>
    <row r="52" spans="1:26" s="165" customFormat="1" ht="40.4" customHeight="1">
      <c r="A52" s="602" t="s">
        <v>1124</v>
      </c>
      <c r="B52" s="605" t="s">
        <v>864</v>
      </c>
      <c r="C52" s="605" t="s">
        <v>1141</v>
      </c>
      <c r="D52" s="441"/>
      <c r="E52" s="441"/>
      <c r="F52" s="441"/>
      <c r="G52" s="441"/>
      <c r="H52" s="298"/>
      <c r="I52" s="297"/>
      <c r="J52" s="309"/>
      <c r="K52" s="458" t="str">
        <f t="shared" ca="1" si="0"/>
        <v/>
      </c>
      <c r="L52" s="458" t="str">
        <f t="shared" si="1"/>
        <v/>
      </c>
      <c r="M52" s="19" t="s">
        <v>196</v>
      </c>
      <c r="N52" s="163" t="s">
        <v>22</v>
      </c>
      <c r="O52" s="459">
        <v>46108</v>
      </c>
      <c r="P52" s="460" t="s">
        <v>865</v>
      </c>
      <c r="Q52" s="459" t="s">
        <v>1163</v>
      </c>
      <c r="R52" s="460" t="s">
        <v>1162</v>
      </c>
      <c r="S52" s="163" t="s">
        <v>208</v>
      </c>
      <c r="T52" s="459" t="s">
        <v>1163</v>
      </c>
      <c r="U52" s="460" t="s">
        <v>1162</v>
      </c>
      <c r="V52" s="163" t="s">
        <v>208</v>
      </c>
      <c r="W52" s="459" t="s">
        <v>1161</v>
      </c>
      <c r="X52" s="163" t="s">
        <v>1160</v>
      </c>
      <c r="Y52" s="19" t="s">
        <v>196</v>
      </c>
      <c r="Z52" s="163"/>
    </row>
    <row r="53" spans="1:26" s="165" customFormat="1" ht="40.4" customHeight="1">
      <c r="A53" s="603"/>
      <c r="B53" s="606"/>
      <c r="C53" s="606"/>
      <c r="D53" s="442"/>
      <c r="E53" s="442"/>
      <c r="F53" s="442"/>
      <c r="G53" s="442"/>
      <c r="H53" s="298"/>
      <c r="I53" s="297"/>
      <c r="J53" s="309"/>
      <c r="K53" s="458" t="str">
        <f t="shared" ca="1" si="0"/>
        <v/>
      </c>
      <c r="L53" s="458" t="str">
        <f t="shared" si="1"/>
        <v/>
      </c>
      <c r="M53" s="301"/>
      <c r="N53" s="163"/>
      <c r="O53" s="459"/>
      <c r="P53" s="460"/>
      <c r="Q53" s="459"/>
      <c r="R53" s="460"/>
      <c r="S53" s="163"/>
      <c r="T53" s="459"/>
      <c r="U53" s="460"/>
      <c r="V53" s="163"/>
      <c r="W53" s="459"/>
      <c r="X53" s="163"/>
      <c r="Y53" s="163"/>
      <c r="Z53" s="461"/>
    </row>
    <row r="54" spans="1:26" s="165" customFormat="1" ht="40.4" customHeight="1">
      <c r="A54" s="604"/>
      <c r="B54" s="607"/>
      <c r="C54" s="607"/>
      <c r="D54" s="443"/>
      <c r="E54" s="443"/>
      <c r="F54" s="443"/>
      <c r="G54" s="443"/>
      <c r="H54" s="298"/>
      <c r="I54" s="297"/>
      <c r="J54" s="309"/>
      <c r="K54" s="458" t="str">
        <f t="shared" ca="1" si="0"/>
        <v/>
      </c>
      <c r="L54" s="458" t="str">
        <f t="shared" si="1"/>
        <v/>
      </c>
      <c r="M54" s="301"/>
      <c r="N54" s="163"/>
      <c r="O54" s="459"/>
      <c r="P54" s="460"/>
      <c r="Q54" s="459"/>
      <c r="R54" s="460"/>
      <c r="S54" s="163"/>
      <c r="T54" s="459"/>
      <c r="U54" s="460"/>
      <c r="V54" s="163"/>
      <c r="W54" s="459"/>
      <c r="X54" s="163"/>
      <c r="Y54" s="163"/>
      <c r="Z54" s="461"/>
    </row>
    <row r="55" spans="1:26" s="165" customFormat="1" ht="40.4" customHeight="1">
      <c r="A55" s="602" t="s">
        <v>1142</v>
      </c>
      <c r="B55" s="605" t="s">
        <v>1144</v>
      </c>
      <c r="C55" s="605" t="s">
        <v>1146</v>
      </c>
      <c r="D55" s="441"/>
      <c r="E55" s="441"/>
      <c r="F55" s="441"/>
      <c r="G55" s="441"/>
      <c r="H55" s="298"/>
      <c r="I55" s="297"/>
      <c r="J55" s="309"/>
      <c r="K55" s="458" t="str">
        <f t="shared" ref="K55:K57" ca="1" si="4">IF(H55="","",IF(O55&lt;&gt;"","",IF(AND(O55="",H55-TODAY()&lt;=60),H55-TODAY(),"")))</f>
        <v/>
      </c>
      <c r="L55" s="458" t="str">
        <f t="shared" ref="L55:L57" si="5">IF(AND(ISNUMBER(H55),ISNUMBER(O55)),H55-O55,"")</f>
        <v/>
      </c>
      <c r="M55" s="19" t="s">
        <v>196</v>
      </c>
      <c r="N55" s="163" t="s">
        <v>22</v>
      </c>
      <c r="O55" s="459" t="s">
        <v>1150</v>
      </c>
      <c r="P55" s="460" t="s">
        <v>1149</v>
      </c>
      <c r="Q55" s="459" t="s">
        <v>1148</v>
      </c>
      <c r="R55" s="460" t="s">
        <v>1157</v>
      </c>
      <c r="S55" s="163" t="s">
        <v>208</v>
      </c>
      <c r="T55" s="459" t="s">
        <v>1148</v>
      </c>
      <c r="U55" s="460" t="s">
        <v>1157</v>
      </c>
      <c r="V55" s="163" t="s">
        <v>208</v>
      </c>
      <c r="W55" s="459" t="s">
        <v>1172</v>
      </c>
      <c r="X55" s="308" t="s">
        <v>1173</v>
      </c>
      <c r="Y55" s="19" t="s">
        <v>196</v>
      </c>
      <c r="Z55" s="163"/>
    </row>
    <row r="56" spans="1:26" s="165" customFormat="1" ht="40.4" customHeight="1">
      <c r="A56" s="603"/>
      <c r="B56" s="606"/>
      <c r="C56" s="606"/>
      <c r="D56" s="442"/>
      <c r="E56" s="442"/>
      <c r="F56" s="442"/>
      <c r="G56" s="442"/>
      <c r="H56" s="298"/>
      <c r="I56" s="297"/>
      <c r="J56" s="309"/>
      <c r="K56" s="458" t="str">
        <f t="shared" ca="1" si="4"/>
        <v/>
      </c>
      <c r="L56" s="458" t="str">
        <f t="shared" si="5"/>
        <v/>
      </c>
      <c r="M56" s="301"/>
      <c r="N56" s="163"/>
      <c r="O56" s="459"/>
      <c r="P56" s="460"/>
      <c r="Q56" s="459"/>
      <c r="R56" s="460"/>
      <c r="S56" s="163"/>
      <c r="T56" s="459"/>
      <c r="U56" s="460"/>
      <c r="V56" s="163"/>
      <c r="W56" s="459"/>
      <c r="X56" s="163"/>
      <c r="Y56" s="163"/>
      <c r="Z56" s="461"/>
    </row>
    <row r="57" spans="1:26" s="165" customFormat="1" ht="40.4" customHeight="1">
      <c r="A57" s="604"/>
      <c r="B57" s="607"/>
      <c r="C57" s="607"/>
      <c r="D57" s="443"/>
      <c r="E57" s="443"/>
      <c r="F57" s="443"/>
      <c r="G57" s="443"/>
      <c r="H57" s="298"/>
      <c r="I57" s="297"/>
      <c r="J57" s="309"/>
      <c r="K57" s="458" t="str">
        <f t="shared" ca="1" si="4"/>
        <v/>
      </c>
      <c r="L57" s="458" t="str">
        <f t="shared" si="5"/>
        <v/>
      </c>
      <c r="M57" s="301"/>
      <c r="N57" s="163"/>
      <c r="O57" s="459"/>
      <c r="P57" s="460"/>
      <c r="Q57" s="459"/>
      <c r="R57" s="460"/>
      <c r="S57" s="163"/>
      <c r="T57" s="459"/>
      <c r="U57" s="460"/>
      <c r="V57" s="163"/>
      <c r="W57" s="459"/>
      <c r="X57" s="163"/>
      <c r="Y57" s="163"/>
      <c r="Z57" s="461"/>
    </row>
    <row r="58" spans="1:26" s="165" customFormat="1" ht="40.4" customHeight="1">
      <c r="A58" s="602" t="s">
        <v>1143</v>
      </c>
      <c r="B58" s="605" t="s">
        <v>1145</v>
      </c>
      <c r="C58" s="605" t="s">
        <v>1147</v>
      </c>
      <c r="D58" s="441"/>
      <c r="E58" s="441"/>
      <c r="F58" s="441"/>
      <c r="G58" s="441"/>
      <c r="H58" s="298"/>
      <c r="I58" s="297"/>
      <c r="J58" s="309"/>
      <c r="K58" s="458" t="str">
        <f t="shared" ref="K58:K60" ca="1" si="6">IF(H58="","",IF(O58&lt;&gt;"","",IF(AND(O58="",H58-TODAY()&lt;=60),H58-TODAY(),"")))</f>
        <v/>
      </c>
      <c r="L58" s="458" t="str">
        <f t="shared" ref="L58:L60" si="7">IF(AND(ISNUMBER(H58),ISNUMBER(O58)),H58-O58,"")</f>
        <v/>
      </c>
      <c r="M58" s="301" t="s">
        <v>925</v>
      </c>
      <c r="N58" s="163" t="s">
        <v>22</v>
      </c>
      <c r="O58" s="459" t="s">
        <v>1148</v>
      </c>
      <c r="P58" s="460" t="s">
        <v>1167</v>
      </c>
      <c r="Q58" s="459" t="s">
        <v>1174</v>
      </c>
      <c r="R58" s="460" t="s">
        <v>1175</v>
      </c>
      <c r="S58" s="163" t="s">
        <v>208</v>
      </c>
      <c r="T58" s="459" t="s">
        <v>1174</v>
      </c>
      <c r="U58" s="460" t="s">
        <v>1175</v>
      </c>
      <c r="V58" s="163" t="s">
        <v>208</v>
      </c>
      <c r="W58" s="459" t="s">
        <v>1657</v>
      </c>
      <c r="X58" s="163" t="s">
        <v>1656</v>
      </c>
      <c r="Y58" s="19" t="s">
        <v>196</v>
      </c>
      <c r="Z58" s="163"/>
    </row>
    <row r="59" spans="1:26" s="165" customFormat="1" ht="40.4" customHeight="1">
      <c r="A59" s="603"/>
      <c r="B59" s="606"/>
      <c r="C59" s="606"/>
      <c r="D59" s="442"/>
      <c r="E59" s="442"/>
      <c r="F59" s="442"/>
      <c r="G59" s="442"/>
      <c r="H59" s="298"/>
      <c r="I59" s="297"/>
      <c r="J59" s="309"/>
      <c r="K59" s="458" t="str">
        <f t="shared" ca="1" si="6"/>
        <v/>
      </c>
      <c r="L59" s="458" t="str">
        <f t="shared" si="7"/>
        <v/>
      </c>
      <c r="M59" s="301"/>
      <c r="N59" s="163"/>
      <c r="O59" s="459"/>
      <c r="P59" s="460"/>
      <c r="Q59" s="459"/>
      <c r="R59" s="460"/>
      <c r="S59" s="163"/>
      <c r="T59" s="459"/>
      <c r="U59" s="460"/>
      <c r="V59" s="163"/>
      <c r="W59" s="459"/>
      <c r="X59" s="163"/>
      <c r="Y59" s="163"/>
      <c r="Z59" s="461"/>
    </row>
    <row r="60" spans="1:26" s="165" customFormat="1" ht="40.4" customHeight="1">
      <c r="A60" s="604"/>
      <c r="B60" s="607"/>
      <c r="C60" s="607"/>
      <c r="D60" s="443"/>
      <c r="E60" s="443"/>
      <c r="F60" s="443"/>
      <c r="G60" s="443"/>
      <c r="H60" s="298"/>
      <c r="I60" s="297"/>
      <c r="J60" s="309"/>
      <c r="K60" s="458" t="str">
        <f t="shared" ca="1" si="6"/>
        <v/>
      </c>
      <c r="L60" s="458" t="str">
        <f t="shared" si="7"/>
        <v/>
      </c>
      <c r="M60" s="301"/>
      <c r="N60" s="163"/>
      <c r="O60" s="459"/>
      <c r="P60" s="460"/>
      <c r="Q60" s="459"/>
      <c r="R60" s="460"/>
      <c r="S60" s="163"/>
      <c r="T60" s="459"/>
      <c r="U60" s="460"/>
      <c r="V60" s="163"/>
      <c r="W60" s="459"/>
      <c r="X60" s="163"/>
      <c r="Y60" s="163"/>
      <c r="Z60" s="461"/>
    </row>
    <row r="61" spans="1:26" s="165" customFormat="1" ht="40.4" customHeight="1">
      <c r="A61" s="602" t="s">
        <v>1525</v>
      </c>
      <c r="B61" s="605" t="s">
        <v>1526</v>
      </c>
      <c r="C61" s="605" t="s">
        <v>1527</v>
      </c>
      <c r="D61" s="441"/>
      <c r="E61" s="441"/>
      <c r="F61" s="441"/>
      <c r="G61" s="441"/>
      <c r="H61" s="298"/>
      <c r="I61" s="297"/>
      <c r="J61" s="309"/>
      <c r="K61" s="458" t="str">
        <f t="shared" ref="K61:K63" ca="1" si="8">IF(H61="","",IF(O61&lt;&gt;"","",IF(AND(O61="",H61-TODAY()&lt;=60),H61-TODAY(),"")))</f>
        <v/>
      </c>
      <c r="L61" s="458" t="str">
        <f t="shared" ref="L61:L63" si="9">IF(AND(ISNUMBER(H61),ISNUMBER(O61)),H61-O61,"")</f>
        <v/>
      </c>
      <c r="M61" s="301" t="s">
        <v>1532</v>
      </c>
      <c r="N61" s="163" t="s">
        <v>22</v>
      </c>
      <c r="O61" s="459" t="s">
        <v>1529</v>
      </c>
      <c r="P61" s="460" t="s">
        <v>1528</v>
      </c>
      <c r="Q61" s="459"/>
      <c r="R61" s="460"/>
      <c r="S61" s="163"/>
      <c r="T61" s="459"/>
      <c r="U61" s="460"/>
      <c r="V61" s="163"/>
      <c r="W61" s="459"/>
      <c r="X61" s="163"/>
      <c r="Y61" s="163"/>
      <c r="Z61" s="163"/>
    </row>
    <row r="62" spans="1:26" s="165" customFormat="1" ht="40.4" customHeight="1">
      <c r="A62" s="603"/>
      <c r="B62" s="606"/>
      <c r="C62" s="606"/>
      <c r="D62" s="442"/>
      <c r="E62" s="442"/>
      <c r="F62" s="442"/>
      <c r="G62" s="442"/>
      <c r="H62" s="298"/>
      <c r="I62" s="297"/>
      <c r="J62" s="309"/>
      <c r="K62" s="458" t="str">
        <f t="shared" ca="1" si="8"/>
        <v/>
      </c>
      <c r="L62" s="458" t="str">
        <f t="shared" si="9"/>
        <v/>
      </c>
      <c r="M62" s="301"/>
      <c r="N62" s="163"/>
      <c r="O62" s="459"/>
      <c r="P62" s="460"/>
      <c r="Q62" s="459"/>
      <c r="R62" s="460"/>
      <c r="S62" s="163"/>
      <c r="T62" s="459"/>
      <c r="U62" s="460"/>
      <c r="V62" s="163"/>
      <c r="W62" s="459"/>
      <c r="X62" s="163"/>
      <c r="Y62" s="163"/>
      <c r="Z62" s="461"/>
    </row>
    <row r="63" spans="1:26" s="165" customFormat="1" ht="40.4" customHeight="1">
      <c r="A63" s="604"/>
      <c r="B63" s="607"/>
      <c r="C63" s="607"/>
      <c r="D63" s="443"/>
      <c r="E63" s="443"/>
      <c r="F63" s="443"/>
      <c r="G63" s="443"/>
      <c r="H63" s="298"/>
      <c r="I63" s="297"/>
      <c r="J63" s="309"/>
      <c r="K63" s="458" t="str">
        <f t="shared" ca="1" si="8"/>
        <v/>
      </c>
      <c r="L63" s="458" t="str">
        <f t="shared" si="9"/>
        <v/>
      </c>
      <c r="M63" s="301"/>
      <c r="N63" s="163"/>
      <c r="O63" s="459"/>
      <c r="P63" s="460"/>
      <c r="Q63" s="459"/>
      <c r="R63" s="460"/>
      <c r="S63" s="163"/>
      <c r="T63" s="459"/>
      <c r="U63" s="460"/>
      <c r="V63" s="163"/>
      <c r="W63" s="459"/>
      <c r="X63" s="163"/>
      <c r="Y63" s="163"/>
      <c r="Z63" s="461"/>
    </row>
    <row r="64" spans="1:26" s="2" customFormat="1" ht="40.4" customHeight="1">
      <c r="A64" s="36"/>
      <c r="B64" s="77"/>
      <c r="C64" s="77"/>
      <c r="D64" s="77"/>
      <c r="E64" s="77"/>
      <c r="F64" s="77"/>
      <c r="G64" s="77"/>
      <c r="H64" s="39"/>
      <c r="I64" s="40"/>
      <c r="J64" s="41"/>
      <c r="K64" s="42"/>
      <c r="L64" s="42"/>
      <c r="M64" s="43"/>
      <c r="N64" s="44"/>
      <c r="O64" s="100"/>
      <c r="P64" s="101"/>
      <c r="Q64" s="100"/>
      <c r="R64" s="101"/>
      <c r="S64" s="44"/>
      <c r="T64" s="100"/>
      <c r="U64" s="101"/>
      <c r="V64" s="44"/>
      <c r="W64" s="100"/>
      <c r="X64" s="44"/>
      <c r="Y64" s="44"/>
      <c r="Z64" s="47"/>
    </row>
    <row r="65" spans="1:26" s="2" customFormat="1" ht="40.4" customHeight="1">
      <c r="A65" s="36"/>
      <c r="B65" s="95" t="s">
        <v>370</v>
      </c>
      <c r="C65" s="38"/>
      <c r="D65" s="38"/>
      <c r="E65" s="38"/>
      <c r="F65" s="38"/>
      <c r="G65" s="38"/>
      <c r="H65" s="39"/>
      <c r="I65" s="40"/>
      <c r="J65" s="41"/>
      <c r="K65" s="42"/>
      <c r="L65" s="42"/>
      <c r="M65" s="43"/>
      <c r="N65" s="44"/>
      <c r="O65" s="45"/>
      <c r="P65" s="46"/>
      <c r="Q65" s="45"/>
      <c r="R65" s="46"/>
      <c r="S65" s="44"/>
      <c r="T65" s="45"/>
      <c r="U65" s="46"/>
      <c r="V65" s="44"/>
      <c r="W65" s="45"/>
      <c r="X65" s="44"/>
      <c r="Y65" s="44"/>
      <c r="Z65" s="47"/>
    </row>
    <row r="66" spans="1:26" ht="40.4" customHeight="1">
      <c r="B66" s="49" t="s">
        <v>193</v>
      </c>
      <c r="C66" s="64">
        <f>COUNTA(C5:C63)</f>
        <v>21</v>
      </c>
      <c r="D66" s="83"/>
      <c r="E66" s="83"/>
      <c r="F66" s="83"/>
      <c r="G66" s="83"/>
      <c r="I66" s="51"/>
      <c r="M66" s="2"/>
      <c r="Y66" s="52"/>
      <c r="Z66" s="1"/>
    </row>
    <row r="67" spans="1:26" ht="40.4" customHeight="1">
      <c r="B67" s="61" t="s">
        <v>240</v>
      </c>
      <c r="C67" s="67">
        <f>C66-C68-C69-C70</f>
        <v>0</v>
      </c>
      <c r="D67" s="84"/>
      <c r="E67" s="84"/>
      <c r="F67" s="84"/>
      <c r="G67" s="84"/>
      <c r="I67" s="51"/>
      <c r="M67" s="2"/>
      <c r="Y67" s="52"/>
      <c r="Z67" s="1"/>
    </row>
    <row r="68" spans="1:26" ht="40.4" customHeight="1">
      <c r="B68" s="55" t="s">
        <v>194</v>
      </c>
      <c r="C68" s="65">
        <f>COUNTIF(M5:M63,"核定")</f>
        <v>19</v>
      </c>
      <c r="D68" s="57"/>
      <c r="E68" s="57"/>
      <c r="F68" s="57"/>
      <c r="G68" s="57"/>
      <c r="I68" s="57"/>
      <c r="M68" s="2"/>
      <c r="Y68" s="52"/>
      <c r="Z68" s="1"/>
    </row>
    <row r="69" spans="1:26" ht="45.65" customHeight="1">
      <c r="B69" s="72" t="s">
        <v>177</v>
      </c>
      <c r="C69" s="73">
        <f>COUNTIF(M5:M63,"審查")</f>
        <v>2</v>
      </c>
      <c r="D69" s="85"/>
      <c r="E69" s="85"/>
      <c r="F69" s="85"/>
      <c r="G69" s="85"/>
      <c r="I69" s="60"/>
      <c r="M69" s="2"/>
      <c r="Y69" s="52"/>
      <c r="Z69" s="1"/>
    </row>
    <row r="70" spans="1:26" ht="45.65" customHeight="1">
      <c r="B70" s="58" t="s">
        <v>239</v>
      </c>
      <c r="C70" s="66">
        <f>COUNTIF(M5:M63,"修正")</f>
        <v>0</v>
      </c>
      <c r="D70" s="86"/>
      <c r="E70" s="86"/>
      <c r="F70" s="86"/>
      <c r="G70" s="86"/>
      <c r="I70" s="60"/>
      <c r="M70" s="2"/>
      <c r="Y70" s="52"/>
      <c r="Z70" s="1"/>
    </row>
  </sheetData>
  <autoFilter ref="A4:Z70" xr:uid="{00000000-0009-0000-0000-000007000000}"/>
  <mergeCells count="78">
    <mergeCell ref="A46:A48"/>
    <mergeCell ref="B46:B48"/>
    <mergeCell ref="C46:C48"/>
    <mergeCell ref="A52:A54"/>
    <mergeCell ref="B52:B54"/>
    <mergeCell ref="C52:C54"/>
    <mergeCell ref="A49:A51"/>
    <mergeCell ref="B49:B51"/>
    <mergeCell ref="C49:C51"/>
    <mergeCell ref="A43:A45"/>
    <mergeCell ref="B43:B45"/>
    <mergeCell ref="C43:C45"/>
    <mergeCell ref="A40:A42"/>
    <mergeCell ref="B40:B42"/>
    <mergeCell ref="C40:C42"/>
    <mergeCell ref="A37:A39"/>
    <mergeCell ref="B37:B39"/>
    <mergeCell ref="C37:C39"/>
    <mergeCell ref="A31:A33"/>
    <mergeCell ref="B31:B33"/>
    <mergeCell ref="C31:C33"/>
    <mergeCell ref="A34:A36"/>
    <mergeCell ref="B34:B36"/>
    <mergeCell ref="C34:C36"/>
    <mergeCell ref="A25:A27"/>
    <mergeCell ref="B25:B27"/>
    <mergeCell ref="C25:C27"/>
    <mergeCell ref="A28:A30"/>
    <mergeCell ref="B28:B30"/>
    <mergeCell ref="C28:C30"/>
    <mergeCell ref="A19:A21"/>
    <mergeCell ref="B19:B21"/>
    <mergeCell ref="C19:C21"/>
    <mergeCell ref="A22:A24"/>
    <mergeCell ref="B22:B24"/>
    <mergeCell ref="C22:C24"/>
    <mergeCell ref="A13:A15"/>
    <mergeCell ref="B13:B15"/>
    <mergeCell ref="C13:C15"/>
    <mergeCell ref="A16:A18"/>
    <mergeCell ref="B16:B18"/>
    <mergeCell ref="C16:C18"/>
    <mergeCell ref="W3:Y3"/>
    <mergeCell ref="A7:A9"/>
    <mergeCell ref="B7:B9"/>
    <mergeCell ref="C7:C9"/>
    <mergeCell ref="A10:A12"/>
    <mergeCell ref="B10:B12"/>
    <mergeCell ref="C10:C12"/>
    <mergeCell ref="D2:D4"/>
    <mergeCell ref="E2:E4"/>
    <mergeCell ref="F2:F4"/>
    <mergeCell ref="G2:G4"/>
    <mergeCell ref="A1:Z1"/>
    <mergeCell ref="A2:A4"/>
    <mergeCell ref="B2:B4"/>
    <mergeCell ref="C2:C4"/>
    <mergeCell ref="H2:H4"/>
    <mergeCell ref="I2:I4"/>
    <mergeCell ref="J2:J4"/>
    <mergeCell ref="K2:K4"/>
    <mergeCell ref="L2:L4"/>
    <mergeCell ref="M2:M4"/>
    <mergeCell ref="N2:N4"/>
    <mergeCell ref="O2:Y2"/>
    <mergeCell ref="Z2:Z4"/>
    <mergeCell ref="O3:P3"/>
    <mergeCell ref="Q3:S3"/>
    <mergeCell ref="T3:V3"/>
    <mergeCell ref="A61:A63"/>
    <mergeCell ref="B61:B63"/>
    <mergeCell ref="C61:C63"/>
    <mergeCell ref="A55:A57"/>
    <mergeCell ref="B55:B57"/>
    <mergeCell ref="C55:C57"/>
    <mergeCell ref="A58:A60"/>
    <mergeCell ref="B58:B60"/>
    <mergeCell ref="C58:C60"/>
  </mergeCells>
  <phoneticPr fontId="3" type="noConversion"/>
  <hyperlinks>
    <hyperlink ref="X55" r:id="rId1" xr:uid="{0C54E1CA-8917-43C2-A460-8B3BD8D2161E}"/>
  </hyperlinks>
  <pageMargins left="0.31496062992125984" right="0.31496062992125984" top="0.74803149606299213" bottom="0.74803149606299213" header="0.3543307086614173" footer="0.3543307086614173"/>
  <pageSetup paperSize="8" scale="64" fitToHeight="0" orientation="landscape" r:id="rId2"/>
  <ignoredErrors>
    <ignoredError sqref="A3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BA876-0A2A-4F30-8CFB-2E0102CB77D4}">
  <sheetPr>
    <tabColor theme="9" tint="0.79998168889431442"/>
    <pageSetUpPr autoPageBreaks="0" fitToPage="1"/>
  </sheetPr>
  <dimension ref="A1:AF165"/>
  <sheetViews>
    <sheetView zoomScale="70" zoomScaleNormal="70" zoomScaleSheetLayoutView="55" zoomScalePageLayoutView="40" workbookViewId="0">
      <pane xSplit="8" ySplit="4" topLeftCell="S140" activePane="bottomRight" state="frozen"/>
      <selection activeCell="J17" sqref="J17"/>
      <selection pane="topRight" activeCell="J17" sqref="J17"/>
      <selection pane="bottomLeft" activeCell="J17" sqref="J17"/>
      <selection pane="bottomRight" activeCell="W145" sqref="W145"/>
    </sheetView>
  </sheetViews>
  <sheetFormatPr defaultColWidth="8" defaultRowHeight="16"/>
  <cols>
    <col min="1" max="1" width="13.453125" style="1" hidden="1" customWidth="1"/>
    <col min="2" max="4" width="11.90625" style="1" hidden="1" customWidth="1"/>
    <col min="5" max="5" width="10.90625" style="48" customWidth="1"/>
    <col min="6" max="6" width="18.36328125" style="2" customWidth="1"/>
    <col min="7" max="7" width="22.08984375" style="2" hidden="1" customWidth="1"/>
    <col min="8" max="8" width="30.90625" style="2" customWidth="1"/>
    <col min="9" max="9" width="22.08984375" style="2" hidden="1" customWidth="1"/>
    <col min="10" max="10" width="11.36328125" style="2" hidden="1" customWidth="1"/>
    <col min="11" max="11" width="36.90625" style="52" hidden="1" customWidth="1"/>
    <col min="12" max="12" width="18.90625" style="2" hidden="1" customWidth="1"/>
    <col min="13" max="13" width="29.453125" style="2" customWidth="1"/>
    <col min="14" max="14" width="17.453125" style="53" customWidth="1"/>
    <col min="15" max="15" width="17.453125" style="52" customWidth="1"/>
    <col min="16" max="16" width="16.453125" style="52" customWidth="1"/>
    <col min="17" max="17" width="20.08984375" style="53" customWidth="1"/>
    <col min="18" max="18" width="14.08984375" style="54" customWidth="1"/>
    <col min="19" max="19" width="11.453125" style="54" customWidth="1"/>
    <col min="20" max="20" width="14.08984375" style="2" customWidth="1"/>
    <col min="21" max="21" width="16.453125" style="2" customWidth="1"/>
    <col min="22" max="22" width="24.453125" style="2" customWidth="1"/>
    <col min="23" max="23" width="16.08984375" style="2" bestFit="1" customWidth="1"/>
    <col min="24" max="24" width="24.453125" style="2" customWidth="1"/>
    <col min="25" max="25" width="24.90625" style="2" customWidth="1"/>
    <col min="26" max="26" width="16.08984375" style="2" hidden="1" customWidth="1"/>
    <col min="27" max="27" width="20.453125" style="2" hidden="1" customWidth="1"/>
    <col min="28" max="28" width="14.08984375" style="2" hidden="1" customWidth="1"/>
    <col min="29" max="29" width="16.08984375" style="2" hidden="1" customWidth="1"/>
    <col min="30" max="30" width="25.81640625" style="2" customWidth="1"/>
    <col min="31" max="31" width="14.08984375" style="2" bestFit="1" customWidth="1"/>
    <col min="32" max="32" width="23.08984375" style="52" customWidth="1"/>
    <col min="33" max="16384" width="8" style="1"/>
  </cols>
  <sheetData>
    <row r="1" spans="1:32" ht="40.4" customHeight="1">
      <c r="E1" s="675" t="s">
        <v>371</v>
      </c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  <c r="AE1" s="675"/>
      <c r="AF1" s="675"/>
    </row>
    <row r="2" spans="1:32" s="2" customFormat="1" ht="25.4" customHeight="1">
      <c r="A2" s="690" t="s">
        <v>522</v>
      </c>
      <c r="B2" s="693" t="s">
        <v>521</v>
      </c>
      <c r="C2" s="134"/>
      <c r="D2" s="134"/>
      <c r="E2" s="676" t="s">
        <v>1</v>
      </c>
      <c r="F2" s="677" t="s">
        <v>3</v>
      </c>
      <c r="G2" s="681" t="s">
        <v>491</v>
      </c>
      <c r="H2" s="677" t="s">
        <v>4</v>
      </c>
      <c r="I2" s="681" t="s">
        <v>491</v>
      </c>
      <c r="J2" s="681" t="s">
        <v>230</v>
      </c>
      <c r="K2" s="685" t="s">
        <v>255</v>
      </c>
      <c r="L2" s="687" t="s">
        <v>562</v>
      </c>
      <c r="M2" s="687" t="s">
        <v>565</v>
      </c>
      <c r="N2" s="678" t="s">
        <v>5</v>
      </c>
      <c r="O2" s="681" t="s">
        <v>6</v>
      </c>
      <c r="P2" s="681" t="s">
        <v>7</v>
      </c>
      <c r="Q2" s="684" t="s">
        <v>8</v>
      </c>
      <c r="R2" s="678" t="s">
        <v>9</v>
      </c>
      <c r="S2" s="677" t="s">
        <v>10</v>
      </c>
      <c r="T2" s="677" t="s">
        <v>11</v>
      </c>
      <c r="U2" s="677" t="s">
        <v>12</v>
      </c>
      <c r="V2" s="677"/>
      <c r="W2" s="677"/>
      <c r="X2" s="677"/>
      <c r="Y2" s="677"/>
      <c r="Z2" s="677"/>
      <c r="AA2" s="677"/>
      <c r="AB2" s="677"/>
      <c r="AC2" s="677"/>
      <c r="AD2" s="677"/>
      <c r="AE2" s="677"/>
      <c r="AF2" s="677" t="s">
        <v>13</v>
      </c>
    </row>
    <row r="3" spans="1:32" s="2" customFormat="1" ht="25.4" customHeight="1">
      <c r="A3" s="690"/>
      <c r="B3" s="693"/>
      <c r="C3" s="134"/>
      <c r="D3" s="134"/>
      <c r="E3" s="676"/>
      <c r="F3" s="677"/>
      <c r="G3" s="682"/>
      <c r="H3" s="677"/>
      <c r="I3" s="682"/>
      <c r="J3" s="682"/>
      <c r="K3" s="686"/>
      <c r="L3" s="688"/>
      <c r="M3" s="688"/>
      <c r="N3" s="679"/>
      <c r="O3" s="682"/>
      <c r="P3" s="682"/>
      <c r="Q3" s="684" t="s">
        <v>14</v>
      </c>
      <c r="R3" s="679"/>
      <c r="S3" s="677"/>
      <c r="T3" s="677"/>
      <c r="U3" s="677" t="s">
        <v>15</v>
      </c>
      <c r="V3" s="677"/>
      <c r="W3" s="677" t="s">
        <v>16</v>
      </c>
      <c r="X3" s="677"/>
      <c r="Y3" s="677"/>
      <c r="Z3" s="677" t="s">
        <v>17</v>
      </c>
      <c r="AA3" s="677"/>
      <c r="AB3" s="677"/>
      <c r="AC3" s="677" t="s">
        <v>18</v>
      </c>
      <c r="AD3" s="677"/>
      <c r="AE3" s="677"/>
      <c r="AF3" s="677"/>
    </row>
    <row r="4" spans="1:32" s="2" customFormat="1" ht="25.4" customHeight="1">
      <c r="A4" s="690"/>
      <c r="B4" s="693"/>
      <c r="C4" s="134"/>
      <c r="D4" s="134"/>
      <c r="E4" s="676"/>
      <c r="F4" s="677"/>
      <c r="G4" s="683"/>
      <c r="H4" s="677"/>
      <c r="I4" s="683"/>
      <c r="J4" s="683"/>
      <c r="K4" s="686"/>
      <c r="L4" s="689"/>
      <c r="M4" s="689"/>
      <c r="N4" s="680"/>
      <c r="O4" s="683"/>
      <c r="P4" s="683"/>
      <c r="Q4" s="684"/>
      <c r="R4" s="680"/>
      <c r="S4" s="677"/>
      <c r="T4" s="677"/>
      <c r="U4" s="275" t="s">
        <v>19</v>
      </c>
      <c r="V4" s="275" t="s">
        <v>20</v>
      </c>
      <c r="W4" s="275" t="s">
        <v>19</v>
      </c>
      <c r="X4" s="275" t="s">
        <v>20</v>
      </c>
      <c r="Y4" s="275" t="s">
        <v>21</v>
      </c>
      <c r="Z4" s="275" t="s">
        <v>19</v>
      </c>
      <c r="AA4" s="275" t="s">
        <v>20</v>
      </c>
      <c r="AB4" s="275" t="s">
        <v>21</v>
      </c>
      <c r="AC4" s="275" t="s">
        <v>19</v>
      </c>
      <c r="AD4" s="275" t="s">
        <v>20</v>
      </c>
      <c r="AE4" s="275" t="s">
        <v>21</v>
      </c>
      <c r="AF4" s="677"/>
    </row>
    <row r="5" spans="1:32" s="111" customFormat="1" ht="40.4" customHeight="1">
      <c r="E5" s="139" t="s">
        <v>228</v>
      </c>
      <c r="F5" s="140" t="s">
        <v>1168</v>
      </c>
      <c r="G5" s="140"/>
      <c r="H5" s="145" t="s">
        <v>867</v>
      </c>
      <c r="I5" s="145"/>
      <c r="J5" s="143" t="s">
        <v>659</v>
      </c>
      <c r="K5" s="186" t="s">
        <v>868</v>
      </c>
      <c r="L5" s="145"/>
      <c r="M5" s="145" t="s">
        <v>675</v>
      </c>
      <c r="N5" s="112"/>
      <c r="O5" s="112"/>
      <c r="P5" s="112"/>
      <c r="Q5" s="113" t="str">
        <f t="shared" ref="Q5:Q15" ca="1" si="0">IF(N5="","",IF(U5&lt;&gt;"","",IF(AND(U5="",N5-TODAY()&lt;=60),N5-TODAY(),"")))</f>
        <v/>
      </c>
      <c r="R5" s="113" t="str">
        <f t="shared" ref="R5:R15" si="1">IF(AND(ISNUMBER(N5),ISNUMBER(U5)),N5-U5,"")</f>
        <v/>
      </c>
      <c r="S5" s="114" t="s">
        <v>699</v>
      </c>
      <c r="T5" s="15" t="s">
        <v>700</v>
      </c>
      <c r="U5" s="23">
        <v>45747</v>
      </c>
      <c r="V5" s="108" t="s">
        <v>775</v>
      </c>
      <c r="W5" s="23">
        <v>45757</v>
      </c>
      <c r="X5" s="118" t="s">
        <v>776</v>
      </c>
      <c r="Y5" s="15" t="s">
        <v>718</v>
      </c>
      <c r="Z5" s="23">
        <v>45757</v>
      </c>
      <c r="AA5" s="118" t="s">
        <v>776</v>
      </c>
      <c r="AB5" s="15" t="str">
        <f t="shared" ref="AB5" si="2">IF(Z5="","",IF(Y5="檢退","檢退",IF(Y5="審查同意","審定","檢退")))</f>
        <v>審定</v>
      </c>
      <c r="AC5" s="23">
        <v>45758</v>
      </c>
      <c r="AD5" s="109" t="s">
        <v>1169</v>
      </c>
      <c r="AE5" s="15" t="str">
        <f t="shared" ref="AE5" si="3">IF(AC5="","",IF(AB5="檢退","請修正",IF(AB5="請備查","備查",IF(AB5="審定","核定","請修正"))))</f>
        <v>核定</v>
      </c>
      <c r="AF5" s="16"/>
    </row>
    <row r="6" spans="1:32" s="115" customFormat="1" ht="40.4" customHeight="1">
      <c r="E6" s="139" t="s">
        <v>1552</v>
      </c>
      <c r="F6" s="152" t="s">
        <v>1595</v>
      </c>
      <c r="G6" s="152"/>
      <c r="H6" s="142" t="s">
        <v>1541</v>
      </c>
      <c r="I6" s="142"/>
      <c r="J6" s="142" t="s">
        <v>659</v>
      </c>
      <c r="K6" s="187" t="s">
        <v>866</v>
      </c>
      <c r="L6" s="142"/>
      <c r="M6" s="422" t="s">
        <v>660</v>
      </c>
      <c r="N6" s="112">
        <f t="shared" ref="N6:N15" si="4">IF(P6="","",P6-60)</f>
        <v>45793</v>
      </c>
      <c r="O6" s="116"/>
      <c r="P6" s="112">
        <v>45853</v>
      </c>
      <c r="Q6" s="117" t="str">
        <f t="shared" ca="1" si="0"/>
        <v/>
      </c>
      <c r="R6" s="117">
        <f t="shared" si="1"/>
        <v>36</v>
      </c>
      <c r="S6" s="114" t="s">
        <v>699</v>
      </c>
      <c r="T6" s="15" t="s">
        <v>700</v>
      </c>
      <c r="U6" s="23">
        <v>45757</v>
      </c>
      <c r="V6" s="108" t="s">
        <v>716</v>
      </c>
      <c r="W6" s="23">
        <v>45762</v>
      </c>
      <c r="X6" s="118" t="s">
        <v>717</v>
      </c>
      <c r="Y6" s="15" t="s">
        <v>718</v>
      </c>
      <c r="Z6" s="23">
        <v>45765</v>
      </c>
      <c r="AA6" s="118" t="s">
        <v>719</v>
      </c>
      <c r="AB6" s="15" t="str">
        <f t="shared" ref="AB6:AB7" si="5">IF(Z6="","",IF(Y6="檢退","檢退",IF(Y6="審查同意","審定","檢退")))</f>
        <v>審定</v>
      </c>
      <c r="AC6" s="23">
        <v>45775</v>
      </c>
      <c r="AD6" s="109" t="s">
        <v>720</v>
      </c>
      <c r="AE6" s="15" t="str">
        <f t="shared" ref="AE6:AE7" si="6">IF(AC6="","",IF(AB6="檢退","請修正",IF(AB6="請備查","備查",IF(AB6="審定","核定","請修正"))))</f>
        <v>核定</v>
      </c>
      <c r="AF6" s="15"/>
    </row>
    <row r="7" spans="1:32" s="115" customFormat="1" ht="40.4" customHeight="1">
      <c r="E7" s="139" t="s">
        <v>1553</v>
      </c>
      <c r="F7" s="152" t="s">
        <v>37</v>
      </c>
      <c r="G7" s="152"/>
      <c r="H7" s="142" t="s">
        <v>1542</v>
      </c>
      <c r="I7" s="142"/>
      <c r="J7" s="142" t="s">
        <v>659</v>
      </c>
      <c r="K7" s="187" t="s">
        <v>866</v>
      </c>
      <c r="L7" s="142"/>
      <c r="M7" s="422" t="s">
        <v>660</v>
      </c>
      <c r="N7" s="112">
        <f t="shared" si="4"/>
        <v>45793</v>
      </c>
      <c r="O7" s="116"/>
      <c r="P7" s="112">
        <v>45853</v>
      </c>
      <c r="Q7" s="117" t="str">
        <f t="shared" ref="Q7" ca="1" si="7">IF(N7="","",IF(U7&lt;&gt;"","",IF(AND(U7="",N7-TODAY()&lt;=60),N7-TODAY(),"")))</f>
        <v/>
      </c>
      <c r="R7" s="117">
        <f t="shared" ref="R7" si="8">IF(AND(ISNUMBER(N7),ISNUMBER(U7)),N7-U7,"")</f>
        <v>36</v>
      </c>
      <c r="S7" s="114" t="s">
        <v>699</v>
      </c>
      <c r="T7" s="15" t="s">
        <v>700</v>
      </c>
      <c r="U7" s="23">
        <v>45757</v>
      </c>
      <c r="V7" s="108" t="s">
        <v>716</v>
      </c>
      <c r="W7" s="23">
        <v>45762</v>
      </c>
      <c r="X7" s="118" t="s">
        <v>717</v>
      </c>
      <c r="Y7" s="15" t="s">
        <v>718</v>
      </c>
      <c r="Z7" s="23">
        <v>45765</v>
      </c>
      <c r="AA7" s="118" t="s">
        <v>719</v>
      </c>
      <c r="AB7" s="15" t="str">
        <f t="shared" si="5"/>
        <v>審定</v>
      </c>
      <c r="AC7" s="23">
        <v>45775</v>
      </c>
      <c r="AD7" s="109" t="s">
        <v>720</v>
      </c>
      <c r="AE7" s="15" t="str">
        <f t="shared" si="6"/>
        <v>核定</v>
      </c>
      <c r="AF7" s="15"/>
    </row>
    <row r="8" spans="1:32" s="115" customFormat="1" ht="40.4" customHeight="1">
      <c r="E8" s="139" t="s">
        <v>1554</v>
      </c>
      <c r="F8" s="152" t="s">
        <v>37</v>
      </c>
      <c r="G8" s="152"/>
      <c r="H8" s="142" t="s">
        <v>668</v>
      </c>
      <c r="I8" s="142"/>
      <c r="J8" s="142" t="s">
        <v>659</v>
      </c>
      <c r="K8" s="187" t="s">
        <v>866</v>
      </c>
      <c r="L8" s="142"/>
      <c r="M8" s="422" t="s">
        <v>660</v>
      </c>
      <c r="N8" s="112">
        <f t="shared" si="4"/>
        <v>45793</v>
      </c>
      <c r="O8" s="116"/>
      <c r="P8" s="112">
        <v>45853</v>
      </c>
      <c r="Q8" s="117" t="str">
        <f t="shared" ca="1" si="0"/>
        <v/>
      </c>
      <c r="R8" s="117">
        <f t="shared" si="1"/>
        <v>36</v>
      </c>
      <c r="S8" s="114" t="s">
        <v>699</v>
      </c>
      <c r="T8" s="15" t="s">
        <v>700</v>
      </c>
      <c r="U8" s="23">
        <v>45757</v>
      </c>
      <c r="V8" s="108" t="s">
        <v>716</v>
      </c>
      <c r="W8" s="23">
        <v>45762</v>
      </c>
      <c r="X8" s="118" t="s">
        <v>717</v>
      </c>
      <c r="Y8" s="15" t="s">
        <v>718</v>
      </c>
      <c r="Z8" s="23">
        <v>45765</v>
      </c>
      <c r="AA8" s="118" t="s">
        <v>719</v>
      </c>
      <c r="AB8" s="15" t="str">
        <f t="shared" ref="AB8:AB15" si="9">IF(Z8="","",IF(Y8="檢退","檢退",IF(Y8="審查同意","審定","檢退")))</f>
        <v>審定</v>
      </c>
      <c r="AC8" s="23">
        <v>45775</v>
      </c>
      <c r="AD8" s="109" t="s">
        <v>720</v>
      </c>
      <c r="AE8" s="15" t="str">
        <f t="shared" ref="AE8:AE24" si="10">IF(AC8="","",IF(AB8="檢退","請修正",IF(AB8="請備查","備查",IF(AB8="審定","核定","請修正"))))</f>
        <v>核定</v>
      </c>
      <c r="AF8" s="15"/>
    </row>
    <row r="9" spans="1:32" s="115" customFormat="1" ht="40.4" customHeight="1">
      <c r="E9" s="139" t="s">
        <v>1555</v>
      </c>
      <c r="F9" s="152" t="s">
        <v>39</v>
      </c>
      <c r="G9" s="152"/>
      <c r="H9" s="142" t="s">
        <v>1541</v>
      </c>
      <c r="I9" s="142"/>
      <c r="J9" s="142" t="s">
        <v>659</v>
      </c>
      <c r="K9" s="187" t="s">
        <v>866</v>
      </c>
      <c r="L9" s="142"/>
      <c r="M9" s="420" t="s">
        <v>661</v>
      </c>
      <c r="N9" s="112">
        <f t="shared" si="4"/>
        <v>45793</v>
      </c>
      <c r="O9" s="116"/>
      <c r="P9" s="112">
        <v>45853</v>
      </c>
      <c r="Q9" s="117" t="str">
        <f t="shared" ca="1" si="0"/>
        <v/>
      </c>
      <c r="R9" s="117">
        <f t="shared" si="1"/>
        <v>31</v>
      </c>
      <c r="S9" s="114" t="s">
        <v>699</v>
      </c>
      <c r="T9" s="15" t="s">
        <v>721</v>
      </c>
      <c r="U9" s="23">
        <v>45762</v>
      </c>
      <c r="V9" s="108" t="s">
        <v>722</v>
      </c>
      <c r="W9" s="23">
        <v>45764</v>
      </c>
      <c r="X9" s="118" t="s">
        <v>723</v>
      </c>
      <c r="Y9" s="15" t="s">
        <v>718</v>
      </c>
      <c r="Z9" s="23">
        <v>45765</v>
      </c>
      <c r="AA9" s="118" t="s">
        <v>724</v>
      </c>
      <c r="AB9" s="15" t="str">
        <f t="shared" si="9"/>
        <v>審定</v>
      </c>
      <c r="AC9" s="23">
        <v>45775</v>
      </c>
      <c r="AD9" s="109" t="s">
        <v>720</v>
      </c>
      <c r="AE9" s="15" t="str">
        <f t="shared" si="10"/>
        <v>核定</v>
      </c>
      <c r="AF9" s="15"/>
    </row>
    <row r="10" spans="1:32" s="115" customFormat="1" ht="40.4" customHeight="1">
      <c r="E10" s="139" t="s">
        <v>1556</v>
      </c>
      <c r="F10" s="152" t="s">
        <v>1596</v>
      </c>
      <c r="G10" s="152"/>
      <c r="H10" s="142" t="s">
        <v>1542</v>
      </c>
      <c r="I10" s="142"/>
      <c r="J10" s="142" t="s">
        <v>659</v>
      </c>
      <c r="K10" s="187" t="s">
        <v>866</v>
      </c>
      <c r="L10" s="142"/>
      <c r="M10" s="420" t="s">
        <v>661</v>
      </c>
      <c r="N10" s="112">
        <f t="shared" si="4"/>
        <v>45793</v>
      </c>
      <c r="O10" s="116"/>
      <c r="P10" s="112">
        <v>45853</v>
      </c>
      <c r="Q10" s="117" t="str">
        <f t="shared" ref="Q10" ca="1" si="11">IF(N10="","",IF(U10&lt;&gt;"","",IF(AND(U10="",N10-TODAY()&lt;=60),N10-TODAY(),"")))</f>
        <v/>
      </c>
      <c r="R10" s="117">
        <f t="shared" ref="R10" si="12">IF(AND(ISNUMBER(N10),ISNUMBER(U10)),N10-U10,"")</f>
        <v>31</v>
      </c>
      <c r="S10" s="114" t="s">
        <v>699</v>
      </c>
      <c r="T10" s="15" t="s">
        <v>721</v>
      </c>
      <c r="U10" s="23">
        <v>45762</v>
      </c>
      <c r="V10" s="108" t="s">
        <v>722</v>
      </c>
      <c r="W10" s="23">
        <v>45764</v>
      </c>
      <c r="X10" s="118" t="s">
        <v>723</v>
      </c>
      <c r="Y10" s="15" t="s">
        <v>718</v>
      </c>
      <c r="Z10" s="23">
        <v>45765</v>
      </c>
      <c r="AA10" s="118" t="s">
        <v>724</v>
      </c>
      <c r="AB10" s="15" t="str">
        <f t="shared" ref="AB10" si="13">IF(Z10="","",IF(Y10="檢退","檢退",IF(Y10="審查同意","審定","檢退")))</f>
        <v>審定</v>
      </c>
      <c r="AC10" s="23">
        <v>45775</v>
      </c>
      <c r="AD10" s="109" t="s">
        <v>720</v>
      </c>
      <c r="AE10" s="15" t="str">
        <f t="shared" ref="AE10" si="14">IF(AC10="","",IF(AB10="檢退","請修正",IF(AB10="請備查","備查",IF(AB10="審定","核定","請修正"))))</f>
        <v>核定</v>
      </c>
      <c r="AF10" s="15"/>
    </row>
    <row r="11" spans="1:32" s="115" customFormat="1" ht="40.4" customHeight="1">
      <c r="E11" s="139" t="s">
        <v>1557</v>
      </c>
      <c r="F11" s="152" t="s">
        <v>39</v>
      </c>
      <c r="G11" s="152"/>
      <c r="H11" s="142" t="s">
        <v>668</v>
      </c>
      <c r="I11" s="142"/>
      <c r="J11" s="142" t="s">
        <v>659</v>
      </c>
      <c r="K11" s="187" t="s">
        <v>866</v>
      </c>
      <c r="L11" s="142"/>
      <c r="M11" s="420" t="s">
        <v>661</v>
      </c>
      <c r="N11" s="112">
        <f t="shared" si="4"/>
        <v>45793</v>
      </c>
      <c r="O11" s="116"/>
      <c r="P11" s="112">
        <v>45853</v>
      </c>
      <c r="Q11" s="117" t="str">
        <f t="shared" ca="1" si="0"/>
        <v/>
      </c>
      <c r="R11" s="117">
        <f t="shared" si="1"/>
        <v>31</v>
      </c>
      <c r="S11" s="114" t="s">
        <v>699</v>
      </c>
      <c r="T11" s="15" t="s">
        <v>721</v>
      </c>
      <c r="U11" s="23">
        <v>45762</v>
      </c>
      <c r="V11" s="108" t="s">
        <v>722</v>
      </c>
      <c r="W11" s="23">
        <v>45764</v>
      </c>
      <c r="X11" s="118" t="s">
        <v>723</v>
      </c>
      <c r="Y11" s="15" t="s">
        <v>718</v>
      </c>
      <c r="Z11" s="23">
        <v>45765</v>
      </c>
      <c r="AA11" s="118" t="s">
        <v>724</v>
      </c>
      <c r="AB11" s="15" t="str">
        <f t="shared" si="9"/>
        <v>審定</v>
      </c>
      <c r="AC11" s="23">
        <v>45775</v>
      </c>
      <c r="AD11" s="109" t="s">
        <v>720</v>
      </c>
      <c r="AE11" s="15" t="str">
        <f t="shared" si="10"/>
        <v>核定</v>
      </c>
      <c r="AF11" s="15"/>
    </row>
    <row r="12" spans="1:32" s="115" customFormat="1" ht="40.4" customHeight="1">
      <c r="E12" s="139" t="s">
        <v>1558</v>
      </c>
      <c r="F12" s="152" t="s">
        <v>41</v>
      </c>
      <c r="G12" s="152"/>
      <c r="H12" s="142" t="s">
        <v>1541</v>
      </c>
      <c r="I12" s="142"/>
      <c r="J12" s="142" t="s">
        <v>659</v>
      </c>
      <c r="K12" s="187" t="s">
        <v>866</v>
      </c>
      <c r="L12" s="142"/>
      <c r="M12" s="462" t="s">
        <v>662</v>
      </c>
      <c r="N12" s="112">
        <f t="shared" si="4"/>
        <v>45793</v>
      </c>
      <c r="O12" s="116"/>
      <c r="P12" s="112">
        <v>45853</v>
      </c>
      <c r="Q12" s="117" t="str">
        <f t="shared" ca="1" si="0"/>
        <v/>
      </c>
      <c r="R12" s="117">
        <f t="shared" si="1"/>
        <v>1</v>
      </c>
      <c r="S12" s="114" t="s">
        <v>699</v>
      </c>
      <c r="T12" s="15" t="s">
        <v>700</v>
      </c>
      <c r="U12" s="23">
        <v>45792</v>
      </c>
      <c r="V12" s="108" t="s">
        <v>725</v>
      </c>
      <c r="W12" s="23">
        <v>45793</v>
      </c>
      <c r="X12" s="118" t="s">
        <v>726</v>
      </c>
      <c r="Y12" s="15" t="s">
        <v>718</v>
      </c>
      <c r="Z12" s="23">
        <v>45797</v>
      </c>
      <c r="AA12" s="118" t="s">
        <v>727</v>
      </c>
      <c r="AB12" s="15" t="str">
        <f t="shared" si="9"/>
        <v>審定</v>
      </c>
      <c r="AC12" s="23">
        <v>45799</v>
      </c>
      <c r="AD12" s="109" t="s">
        <v>728</v>
      </c>
      <c r="AE12" s="15" t="str">
        <f t="shared" si="10"/>
        <v>核定</v>
      </c>
      <c r="AF12" s="15"/>
    </row>
    <row r="13" spans="1:32" s="115" customFormat="1" ht="40.4" customHeight="1">
      <c r="E13" s="139" t="s">
        <v>1559</v>
      </c>
      <c r="F13" s="152" t="s">
        <v>1597</v>
      </c>
      <c r="G13" s="152"/>
      <c r="H13" s="142" t="s">
        <v>1542</v>
      </c>
      <c r="I13" s="142"/>
      <c r="J13" s="142" t="s">
        <v>659</v>
      </c>
      <c r="K13" s="187" t="s">
        <v>866</v>
      </c>
      <c r="L13" s="142"/>
      <c r="M13" s="462" t="s">
        <v>662</v>
      </c>
      <c r="N13" s="112">
        <f t="shared" si="4"/>
        <v>45793</v>
      </c>
      <c r="O13" s="116"/>
      <c r="P13" s="112">
        <v>45853</v>
      </c>
      <c r="Q13" s="117" t="str">
        <f t="shared" ref="Q13" ca="1" si="15">IF(N13="","",IF(U13&lt;&gt;"","",IF(AND(U13="",N13-TODAY()&lt;=60),N13-TODAY(),"")))</f>
        <v/>
      </c>
      <c r="R13" s="117">
        <f t="shared" ref="R13" si="16">IF(AND(ISNUMBER(N13),ISNUMBER(U13)),N13-U13,"")</f>
        <v>1</v>
      </c>
      <c r="S13" s="114" t="s">
        <v>699</v>
      </c>
      <c r="T13" s="15" t="s">
        <v>700</v>
      </c>
      <c r="U13" s="23">
        <v>45792</v>
      </c>
      <c r="V13" s="108" t="s">
        <v>725</v>
      </c>
      <c r="W13" s="23">
        <v>45793</v>
      </c>
      <c r="X13" s="118" t="s">
        <v>726</v>
      </c>
      <c r="Y13" s="15" t="s">
        <v>718</v>
      </c>
      <c r="Z13" s="23">
        <v>45797</v>
      </c>
      <c r="AA13" s="118" t="s">
        <v>727</v>
      </c>
      <c r="AB13" s="15" t="str">
        <f t="shared" ref="AB13" si="17">IF(Z13="","",IF(Y13="檢退","檢退",IF(Y13="審查同意","審定","檢退")))</f>
        <v>審定</v>
      </c>
      <c r="AC13" s="23">
        <v>45799</v>
      </c>
      <c r="AD13" s="109" t="s">
        <v>1602</v>
      </c>
      <c r="AE13" s="15" t="str">
        <f t="shared" ref="AE13" si="18">IF(AC13="","",IF(AB13="檢退","請修正",IF(AB13="請備查","備查",IF(AB13="審定","核定","請修正"))))</f>
        <v>核定</v>
      </c>
      <c r="AF13" s="15"/>
    </row>
    <row r="14" spans="1:32" s="115" customFormat="1" ht="40.4" customHeight="1">
      <c r="E14" s="139" t="s">
        <v>1560</v>
      </c>
      <c r="F14" s="152" t="s">
        <v>41</v>
      </c>
      <c r="G14" s="152"/>
      <c r="H14" s="142" t="s">
        <v>668</v>
      </c>
      <c r="I14" s="142"/>
      <c r="J14" s="142" t="s">
        <v>659</v>
      </c>
      <c r="K14" s="187" t="s">
        <v>866</v>
      </c>
      <c r="L14" s="142"/>
      <c r="M14" s="462" t="s">
        <v>662</v>
      </c>
      <c r="N14" s="112">
        <f t="shared" si="4"/>
        <v>45793</v>
      </c>
      <c r="O14" s="116"/>
      <c r="P14" s="112">
        <v>45853</v>
      </c>
      <c r="Q14" s="117" t="str">
        <f t="shared" ref="Q14" ca="1" si="19">IF(N14="","",IF(U14&lt;&gt;"","",IF(AND(U14="",N14-TODAY()&lt;=60),N14-TODAY(),"")))</f>
        <v/>
      </c>
      <c r="R14" s="117">
        <f t="shared" ref="R14" si="20">IF(AND(ISNUMBER(N14),ISNUMBER(U14)),N14-U14,"")</f>
        <v>1</v>
      </c>
      <c r="S14" s="114" t="s">
        <v>699</v>
      </c>
      <c r="T14" s="15" t="s">
        <v>700</v>
      </c>
      <c r="U14" s="23">
        <v>45792</v>
      </c>
      <c r="V14" s="108" t="s">
        <v>725</v>
      </c>
      <c r="W14" s="23">
        <v>45793</v>
      </c>
      <c r="X14" s="118" t="s">
        <v>726</v>
      </c>
      <c r="Y14" s="15" t="s">
        <v>718</v>
      </c>
      <c r="Z14" s="23">
        <v>45797</v>
      </c>
      <c r="AA14" s="118" t="s">
        <v>727</v>
      </c>
      <c r="AB14" s="15" t="str">
        <f t="shared" ref="AB14" si="21">IF(Z14="","",IF(Y14="檢退","檢退",IF(Y14="審查同意","審定","檢退")))</f>
        <v>審定</v>
      </c>
      <c r="AC14" s="23">
        <v>45799</v>
      </c>
      <c r="AD14" s="109" t="s">
        <v>728</v>
      </c>
      <c r="AE14" s="15" t="str">
        <f t="shared" ref="AE14" si="22">IF(AC14="","",IF(AB14="檢退","請修正",IF(AB14="請備查","備查",IF(AB14="審定","核定","請修正"))))</f>
        <v>核定</v>
      </c>
      <c r="AF14" s="15"/>
    </row>
    <row r="15" spans="1:32" s="115" customFormat="1" ht="40.4" customHeight="1">
      <c r="E15" s="660">
        <v>11</v>
      </c>
      <c r="F15" s="658" t="s">
        <v>42</v>
      </c>
      <c r="G15" s="140"/>
      <c r="H15" s="639" t="s">
        <v>1541</v>
      </c>
      <c r="I15" s="143"/>
      <c r="J15" s="639" t="s">
        <v>659</v>
      </c>
      <c r="K15" s="649" t="s">
        <v>866</v>
      </c>
      <c r="L15" s="143"/>
      <c r="M15" s="639" t="s">
        <v>663</v>
      </c>
      <c r="N15" s="112">
        <f t="shared" si="4"/>
        <v>45793</v>
      </c>
      <c r="O15" s="116"/>
      <c r="P15" s="112">
        <v>45853</v>
      </c>
      <c r="Q15" s="117" t="str">
        <f t="shared" ca="1" si="0"/>
        <v/>
      </c>
      <c r="R15" s="117">
        <f t="shared" si="1"/>
        <v>-24</v>
      </c>
      <c r="S15" s="114"/>
      <c r="T15" s="15" t="s">
        <v>729</v>
      </c>
      <c r="U15" s="23">
        <v>45817</v>
      </c>
      <c r="V15" s="108" t="s">
        <v>730</v>
      </c>
      <c r="W15" s="23">
        <v>45820</v>
      </c>
      <c r="X15" s="118" t="s">
        <v>731</v>
      </c>
      <c r="Y15" s="15" t="s">
        <v>718</v>
      </c>
      <c r="Z15" s="23">
        <v>45825</v>
      </c>
      <c r="AA15" s="118" t="s">
        <v>732</v>
      </c>
      <c r="AB15" s="15" t="str">
        <f t="shared" si="9"/>
        <v>審定</v>
      </c>
      <c r="AC15" s="23">
        <v>45832</v>
      </c>
      <c r="AD15" s="109" t="s">
        <v>733</v>
      </c>
      <c r="AE15" s="15" t="str">
        <f t="shared" si="10"/>
        <v>核定</v>
      </c>
      <c r="AF15" s="15"/>
    </row>
    <row r="16" spans="1:32" s="115" customFormat="1" ht="40.4" customHeight="1">
      <c r="E16" s="661"/>
      <c r="F16" s="659"/>
      <c r="G16" s="153"/>
      <c r="H16" s="638"/>
      <c r="I16" s="144"/>
      <c r="J16" s="638"/>
      <c r="K16" s="651"/>
      <c r="L16" s="144"/>
      <c r="M16" s="638"/>
      <c r="N16" s="112"/>
      <c r="O16" s="116"/>
      <c r="P16" s="112"/>
      <c r="Q16" s="117"/>
      <c r="R16" s="117"/>
      <c r="S16" s="15" t="s">
        <v>1034</v>
      </c>
      <c r="T16" s="15" t="s">
        <v>734</v>
      </c>
      <c r="U16" s="23">
        <v>46045</v>
      </c>
      <c r="V16" s="108" t="s">
        <v>735</v>
      </c>
      <c r="W16" s="23" t="s">
        <v>736</v>
      </c>
      <c r="X16" s="108" t="s">
        <v>737</v>
      </c>
      <c r="Y16" s="15" t="s">
        <v>715</v>
      </c>
      <c r="Z16" s="23"/>
      <c r="AA16" s="118"/>
      <c r="AB16" s="15"/>
      <c r="AC16" s="23"/>
      <c r="AD16" s="109"/>
      <c r="AE16" s="15"/>
      <c r="AF16" s="15"/>
    </row>
    <row r="17" spans="5:32" s="115" customFormat="1" ht="40.4" customHeight="1">
      <c r="E17" s="660">
        <v>12</v>
      </c>
      <c r="F17" s="658" t="s">
        <v>1598</v>
      </c>
      <c r="G17" s="140"/>
      <c r="H17" s="639" t="s">
        <v>1542</v>
      </c>
      <c r="I17" s="143"/>
      <c r="J17" s="639" t="s">
        <v>659</v>
      </c>
      <c r="K17" s="649" t="s">
        <v>866</v>
      </c>
      <c r="L17" s="143"/>
      <c r="M17" s="639" t="s">
        <v>663</v>
      </c>
      <c r="N17" s="112">
        <f>IF(P17="","",P17-60)</f>
        <v>45793</v>
      </c>
      <c r="O17" s="116"/>
      <c r="P17" s="112">
        <v>45853</v>
      </c>
      <c r="Q17" s="117" t="str">
        <f t="shared" ref="Q17" ca="1" si="23">IF(N17="","",IF(U17&lt;&gt;"","",IF(AND(U17="",N17-TODAY()&lt;=60),N17-TODAY(),"")))</f>
        <v/>
      </c>
      <c r="R17" s="117">
        <f t="shared" ref="R17" si="24">IF(AND(ISNUMBER(N17),ISNUMBER(U17)),N17-U17,"")</f>
        <v>-24</v>
      </c>
      <c r="S17" s="114"/>
      <c r="T17" s="15" t="s">
        <v>729</v>
      </c>
      <c r="U17" s="23">
        <v>45817</v>
      </c>
      <c r="V17" s="108" t="s">
        <v>730</v>
      </c>
      <c r="W17" s="23">
        <v>45820</v>
      </c>
      <c r="X17" s="118" t="s">
        <v>731</v>
      </c>
      <c r="Y17" s="15" t="s">
        <v>718</v>
      </c>
      <c r="Z17" s="23">
        <v>45825</v>
      </c>
      <c r="AA17" s="118" t="s">
        <v>732</v>
      </c>
      <c r="AB17" s="15" t="str">
        <f t="shared" ref="AB17" si="25">IF(Z17="","",IF(Y17="檢退","檢退",IF(Y17="審查同意","審定","檢退")))</f>
        <v>審定</v>
      </c>
      <c r="AC17" s="23">
        <v>45832</v>
      </c>
      <c r="AD17" s="109" t="s">
        <v>733</v>
      </c>
      <c r="AE17" s="15" t="str">
        <f t="shared" ref="AE17" si="26">IF(AC17="","",IF(AB17="檢退","請修正",IF(AB17="請備查","備查",IF(AB17="審定","核定","請修正"))))</f>
        <v>核定</v>
      </c>
      <c r="AF17" s="15"/>
    </row>
    <row r="18" spans="5:32" s="115" customFormat="1" ht="40.4" customHeight="1">
      <c r="E18" s="661"/>
      <c r="F18" s="659"/>
      <c r="G18" s="153"/>
      <c r="H18" s="638"/>
      <c r="I18" s="144"/>
      <c r="J18" s="638"/>
      <c r="K18" s="651"/>
      <c r="L18" s="144"/>
      <c r="M18" s="638"/>
      <c r="N18" s="112"/>
      <c r="O18" s="116"/>
      <c r="P18" s="112"/>
      <c r="Q18" s="117"/>
      <c r="R18" s="117"/>
      <c r="S18" s="15" t="s">
        <v>1034</v>
      </c>
      <c r="T18" s="15" t="s">
        <v>734</v>
      </c>
      <c r="U18" s="23">
        <v>46045</v>
      </c>
      <c r="V18" s="108" t="s">
        <v>735</v>
      </c>
      <c r="W18" s="23" t="s">
        <v>736</v>
      </c>
      <c r="X18" s="108" t="s">
        <v>737</v>
      </c>
      <c r="Y18" s="15" t="s">
        <v>715</v>
      </c>
      <c r="Z18" s="23"/>
      <c r="AA18" s="118"/>
      <c r="AB18" s="15"/>
      <c r="AC18" s="23"/>
      <c r="AD18" s="109"/>
      <c r="AE18" s="15"/>
      <c r="AF18" s="15"/>
    </row>
    <row r="19" spans="5:32" s="115" customFormat="1" ht="40.4" customHeight="1">
      <c r="E19" s="660">
        <v>13</v>
      </c>
      <c r="F19" s="658" t="s">
        <v>42</v>
      </c>
      <c r="G19" s="140"/>
      <c r="H19" s="639" t="s">
        <v>1540</v>
      </c>
      <c r="I19" s="143"/>
      <c r="J19" s="639" t="s">
        <v>659</v>
      </c>
      <c r="K19" s="649" t="s">
        <v>866</v>
      </c>
      <c r="L19" s="143"/>
      <c r="M19" s="639" t="s">
        <v>663</v>
      </c>
      <c r="N19" s="112">
        <f>IF(P19="","",P19-60)</f>
        <v>45793</v>
      </c>
      <c r="O19" s="116"/>
      <c r="P19" s="112">
        <v>45853</v>
      </c>
      <c r="Q19" s="117" t="str">
        <f t="shared" ref="Q19" ca="1" si="27">IF(N19="","",IF(U19&lt;&gt;"","",IF(AND(U19="",N19-TODAY()&lt;=60),N19-TODAY(),"")))</f>
        <v/>
      </c>
      <c r="R19" s="117">
        <f t="shared" ref="R19" si="28">IF(AND(ISNUMBER(N19),ISNUMBER(U19)),N19-U19,"")</f>
        <v>-24</v>
      </c>
      <c r="S19" s="114"/>
      <c r="T19" s="15" t="s">
        <v>729</v>
      </c>
      <c r="U19" s="23">
        <v>45817</v>
      </c>
      <c r="V19" s="108" t="s">
        <v>730</v>
      </c>
      <c r="W19" s="23">
        <v>45820</v>
      </c>
      <c r="X19" s="118" t="s">
        <v>731</v>
      </c>
      <c r="Y19" s="15" t="s">
        <v>718</v>
      </c>
      <c r="Z19" s="23">
        <v>45825</v>
      </c>
      <c r="AA19" s="118" t="s">
        <v>732</v>
      </c>
      <c r="AB19" s="15" t="str">
        <f t="shared" ref="AB19" si="29">IF(Z19="","",IF(Y19="檢退","檢退",IF(Y19="審查同意","審定","檢退")))</f>
        <v>審定</v>
      </c>
      <c r="AC19" s="23">
        <v>45832</v>
      </c>
      <c r="AD19" s="109" t="s">
        <v>733</v>
      </c>
      <c r="AE19" s="15" t="str">
        <f t="shared" ref="AE19" si="30">IF(AC19="","",IF(AB19="檢退","請修正",IF(AB19="請備查","備查",IF(AB19="審定","核定","請修正"))))</f>
        <v>核定</v>
      </c>
      <c r="AF19" s="15"/>
    </row>
    <row r="20" spans="5:32" s="115" customFormat="1" ht="40.4" customHeight="1">
      <c r="E20" s="661"/>
      <c r="F20" s="659"/>
      <c r="G20" s="153"/>
      <c r="H20" s="638"/>
      <c r="I20" s="144"/>
      <c r="J20" s="638"/>
      <c r="K20" s="651"/>
      <c r="L20" s="144"/>
      <c r="M20" s="638"/>
      <c r="N20" s="112"/>
      <c r="O20" s="116"/>
      <c r="P20" s="112"/>
      <c r="Q20" s="117"/>
      <c r="R20" s="117"/>
      <c r="S20" s="15" t="s">
        <v>1034</v>
      </c>
      <c r="T20" s="15" t="s">
        <v>734</v>
      </c>
      <c r="U20" s="23">
        <v>46045</v>
      </c>
      <c r="V20" s="108" t="s">
        <v>735</v>
      </c>
      <c r="W20" s="23" t="s">
        <v>736</v>
      </c>
      <c r="X20" s="108" t="s">
        <v>737</v>
      </c>
      <c r="Y20" s="15" t="s">
        <v>715</v>
      </c>
      <c r="Z20" s="23"/>
      <c r="AA20" s="118"/>
      <c r="AB20" s="15"/>
      <c r="AC20" s="23"/>
      <c r="AD20" s="109"/>
      <c r="AE20" s="15"/>
      <c r="AF20" s="15"/>
    </row>
    <row r="21" spans="5:32" s="115" customFormat="1" ht="40.4" customHeight="1">
      <c r="E21" s="660">
        <v>14</v>
      </c>
      <c r="F21" s="658" t="s">
        <v>42</v>
      </c>
      <c r="G21" s="140"/>
      <c r="H21" s="639" t="s">
        <v>668</v>
      </c>
      <c r="I21" s="143"/>
      <c r="J21" s="639" t="s">
        <v>659</v>
      </c>
      <c r="K21" s="649" t="s">
        <v>866</v>
      </c>
      <c r="L21" s="143"/>
      <c r="M21" s="639" t="s">
        <v>663</v>
      </c>
      <c r="N21" s="112">
        <f>IF(P21="","",P21-60)</f>
        <v>45793</v>
      </c>
      <c r="O21" s="116"/>
      <c r="P21" s="112">
        <v>45853</v>
      </c>
      <c r="Q21" s="117" t="str">
        <f t="shared" ref="Q21" ca="1" si="31">IF(N21="","",IF(U21&lt;&gt;"","",IF(AND(U21="",N21-TODAY()&lt;=60),N21-TODAY(),"")))</f>
        <v/>
      </c>
      <c r="R21" s="117">
        <f t="shared" ref="R21" si="32">IF(AND(ISNUMBER(N21),ISNUMBER(U21)),N21-U21,"")</f>
        <v>-24</v>
      </c>
      <c r="S21" s="114"/>
      <c r="T21" s="15" t="s">
        <v>729</v>
      </c>
      <c r="U21" s="23">
        <v>45817</v>
      </c>
      <c r="V21" s="108" t="s">
        <v>730</v>
      </c>
      <c r="W21" s="23">
        <v>45820</v>
      </c>
      <c r="X21" s="118" t="s">
        <v>731</v>
      </c>
      <c r="Y21" s="15" t="s">
        <v>718</v>
      </c>
      <c r="Z21" s="23">
        <v>45825</v>
      </c>
      <c r="AA21" s="118" t="s">
        <v>732</v>
      </c>
      <c r="AB21" s="15" t="str">
        <f t="shared" ref="AB21" si="33">IF(Z21="","",IF(Y21="檢退","檢退",IF(Y21="審查同意","審定","檢退")))</f>
        <v>審定</v>
      </c>
      <c r="AC21" s="23">
        <v>45832</v>
      </c>
      <c r="AD21" s="109" t="s">
        <v>733</v>
      </c>
      <c r="AE21" s="15" t="str">
        <f t="shared" ref="AE21" si="34">IF(AC21="","",IF(AB21="檢退","請修正",IF(AB21="請備查","備查",IF(AB21="審定","核定","請修正"))))</f>
        <v>核定</v>
      </c>
      <c r="AF21" s="15"/>
    </row>
    <row r="22" spans="5:32" s="115" customFormat="1" ht="40.4" customHeight="1">
      <c r="E22" s="661"/>
      <c r="F22" s="659"/>
      <c r="G22" s="153"/>
      <c r="H22" s="638"/>
      <c r="I22" s="144"/>
      <c r="J22" s="638"/>
      <c r="K22" s="651"/>
      <c r="L22" s="144"/>
      <c r="M22" s="638"/>
      <c r="N22" s="112"/>
      <c r="O22" s="116"/>
      <c r="P22" s="112"/>
      <c r="Q22" s="117"/>
      <c r="R22" s="117"/>
      <c r="S22" s="15" t="s">
        <v>1034</v>
      </c>
      <c r="T22" s="15" t="s">
        <v>734</v>
      </c>
      <c r="U22" s="23">
        <v>46045</v>
      </c>
      <c r="V22" s="108" t="s">
        <v>735</v>
      </c>
      <c r="W22" s="23" t="s">
        <v>736</v>
      </c>
      <c r="X22" s="108" t="s">
        <v>737</v>
      </c>
      <c r="Y22" s="15" t="s">
        <v>715</v>
      </c>
      <c r="Z22" s="23"/>
      <c r="AA22" s="118"/>
      <c r="AB22" s="15"/>
      <c r="AC22" s="23"/>
      <c r="AD22" s="109"/>
      <c r="AE22" s="15"/>
      <c r="AF22" s="15"/>
    </row>
    <row r="23" spans="5:32" s="115" customFormat="1" ht="40.4" customHeight="1">
      <c r="E23" s="141">
        <v>15</v>
      </c>
      <c r="F23" s="152" t="s">
        <v>1600</v>
      </c>
      <c r="G23" s="152"/>
      <c r="H23" s="142" t="s">
        <v>1569</v>
      </c>
      <c r="I23" s="142"/>
      <c r="J23" s="142" t="s">
        <v>659</v>
      </c>
      <c r="K23" s="187" t="s">
        <v>866</v>
      </c>
      <c r="L23" s="142"/>
      <c r="M23" s="421" t="s">
        <v>1599</v>
      </c>
      <c r="N23" s="112"/>
      <c r="O23" s="119"/>
      <c r="P23" s="112"/>
      <c r="Q23" s="120"/>
      <c r="R23" s="121"/>
      <c r="S23" s="114" t="s">
        <v>699</v>
      </c>
      <c r="T23" s="15" t="s">
        <v>700</v>
      </c>
      <c r="U23" s="23">
        <v>45925</v>
      </c>
      <c r="V23" s="108" t="s">
        <v>738</v>
      </c>
      <c r="W23" s="23">
        <v>45937</v>
      </c>
      <c r="X23" s="118" t="s">
        <v>739</v>
      </c>
      <c r="Y23" s="15" t="s">
        <v>718</v>
      </c>
      <c r="Z23" s="23">
        <v>45944</v>
      </c>
      <c r="AA23" s="118" t="s">
        <v>740</v>
      </c>
      <c r="AB23" s="15" t="str">
        <f t="shared" ref="AB23" si="35">IF(Z23="","",IF(Y23="檢退","檢退",IF(Y23="審查同意","審定","檢退")))</f>
        <v>審定</v>
      </c>
      <c r="AC23" s="23">
        <v>45947</v>
      </c>
      <c r="AD23" s="109" t="s">
        <v>1603</v>
      </c>
      <c r="AE23" s="15" t="str">
        <f t="shared" ref="AE23" si="36">IF(AC23="","",IF(AB23="檢退","請修正",IF(AB23="請備查","備查",IF(AB23="審定","核定","請修正"))))</f>
        <v>核定</v>
      </c>
      <c r="AF23" s="15"/>
    </row>
    <row r="24" spans="5:32" s="115" customFormat="1" ht="40.4" customHeight="1">
      <c r="E24" s="648">
        <v>16</v>
      </c>
      <c r="F24" s="639" t="s">
        <v>1601</v>
      </c>
      <c r="G24" s="143"/>
      <c r="H24" s="640" t="s">
        <v>1541</v>
      </c>
      <c r="I24" s="145"/>
      <c r="J24" s="639" t="s">
        <v>659</v>
      </c>
      <c r="K24" s="649" t="s">
        <v>866</v>
      </c>
      <c r="L24" s="145"/>
      <c r="M24" s="662" t="s">
        <v>664</v>
      </c>
      <c r="N24" s="112" t="str">
        <f>IF(P24="","",P24-60)</f>
        <v/>
      </c>
      <c r="O24" s="116" t="str">
        <f>IF(P24="","",P24-30)</f>
        <v/>
      </c>
      <c r="P24" s="122"/>
      <c r="Q24" s="117" t="str">
        <f t="shared" ref="Q24:Q26" ca="1" si="37">IF(N24="","",IF(U24&lt;&gt;"","",IF(AND(U24="",N24-TODAY()&lt;=60),N24-TODAY(),"")))</f>
        <v/>
      </c>
      <c r="R24" s="117" t="str">
        <f t="shared" ref="R24:R26" si="38">IF(AND(ISNUMBER(N24),ISNUMBER(U24)),N24-U24,"")</f>
        <v/>
      </c>
      <c r="T24" s="15" t="s">
        <v>700</v>
      </c>
      <c r="U24" s="23">
        <v>46010</v>
      </c>
      <c r="V24" s="110" t="s">
        <v>741</v>
      </c>
      <c r="W24" s="23">
        <v>46386</v>
      </c>
      <c r="X24" s="123" t="s">
        <v>742</v>
      </c>
      <c r="Y24" s="15" t="s">
        <v>702</v>
      </c>
      <c r="Z24" s="23">
        <v>46028</v>
      </c>
      <c r="AA24" s="108" t="s">
        <v>743</v>
      </c>
      <c r="AB24" s="15" t="s">
        <v>744</v>
      </c>
      <c r="AC24" s="23">
        <v>46056</v>
      </c>
      <c r="AD24" s="109" t="s">
        <v>745</v>
      </c>
      <c r="AE24" s="15" t="str">
        <f t="shared" si="10"/>
        <v>核定</v>
      </c>
      <c r="AF24" s="15" t="str">
        <f>IF(MOD(ROW()-5,3)&lt;&gt;0,"",
IF(COUNTA(U24:U26,V24:V26,W24:W26,X24:X26,Y24:Y26,Z24:Z26,AA24:AA26,AB24:AB26,AC24:AC26,AD24:AD26,AE24:AE26)=0,"",
IF(COUNTIF(U24:U26,"*核定*")+COUNTIF(V24:V26,"*核定*")+COUNTIF(W24:W26,"*核定*")+COUNTIF(X24:X26,"*核定*")+COUNTIF(Y24:Y26,"*核定*")+COUNTIF(Z24:Z26,"*核定*")+COUNTIF(AA24:AA26,"*核定*")+COUNTIF(AB24:AB26,"*核定*")+COUNTIF(AC24:AC26,"*核定*")+COUNTIF(AD24:AD26,"*核定*")+COUNTIF(AE24:AE26,"*核定*")&gt;0,"核定",
IF(COUNTIF(Z24:Z26,"*檢退*")&gt;0,"檢退",
IF(COUNTIF(Z24:Z26,"*審查同意*")&gt;0,"審查同意",
IF(COUNTIF(AA24:AA26,"*審定*")+COUNTIF(AB24:AB26,"*審定*")+COUNTIF(AC24:AC26,"*審定*")&gt;0,"審定",
IF(COUNTIF(U24:U26,"*核定中*")+COUNTIF(V24:V26,"*核定中*")+COUNTIF(W24:W26,"*核定中*")+COUNTIF(X24:X26,"*核定中*")+COUNTIF(Y24:Y26,"*核定中*")+COUNTIF(Z24:Z26,"*核定中*")+COUNTIF(AA24:AA26,"*核定中*")+COUNTIF(AB24:AB26,"*核定中*")+COUNTIF(AC24:AC26,"*核定中*")+COUNTIF(AD24:AD26,"*核定中*")+COUNTIF(AE24:AE26,"*核定中*")&gt;0,"核定中","")))))))</f>
        <v/>
      </c>
    </row>
    <row r="25" spans="5:32" s="115" customFormat="1" ht="40.4" customHeight="1">
      <c r="E25" s="648"/>
      <c r="F25" s="637"/>
      <c r="G25" s="147"/>
      <c r="H25" s="642"/>
      <c r="I25" s="146"/>
      <c r="J25" s="637"/>
      <c r="K25" s="650"/>
      <c r="L25" s="146"/>
      <c r="M25" s="663"/>
      <c r="N25" s="112"/>
      <c r="O25" s="116"/>
      <c r="P25" s="122"/>
      <c r="Q25" s="117" t="str">
        <f t="shared" ca="1" si="37"/>
        <v/>
      </c>
      <c r="R25" s="117" t="str">
        <f t="shared" si="38"/>
        <v/>
      </c>
      <c r="S25" s="114" t="s">
        <v>699</v>
      </c>
      <c r="T25" s="15" t="s">
        <v>734</v>
      </c>
      <c r="U25" s="23">
        <v>46056</v>
      </c>
      <c r="V25" s="108" t="s">
        <v>746</v>
      </c>
      <c r="W25" s="23">
        <v>46097</v>
      </c>
      <c r="X25" s="124" t="s">
        <v>1088</v>
      </c>
      <c r="Y25" s="15" t="s">
        <v>208</v>
      </c>
      <c r="Z25" s="23">
        <v>46097</v>
      </c>
      <c r="AA25" s="118" t="s">
        <v>1088</v>
      </c>
      <c r="AB25" s="15" t="s">
        <v>200</v>
      </c>
      <c r="AC25" s="23" t="s">
        <v>1061</v>
      </c>
      <c r="AD25" s="123" t="s">
        <v>1089</v>
      </c>
      <c r="AE25" s="15" t="s">
        <v>925</v>
      </c>
      <c r="AF25" s="16"/>
    </row>
    <row r="26" spans="5:32" s="115" customFormat="1" ht="40.4" customHeight="1">
      <c r="E26" s="648"/>
      <c r="F26" s="638"/>
      <c r="G26" s="144"/>
      <c r="H26" s="641"/>
      <c r="I26" s="148"/>
      <c r="J26" s="638"/>
      <c r="K26" s="651"/>
      <c r="L26" s="148"/>
      <c r="M26" s="664"/>
      <c r="N26" s="112"/>
      <c r="O26" s="116"/>
      <c r="P26" s="122"/>
      <c r="Q26" s="117" t="str">
        <f t="shared" ca="1" si="37"/>
        <v/>
      </c>
      <c r="R26" s="117" t="str">
        <f t="shared" si="38"/>
        <v/>
      </c>
      <c r="S26" s="114"/>
      <c r="T26" s="15"/>
      <c r="U26" s="23"/>
      <c r="V26" s="118"/>
      <c r="W26" s="23"/>
      <c r="X26" s="118"/>
      <c r="Y26" s="15"/>
      <c r="Z26" s="23"/>
      <c r="AA26" s="118"/>
      <c r="AB26" s="15" t="str">
        <f>IF(Z26="","",IF(Y26="檢退","檢退",IF(Y26="審查同意","審定","檢退")))</f>
        <v/>
      </c>
      <c r="AC26" s="23"/>
      <c r="AD26" s="123"/>
      <c r="AE26" s="15" t="str">
        <f>IF(AC26="","",IF(AB26="檢退","請修正",IF(AB26="請備查","備查",IF(AB26="審定","核定","請修正"))))</f>
        <v/>
      </c>
      <c r="AF26" s="16"/>
    </row>
    <row r="27" spans="5:32" s="115" customFormat="1" ht="40.4" customHeight="1">
      <c r="E27" s="648">
        <v>17</v>
      </c>
      <c r="F27" s="639" t="s">
        <v>43</v>
      </c>
      <c r="G27" s="143"/>
      <c r="H27" s="640" t="s">
        <v>1542</v>
      </c>
      <c r="I27" s="145"/>
      <c r="J27" s="639" t="s">
        <v>659</v>
      </c>
      <c r="K27" s="649" t="s">
        <v>866</v>
      </c>
      <c r="L27" s="145"/>
      <c r="M27" s="662" t="s">
        <v>664</v>
      </c>
      <c r="N27" s="112" t="str">
        <f>IF(P27="","",P27-60)</f>
        <v/>
      </c>
      <c r="O27" s="116" t="str">
        <f>IF(P27="","",P27-30)</f>
        <v/>
      </c>
      <c r="P27" s="122"/>
      <c r="Q27" s="117" t="str">
        <f t="shared" ref="Q27:Q29" ca="1" si="39">IF(N27="","",IF(U27&lt;&gt;"","",IF(AND(U27="",N27-TODAY()&lt;=60),N27-TODAY(),"")))</f>
        <v/>
      </c>
      <c r="R27" s="117" t="str">
        <f t="shared" ref="R27:R29" si="40">IF(AND(ISNUMBER(N27),ISNUMBER(U27)),N27-U27,"")</f>
        <v/>
      </c>
      <c r="T27" s="15" t="s">
        <v>700</v>
      </c>
      <c r="U27" s="23">
        <v>46010</v>
      </c>
      <c r="V27" s="110" t="s">
        <v>741</v>
      </c>
      <c r="W27" s="23">
        <v>46386</v>
      </c>
      <c r="X27" s="123" t="s">
        <v>742</v>
      </c>
      <c r="Y27" s="15" t="s">
        <v>702</v>
      </c>
      <c r="Z27" s="23">
        <v>46028</v>
      </c>
      <c r="AA27" s="108" t="s">
        <v>743</v>
      </c>
      <c r="AB27" s="15" t="s">
        <v>744</v>
      </c>
      <c r="AC27" s="23">
        <v>46056</v>
      </c>
      <c r="AD27" s="109" t="s">
        <v>745</v>
      </c>
      <c r="AE27" s="15" t="str">
        <f t="shared" ref="AE27" si="41">IF(AC27="","",IF(AB27="檢退","請修正",IF(AB27="請備查","備查",IF(AB27="審定","核定","請修正"))))</f>
        <v>核定</v>
      </c>
      <c r="AF27" s="15" t="str">
        <f>IF(MOD(ROW()-5,3)&lt;&gt;0,"",
IF(COUNTA(U27:U29,V27:V29,W27:W29,X27:X29,Y27:Y29,Z27:Z29,AA27:AA29,AB27:AB29,AC27:AC29,AD27:AD29,AE27:AE29)=0,"",
IF(COUNTIF(U27:U29,"*核定*")+COUNTIF(V27:V29,"*核定*")+COUNTIF(W27:W29,"*核定*")+COUNTIF(X27:X29,"*核定*")+COUNTIF(Y27:Y29,"*核定*")+COUNTIF(Z27:Z29,"*核定*")+COUNTIF(AA27:AA29,"*核定*")+COUNTIF(AB27:AB29,"*核定*")+COUNTIF(AC27:AC29,"*核定*")+COUNTIF(AD27:AD29,"*核定*")+COUNTIF(AE27:AE29,"*核定*")&gt;0,"核定",
IF(COUNTIF(Z27:Z29,"*檢退*")&gt;0,"檢退",
IF(COUNTIF(Z27:Z29,"*審查同意*")&gt;0,"審查同意",
IF(COUNTIF(AA27:AA29,"*審定*")+COUNTIF(AB27:AB29,"*審定*")+COUNTIF(AC27:AC29,"*審定*")&gt;0,"審定",
IF(COUNTIF(U27:U29,"*核定中*")+COUNTIF(V27:V29,"*核定中*")+COUNTIF(W27:W29,"*核定中*")+COUNTIF(X27:X29,"*核定中*")+COUNTIF(Y27:Y29,"*核定中*")+COUNTIF(Z27:Z29,"*核定中*")+COUNTIF(AA27:AA29,"*核定中*")+COUNTIF(AB27:AB29,"*核定中*")+COUNTIF(AC27:AC29,"*核定中*")+COUNTIF(AD27:AD29,"*核定中*")+COUNTIF(AE27:AE29,"*核定中*")&gt;0,"核定中","")))))))</f>
        <v/>
      </c>
    </row>
    <row r="28" spans="5:32" s="115" customFormat="1" ht="40.4" customHeight="1">
      <c r="E28" s="648"/>
      <c r="F28" s="637"/>
      <c r="G28" s="147"/>
      <c r="H28" s="642"/>
      <c r="I28" s="146"/>
      <c r="J28" s="637"/>
      <c r="K28" s="650"/>
      <c r="L28" s="146"/>
      <c r="M28" s="663"/>
      <c r="N28" s="112"/>
      <c r="O28" s="116"/>
      <c r="P28" s="122"/>
      <c r="Q28" s="117" t="str">
        <f t="shared" ca="1" si="39"/>
        <v/>
      </c>
      <c r="R28" s="117" t="str">
        <f t="shared" si="40"/>
        <v/>
      </c>
      <c r="S28" s="114" t="s">
        <v>699</v>
      </c>
      <c r="T28" s="15" t="s">
        <v>734</v>
      </c>
      <c r="U28" s="23">
        <v>46056</v>
      </c>
      <c r="V28" s="108" t="s">
        <v>746</v>
      </c>
      <c r="W28" s="23">
        <v>46097</v>
      </c>
      <c r="X28" s="124" t="s">
        <v>1088</v>
      </c>
      <c r="Y28" s="15" t="s">
        <v>208</v>
      </c>
      <c r="Z28" s="23">
        <v>46097</v>
      </c>
      <c r="AA28" s="118" t="s">
        <v>1088</v>
      </c>
      <c r="AB28" s="15" t="s">
        <v>200</v>
      </c>
      <c r="AC28" s="23" t="s">
        <v>1061</v>
      </c>
      <c r="AD28" s="123" t="s">
        <v>1089</v>
      </c>
      <c r="AE28" s="15" t="s">
        <v>925</v>
      </c>
      <c r="AF28" s="16"/>
    </row>
    <row r="29" spans="5:32" s="115" customFormat="1" ht="40.4" customHeight="1">
      <c r="E29" s="648"/>
      <c r="F29" s="638"/>
      <c r="G29" s="144"/>
      <c r="H29" s="641"/>
      <c r="I29" s="148"/>
      <c r="J29" s="638"/>
      <c r="K29" s="651"/>
      <c r="L29" s="148"/>
      <c r="M29" s="664"/>
      <c r="N29" s="112"/>
      <c r="O29" s="116"/>
      <c r="P29" s="122"/>
      <c r="Q29" s="117" t="str">
        <f t="shared" ca="1" si="39"/>
        <v/>
      </c>
      <c r="R29" s="117" t="str">
        <f t="shared" si="40"/>
        <v/>
      </c>
      <c r="S29" s="114"/>
      <c r="T29" s="15"/>
      <c r="U29" s="23"/>
      <c r="V29" s="118"/>
      <c r="W29" s="23"/>
      <c r="X29" s="118"/>
      <c r="Y29" s="15"/>
      <c r="Z29" s="23"/>
      <c r="AA29" s="118"/>
      <c r="AB29" s="15" t="str">
        <f>IF(Z29="","",IF(Y29="檢退","檢退",IF(Y29="審查同意","審定","檢退")))</f>
        <v/>
      </c>
      <c r="AC29" s="23"/>
      <c r="AD29" s="123"/>
      <c r="AE29" s="15" t="str">
        <f>IF(AC29="","",IF(AB29="檢退","請修正",IF(AB29="請備查","備查",IF(AB29="審定","核定","請修正"))))</f>
        <v/>
      </c>
      <c r="AF29" s="16"/>
    </row>
    <row r="30" spans="5:32" s="115" customFormat="1" ht="40.4" customHeight="1">
      <c r="E30" s="648">
        <v>18</v>
      </c>
      <c r="F30" s="639" t="s">
        <v>43</v>
      </c>
      <c r="G30" s="143"/>
      <c r="H30" s="640" t="s">
        <v>1540</v>
      </c>
      <c r="I30" s="145"/>
      <c r="J30" s="639" t="s">
        <v>659</v>
      </c>
      <c r="K30" s="649" t="s">
        <v>866</v>
      </c>
      <c r="L30" s="145"/>
      <c r="M30" s="662" t="s">
        <v>664</v>
      </c>
      <c r="N30" s="112" t="str">
        <f>IF(P30="","",P30-60)</f>
        <v/>
      </c>
      <c r="O30" s="116" t="str">
        <f>IF(P30="","",P30-30)</f>
        <v/>
      </c>
      <c r="P30" s="122"/>
      <c r="Q30" s="117" t="str">
        <f t="shared" ref="Q30:Q32" ca="1" si="42">IF(N30="","",IF(U30&lt;&gt;"","",IF(AND(U30="",N30-TODAY()&lt;=60),N30-TODAY(),"")))</f>
        <v/>
      </c>
      <c r="R30" s="117" t="str">
        <f t="shared" ref="R30:R32" si="43">IF(AND(ISNUMBER(N30),ISNUMBER(U30)),N30-U30,"")</f>
        <v/>
      </c>
      <c r="T30" s="15" t="s">
        <v>700</v>
      </c>
      <c r="U30" s="23">
        <v>46010</v>
      </c>
      <c r="V30" s="110" t="s">
        <v>741</v>
      </c>
      <c r="W30" s="23">
        <v>46386</v>
      </c>
      <c r="X30" s="123" t="s">
        <v>742</v>
      </c>
      <c r="Y30" s="15" t="s">
        <v>702</v>
      </c>
      <c r="Z30" s="23">
        <v>46028</v>
      </c>
      <c r="AA30" s="108" t="s">
        <v>743</v>
      </c>
      <c r="AB30" s="15" t="s">
        <v>744</v>
      </c>
      <c r="AC30" s="23">
        <v>46056</v>
      </c>
      <c r="AD30" s="109" t="s">
        <v>745</v>
      </c>
      <c r="AE30" s="15" t="str">
        <f t="shared" ref="AE30" si="44">IF(AC30="","",IF(AB30="檢退","請修正",IF(AB30="請備查","備查",IF(AB30="審定","核定","請修正"))))</f>
        <v>核定</v>
      </c>
      <c r="AF30" s="15" t="str">
        <f>IF(MOD(ROW()-5,3)&lt;&gt;0,"",
IF(COUNTA(U30:U32,V30:V32,W30:W32,X30:X32,Y30:Y32,Z30:Z32,AA30:AA32,AB30:AB32,AC30:AC32,AD30:AD32,AE30:AE32)=0,"",
IF(COUNTIF(U30:U32,"*核定*")+COUNTIF(V30:V32,"*核定*")+COUNTIF(W30:W32,"*核定*")+COUNTIF(X30:X32,"*核定*")+COUNTIF(Y30:Y32,"*核定*")+COUNTIF(Z30:Z32,"*核定*")+COUNTIF(AA30:AA32,"*核定*")+COUNTIF(AB30:AB32,"*核定*")+COUNTIF(AC30:AC32,"*核定*")+COUNTIF(AD30:AD32,"*核定*")+COUNTIF(AE30:AE32,"*核定*")&gt;0,"核定",
IF(COUNTIF(Z30:Z32,"*檢退*")&gt;0,"檢退",
IF(COUNTIF(Z30:Z32,"*審查同意*")&gt;0,"審查同意",
IF(COUNTIF(AA30:AA32,"*審定*")+COUNTIF(AB30:AB32,"*審定*")+COUNTIF(AC30:AC32,"*審定*")&gt;0,"審定",
IF(COUNTIF(U30:U32,"*核定中*")+COUNTIF(V30:V32,"*核定中*")+COUNTIF(W30:W32,"*核定中*")+COUNTIF(X30:X32,"*核定中*")+COUNTIF(Y30:Y32,"*核定中*")+COUNTIF(Z30:Z32,"*核定中*")+COUNTIF(AA30:AA32,"*核定中*")+COUNTIF(AB30:AB32,"*核定中*")+COUNTIF(AC30:AC32,"*核定中*")+COUNTIF(AD30:AD32,"*核定中*")+COUNTIF(AE30:AE32,"*核定中*")&gt;0,"核定中","")))))))</f>
        <v/>
      </c>
    </row>
    <row r="31" spans="5:32" s="115" customFormat="1" ht="40.4" customHeight="1">
      <c r="E31" s="648"/>
      <c r="F31" s="637"/>
      <c r="G31" s="147"/>
      <c r="H31" s="642"/>
      <c r="I31" s="146"/>
      <c r="J31" s="637"/>
      <c r="K31" s="650"/>
      <c r="L31" s="146"/>
      <c r="M31" s="663"/>
      <c r="N31" s="112"/>
      <c r="O31" s="116"/>
      <c r="P31" s="122"/>
      <c r="Q31" s="117" t="str">
        <f t="shared" ca="1" si="42"/>
        <v/>
      </c>
      <c r="R31" s="117" t="str">
        <f t="shared" si="43"/>
        <v/>
      </c>
      <c r="S31" s="114" t="s">
        <v>699</v>
      </c>
      <c r="T31" s="15" t="s">
        <v>734</v>
      </c>
      <c r="U31" s="23">
        <v>46056</v>
      </c>
      <c r="V31" s="108" t="s">
        <v>746</v>
      </c>
      <c r="W31" s="23">
        <v>46097</v>
      </c>
      <c r="X31" s="124" t="s">
        <v>1088</v>
      </c>
      <c r="Y31" s="15" t="s">
        <v>208</v>
      </c>
      <c r="Z31" s="23">
        <v>46097</v>
      </c>
      <c r="AA31" s="118" t="s">
        <v>1088</v>
      </c>
      <c r="AB31" s="15" t="s">
        <v>200</v>
      </c>
      <c r="AC31" s="23" t="s">
        <v>1061</v>
      </c>
      <c r="AD31" s="123" t="s">
        <v>1089</v>
      </c>
      <c r="AE31" s="15" t="s">
        <v>925</v>
      </c>
      <c r="AF31" s="16"/>
    </row>
    <row r="32" spans="5:32" s="115" customFormat="1" ht="40.4" customHeight="1">
      <c r="E32" s="648"/>
      <c r="F32" s="638"/>
      <c r="G32" s="144"/>
      <c r="H32" s="641"/>
      <c r="I32" s="148"/>
      <c r="J32" s="638"/>
      <c r="K32" s="651"/>
      <c r="L32" s="148"/>
      <c r="M32" s="664"/>
      <c r="N32" s="112"/>
      <c r="O32" s="116"/>
      <c r="P32" s="122"/>
      <c r="Q32" s="117" t="str">
        <f t="shared" ca="1" si="42"/>
        <v/>
      </c>
      <c r="R32" s="117" t="str">
        <f t="shared" si="43"/>
        <v/>
      </c>
      <c r="S32" s="114"/>
      <c r="T32" s="15"/>
      <c r="U32" s="23"/>
      <c r="V32" s="118"/>
      <c r="W32" s="23"/>
      <c r="X32" s="118"/>
      <c r="Y32" s="15"/>
      <c r="Z32" s="23"/>
      <c r="AA32" s="118"/>
      <c r="AB32" s="15" t="str">
        <f>IF(Z32="","",IF(Y32="檢退","檢退",IF(Y32="審查同意","審定","檢退")))</f>
        <v/>
      </c>
      <c r="AC32" s="23"/>
      <c r="AD32" s="123"/>
      <c r="AE32" s="15" t="str">
        <f>IF(AC32="","",IF(AB32="檢退","請修正",IF(AB32="請備查","備查",IF(AB32="審定","核定","請修正"))))</f>
        <v/>
      </c>
      <c r="AF32" s="16"/>
    </row>
    <row r="33" spans="5:32" s="115" customFormat="1" ht="40.4" customHeight="1">
      <c r="E33" s="648">
        <v>19</v>
      </c>
      <c r="F33" s="639" t="s">
        <v>43</v>
      </c>
      <c r="G33" s="143"/>
      <c r="H33" s="640" t="s">
        <v>668</v>
      </c>
      <c r="I33" s="145"/>
      <c r="J33" s="639" t="s">
        <v>659</v>
      </c>
      <c r="K33" s="649" t="s">
        <v>866</v>
      </c>
      <c r="L33" s="145"/>
      <c r="M33" s="662" t="s">
        <v>664</v>
      </c>
      <c r="N33" s="112" t="str">
        <f>IF(P33="","",P33-60)</f>
        <v/>
      </c>
      <c r="O33" s="116" t="str">
        <f>IF(P33="","",P33-30)</f>
        <v/>
      </c>
      <c r="P33" s="122"/>
      <c r="Q33" s="117" t="str">
        <f t="shared" ref="Q33:Q35" ca="1" si="45">IF(N33="","",IF(U33&lt;&gt;"","",IF(AND(U33="",N33-TODAY()&lt;=60),N33-TODAY(),"")))</f>
        <v/>
      </c>
      <c r="R33" s="117" t="str">
        <f t="shared" ref="R33:R35" si="46">IF(AND(ISNUMBER(N33),ISNUMBER(U33)),N33-U33,"")</f>
        <v/>
      </c>
      <c r="T33" s="15" t="s">
        <v>700</v>
      </c>
      <c r="U33" s="23">
        <v>46010</v>
      </c>
      <c r="V33" s="110" t="s">
        <v>741</v>
      </c>
      <c r="W33" s="23">
        <v>46386</v>
      </c>
      <c r="X33" s="123" t="s">
        <v>742</v>
      </c>
      <c r="Y33" s="15" t="s">
        <v>702</v>
      </c>
      <c r="Z33" s="23">
        <v>46028</v>
      </c>
      <c r="AA33" s="108" t="s">
        <v>743</v>
      </c>
      <c r="AB33" s="15" t="s">
        <v>744</v>
      </c>
      <c r="AC33" s="23">
        <v>46056</v>
      </c>
      <c r="AD33" s="109" t="s">
        <v>745</v>
      </c>
      <c r="AE33" s="15" t="str">
        <f t="shared" ref="AE33" si="47">IF(AC33="","",IF(AB33="檢退","請修正",IF(AB33="請備查","備查",IF(AB33="審定","核定","請修正"))))</f>
        <v>核定</v>
      </c>
      <c r="AF33" s="15" t="str">
        <f>IF(MOD(ROW()-5,3)&lt;&gt;0,"",
IF(COUNTA(U33:U35,V33:V35,W33:W35,X33:X35,Y33:Y35,Z33:Z35,AA33:AA35,AB33:AB35,AC33:AC35,AD33:AD35,AE33:AE35)=0,"",
IF(COUNTIF(U33:U35,"*核定*")+COUNTIF(V33:V35,"*核定*")+COUNTIF(W33:W35,"*核定*")+COUNTIF(X33:X35,"*核定*")+COUNTIF(Y33:Y35,"*核定*")+COUNTIF(Z33:Z35,"*核定*")+COUNTIF(AA33:AA35,"*核定*")+COUNTIF(AB33:AB35,"*核定*")+COUNTIF(AC33:AC35,"*核定*")+COUNTIF(AD33:AD35,"*核定*")+COUNTIF(AE33:AE35,"*核定*")&gt;0,"核定",
IF(COUNTIF(Z33:Z35,"*檢退*")&gt;0,"檢退",
IF(COUNTIF(Z33:Z35,"*審查同意*")&gt;0,"審查同意",
IF(COUNTIF(AA33:AA35,"*審定*")+COUNTIF(AB33:AB35,"*審定*")+COUNTIF(AC33:AC35,"*審定*")&gt;0,"審定",
IF(COUNTIF(U33:U35,"*核定中*")+COUNTIF(V33:V35,"*核定中*")+COUNTIF(W33:W35,"*核定中*")+COUNTIF(X33:X35,"*核定中*")+COUNTIF(Y33:Y35,"*核定中*")+COUNTIF(Z33:Z35,"*核定中*")+COUNTIF(AA33:AA35,"*核定中*")+COUNTIF(AB33:AB35,"*核定中*")+COUNTIF(AC33:AC35,"*核定中*")+COUNTIF(AD33:AD35,"*核定中*")+COUNTIF(AE33:AE35,"*核定中*")&gt;0,"核定中","")))))))</f>
        <v/>
      </c>
    </row>
    <row r="34" spans="5:32" s="115" customFormat="1" ht="40.4" customHeight="1">
      <c r="E34" s="648"/>
      <c r="F34" s="637"/>
      <c r="G34" s="147"/>
      <c r="H34" s="642"/>
      <c r="I34" s="146"/>
      <c r="J34" s="637"/>
      <c r="K34" s="650"/>
      <c r="L34" s="146"/>
      <c r="M34" s="663"/>
      <c r="N34" s="112"/>
      <c r="O34" s="116"/>
      <c r="P34" s="122"/>
      <c r="Q34" s="117" t="str">
        <f t="shared" ca="1" si="45"/>
        <v/>
      </c>
      <c r="R34" s="117" t="str">
        <f t="shared" si="46"/>
        <v/>
      </c>
      <c r="S34" s="114" t="s">
        <v>699</v>
      </c>
      <c r="T34" s="15" t="s">
        <v>734</v>
      </c>
      <c r="U34" s="23">
        <v>46056</v>
      </c>
      <c r="V34" s="108" t="s">
        <v>746</v>
      </c>
      <c r="W34" s="23">
        <v>46097</v>
      </c>
      <c r="X34" s="124" t="s">
        <v>1088</v>
      </c>
      <c r="Y34" s="15" t="s">
        <v>208</v>
      </c>
      <c r="Z34" s="23">
        <v>46097</v>
      </c>
      <c r="AA34" s="118" t="s">
        <v>1088</v>
      </c>
      <c r="AB34" s="15" t="s">
        <v>200</v>
      </c>
      <c r="AC34" s="23" t="s">
        <v>1061</v>
      </c>
      <c r="AD34" s="123" t="s">
        <v>1089</v>
      </c>
      <c r="AE34" s="15" t="s">
        <v>925</v>
      </c>
      <c r="AF34" s="16"/>
    </row>
    <row r="35" spans="5:32" s="115" customFormat="1" ht="40.4" customHeight="1">
      <c r="E35" s="648"/>
      <c r="F35" s="638"/>
      <c r="G35" s="144"/>
      <c r="H35" s="641"/>
      <c r="I35" s="148"/>
      <c r="J35" s="638"/>
      <c r="K35" s="651"/>
      <c r="L35" s="148"/>
      <c r="M35" s="664"/>
      <c r="N35" s="112"/>
      <c r="O35" s="116"/>
      <c r="P35" s="122"/>
      <c r="Q35" s="117" t="str">
        <f t="shared" ca="1" si="45"/>
        <v/>
      </c>
      <c r="R35" s="117" t="str">
        <f t="shared" si="46"/>
        <v/>
      </c>
      <c r="S35" s="114"/>
      <c r="T35" s="15"/>
      <c r="U35" s="23"/>
      <c r="V35" s="118"/>
      <c r="W35" s="23"/>
      <c r="X35" s="118"/>
      <c r="Y35" s="15"/>
      <c r="Z35" s="23"/>
      <c r="AA35" s="118"/>
      <c r="AB35" s="15" t="str">
        <f>IF(Z35="","",IF(Y35="檢退","檢退",IF(Y35="審查同意","審定","檢退")))</f>
        <v/>
      </c>
      <c r="AC35" s="23"/>
      <c r="AD35" s="123"/>
      <c r="AE35" s="15" t="str">
        <f>IF(AC35="","",IF(AB35="檢退","請修正",IF(AB35="請備查","備查",IF(AB35="審定","核定","請修正"))))</f>
        <v/>
      </c>
      <c r="AF35" s="16"/>
    </row>
    <row r="36" spans="5:32" s="115" customFormat="1" ht="40.4" customHeight="1">
      <c r="E36" s="648">
        <v>20</v>
      </c>
      <c r="F36" s="639" t="s">
        <v>1604</v>
      </c>
      <c r="G36" s="143"/>
      <c r="H36" s="640" t="s">
        <v>1541</v>
      </c>
      <c r="I36" s="145"/>
      <c r="J36" s="639" t="s">
        <v>659</v>
      </c>
      <c r="K36" s="649" t="s">
        <v>866</v>
      </c>
      <c r="L36" s="145"/>
      <c r="M36" s="655" t="s">
        <v>665</v>
      </c>
      <c r="N36" s="112"/>
      <c r="O36" s="116" t="str">
        <f>IF(P36="","",P36-30)</f>
        <v/>
      </c>
      <c r="P36" s="125"/>
      <c r="Q36" s="113" t="str">
        <f t="shared" ref="Q36:Q50" ca="1" si="48">IF(N36="","",IF(U36&lt;&gt;"","",IF(AND(U36="",N36-TODAY()&lt;=60),N36-TODAY(),"")))</f>
        <v/>
      </c>
      <c r="R36" s="113" t="str">
        <f t="shared" ref="R36:R50" si="49">IF(AND(ISNUMBER(N36),ISNUMBER(U36)),N36-U36,"")</f>
        <v/>
      </c>
      <c r="S36" s="114" t="s">
        <v>699</v>
      </c>
      <c r="T36" s="15" t="s">
        <v>700</v>
      </c>
      <c r="U36" s="23">
        <v>46058</v>
      </c>
      <c r="V36" s="108" t="s">
        <v>1090</v>
      </c>
      <c r="W36" s="23">
        <v>46097</v>
      </c>
      <c r="X36" s="108" t="s">
        <v>1091</v>
      </c>
      <c r="Y36" s="15" t="s">
        <v>922</v>
      </c>
      <c r="Z36" s="23">
        <v>46097</v>
      </c>
      <c r="AA36" s="108" t="s">
        <v>1091</v>
      </c>
      <c r="AB36" s="15" t="s">
        <v>923</v>
      </c>
      <c r="AC36" s="23" t="s">
        <v>1061</v>
      </c>
      <c r="AD36" s="310" t="s">
        <v>1089</v>
      </c>
      <c r="AE36" s="15" t="s">
        <v>925</v>
      </c>
      <c r="AF36" s="16"/>
    </row>
    <row r="37" spans="5:32" s="115" customFormat="1" ht="39.65" customHeight="1">
      <c r="E37" s="648"/>
      <c r="F37" s="637"/>
      <c r="G37" s="147"/>
      <c r="H37" s="642"/>
      <c r="I37" s="146"/>
      <c r="J37" s="637"/>
      <c r="K37" s="650"/>
      <c r="L37" s="146"/>
      <c r="M37" s="656"/>
      <c r="N37" s="112"/>
      <c r="O37" s="116"/>
      <c r="P37" s="125"/>
      <c r="Q37" s="113" t="str">
        <f t="shared" ca="1" si="48"/>
        <v/>
      </c>
      <c r="R37" s="113" t="str">
        <f t="shared" si="49"/>
        <v/>
      </c>
      <c r="S37" s="114"/>
      <c r="T37" s="15"/>
      <c r="U37" s="23"/>
      <c r="V37" s="110"/>
      <c r="W37" s="23"/>
      <c r="X37" s="126"/>
      <c r="Y37" s="15"/>
      <c r="Z37" s="23"/>
      <c r="AA37" s="24"/>
      <c r="AB37" s="15" t="str">
        <f>IF(Z37="","",IF(Y37="檢退","檢退",IF(Y37="審查同意","審定","檢退")))</f>
        <v/>
      </c>
      <c r="AC37" s="23"/>
      <c r="AD37" s="15"/>
      <c r="AE37" s="15"/>
      <c r="AF37" s="16"/>
    </row>
    <row r="38" spans="5:32" s="115" customFormat="1" ht="40.4" customHeight="1">
      <c r="E38" s="648"/>
      <c r="F38" s="638"/>
      <c r="G38" s="144"/>
      <c r="H38" s="641"/>
      <c r="I38" s="148"/>
      <c r="J38" s="638"/>
      <c r="K38" s="651"/>
      <c r="L38" s="148"/>
      <c r="M38" s="657"/>
      <c r="N38" s="112"/>
      <c r="O38" s="116"/>
      <c r="P38" s="125"/>
      <c r="Q38" s="113" t="str">
        <f t="shared" ca="1" si="48"/>
        <v/>
      </c>
      <c r="R38" s="113" t="str">
        <f t="shared" si="49"/>
        <v/>
      </c>
      <c r="S38" s="114"/>
      <c r="T38" s="15"/>
      <c r="U38" s="23"/>
      <c r="V38" s="118"/>
      <c r="W38" s="23"/>
      <c r="X38" s="24"/>
      <c r="Y38" s="15"/>
      <c r="Z38" s="23"/>
      <c r="AA38" s="24"/>
      <c r="AB38" s="15" t="str">
        <f>IF(Z38="","",IF(Y38="檢退","檢退",IF(Y38="審查同意","審定","檢退")))</f>
        <v/>
      </c>
      <c r="AC38" s="23"/>
      <c r="AD38" s="15"/>
      <c r="AE38" s="15"/>
      <c r="AF38" s="16"/>
    </row>
    <row r="39" spans="5:32" s="115" customFormat="1" ht="40.4" customHeight="1">
      <c r="E39" s="648">
        <v>21</v>
      </c>
      <c r="F39" s="639" t="s">
        <v>399</v>
      </c>
      <c r="G39" s="143"/>
      <c r="H39" s="640" t="s">
        <v>1542</v>
      </c>
      <c r="I39" s="145"/>
      <c r="J39" s="639" t="s">
        <v>659</v>
      </c>
      <c r="K39" s="649" t="s">
        <v>866</v>
      </c>
      <c r="L39" s="145"/>
      <c r="M39" s="655" t="s">
        <v>665</v>
      </c>
      <c r="N39" s="112"/>
      <c r="O39" s="116" t="str">
        <f>IF(P39="","",P39-30)</f>
        <v/>
      </c>
      <c r="P39" s="125"/>
      <c r="Q39" s="113" t="str">
        <f t="shared" ref="Q39:Q41" ca="1" si="50">IF(N39="","",IF(U39&lt;&gt;"","",IF(AND(U39="",N39-TODAY()&lt;=60),N39-TODAY(),"")))</f>
        <v/>
      </c>
      <c r="R39" s="113" t="str">
        <f t="shared" ref="R39:R41" si="51">IF(AND(ISNUMBER(N39),ISNUMBER(U39)),N39-U39,"")</f>
        <v/>
      </c>
      <c r="S39" s="114" t="s">
        <v>699</v>
      </c>
      <c r="T39" s="15" t="s">
        <v>700</v>
      </c>
      <c r="U39" s="23">
        <v>46058</v>
      </c>
      <c r="V39" s="108" t="s">
        <v>1090</v>
      </c>
      <c r="W39" s="23">
        <v>46097</v>
      </c>
      <c r="X39" s="108" t="s">
        <v>1091</v>
      </c>
      <c r="Y39" s="15" t="s">
        <v>922</v>
      </c>
      <c r="Z39" s="23">
        <v>46097</v>
      </c>
      <c r="AA39" s="108" t="s">
        <v>1091</v>
      </c>
      <c r="AB39" s="15" t="s">
        <v>923</v>
      </c>
      <c r="AC39" s="23" t="s">
        <v>1061</v>
      </c>
      <c r="AD39" s="310" t="s">
        <v>1089</v>
      </c>
      <c r="AE39" s="15" t="s">
        <v>925</v>
      </c>
      <c r="AF39" s="16"/>
    </row>
    <row r="40" spans="5:32" s="115" customFormat="1" ht="39.65" customHeight="1">
      <c r="E40" s="648"/>
      <c r="F40" s="637"/>
      <c r="G40" s="147"/>
      <c r="H40" s="642"/>
      <c r="I40" s="146"/>
      <c r="J40" s="637"/>
      <c r="K40" s="650"/>
      <c r="L40" s="146"/>
      <c r="M40" s="656"/>
      <c r="N40" s="112"/>
      <c r="O40" s="116"/>
      <c r="P40" s="125"/>
      <c r="Q40" s="113" t="str">
        <f t="shared" ca="1" si="50"/>
        <v/>
      </c>
      <c r="R40" s="113" t="str">
        <f t="shared" si="51"/>
        <v/>
      </c>
      <c r="S40" s="114"/>
      <c r="T40" s="15"/>
      <c r="U40" s="23"/>
      <c r="V40" s="110"/>
      <c r="W40" s="23"/>
      <c r="X40" s="126"/>
      <c r="Y40" s="15"/>
      <c r="Z40" s="23"/>
      <c r="AA40" s="24"/>
      <c r="AB40" s="15" t="str">
        <f>IF(Z40="","",IF(Y40="檢退","檢退",IF(Y40="審查同意","審定","檢退")))</f>
        <v/>
      </c>
      <c r="AC40" s="23"/>
      <c r="AD40" s="15"/>
      <c r="AE40" s="15"/>
      <c r="AF40" s="16"/>
    </row>
    <row r="41" spans="5:32" s="115" customFormat="1" ht="40.4" customHeight="1">
      <c r="E41" s="648"/>
      <c r="F41" s="638"/>
      <c r="G41" s="144"/>
      <c r="H41" s="641"/>
      <c r="I41" s="148"/>
      <c r="J41" s="638"/>
      <c r="K41" s="651"/>
      <c r="L41" s="148"/>
      <c r="M41" s="657"/>
      <c r="N41" s="112"/>
      <c r="O41" s="116"/>
      <c r="P41" s="125"/>
      <c r="Q41" s="113" t="str">
        <f t="shared" ca="1" si="50"/>
        <v/>
      </c>
      <c r="R41" s="113" t="str">
        <f t="shared" si="51"/>
        <v/>
      </c>
      <c r="S41" s="114"/>
      <c r="T41" s="15"/>
      <c r="U41" s="23"/>
      <c r="V41" s="118"/>
      <c r="W41" s="23"/>
      <c r="X41" s="24"/>
      <c r="Y41" s="15"/>
      <c r="Z41" s="23"/>
      <c r="AA41" s="24"/>
      <c r="AB41" s="15" t="str">
        <f>IF(Z41="","",IF(Y41="檢退","檢退",IF(Y41="審查同意","審定","檢退")))</f>
        <v/>
      </c>
      <c r="AC41" s="23"/>
      <c r="AD41" s="15"/>
      <c r="AE41" s="15"/>
      <c r="AF41" s="16"/>
    </row>
    <row r="42" spans="5:32" s="115" customFormat="1" ht="40.4" customHeight="1">
      <c r="E42" s="648">
        <v>22</v>
      </c>
      <c r="F42" s="639" t="s">
        <v>399</v>
      </c>
      <c r="G42" s="143"/>
      <c r="H42" s="640" t="s">
        <v>1540</v>
      </c>
      <c r="I42" s="145"/>
      <c r="J42" s="639" t="s">
        <v>659</v>
      </c>
      <c r="K42" s="649" t="s">
        <v>866</v>
      </c>
      <c r="L42" s="145"/>
      <c r="M42" s="655" t="s">
        <v>665</v>
      </c>
      <c r="N42" s="112"/>
      <c r="O42" s="116" t="str">
        <f>IF(P42="","",P42-30)</f>
        <v/>
      </c>
      <c r="P42" s="125"/>
      <c r="Q42" s="113" t="str">
        <f t="shared" ref="Q42:Q44" ca="1" si="52">IF(N42="","",IF(U42&lt;&gt;"","",IF(AND(U42="",N42-TODAY()&lt;=60),N42-TODAY(),"")))</f>
        <v/>
      </c>
      <c r="R42" s="113" t="str">
        <f t="shared" ref="R42:R44" si="53">IF(AND(ISNUMBER(N42),ISNUMBER(U42)),N42-U42,"")</f>
        <v/>
      </c>
      <c r="S42" s="114" t="s">
        <v>699</v>
      </c>
      <c r="T42" s="15" t="s">
        <v>700</v>
      </c>
      <c r="U42" s="23">
        <v>46058</v>
      </c>
      <c r="V42" s="108" t="s">
        <v>1090</v>
      </c>
      <c r="W42" s="23">
        <v>46097</v>
      </c>
      <c r="X42" s="108" t="s">
        <v>1091</v>
      </c>
      <c r="Y42" s="15" t="s">
        <v>922</v>
      </c>
      <c r="Z42" s="23">
        <v>46097</v>
      </c>
      <c r="AA42" s="108" t="s">
        <v>1091</v>
      </c>
      <c r="AB42" s="15" t="s">
        <v>923</v>
      </c>
      <c r="AC42" s="23" t="s">
        <v>1061</v>
      </c>
      <c r="AD42" s="310" t="s">
        <v>1089</v>
      </c>
      <c r="AE42" s="15" t="s">
        <v>925</v>
      </c>
      <c r="AF42" s="16"/>
    </row>
    <row r="43" spans="5:32" s="115" customFormat="1" ht="39.65" customHeight="1">
      <c r="E43" s="648"/>
      <c r="F43" s="637"/>
      <c r="G43" s="147"/>
      <c r="H43" s="642"/>
      <c r="I43" s="146"/>
      <c r="J43" s="637"/>
      <c r="K43" s="650"/>
      <c r="L43" s="146"/>
      <c r="M43" s="656"/>
      <c r="N43" s="112"/>
      <c r="O43" s="116"/>
      <c r="P43" s="125"/>
      <c r="Q43" s="113" t="str">
        <f t="shared" ca="1" si="52"/>
        <v/>
      </c>
      <c r="R43" s="113" t="str">
        <f t="shared" si="53"/>
        <v/>
      </c>
      <c r="S43" s="114"/>
      <c r="T43" s="15"/>
      <c r="U43" s="23"/>
      <c r="V43" s="110"/>
      <c r="W43" s="23"/>
      <c r="X43" s="126"/>
      <c r="Y43" s="15"/>
      <c r="Z43" s="23"/>
      <c r="AA43" s="24"/>
      <c r="AB43" s="15" t="str">
        <f>IF(Z43="","",IF(Y43="檢退","檢退",IF(Y43="審查同意","審定","檢退")))</f>
        <v/>
      </c>
      <c r="AC43" s="23"/>
      <c r="AD43" s="15"/>
      <c r="AE43" s="15"/>
      <c r="AF43" s="16"/>
    </row>
    <row r="44" spans="5:32" s="115" customFormat="1" ht="40.4" customHeight="1">
      <c r="E44" s="648"/>
      <c r="F44" s="638"/>
      <c r="G44" s="144"/>
      <c r="H44" s="641"/>
      <c r="I44" s="148"/>
      <c r="J44" s="638"/>
      <c r="K44" s="651"/>
      <c r="L44" s="148"/>
      <c r="M44" s="657"/>
      <c r="N44" s="112"/>
      <c r="O44" s="116"/>
      <c r="P44" s="125"/>
      <c r="Q44" s="113" t="str">
        <f t="shared" ca="1" si="52"/>
        <v/>
      </c>
      <c r="R44" s="113" t="str">
        <f t="shared" si="53"/>
        <v/>
      </c>
      <c r="S44" s="114"/>
      <c r="T44" s="15"/>
      <c r="U44" s="23"/>
      <c r="V44" s="118"/>
      <c r="W44" s="23"/>
      <c r="X44" s="24"/>
      <c r="Y44" s="15"/>
      <c r="Z44" s="23"/>
      <c r="AA44" s="24"/>
      <c r="AB44" s="15" t="str">
        <f>IF(Z44="","",IF(Y44="檢退","檢退",IF(Y44="審查同意","審定","檢退")))</f>
        <v/>
      </c>
      <c r="AC44" s="23"/>
      <c r="AD44" s="15"/>
      <c r="AE44" s="15"/>
      <c r="AF44" s="16"/>
    </row>
    <row r="45" spans="5:32" s="115" customFormat="1" ht="40.4" customHeight="1">
      <c r="E45" s="648">
        <v>23</v>
      </c>
      <c r="F45" s="639" t="s">
        <v>399</v>
      </c>
      <c r="G45" s="143"/>
      <c r="H45" s="640" t="s">
        <v>668</v>
      </c>
      <c r="I45" s="145"/>
      <c r="J45" s="639" t="s">
        <v>659</v>
      </c>
      <c r="K45" s="649" t="s">
        <v>866</v>
      </c>
      <c r="L45" s="145"/>
      <c r="M45" s="655" t="s">
        <v>665</v>
      </c>
      <c r="N45" s="112"/>
      <c r="O45" s="116" t="str">
        <f>IF(P45="","",P45-30)</f>
        <v/>
      </c>
      <c r="P45" s="125"/>
      <c r="Q45" s="113" t="str">
        <f t="shared" ref="Q45:Q47" ca="1" si="54">IF(N45="","",IF(U45&lt;&gt;"","",IF(AND(U45="",N45-TODAY()&lt;=60),N45-TODAY(),"")))</f>
        <v/>
      </c>
      <c r="R45" s="113" t="str">
        <f t="shared" ref="R45:R47" si="55">IF(AND(ISNUMBER(N45),ISNUMBER(U45)),N45-U45,"")</f>
        <v/>
      </c>
      <c r="S45" s="114" t="s">
        <v>699</v>
      </c>
      <c r="T45" s="15" t="s">
        <v>700</v>
      </c>
      <c r="U45" s="23">
        <v>46058</v>
      </c>
      <c r="V45" s="108" t="s">
        <v>1090</v>
      </c>
      <c r="W45" s="23">
        <v>46097</v>
      </c>
      <c r="X45" s="108" t="s">
        <v>1091</v>
      </c>
      <c r="Y45" s="15" t="s">
        <v>922</v>
      </c>
      <c r="Z45" s="23">
        <v>46097</v>
      </c>
      <c r="AA45" s="108" t="s">
        <v>1091</v>
      </c>
      <c r="AB45" s="15" t="s">
        <v>923</v>
      </c>
      <c r="AC45" s="23" t="s">
        <v>1061</v>
      </c>
      <c r="AD45" s="310" t="s">
        <v>1089</v>
      </c>
      <c r="AE45" s="15" t="s">
        <v>925</v>
      </c>
      <c r="AF45" s="16"/>
    </row>
    <row r="46" spans="5:32" s="115" customFormat="1" ht="39.65" customHeight="1">
      <c r="E46" s="648"/>
      <c r="F46" s="637"/>
      <c r="G46" s="147"/>
      <c r="H46" s="642"/>
      <c r="I46" s="146"/>
      <c r="J46" s="637"/>
      <c r="K46" s="650"/>
      <c r="L46" s="146"/>
      <c r="M46" s="656"/>
      <c r="N46" s="112"/>
      <c r="O46" s="116"/>
      <c r="P46" s="125"/>
      <c r="Q46" s="113" t="str">
        <f t="shared" ca="1" si="54"/>
        <v/>
      </c>
      <c r="R46" s="113" t="str">
        <f t="shared" si="55"/>
        <v/>
      </c>
      <c r="S46" s="114"/>
      <c r="T46" s="15"/>
      <c r="U46" s="23"/>
      <c r="V46" s="110"/>
      <c r="W46" s="23"/>
      <c r="X46" s="126"/>
      <c r="Y46" s="15"/>
      <c r="Z46" s="23"/>
      <c r="AA46" s="24"/>
      <c r="AB46" s="15" t="str">
        <f>IF(Z46="","",IF(Y46="檢退","檢退",IF(Y46="審查同意","審定","檢退")))</f>
        <v/>
      </c>
      <c r="AC46" s="23"/>
      <c r="AD46" s="15"/>
      <c r="AE46" s="15"/>
      <c r="AF46" s="16"/>
    </row>
    <row r="47" spans="5:32" s="115" customFormat="1" ht="40.4" customHeight="1">
      <c r="E47" s="648"/>
      <c r="F47" s="638"/>
      <c r="G47" s="144"/>
      <c r="H47" s="641"/>
      <c r="I47" s="148"/>
      <c r="J47" s="638"/>
      <c r="K47" s="651"/>
      <c r="L47" s="148"/>
      <c r="M47" s="657"/>
      <c r="N47" s="112"/>
      <c r="O47" s="116"/>
      <c r="P47" s="125"/>
      <c r="Q47" s="113" t="str">
        <f t="shared" ca="1" si="54"/>
        <v/>
      </c>
      <c r="R47" s="113" t="str">
        <f t="shared" si="55"/>
        <v/>
      </c>
      <c r="S47" s="114"/>
      <c r="T47" s="15"/>
      <c r="U47" s="23"/>
      <c r="V47" s="118"/>
      <c r="W47" s="23"/>
      <c r="X47" s="24"/>
      <c r="Y47" s="15"/>
      <c r="Z47" s="23"/>
      <c r="AA47" s="24"/>
      <c r="AB47" s="15" t="str">
        <f>IF(Z47="","",IF(Y47="檢退","檢退",IF(Y47="審查同意","審定","檢退")))</f>
        <v/>
      </c>
      <c r="AC47" s="23"/>
      <c r="AD47" s="15"/>
      <c r="AE47" s="15"/>
      <c r="AF47" s="16"/>
    </row>
    <row r="48" spans="5:32" s="115" customFormat="1" ht="40.4" customHeight="1">
      <c r="E48" s="648">
        <v>24</v>
      </c>
      <c r="F48" s="639" t="s">
        <v>1605</v>
      </c>
      <c r="G48" s="143"/>
      <c r="H48" s="640" t="s">
        <v>1541</v>
      </c>
      <c r="I48" s="640" t="s">
        <v>916</v>
      </c>
      <c r="J48" s="639" t="s">
        <v>659</v>
      </c>
      <c r="K48" s="649" t="s">
        <v>866</v>
      </c>
      <c r="L48" s="145"/>
      <c r="M48" s="652" t="s">
        <v>666</v>
      </c>
      <c r="N48" s="112" t="str">
        <f>IF(P48="","",P48-60)</f>
        <v/>
      </c>
      <c r="O48" s="116" t="str">
        <f>IF(P48="","",P48-30)</f>
        <v/>
      </c>
      <c r="P48" s="125"/>
      <c r="Q48" s="113" t="str">
        <f t="shared" ca="1" si="48"/>
        <v/>
      </c>
      <c r="R48" s="113" t="str">
        <f t="shared" si="49"/>
        <v/>
      </c>
      <c r="S48" s="114" t="s">
        <v>699</v>
      </c>
      <c r="T48" s="15" t="s">
        <v>700</v>
      </c>
      <c r="U48" s="23">
        <v>46059</v>
      </c>
      <c r="V48" s="110" t="s">
        <v>1092</v>
      </c>
      <c r="W48" s="23">
        <v>46097</v>
      </c>
      <c r="X48" s="108" t="s">
        <v>1093</v>
      </c>
      <c r="Y48" s="15" t="s">
        <v>922</v>
      </c>
      <c r="Z48" s="23">
        <v>46097</v>
      </c>
      <c r="AA48" s="108" t="s">
        <v>1093</v>
      </c>
      <c r="AB48" s="15" t="s">
        <v>923</v>
      </c>
      <c r="AC48" s="23" t="s">
        <v>1061</v>
      </c>
      <c r="AD48" s="310" t="s">
        <v>1089</v>
      </c>
      <c r="AE48" s="15" t="s">
        <v>925</v>
      </c>
      <c r="AF48" s="15"/>
    </row>
    <row r="49" spans="5:32" s="115" customFormat="1" ht="40.4" customHeight="1">
      <c r="E49" s="648"/>
      <c r="F49" s="637"/>
      <c r="G49" s="147"/>
      <c r="H49" s="642"/>
      <c r="I49" s="642"/>
      <c r="J49" s="637"/>
      <c r="K49" s="650"/>
      <c r="L49" s="146"/>
      <c r="M49" s="653"/>
      <c r="N49" s="112"/>
      <c r="O49" s="116"/>
      <c r="P49" s="125"/>
      <c r="Q49" s="113" t="str">
        <f t="shared" ca="1" si="48"/>
        <v/>
      </c>
      <c r="R49" s="113" t="str">
        <f t="shared" si="49"/>
        <v/>
      </c>
      <c r="S49" s="114"/>
      <c r="T49" s="15"/>
      <c r="U49" s="23"/>
      <c r="V49" s="110"/>
      <c r="W49" s="23"/>
      <c r="X49" s="126"/>
      <c r="Y49" s="15"/>
      <c r="Z49" s="23"/>
      <c r="AA49" s="24"/>
      <c r="AB49" s="15" t="str">
        <f t="shared" ref="AB49:AB50" si="56">IF(Z49="","",IF(Y49="檢退","檢退",IF(Y49="審查同意","審定","檢退")))</f>
        <v/>
      </c>
      <c r="AC49" s="23"/>
      <c r="AD49" s="15"/>
      <c r="AE49" s="15"/>
      <c r="AF49" s="16"/>
    </row>
    <row r="50" spans="5:32" s="115" customFormat="1" ht="40.4" customHeight="1">
      <c r="E50" s="648"/>
      <c r="F50" s="638"/>
      <c r="G50" s="144"/>
      <c r="H50" s="641"/>
      <c r="I50" s="641"/>
      <c r="J50" s="638"/>
      <c r="K50" s="651"/>
      <c r="L50" s="148"/>
      <c r="M50" s="654"/>
      <c r="N50" s="112"/>
      <c r="O50" s="116"/>
      <c r="P50" s="125"/>
      <c r="Q50" s="113" t="str">
        <f t="shared" ca="1" si="48"/>
        <v/>
      </c>
      <c r="R50" s="113" t="str">
        <f t="shared" si="49"/>
        <v/>
      </c>
      <c r="S50" s="114"/>
      <c r="T50" s="15"/>
      <c r="U50" s="23"/>
      <c r="V50" s="118"/>
      <c r="W50" s="23"/>
      <c r="X50" s="24"/>
      <c r="Y50" s="15"/>
      <c r="Z50" s="23"/>
      <c r="AA50" s="24"/>
      <c r="AB50" s="15" t="str">
        <f t="shared" si="56"/>
        <v/>
      </c>
      <c r="AC50" s="23"/>
      <c r="AD50" s="15"/>
      <c r="AE50" s="15"/>
      <c r="AF50" s="16"/>
    </row>
    <row r="51" spans="5:32" s="115" customFormat="1" ht="40.4" customHeight="1">
      <c r="E51" s="648">
        <v>25</v>
      </c>
      <c r="F51" s="639" t="s">
        <v>439</v>
      </c>
      <c r="G51" s="143"/>
      <c r="H51" s="640" t="s">
        <v>1542</v>
      </c>
      <c r="I51" s="640" t="s">
        <v>916</v>
      </c>
      <c r="J51" s="639" t="s">
        <v>659</v>
      </c>
      <c r="K51" s="649" t="s">
        <v>866</v>
      </c>
      <c r="L51" s="145"/>
      <c r="M51" s="652" t="s">
        <v>666</v>
      </c>
      <c r="N51" s="112" t="str">
        <f>IF(P51="","",P51-60)</f>
        <v/>
      </c>
      <c r="O51" s="116" t="str">
        <f>IF(P51="","",P51-30)</f>
        <v/>
      </c>
      <c r="P51" s="125"/>
      <c r="Q51" s="113" t="str">
        <f t="shared" ref="Q51:Q53" ca="1" si="57">IF(N51="","",IF(U51&lt;&gt;"","",IF(AND(U51="",N51-TODAY()&lt;=60),N51-TODAY(),"")))</f>
        <v/>
      </c>
      <c r="R51" s="113" t="str">
        <f t="shared" ref="R51:R53" si="58">IF(AND(ISNUMBER(N51),ISNUMBER(U51)),N51-U51,"")</f>
        <v/>
      </c>
      <c r="S51" s="114" t="s">
        <v>699</v>
      </c>
      <c r="T51" s="15" t="s">
        <v>700</v>
      </c>
      <c r="U51" s="23">
        <v>46059</v>
      </c>
      <c r="V51" s="110" t="s">
        <v>1092</v>
      </c>
      <c r="W51" s="23">
        <v>46097</v>
      </c>
      <c r="X51" s="108" t="s">
        <v>1093</v>
      </c>
      <c r="Y51" s="15" t="s">
        <v>922</v>
      </c>
      <c r="Z51" s="23">
        <v>46097</v>
      </c>
      <c r="AA51" s="108" t="s">
        <v>1093</v>
      </c>
      <c r="AB51" s="15" t="s">
        <v>923</v>
      </c>
      <c r="AC51" s="23" t="s">
        <v>1061</v>
      </c>
      <c r="AD51" s="310" t="s">
        <v>1089</v>
      </c>
      <c r="AE51" s="15" t="s">
        <v>925</v>
      </c>
      <c r="AF51" s="15"/>
    </row>
    <row r="52" spans="5:32" s="115" customFormat="1" ht="40.4" customHeight="1">
      <c r="E52" s="648"/>
      <c r="F52" s="637"/>
      <c r="G52" s="147"/>
      <c r="H52" s="642"/>
      <c r="I52" s="642"/>
      <c r="J52" s="637"/>
      <c r="K52" s="650"/>
      <c r="L52" s="146"/>
      <c r="M52" s="653"/>
      <c r="N52" s="112"/>
      <c r="O52" s="116"/>
      <c r="P52" s="125"/>
      <c r="Q52" s="113" t="str">
        <f t="shared" ca="1" si="57"/>
        <v/>
      </c>
      <c r="R52" s="113" t="str">
        <f t="shared" si="58"/>
        <v/>
      </c>
      <c r="S52" s="114"/>
      <c r="T52" s="15"/>
      <c r="U52" s="23"/>
      <c r="V52" s="110"/>
      <c r="W52" s="23"/>
      <c r="X52" s="126"/>
      <c r="Y52" s="15"/>
      <c r="Z52" s="23"/>
      <c r="AA52" s="24"/>
      <c r="AB52" s="15" t="str">
        <f t="shared" ref="AB52:AB53" si="59">IF(Z52="","",IF(Y52="檢退","檢退",IF(Y52="審查同意","審定","檢退")))</f>
        <v/>
      </c>
      <c r="AC52" s="23"/>
      <c r="AD52" s="15"/>
      <c r="AE52" s="15"/>
      <c r="AF52" s="16"/>
    </row>
    <row r="53" spans="5:32" s="115" customFormat="1" ht="40.4" customHeight="1">
      <c r="E53" s="648"/>
      <c r="F53" s="638"/>
      <c r="G53" s="144"/>
      <c r="H53" s="641"/>
      <c r="I53" s="641"/>
      <c r="J53" s="638"/>
      <c r="K53" s="651"/>
      <c r="L53" s="148"/>
      <c r="M53" s="654"/>
      <c r="N53" s="112"/>
      <c r="O53" s="116"/>
      <c r="P53" s="125"/>
      <c r="Q53" s="113" t="str">
        <f t="shared" ca="1" si="57"/>
        <v/>
      </c>
      <c r="R53" s="113" t="str">
        <f t="shared" si="58"/>
        <v/>
      </c>
      <c r="S53" s="114"/>
      <c r="T53" s="15"/>
      <c r="U53" s="23"/>
      <c r="V53" s="118"/>
      <c r="W53" s="23"/>
      <c r="X53" s="24"/>
      <c r="Y53" s="15"/>
      <c r="Z53" s="23"/>
      <c r="AA53" s="24"/>
      <c r="AB53" s="15" t="str">
        <f t="shared" si="59"/>
        <v/>
      </c>
      <c r="AC53" s="23"/>
      <c r="AD53" s="15"/>
      <c r="AE53" s="15"/>
      <c r="AF53" s="16"/>
    </row>
    <row r="54" spans="5:32" s="115" customFormat="1" ht="40.4" customHeight="1">
      <c r="E54" s="648">
        <v>26</v>
      </c>
      <c r="F54" s="639" t="s">
        <v>439</v>
      </c>
      <c r="G54" s="143"/>
      <c r="H54" s="640" t="s">
        <v>668</v>
      </c>
      <c r="I54" s="640" t="s">
        <v>916</v>
      </c>
      <c r="J54" s="639" t="s">
        <v>659</v>
      </c>
      <c r="K54" s="649" t="s">
        <v>866</v>
      </c>
      <c r="L54" s="145"/>
      <c r="M54" s="652" t="s">
        <v>666</v>
      </c>
      <c r="N54" s="112" t="str">
        <f>IF(P54="","",P54-60)</f>
        <v/>
      </c>
      <c r="O54" s="116" t="str">
        <f>IF(P54="","",P54-30)</f>
        <v/>
      </c>
      <c r="P54" s="125"/>
      <c r="Q54" s="113" t="str">
        <f t="shared" ref="Q54:Q56" ca="1" si="60">IF(N54="","",IF(U54&lt;&gt;"","",IF(AND(U54="",N54-TODAY()&lt;=60),N54-TODAY(),"")))</f>
        <v/>
      </c>
      <c r="R54" s="113" t="str">
        <f t="shared" ref="R54:R56" si="61">IF(AND(ISNUMBER(N54),ISNUMBER(U54)),N54-U54,"")</f>
        <v/>
      </c>
      <c r="S54" s="114" t="s">
        <v>699</v>
      </c>
      <c r="T54" s="15" t="s">
        <v>700</v>
      </c>
      <c r="U54" s="23">
        <v>46059</v>
      </c>
      <c r="V54" s="110" t="s">
        <v>1092</v>
      </c>
      <c r="W54" s="23">
        <v>46097</v>
      </c>
      <c r="X54" s="108" t="s">
        <v>1093</v>
      </c>
      <c r="Y54" s="15" t="s">
        <v>922</v>
      </c>
      <c r="Z54" s="23">
        <v>46097</v>
      </c>
      <c r="AA54" s="108" t="s">
        <v>1093</v>
      </c>
      <c r="AB54" s="15" t="s">
        <v>923</v>
      </c>
      <c r="AC54" s="23" t="s">
        <v>1061</v>
      </c>
      <c r="AD54" s="310" t="s">
        <v>1089</v>
      </c>
      <c r="AE54" s="15" t="s">
        <v>925</v>
      </c>
      <c r="AF54" s="15"/>
    </row>
    <row r="55" spans="5:32" s="115" customFormat="1" ht="40.4" customHeight="1">
      <c r="E55" s="648"/>
      <c r="F55" s="637"/>
      <c r="G55" s="147"/>
      <c r="H55" s="642"/>
      <c r="I55" s="642"/>
      <c r="J55" s="637"/>
      <c r="K55" s="650"/>
      <c r="L55" s="146"/>
      <c r="M55" s="653"/>
      <c r="N55" s="112"/>
      <c r="O55" s="116"/>
      <c r="P55" s="125"/>
      <c r="Q55" s="113" t="str">
        <f t="shared" ca="1" si="60"/>
        <v/>
      </c>
      <c r="R55" s="113" t="str">
        <f t="shared" si="61"/>
        <v/>
      </c>
      <c r="S55" s="114"/>
      <c r="T55" s="15"/>
      <c r="U55" s="23"/>
      <c r="V55" s="110"/>
      <c r="W55" s="23"/>
      <c r="X55" s="126"/>
      <c r="Y55" s="15"/>
      <c r="Z55" s="23"/>
      <c r="AA55" s="24"/>
      <c r="AB55" s="15" t="str">
        <f t="shared" ref="AB55:AB56" si="62">IF(Z55="","",IF(Y55="檢退","檢退",IF(Y55="審查同意","審定","檢退")))</f>
        <v/>
      </c>
      <c r="AC55" s="23"/>
      <c r="AD55" s="15"/>
      <c r="AE55" s="15"/>
      <c r="AF55" s="16"/>
    </row>
    <row r="56" spans="5:32" s="115" customFormat="1" ht="40.4" customHeight="1">
      <c r="E56" s="648"/>
      <c r="F56" s="638"/>
      <c r="G56" s="144"/>
      <c r="H56" s="641"/>
      <c r="I56" s="641"/>
      <c r="J56" s="638"/>
      <c r="K56" s="651"/>
      <c r="L56" s="148"/>
      <c r="M56" s="654"/>
      <c r="N56" s="112"/>
      <c r="O56" s="116"/>
      <c r="P56" s="125"/>
      <c r="Q56" s="113" t="str">
        <f t="shared" ca="1" si="60"/>
        <v/>
      </c>
      <c r="R56" s="113" t="str">
        <f t="shared" si="61"/>
        <v/>
      </c>
      <c r="S56" s="114"/>
      <c r="T56" s="15"/>
      <c r="U56" s="23"/>
      <c r="V56" s="118"/>
      <c r="W56" s="23"/>
      <c r="X56" s="24"/>
      <c r="Y56" s="15"/>
      <c r="Z56" s="23"/>
      <c r="AA56" s="24"/>
      <c r="AB56" s="15" t="str">
        <f t="shared" si="62"/>
        <v/>
      </c>
      <c r="AC56" s="23"/>
      <c r="AD56" s="15"/>
      <c r="AE56" s="15"/>
      <c r="AF56" s="16"/>
    </row>
    <row r="57" spans="5:32" s="115" customFormat="1" ht="40.4" customHeight="1">
      <c r="E57" s="139">
        <v>27</v>
      </c>
      <c r="F57" s="143" t="s">
        <v>419</v>
      </c>
      <c r="G57" s="143"/>
      <c r="H57" s="145" t="s">
        <v>1541</v>
      </c>
      <c r="I57" s="145" t="s">
        <v>916</v>
      </c>
      <c r="J57" s="143" t="s">
        <v>659</v>
      </c>
      <c r="K57" s="186" t="s">
        <v>866</v>
      </c>
      <c r="L57" s="145"/>
      <c r="M57" s="145" t="s">
        <v>667</v>
      </c>
      <c r="N57" s="112" t="str">
        <f>IF(P57="","",P57-60)</f>
        <v/>
      </c>
      <c r="O57" s="116" t="str">
        <f>IF(P57="","",P57-30)</f>
        <v/>
      </c>
      <c r="P57" s="125"/>
      <c r="Q57" s="113" t="str">
        <f t="shared" ref="Q57" ca="1" si="63">IF(N57="","",IF(U57&lt;&gt;"","",IF(AND(U57="",N57-TODAY()&lt;=60),N57-TODAY(),"")))</f>
        <v/>
      </c>
      <c r="R57" s="113" t="str">
        <f t="shared" ref="R57" si="64">IF(AND(ISNUMBER(N57),ISNUMBER(U57)),N57-U57,"")</f>
        <v/>
      </c>
      <c r="S57" s="114" t="s">
        <v>699</v>
      </c>
      <c r="T57" s="15" t="s">
        <v>700</v>
      </c>
      <c r="U57" s="23">
        <v>46059</v>
      </c>
      <c r="V57" s="110" t="s">
        <v>1094</v>
      </c>
      <c r="W57" s="23">
        <v>46097</v>
      </c>
      <c r="X57" s="108" t="s">
        <v>1095</v>
      </c>
      <c r="Y57" s="15" t="s">
        <v>922</v>
      </c>
      <c r="Z57" s="23">
        <v>46097</v>
      </c>
      <c r="AA57" s="108" t="s">
        <v>1095</v>
      </c>
      <c r="AB57" s="15" t="s">
        <v>923</v>
      </c>
      <c r="AC57" s="23" t="s">
        <v>1061</v>
      </c>
      <c r="AD57" s="310" t="s">
        <v>1089</v>
      </c>
      <c r="AE57" s="15" t="s">
        <v>925</v>
      </c>
      <c r="AF57" s="15"/>
    </row>
    <row r="58" spans="5:32" s="115" customFormat="1" ht="40.4" customHeight="1">
      <c r="E58" s="139">
        <v>28</v>
      </c>
      <c r="F58" s="143" t="s">
        <v>419</v>
      </c>
      <c r="G58" s="143"/>
      <c r="H58" s="145" t="s">
        <v>1542</v>
      </c>
      <c r="I58" s="145" t="s">
        <v>916</v>
      </c>
      <c r="J58" s="143" t="s">
        <v>659</v>
      </c>
      <c r="K58" s="186" t="s">
        <v>866</v>
      </c>
      <c r="L58" s="145"/>
      <c r="M58" s="145" t="s">
        <v>667</v>
      </c>
      <c r="N58" s="112" t="str">
        <f>IF(P58="","",P58-60)</f>
        <v/>
      </c>
      <c r="O58" s="116" t="str">
        <f>IF(P58="","",P58-30)</f>
        <v/>
      </c>
      <c r="P58" s="125"/>
      <c r="Q58" s="113" t="str">
        <f t="shared" ref="Q58" ca="1" si="65">IF(N58="","",IF(U58&lt;&gt;"","",IF(AND(U58="",N58-TODAY()&lt;=60),N58-TODAY(),"")))</f>
        <v/>
      </c>
      <c r="R58" s="113" t="str">
        <f t="shared" ref="R58" si="66">IF(AND(ISNUMBER(N58),ISNUMBER(U58)),N58-U58,"")</f>
        <v/>
      </c>
      <c r="S58" s="114" t="s">
        <v>699</v>
      </c>
      <c r="T58" s="15" t="s">
        <v>700</v>
      </c>
      <c r="U58" s="23">
        <v>46059</v>
      </c>
      <c r="V58" s="110" t="s">
        <v>1094</v>
      </c>
      <c r="W58" s="23">
        <v>46097</v>
      </c>
      <c r="X58" s="108" t="s">
        <v>1095</v>
      </c>
      <c r="Y58" s="15" t="s">
        <v>922</v>
      </c>
      <c r="Z58" s="23">
        <v>46097</v>
      </c>
      <c r="AA58" s="108" t="s">
        <v>1095</v>
      </c>
      <c r="AB58" s="15" t="s">
        <v>923</v>
      </c>
      <c r="AC58" s="23" t="s">
        <v>1061</v>
      </c>
      <c r="AD58" s="310" t="s">
        <v>1089</v>
      </c>
      <c r="AE58" s="15" t="s">
        <v>925</v>
      </c>
      <c r="AF58" s="15"/>
    </row>
    <row r="59" spans="5:32" s="115" customFormat="1" ht="40.4" customHeight="1">
      <c r="E59" s="139">
        <v>29</v>
      </c>
      <c r="F59" s="143" t="s">
        <v>419</v>
      </c>
      <c r="G59" s="143"/>
      <c r="H59" s="145" t="s">
        <v>1540</v>
      </c>
      <c r="I59" s="145" t="s">
        <v>916</v>
      </c>
      <c r="J59" s="143" t="s">
        <v>659</v>
      </c>
      <c r="K59" s="186" t="s">
        <v>866</v>
      </c>
      <c r="L59" s="145"/>
      <c r="M59" s="145" t="s">
        <v>667</v>
      </c>
      <c r="N59" s="112" t="str">
        <f>IF(P59="","",P59-60)</f>
        <v/>
      </c>
      <c r="O59" s="116" t="str">
        <f>IF(P59="","",P59-30)</f>
        <v/>
      </c>
      <c r="P59" s="125"/>
      <c r="Q59" s="113" t="str">
        <f t="shared" ref="Q59" ca="1" si="67">IF(N59="","",IF(U59&lt;&gt;"","",IF(AND(U59="",N59-TODAY()&lt;=60),N59-TODAY(),"")))</f>
        <v/>
      </c>
      <c r="R59" s="113" t="str">
        <f t="shared" ref="R59" si="68">IF(AND(ISNUMBER(N59),ISNUMBER(U59)),N59-U59,"")</f>
        <v/>
      </c>
      <c r="S59" s="114" t="s">
        <v>699</v>
      </c>
      <c r="T59" s="15" t="s">
        <v>700</v>
      </c>
      <c r="U59" s="23">
        <v>46059</v>
      </c>
      <c r="V59" s="110" t="s">
        <v>1094</v>
      </c>
      <c r="W59" s="23">
        <v>46097</v>
      </c>
      <c r="X59" s="108" t="s">
        <v>1095</v>
      </c>
      <c r="Y59" s="15" t="s">
        <v>922</v>
      </c>
      <c r="Z59" s="23">
        <v>46097</v>
      </c>
      <c r="AA59" s="108" t="s">
        <v>1095</v>
      </c>
      <c r="AB59" s="15" t="s">
        <v>923</v>
      </c>
      <c r="AC59" s="23" t="s">
        <v>1061</v>
      </c>
      <c r="AD59" s="310" t="s">
        <v>1089</v>
      </c>
      <c r="AE59" s="15" t="s">
        <v>925</v>
      </c>
      <c r="AF59" s="15"/>
    </row>
    <row r="60" spans="5:32" s="115" customFormat="1" ht="40.4" customHeight="1">
      <c r="E60" s="139">
        <v>30</v>
      </c>
      <c r="F60" s="143" t="s">
        <v>419</v>
      </c>
      <c r="G60" s="143"/>
      <c r="H60" s="145" t="s">
        <v>668</v>
      </c>
      <c r="I60" s="145" t="s">
        <v>916</v>
      </c>
      <c r="J60" s="143" t="s">
        <v>659</v>
      </c>
      <c r="K60" s="186" t="s">
        <v>866</v>
      </c>
      <c r="L60" s="145"/>
      <c r="M60" s="145" t="s">
        <v>667</v>
      </c>
      <c r="N60" s="112" t="str">
        <f>IF(P60="","",P60-60)</f>
        <v/>
      </c>
      <c r="O60" s="116" t="str">
        <f>IF(P60="","",P60-30)</f>
        <v/>
      </c>
      <c r="P60" s="125"/>
      <c r="Q60" s="113" t="str">
        <f t="shared" ref="Q60" ca="1" si="69">IF(N60="","",IF(U60&lt;&gt;"","",IF(AND(U60="",N60-TODAY()&lt;=60),N60-TODAY(),"")))</f>
        <v/>
      </c>
      <c r="R60" s="113" t="str">
        <f t="shared" ref="R60" si="70">IF(AND(ISNUMBER(N60),ISNUMBER(U60)),N60-U60,"")</f>
        <v/>
      </c>
      <c r="S60" s="114" t="s">
        <v>699</v>
      </c>
      <c r="T60" s="15" t="s">
        <v>700</v>
      </c>
      <c r="U60" s="23">
        <v>46059</v>
      </c>
      <c r="V60" s="110" t="s">
        <v>1094</v>
      </c>
      <c r="W60" s="23">
        <v>46097</v>
      </c>
      <c r="X60" s="108" t="s">
        <v>1095</v>
      </c>
      <c r="Y60" s="15" t="s">
        <v>922</v>
      </c>
      <c r="Z60" s="23">
        <v>46097</v>
      </c>
      <c r="AA60" s="108" t="s">
        <v>1095</v>
      </c>
      <c r="AB60" s="15" t="s">
        <v>923</v>
      </c>
      <c r="AC60" s="23" t="s">
        <v>1061</v>
      </c>
      <c r="AD60" s="310" t="s">
        <v>1089</v>
      </c>
      <c r="AE60" s="15" t="s">
        <v>925</v>
      </c>
      <c r="AF60" s="15"/>
    </row>
    <row r="61" spans="5:32" s="115" customFormat="1" ht="40.4" customHeight="1">
      <c r="E61" s="645">
        <v>31</v>
      </c>
      <c r="F61" s="694" t="s">
        <v>1606</v>
      </c>
      <c r="G61" s="143"/>
      <c r="H61" s="640" t="s">
        <v>1549</v>
      </c>
      <c r="I61" s="640" t="s">
        <v>916</v>
      </c>
      <c r="J61" s="639" t="s">
        <v>659</v>
      </c>
      <c r="K61" s="643" t="s">
        <v>866</v>
      </c>
      <c r="L61" s="145"/>
      <c r="M61" s="640" t="s">
        <v>669</v>
      </c>
      <c r="N61" s="112">
        <f>IF(P61="","",P61-60)</f>
        <v>45855</v>
      </c>
      <c r="O61" s="112"/>
      <c r="P61" s="122">
        <v>45915</v>
      </c>
      <c r="Q61" s="117" t="str">
        <f ca="1">IF(N61="","",IF(U61&lt;&gt;"","",IF(AND(U61="",N61-TODAY()&lt;=60),N61-TODAY(),"")))</f>
        <v/>
      </c>
      <c r="R61" s="117">
        <f>IF(AND(ISNUMBER(N61),ISNUMBER(U61)),N61-U61,"")</f>
        <v>-41</v>
      </c>
      <c r="S61" s="114"/>
      <c r="T61" s="15" t="s">
        <v>700</v>
      </c>
      <c r="U61" s="23">
        <v>45896</v>
      </c>
      <c r="V61" s="110" t="s">
        <v>747</v>
      </c>
      <c r="W61" s="23">
        <v>45909</v>
      </c>
      <c r="X61" s="108" t="s">
        <v>748</v>
      </c>
      <c r="Y61" s="24" t="s">
        <v>749</v>
      </c>
      <c r="Z61" s="23"/>
      <c r="AA61" s="118"/>
      <c r="AB61" s="15" t="str">
        <f>IF(Z61="","",IF(Y61="檢退","檢退",IF(Y61="審查同意","審定","檢退")))</f>
        <v/>
      </c>
      <c r="AC61" s="23"/>
      <c r="AD61" s="123"/>
      <c r="AE61" s="15" t="str">
        <f>IF(AC61="","",IF(AB61="檢退","請修正",IF(AB61="請備查","備查",IF(AB61="審定","核定","請修正"))))</f>
        <v/>
      </c>
      <c r="AF61" s="15" t="str">
        <f>IF(MOD(ROW()-5,3)&lt;&gt;0,"",
IF(COUNTA(U61:U63,V61:V63,W61:W63,X61:X63,Y61:Y63,Z61:Z63,AA61:AA63,AB61:AB63,AC61:AC63,AD61:AD63,AE61:AE63)=0,"",
IF(COUNTIF(U61:U63,"*核定*")+COUNTIF(V61:V63,"*核定*")+COUNTIF(W61:W63,"*核定*")+COUNTIF(X61:X63,"*核定*")+COUNTIF(Y61:Y63,"*核定*")+COUNTIF(Z61:Z63,"*核定*")+COUNTIF(AA61:AA63,"*核定*")+COUNTIF(AB61:AB63,"*核定*")+COUNTIF(AC61:AC63,"*核定*")+COUNTIF(AD61:AD63,"*核定*")+COUNTIF(AE61:AE63,"*核定*")&gt;0,"核定",
IF(COUNTIF(Z61:Z63,"*檢退*")&gt;0,"檢退",
IF(COUNTIF(Z61:Z63,"*審查同意*")&gt;0,"審查同意",
IF(COUNTIF(AA61:AA63,"*審定*")+COUNTIF(AB61:AB63,"*審定*")+COUNTIF(AC61:AC63,"*審定*")&gt;0,"審定",
IF(COUNTIF(U61:U63,"*核定中*")+COUNTIF(V61:V63,"*核定中*")+COUNTIF(W61:W63,"*核定中*")+COUNTIF(X61:X63,"*核定中*")+COUNTIF(Y61:Y63,"*核定中*")+COUNTIF(Z61:Z63,"*核定中*")+COUNTIF(AA61:AA63,"*核定中*")+COUNTIF(AB61:AB63,"*核定中*")+COUNTIF(AC61:AC63,"*核定中*")+COUNTIF(AD61:AD63,"*核定中*")+COUNTIF(AE61:AE63,"*核定中*")&gt;0,"核定中","")))))))</f>
        <v/>
      </c>
    </row>
    <row r="62" spans="5:32" s="115" customFormat="1" ht="40.4" customHeight="1">
      <c r="E62" s="692"/>
      <c r="F62" s="694"/>
      <c r="G62" s="147"/>
      <c r="H62" s="642"/>
      <c r="I62" s="642"/>
      <c r="J62" s="637"/>
      <c r="K62" s="647"/>
      <c r="L62" s="146"/>
      <c r="M62" s="642"/>
      <c r="N62" s="112">
        <v>45915</v>
      </c>
      <c r="O62" s="112"/>
      <c r="P62" s="122"/>
      <c r="Q62" s="117" t="str">
        <f ca="1">IF(N62="","",IF(U62&lt;&gt;"","",IF(AND(U62="",N62-TODAY()&lt;=60),N62-TODAY(),"")))</f>
        <v/>
      </c>
      <c r="R62" s="117">
        <f>IF(AND(ISNUMBER(N62),ISNUMBER(U62)),N62-U62,"")</f>
        <v>0</v>
      </c>
      <c r="S62" s="114" t="s">
        <v>699</v>
      </c>
      <c r="T62" s="15" t="s">
        <v>750</v>
      </c>
      <c r="U62" s="23">
        <v>45915</v>
      </c>
      <c r="V62" s="110" t="s">
        <v>751</v>
      </c>
      <c r="W62" s="23">
        <v>45919</v>
      </c>
      <c r="X62" s="123" t="s">
        <v>752</v>
      </c>
      <c r="Y62" s="24" t="s">
        <v>702</v>
      </c>
      <c r="Z62" s="23">
        <v>45926</v>
      </c>
      <c r="AA62" s="118" t="s">
        <v>753</v>
      </c>
      <c r="AB62" s="15" t="str">
        <f>IF(Z62="","",IF(Y62="檢退","檢退",IF(Y62="審查同意","審定","檢退")))</f>
        <v>審定</v>
      </c>
      <c r="AC62" s="23">
        <v>45931</v>
      </c>
      <c r="AD62" s="109" t="s">
        <v>1607</v>
      </c>
      <c r="AE62" s="15" t="str">
        <f>IF(AC62="","",IF(AB62="檢退","請修正",IF(AB62="請備查","備查",IF(AB62="審定","核定","請修正"))))</f>
        <v>核定</v>
      </c>
      <c r="AF62" s="16"/>
    </row>
    <row r="63" spans="5:32" s="115" customFormat="1" ht="40.4" customHeight="1">
      <c r="E63" s="646"/>
      <c r="F63" s="694"/>
      <c r="G63" s="144"/>
      <c r="H63" s="641"/>
      <c r="I63" s="641"/>
      <c r="J63" s="638"/>
      <c r="K63" s="644"/>
      <c r="L63" s="148"/>
      <c r="M63" s="641"/>
      <c r="N63" s="112"/>
      <c r="O63" s="112"/>
      <c r="P63" s="122"/>
      <c r="Q63" s="117" t="str">
        <f ca="1">IF(N63="","",IF(U63&lt;&gt;"","",IF(AND(U63="",N63-TODAY()&lt;=60),N63-TODAY(),"")))</f>
        <v/>
      </c>
      <c r="R63" s="117" t="str">
        <f>IF(AND(ISNUMBER(N63),ISNUMBER(U63)),N63-U63,"")</f>
        <v/>
      </c>
      <c r="S63" s="114"/>
      <c r="T63" s="15"/>
      <c r="U63" s="23"/>
      <c r="V63" s="118"/>
      <c r="W63" s="23"/>
      <c r="X63" s="118"/>
      <c r="Y63" s="15"/>
      <c r="Z63" s="23"/>
      <c r="AA63" s="118"/>
      <c r="AB63" s="15" t="str">
        <f>IF(Z63="","",IF(Y63="檢退","檢退",IF(Y63="審查同意","審定","檢退")))</f>
        <v/>
      </c>
      <c r="AC63" s="23"/>
      <c r="AD63" s="123"/>
      <c r="AE63" s="15" t="str">
        <f>IF(AC63="","",IF(AB63="檢退","請修正",IF(AB63="請備查","備查",IF(AB63="審定","核定","請修正"))))</f>
        <v/>
      </c>
      <c r="AF63" s="16"/>
    </row>
    <row r="64" spans="5:32" s="127" customFormat="1" ht="40.4" customHeight="1">
      <c r="E64" s="645">
        <f>E61+1</f>
        <v>32</v>
      </c>
      <c r="F64" s="658" t="s">
        <v>1608</v>
      </c>
      <c r="G64" s="140"/>
      <c r="H64" s="640" t="s">
        <v>1543</v>
      </c>
      <c r="I64" s="640" t="s">
        <v>916</v>
      </c>
      <c r="J64" s="639" t="s">
        <v>659</v>
      </c>
      <c r="K64" s="643" t="s">
        <v>869</v>
      </c>
      <c r="L64" s="145"/>
      <c r="M64" s="640" t="s">
        <v>673</v>
      </c>
      <c r="N64" s="112">
        <v>45853</v>
      </c>
      <c r="O64" s="112">
        <f>IF(N64="","",N64-30)</f>
        <v>45823</v>
      </c>
      <c r="P64" s="112">
        <f>IF(N64="","",N64-60)</f>
        <v>45793</v>
      </c>
      <c r="Q64" s="117" t="str">
        <f t="shared" ref="Q64:Q70" ca="1" si="71">IF(N64="","",IF(U64&lt;&gt;"","",IF(AND(U64="",N64-TODAY()&lt;=60),N64-TODAY(),"")))</f>
        <v/>
      </c>
      <c r="R64" s="117">
        <f t="shared" ref="R64:R70" si="72">IF(AND(ISNUMBER(N64),ISNUMBER(U64)),N64-U64,"")</f>
        <v>91</v>
      </c>
      <c r="S64" s="114"/>
      <c r="T64" s="15" t="s">
        <v>700</v>
      </c>
      <c r="U64" s="23">
        <v>45762</v>
      </c>
      <c r="V64" s="108" t="s">
        <v>754</v>
      </c>
      <c r="W64" s="23">
        <v>45768</v>
      </c>
      <c r="X64" s="108" t="s">
        <v>755</v>
      </c>
      <c r="Y64" s="15" t="s">
        <v>706</v>
      </c>
      <c r="Z64" s="23"/>
      <c r="AA64" s="118"/>
      <c r="AB64" s="15" t="str">
        <f t="shared" ref="AB64:AB83" si="73">IF(Z64="","",IF(Y64="檢退","檢退",IF(Y64="審查同意","審定","檢退")))</f>
        <v/>
      </c>
      <c r="AC64" s="23"/>
      <c r="AD64" s="123"/>
      <c r="AE64" s="15" t="str">
        <f t="shared" ref="AE64:AE102" si="74">IF(AC64="","",IF(AB64="檢退","請修正",IF(AB64="請備查","備查",IF(AB64="審定","核定","請修正"))))</f>
        <v/>
      </c>
      <c r="AF64" s="16"/>
    </row>
    <row r="65" spans="5:32" s="127" customFormat="1" ht="40.4" customHeight="1">
      <c r="E65" s="646"/>
      <c r="F65" s="659"/>
      <c r="G65" s="153"/>
      <c r="H65" s="641"/>
      <c r="I65" s="642"/>
      <c r="J65" s="637"/>
      <c r="K65" s="644"/>
      <c r="L65" s="148"/>
      <c r="M65" s="641"/>
      <c r="N65" s="112"/>
      <c r="O65" s="112"/>
      <c r="P65" s="112"/>
      <c r="Q65" s="117" t="str">
        <f t="shared" ca="1" si="71"/>
        <v/>
      </c>
      <c r="R65" s="117" t="str">
        <f t="shared" si="72"/>
        <v/>
      </c>
      <c r="S65" s="114" t="s">
        <v>699</v>
      </c>
      <c r="T65" s="15" t="s">
        <v>707</v>
      </c>
      <c r="U65" s="23">
        <v>45779</v>
      </c>
      <c r="V65" s="108" t="s">
        <v>756</v>
      </c>
      <c r="W65" s="23">
        <v>45783</v>
      </c>
      <c r="X65" s="118" t="s">
        <v>757</v>
      </c>
      <c r="Y65" s="15" t="s">
        <v>718</v>
      </c>
      <c r="Z65" s="23">
        <v>45786</v>
      </c>
      <c r="AA65" s="118" t="s">
        <v>758</v>
      </c>
      <c r="AB65" s="15" t="str">
        <f t="shared" si="73"/>
        <v>審定</v>
      </c>
      <c r="AC65" s="23">
        <v>45797</v>
      </c>
      <c r="AD65" s="109" t="s">
        <v>1609</v>
      </c>
      <c r="AE65" s="15" t="str">
        <f t="shared" si="74"/>
        <v>核定</v>
      </c>
      <c r="AF65" s="16"/>
    </row>
    <row r="66" spans="5:32" s="127" customFormat="1" ht="40.4" customHeight="1">
      <c r="E66" s="645">
        <v>33</v>
      </c>
      <c r="F66" s="658" t="s">
        <v>46</v>
      </c>
      <c r="G66" s="140"/>
      <c r="H66" s="640" t="s">
        <v>1544</v>
      </c>
      <c r="I66" s="640" t="s">
        <v>916</v>
      </c>
      <c r="J66" s="639" t="s">
        <v>659</v>
      </c>
      <c r="K66" s="643" t="s">
        <v>869</v>
      </c>
      <c r="L66" s="145"/>
      <c r="M66" s="640" t="s">
        <v>673</v>
      </c>
      <c r="N66" s="112">
        <v>45853</v>
      </c>
      <c r="O66" s="112">
        <f>IF(N66="","",N66-30)</f>
        <v>45823</v>
      </c>
      <c r="P66" s="112">
        <f>IF(N66="","",N66-60)</f>
        <v>45793</v>
      </c>
      <c r="Q66" s="117" t="str">
        <f t="shared" ref="Q66:Q67" ca="1" si="75">IF(N66="","",IF(U66&lt;&gt;"","",IF(AND(U66="",N66-TODAY()&lt;=60),N66-TODAY(),"")))</f>
        <v/>
      </c>
      <c r="R66" s="117">
        <f t="shared" ref="R66:R67" si="76">IF(AND(ISNUMBER(N66),ISNUMBER(U66)),N66-U66,"")</f>
        <v>91</v>
      </c>
      <c r="S66" s="114"/>
      <c r="T66" s="15" t="s">
        <v>700</v>
      </c>
      <c r="U66" s="23">
        <v>45762</v>
      </c>
      <c r="V66" s="108" t="s">
        <v>754</v>
      </c>
      <c r="W66" s="23">
        <v>45768</v>
      </c>
      <c r="X66" s="108" t="s">
        <v>755</v>
      </c>
      <c r="Y66" s="15" t="s">
        <v>706</v>
      </c>
      <c r="Z66" s="23"/>
      <c r="AA66" s="118"/>
      <c r="AB66" s="15" t="str">
        <f t="shared" ref="AB66:AB67" si="77">IF(Z66="","",IF(Y66="檢退","檢退",IF(Y66="審查同意","審定","檢退")))</f>
        <v/>
      </c>
      <c r="AC66" s="23"/>
      <c r="AD66" s="123"/>
      <c r="AE66" s="15" t="str">
        <f t="shared" ref="AE66:AE67" si="78">IF(AC66="","",IF(AB66="檢退","請修正",IF(AB66="請備查","備查",IF(AB66="審定","核定","請修正"))))</f>
        <v/>
      </c>
      <c r="AF66" s="16"/>
    </row>
    <row r="67" spans="5:32" s="127" customFormat="1" ht="40.4" customHeight="1">
      <c r="E67" s="646"/>
      <c r="F67" s="659"/>
      <c r="G67" s="153"/>
      <c r="H67" s="641"/>
      <c r="I67" s="642"/>
      <c r="J67" s="637"/>
      <c r="K67" s="644"/>
      <c r="L67" s="148"/>
      <c r="M67" s="641"/>
      <c r="N67" s="112"/>
      <c r="O67" s="112"/>
      <c r="P67" s="112"/>
      <c r="Q67" s="117" t="str">
        <f t="shared" ca="1" si="75"/>
        <v/>
      </c>
      <c r="R67" s="117" t="str">
        <f t="shared" si="76"/>
        <v/>
      </c>
      <c r="S67" s="114" t="s">
        <v>699</v>
      </c>
      <c r="T67" s="15" t="s">
        <v>707</v>
      </c>
      <c r="U67" s="23">
        <v>45779</v>
      </c>
      <c r="V67" s="108" t="s">
        <v>756</v>
      </c>
      <c r="W67" s="23">
        <v>45783</v>
      </c>
      <c r="X67" s="118" t="s">
        <v>757</v>
      </c>
      <c r="Y67" s="15" t="s">
        <v>718</v>
      </c>
      <c r="Z67" s="23">
        <v>45786</v>
      </c>
      <c r="AA67" s="118" t="s">
        <v>758</v>
      </c>
      <c r="AB67" s="15" t="str">
        <f t="shared" si="77"/>
        <v>審定</v>
      </c>
      <c r="AC67" s="23">
        <v>45797</v>
      </c>
      <c r="AD67" s="109" t="s">
        <v>759</v>
      </c>
      <c r="AE67" s="15" t="str">
        <f t="shared" si="78"/>
        <v>核定</v>
      </c>
      <c r="AF67" s="16"/>
    </row>
    <row r="68" spans="5:32" s="127" customFormat="1" ht="40.4" customHeight="1">
      <c r="E68" s="645">
        <v>34</v>
      </c>
      <c r="F68" s="658" t="s">
        <v>46</v>
      </c>
      <c r="G68" s="140"/>
      <c r="H68" s="640" t="s">
        <v>1545</v>
      </c>
      <c r="I68" s="640" t="s">
        <v>916</v>
      </c>
      <c r="J68" s="639" t="s">
        <v>659</v>
      </c>
      <c r="K68" s="643" t="s">
        <v>869</v>
      </c>
      <c r="L68" s="145"/>
      <c r="M68" s="640" t="s">
        <v>673</v>
      </c>
      <c r="N68" s="112">
        <v>45853</v>
      </c>
      <c r="O68" s="112">
        <f>IF(N68="","",N68-30)</f>
        <v>45823</v>
      </c>
      <c r="P68" s="112">
        <f>IF(N68="","",N68-60)</f>
        <v>45793</v>
      </c>
      <c r="Q68" s="117" t="str">
        <f t="shared" ref="Q68:Q69" ca="1" si="79">IF(N68="","",IF(U68&lt;&gt;"","",IF(AND(U68="",N68-TODAY()&lt;=60),N68-TODAY(),"")))</f>
        <v/>
      </c>
      <c r="R68" s="117">
        <f t="shared" ref="R68:R69" si="80">IF(AND(ISNUMBER(N68),ISNUMBER(U68)),N68-U68,"")</f>
        <v>91</v>
      </c>
      <c r="S68" s="114"/>
      <c r="T68" s="15" t="s">
        <v>700</v>
      </c>
      <c r="U68" s="23">
        <v>45762</v>
      </c>
      <c r="V68" s="108" t="s">
        <v>754</v>
      </c>
      <c r="W68" s="23">
        <v>45768</v>
      </c>
      <c r="X68" s="108" t="s">
        <v>755</v>
      </c>
      <c r="Y68" s="15" t="s">
        <v>706</v>
      </c>
      <c r="Z68" s="23"/>
      <c r="AA68" s="118"/>
      <c r="AB68" s="15" t="str">
        <f t="shared" ref="AB68:AB69" si="81">IF(Z68="","",IF(Y68="檢退","檢退",IF(Y68="審查同意","審定","檢退")))</f>
        <v/>
      </c>
      <c r="AC68" s="23"/>
      <c r="AD68" s="123"/>
      <c r="AE68" s="15" t="str">
        <f t="shared" ref="AE68:AE69" si="82">IF(AC68="","",IF(AB68="檢退","請修正",IF(AB68="請備查","備查",IF(AB68="審定","核定","請修正"))))</f>
        <v/>
      </c>
      <c r="AF68" s="16"/>
    </row>
    <row r="69" spans="5:32" s="127" customFormat="1" ht="40.4" customHeight="1">
      <c r="E69" s="646"/>
      <c r="F69" s="659"/>
      <c r="G69" s="153"/>
      <c r="H69" s="641"/>
      <c r="I69" s="642"/>
      <c r="J69" s="637"/>
      <c r="K69" s="644"/>
      <c r="L69" s="148"/>
      <c r="M69" s="641"/>
      <c r="N69" s="112"/>
      <c r="O69" s="112"/>
      <c r="P69" s="112"/>
      <c r="Q69" s="117" t="str">
        <f t="shared" ca="1" si="79"/>
        <v/>
      </c>
      <c r="R69" s="117" t="str">
        <f t="shared" si="80"/>
        <v/>
      </c>
      <c r="S69" s="114" t="s">
        <v>699</v>
      </c>
      <c r="T69" s="15" t="s">
        <v>707</v>
      </c>
      <c r="U69" s="23">
        <v>45779</v>
      </c>
      <c r="V69" s="108" t="s">
        <v>756</v>
      </c>
      <c r="W69" s="23">
        <v>45783</v>
      </c>
      <c r="X69" s="118" t="s">
        <v>757</v>
      </c>
      <c r="Y69" s="15" t="s">
        <v>718</v>
      </c>
      <c r="Z69" s="23">
        <v>45786</v>
      </c>
      <c r="AA69" s="118" t="s">
        <v>758</v>
      </c>
      <c r="AB69" s="15" t="str">
        <f t="shared" si="81"/>
        <v>審定</v>
      </c>
      <c r="AC69" s="23">
        <v>45797</v>
      </c>
      <c r="AD69" s="109" t="s">
        <v>759</v>
      </c>
      <c r="AE69" s="15" t="str">
        <f t="shared" si="82"/>
        <v>核定</v>
      </c>
      <c r="AF69" s="16"/>
    </row>
    <row r="70" spans="5:32" s="127" customFormat="1" ht="40.4" customHeight="1">
      <c r="E70" s="645">
        <v>35</v>
      </c>
      <c r="F70" s="639" t="s">
        <v>47</v>
      </c>
      <c r="G70" s="143"/>
      <c r="H70" s="640" t="s">
        <v>1543</v>
      </c>
      <c r="I70" s="640" t="s">
        <v>916</v>
      </c>
      <c r="J70" s="637" t="s">
        <v>659</v>
      </c>
      <c r="K70" s="643" t="s">
        <v>869</v>
      </c>
      <c r="L70" s="145"/>
      <c r="M70" s="640" t="s">
        <v>672</v>
      </c>
      <c r="N70" s="112">
        <f>IF(P70="","",P70-60)</f>
        <v>45793</v>
      </c>
      <c r="O70" s="112">
        <f>IF(P70="","",P70-30)</f>
        <v>45823</v>
      </c>
      <c r="P70" s="112">
        <v>45853</v>
      </c>
      <c r="Q70" s="117" t="str">
        <f t="shared" ca="1" si="71"/>
        <v/>
      </c>
      <c r="R70" s="117">
        <f t="shared" si="72"/>
        <v>-5</v>
      </c>
      <c r="S70" s="114"/>
      <c r="T70" s="15" t="s">
        <v>700</v>
      </c>
      <c r="U70" s="23">
        <v>45798</v>
      </c>
      <c r="V70" s="108" t="s">
        <v>760</v>
      </c>
      <c r="W70" s="23">
        <v>45803</v>
      </c>
      <c r="X70" s="118" t="s">
        <v>761</v>
      </c>
      <c r="Y70" s="15" t="s">
        <v>718</v>
      </c>
      <c r="Z70" s="23">
        <v>45805</v>
      </c>
      <c r="AA70" s="118" t="s">
        <v>762</v>
      </c>
      <c r="AB70" s="15" t="str">
        <f t="shared" si="73"/>
        <v>審定</v>
      </c>
      <c r="AC70" s="23">
        <v>45810</v>
      </c>
      <c r="AD70" s="109" t="s">
        <v>763</v>
      </c>
      <c r="AE70" s="15" t="str">
        <f t="shared" si="74"/>
        <v>核定</v>
      </c>
      <c r="AF70" s="15"/>
    </row>
    <row r="71" spans="5:32" s="127" customFormat="1" ht="40.4" customHeight="1">
      <c r="E71" s="646"/>
      <c r="F71" s="638"/>
      <c r="G71" s="144"/>
      <c r="H71" s="641"/>
      <c r="I71" s="642"/>
      <c r="J71" s="637"/>
      <c r="K71" s="644"/>
      <c r="L71" s="148"/>
      <c r="M71" s="641"/>
      <c r="N71" s="112"/>
      <c r="O71" s="112"/>
      <c r="P71" s="112"/>
      <c r="Q71" s="117"/>
      <c r="R71" s="117"/>
      <c r="S71" s="114" t="s">
        <v>699</v>
      </c>
      <c r="T71" s="15" t="s">
        <v>721</v>
      </c>
      <c r="U71" s="23">
        <v>45926</v>
      </c>
      <c r="V71" s="108" t="s">
        <v>764</v>
      </c>
      <c r="W71" s="23">
        <v>45939</v>
      </c>
      <c r="X71" s="118" t="s">
        <v>765</v>
      </c>
      <c r="Y71" s="15" t="s">
        <v>718</v>
      </c>
      <c r="Z71" s="23">
        <v>45944</v>
      </c>
      <c r="AA71" s="118" t="s">
        <v>766</v>
      </c>
      <c r="AB71" s="15" t="str">
        <f t="shared" si="73"/>
        <v>審定</v>
      </c>
      <c r="AC71" s="23">
        <v>45952</v>
      </c>
      <c r="AD71" s="109" t="s">
        <v>767</v>
      </c>
      <c r="AE71" s="15" t="str">
        <f t="shared" si="74"/>
        <v>核定</v>
      </c>
      <c r="AF71" s="15"/>
    </row>
    <row r="72" spans="5:32" s="127" customFormat="1" ht="40.4" customHeight="1">
      <c r="E72" s="645">
        <v>36</v>
      </c>
      <c r="F72" s="639" t="s">
        <v>47</v>
      </c>
      <c r="G72" s="143"/>
      <c r="H72" s="640" t="s">
        <v>1544</v>
      </c>
      <c r="I72" s="640" t="s">
        <v>916</v>
      </c>
      <c r="J72" s="637" t="s">
        <v>659</v>
      </c>
      <c r="K72" s="643" t="s">
        <v>869</v>
      </c>
      <c r="L72" s="145"/>
      <c r="M72" s="640" t="s">
        <v>672</v>
      </c>
      <c r="N72" s="112">
        <f>IF(P72="","",P72-60)</f>
        <v>45793</v>
      </c>
      <c r="O72" s="112">
        <f>IF(P72="","",P72-30)</f>
        <v>45823</v>
      </c>
      <c r="P72" s="112">
        <v>45853</v>
      </c>
      <c r="Q72" s="117" t="str">
        <f t="shared" ref="Q72" ca="1" si="83">IF(N72="","",IF(U72&lt;&gt;"","",IF(AND(U72="",N72-TODAY()&lt;=60),N72-TODAY(),"")))</f>
        <v/>
      </c>
      <c r="R72" s="117">
        <f t="shared" ref="R72" si="84">IF(AND(ISNUMBER(N72),ISNUMBER(U72)),N72-U72,"")</f>
        <v>-5</v>
      </c>
      <c r="S72" s="114"/>
      <c r="T72" s="15" t="s">
        <v>700</v>
      </c>
      <c r="U72" s="23">
        <v>45798</v>
      </c>
      <c r="V72" s="108" t="s">
        <v>760</v>
      </c>
      <c r="W72" s="23">
        <v>45803</v>
      </c>
      <c r="X72" s="118" t="s">
        <v>761</v>
      </c>
      <c r="Y72" s="15" t="s">
        <v>718</v>
      </c>
      <c r="Z72" s="23">
        <v>45805</v>
      </c>
      <c r="AA72" s="118" t="s">
        <v>762</v>
      </c>
      <c r="AB72" s="15" t="str">
        <f t="shared" ref="AB72:AB73" si="85">IF(Z72="","",IF(Y72="檢退","檢退",IF(Y72="審查同意","審定","檢退")))</f>
        <v>審定</v>
      </c>
      <c r="AC72" s="23">
        <v>45810</v>
      </c>
      <c r="AD72" s="109" t="s">
        <v>763</v>
      </c>
      <c r="AE72" s="15" t="str">
        <f t="shared" ref="AE72:AE73" si="86">IF(AC72="","",IF(AB72="檢退","請修正",IF(AB72="請備查","備查",IF(AB72="審定","核定","請修正"))))</f>
        <v>核定</v>
      </c>
      <c r="AF72" s="15"/>
    </row>
    <row r="73" spans="5:32" s="127" customFormat="1" ht="40.4" customHeight="1">
      <c r="E73" s="646"/>
      <c r="F73" s="638"/>
      <c r="G73" s="144"/>
      <c r="H73" s="641"/>
      <c r="I73" s="642"/>
      <c r="J73" s="637"/>
      <c r="K73" s="644"/>
      <c r="L73" s="148"/>
      <c r="M73" s="641"/>
      <c r="N73" s="112"/>
      <c r="O73" s="112"/>
      <c r="P73" s="112"/>
      <c r="Q73" s="117"/>
      <c r="R73" s="117"/>
      <c r="S73" s="114" t="s">
        <v>699</v>
      </c>
      <c r="T73" s="15" t="s">
        <v>721</v>
      </c>
      <c r="U73" s="23">
        <v>45926</v>
      </c>
      <c r="V73" s="108" t="s">
        <v>764</v>
      </c>
      <c r="W73" s="23">
        <v>45939</v>
      </c>
      <c r="X73" s="118" t="s">
        <v>765</v>
      </c>
      <c r="Y73" s="15" t="s">
        <v>718</v>
      </c>
      <c r="Z73" s="23">
        <v>45944</v>
      </c>
      <c r="AA73" s="118" t="s">
        <v>766</v>
      </c>
      <c r="AB73" s="15" t="str">
        <f t="shared" si="85"/>
        <v>審定</v>
      </c>
      <c r="AC73" s="23">
        <v>45952</v>
      </c>
      <c r="AD73" s="109" t="s">
        <v>767</v>
      </c>
      <c r="AE73" s="15" t="str">
        <f t="shared" si="86"/>
        <v>核定</v>
      </c>
      <c r="AF73" s="15"/>
    </row>
    <row r="74" spans="5:32" s="127" customFormat="1" ht="40.4" customHeight="1">
      <c r="E74" s="645">
        <v>37</v>
      </c>
      <c r="F74" s="639" t="s">
        <v>47</v>
      </c>
      <c r="G74" s="143"/>
      <c r="H74" s="640" t="s">
        <v>1545</v>
      </c>
      <c r="I74" s="640" t="s">
        <v>916</v>
      </c>
      <c r="J74" s="637" t="s">
        <v>659</v>
      </c>
      <c r="K74" s="643" t="s">
        <v>869</v>
      </c>
      <c r="L74" s="145"/>
      <c r="M74" s="640" t="s">
        <v>672</v>
      </c>
      <c r="N74" s="112">
        <f>IF(P74="","",P74-60)</f>
        <v>45793</v>
      </c>
      <c r="O74" s="112">
        <f>IF(P74="","",P74-30)</f>
        <v>45823</v>
      </c>
      <c r="P74" s="112">
        <v>45853</v>
      </c>
      <c r="Q74" s="117" t="str">
        <f t="shared" ref="Q74" ca="1" si="87">IF(N74="","",IF(U74&lt;&gt;"","",IF(AND(U74="",N74-TODAY()&lt;=60),N74-TODAY(),"")))</f>
        <v/>
      </c>
      <c r="R74" s="117">
        <f t="shared" ref="R74" si="88">IF(AND(ISNUMBER(N74),ISNUMBER(U74)),N74-U74,"")</f>
        <v>-5</v>
      </c>
      <c r="S74" s="114"/>
      <c r="T74" s="15" t="s">
        <v>700</v>
      </c>
      <c r="U74" s="23">
        <v>45798</v>
      </c>
      <c r="V74" s="108" t="s">
        <v>760</v>
      </c>
      <c r="W74" s="23">
        <v>45803</v>
      </c>
      <c r="X74" s="118" t="s">
        <v>761</v>
      </c>
      <c r="Y74" s="15" t="s">
        <v>718</v>
      </c>
      <c r="Z74" s="23">
        <v>45805</v>
      </c>
      <c r="AA74" s="118" t="s">
        <v>762</v>
      </c>
      <c r="AB74" s="15" t="str">
        <f t="shared" ref="AB74:AB75" si="89">IF(Z74="","",IF(Y74="檢退","檢退",IF(Y74="審查同意","審定","檢退")))</f>
        <v>審定</v>
      </c>
      <c r="AC74" s="23">
        <v>45810</v>
      </c>
      <c r="AD74" s="109" t="s">
        <v>763</v>
      </c>
      <c r="AE74" s="15" t="str">
        <f t="shared" ref="AE74:AE75" si="90">IF(AC74="","",IF(AB74="檢退","請修正",IF(AB74="請備查","備查",IF(AB74="審定","核定","請修正"))))</f>
        <v>核定</v>
      </c>
      <c r="AF74" s="15"/>
    </row>
    <row r="75" spans="5:32" s="127" customFormat="1" ht="40.4" customHeight="1">
      <c r="E75" s="646"/>
      <c r="F75" s="638"/>
      <c r="G75" s="144"/>
      <c r="H75" s="641"/>
      <c r="I75" s="642"/>
      <c r="J75" s="637"/>
      <c r="K75" s="644"/>
      <c r="L75" s="148"/>
      <c r="M75" s="641"/>
      <c r="N75" s="112"/>
      <c r="O75" s="112"/>
      <c r="P75" s="112"/>
      <c r="Q75" s="117"/>
      <c r="R75" s="117"/>
      <c r="S75" s="114" t="s">
        <v>699</v>
      </c>
      <c r="T75" s="15" t="s">
        <v>721</v>
      </c>
      <c r="U75" s="23">
        <v>45926</v>
      </c>
      <c r="V75" s="108" t="s">
        <v>764</v>
      </c>
      <c r="W75" s="23">
        <v>45939</v>
      </c>
      <c r="X75" s="118" t="s">
        <v>765</v>
      </c>
      <c r="Y75" s="15" t="s">
        <v>718</v>
      </c>
      <c r="Z75" s="23">
        <v>45944</v>
      </c>
      <c r="AA75" s="118" t="s">
        <v>766</v>
      </c>
      <c r="AB75" s="15" t="str">
        <f t="shared" si="89"/>
        <v>審定</v>
      </c>
      <c r="AC75" s="23">
        <v>45952</v>
      </c>
      <c r="AD75" s="109" t="s">
        <v>1612</v>
      </c>
      <c r="AE75" s="15" t="str">
        <f t="shared" si="90"/>
        <v>核定</v>
      </c>
      <c r="AF75" s="15"/>
    </row>
    <row r="76" spans="5:32" s="127" customFormat="1" ht="40.4" customHeight="1">
      <c r="E76" s="645">
        <v>38</v>
      </c>
      <c r="F76" s="639" t="s">
        <v>47</v>
      </c>
      <c r="G76" s="143"/>
      <c r="H76" s="640" t="s">
        <v>1546</v>
      </c>
      <c r="I76" s="640" t="s">
        <v>916</v>
      </c>
      <c r="J76" s="637" t="s">
        <v>659</v>
      </c>
      <c r="K76" s="643" t="s">
        <v>869</v>
      </c>
      <c r="L76" s="145"/>
      <c r="M76" s="640" t="s">
        <v>672</v>
      </c>
      <c r="N76" s="112">
        <f>IF(P76="","",P76-60)</f>
        <v>45793</v>
      </c>
      <c r="O76" s="112">
        <f>IF(P76="","",P76-30)</f>
        <v>45823</v>
      </c>
      <c r="P76" s="112">
        <v>45853</v>
      </c>
      <c r="Q76" s="117" t="str">
        <f t="shared" ref="Q76" ca="1" si="91">IF(N76="","",IF(U76&lt;&gt;"","",IF(AND(U76="",N76-TODAY()&lt;=60),N76-TODAY(),"")))</f>
        <v/>
      </c>
      <c r="R76" s="117">
        <f t="shared" ref="R76" si="92">IF(AND(ISNUMBER(N76),ISNUMBER(U76)),N76-U76,"")</f>
        <v>-5</v>
      </c>
      <c r="S76" s="114"/>
      <c r="T76" s="15" t="s">
        <v>700</v>
      </c>
      <c r="U76" s="23">
        <v>45798</v>
      </c>
      <c r="V76" s="108" t="s">
        <v>760</v>
      </c>
      <c r="W76" s="23">
        <v>45803</v>
      </c>
      <c r="X76" s="118" t="s">
        <v>761</v>
      </c>
      <c r="Y76" s="15" t="s">
        <v>718</v>
      </c>
      <c r="Z76" s="23">
        <v>45805</v>
      </c>
      <c r="AA76" s="118" t="s">
        <v>762</v>
      </c>
      <c r="AB76" s="15" t="str">
        <f t="shared" ref="AB76:AB79" si="93">IF(Z76="","",IF(Y76="檢退","檢退",IF(Y76="審查同意","審定","檢退")))</f>
        <v>審定</v>
      </c>
      <c r="AC76" s="23">
        <v>45810</v>
      </c>
      <c r="AD76" s="109" t="s">
        <v>763</v>
      </c>
      <c r="AE76" s="15" t="str">
        <f t="shared" ref="AE76:AE79" si="94">IF(AC76="","",IF(AB76="檢退","請修正",IF(AB76="請備查","備查",IF(AB76="審定","核定","請修正"))))</f>
        <v>核定</v>
      </c>
      <c r="AF76" s="15"/>
    </row>
    <row r="77" spans="5:32" s="127" customFormat="1" ht="40.4" customHeight="1">
      <c r="E77" s="646"/>
      <c r="F77" s="638"/>
      <c r="G77" s="144"/>
      <c r="H77" s="641"/>
      <c r="I77" s="642"/>
      <c r="J77" s="637"/>
      <c r="K77" s="644"/>
      <c r="L77" s="148"/>
      <c r="M77" s="641"/>
      <c r="N77" s="112"/>
      <c r="O77" s="112"/>
      <c r="P77" s="112"/>
      <c r="Q77" s="117"/>
      <c r="R77" s="117"/>
      <c r="S77" s="114" t="s">
        <v>699</v>
      </c>
      <c r="T77" s="15" t="s">
        <v>721</v>
      </c>
      <c r="U77" s="23">
        <v>45926</v>
      </c>
      <c r="V77" s="108" t="s">
        <v>764</v>
      </c>
      <c r="W77" s="23">
        <v>45939</v>
      </c>
      <c r="X77" s="118" t="s">
        <v>765</v>
      </c>
      <c r="Y77" s="15" t="s">
        <v>718</v>
      </c>
      <c r="Z77" s="23">
        <v>45944</v>
      </c>
      <c r="AA77" s="118" t="s">
        <v>766</v>
      </c>
      <c r="AB77" s="15" t="str">
        <f t="shared" si="93"/>
        <v>審定</v>
      </c>
      <c r="AC77" s="23">
        <v>45952</v>
      </c>
      <c r="AD77" s="109" t="s">
        <v>767</v>
      </c>
      <c r="AE77" s="15" t="str">
        <f t="shared" si="94"/>
        <v>核定</v>
      </c>
      <c r="AF77" s="15"/>
    </row>
    <row r="78" spans="5:32" s="127" customFormat="1" ht="40.4" customHeight="1">
      <c r="E78" s="645">
        <v>39</v>
      </c>
      <c r="F78" s="639" t="s">
        <v>1611</v>
      </c>
      <c r="G78" s="143"/>
      <c r="H78" s="640" t="s">
        <v>1550</v>
      </c>
      <c r="I78" s="640" t="s">
        <v>916</v>
      </c>
      <c r="J78" s="637" t="s">
        <v>659</v>
      </c>
      <c r="K78" s="643" t="s">
        <v>869</v>
      </c>
      <c r="L78" s="145"/>
      <c r="M78" s="640" t="s">
        <v>672</v>
      </c>
      <c r="N78" s="112">
        <f>IF(P78="","",P78-60)</f>
        <v>45793</v>
      </c>
      <c r="O78" s="112">
        <f>IF(P78="","",P78-30)</f>
        <v>45823</v>
      </c>
      <c r="P78" s="112">
        <v>45853</v>
      </c>
      <c r="Q78" s="117" t="str">
        <f t="shared" ref="Q78" ca="1" si="95">IF(N78="","",IF(U78&lt;&gt;"","",IF(AND(U78="",N78-TODAY()&lt;=60),N78-TODAY(),"")))</f>
        <v/>
      </c>
      <c r="R78" s="117">
        <f t="shared" ref="R78" si="96">IF(AND(ISNUMBER(N78),ISNUMBER(U78)),N78-U78,"")</f>
        <v>-5</v>
      </c>
      <c r="S78" s="114"/>
      <c r="T78" s="15" t="s">
        <v>700</v>
      </c>
      <c r="U78" s="23">
        <v>45798</v>
      </c>
      <c r="V78" s="108" t="s">
        <v>760</v>
      </c>
      <c r="W78" s="23">
        <v>45803</v>
      </c>
      <c r="X78" s="118" t="s">
        <v>761</v>
      </c>
      <c r="Y78" s="15" t="s">
        <v>718</v>
      </c>
      <c r="Z78" s="23">
        <v>45805</v>
      </c>
      <c r="AA78" s="118" t="s">
        <v>762</v>
      </c>
      <c r="AB78" s="15" t="str">
        <f t="shared" si="93"/>
        <v>審定</v>
      </c>
      <c r="AC78" s="23">
        <v>45810</v>
      </c>
      <c r="AD78" s="109" t="s">
        <v>763</v>
      </c>
      <c r="AE78" s="15" t="str">
        <f t="shared" si="94"/>
        <v>核定</v>
      </c>
      <c r="AF78" s="15"/>
    </row>
    <row r="79" spans="5:32" s="127" customFormat="1" ht="40.4" customHeight="1">
      <c r="E79" s="646"/>
      <c r="F79" s="638"/>
      <c r="G79" s="144"/>
      <c r="H79" s="641"/>
      <c r="I79" s="642"/>
      <c r="J79" s="637"/>
      <c r="K79" s="644"/>
      <c r="L79" s="148"/>
      <c r="M79" s="641"/>
      <c r="N79" s="112"/>
      <c r="O79" s="112"/>
      <c r="P79" s="112"/>
      <c r="Q79" s="117"/>
      <c r="R79" s="117"/>
      <c r="S79" s="114" t="s">
        <v>699</v>
      </c>
      <c r="T79" s="15" t="s">
        <v>721</v>
      </c>
      <c r="U79" s="23">
        <v>45926</v>
      </c>
      <c r="V79" s="108" t="s">
        <v>764</v>
      </c>
      <c r="W79" s="23">
        <v>45939</v>
      </c>
      <c r="X79" s="118" t="s">
        <v>765</v>
      </c>
      <c r="Y79" s="15" t="s">
        <v>718</v>
      </c>
      <c r="Z79" s="23">
        <v>45944</v>
      </c>
      <c r="AA79" s="118" t="s">
        <v>766</v>
      </c>
      <c r="AB79" s="15" t="str">
        <f t="shared" si="93"/>
        <v>審定</v>
      </c>
      <c r="AC79" s="23">
        <v>45952</v>
      </c>
      <c r="AD79" s="109" t="s">
        <v>767</v>
      </c>
      <c r="AE79" s="15" t="str">
        <f t="shared" si="94"/>
        <v>核定</v>
      </c>
      <c r="AF79" s="15"/>
    </row>
    <row r="80" spans="5:32" s="127" customFormat="1" ht="40.4" customHeight="1">
      <c r="E80" s="645">
        <v>40</v>
      </c>
      <c r="F80" s="639" t="s">
        <v>47</v>
      </c>
      <c r="G80" s="143"/>
      <c r="H80" s="640" t="s">
        <v>1551</v>
      </c>
      <c r="I80" s="640" t="s">
        <v>916</v>
      </c>
      <c r="J80" s="637" t="s">
        <v>659</v>
      </c>
      <c r="K80" s="643" t="s">
        <v>869</v>
      </c>
      <c r="L80" s="145"/>
      <c r="M80" s="640" t="s">
        <v>672</v>
      </c>
      <c r="N80" s="112">
        <f>IF(P80="","",P80-60)</f>
        <v>45793</v>
      </c>
      <c r="O80" s="112">
        <f>IF(P80="","",P80-30)</f>
        <v>45823</v>
      </c>
      <c r="P80" s="112">
        <v>45853</v>
      </c>
      <c r="Q80" s="117" t="str">
        <f t="shared" ref="Q80" ca="1" si="97">IF(N80="","",IF(U80&lt;&gt;"","",IF(AND(U80="",N80-TODAY()&lt;=60),N80-TODAY(),"")))</f>
        <v/>
      </c>
      <c r="R80" s="117">
        <f t="shared" ref="R80" si="98">IF(AND(ISNUMBER(N80),ISNUMBER(U80)),N80-U80,"")</f>
        <v>-5</v>
      </c>
      <c r="S80" s="114"/>
      <c r="T80" s="15" t="s">
        <v>700</v>
      </c>
      <c r="U80" s="23">
        <v>45798</v>
      </c>
      <c r="V80" s="108" t="s">
        <v>760</v>
      </c>
      <c r="W80" s="23">
        <v>45803</v>
      </c>
      <c r="X80" s="118" t="s">
        <v>761</v>
      </c>
      <c r="Y80" s="15" t="s">
        <v>718</v>
      </c>
      <c r="Z80" s="23">
        <v>45805</v>
      </c>
      <c r="AA80" s="118" t="s">
        <v>762</v>
      </c>
      <c r="AB80" s="15" t="str">
        <f t="shared" ref="AB80:AB81" si="99">IF(Z80="","",IF(Y80="檢退","檢退",IF(Y80="審查同意","審定","檢退")))</f>
        <v>審定</v>
      </c>
      <c r="AC80" s="23">
        <v>45810</v>
      </c>
      <c r="AD80" s="109" t="s">
        <v>763</v>
      </c>
      <c r="AE80" s="15" t="str">
        <f t="shared" ref="AE80:AE81" si="100">IF(AC80="","",IF(AB80="檢退","請修正",IF(AB80="請備查","備查",IF(AB80="審定","核定","請修正"))))</f>
        <v>核定</v>
      </c>
      <c r="AF80" s="15"/>
    </row>
    <row r="81" spans="3:32" s="127" customFormat="1" ht="40.4" customHeight="1">
      <c r="E81" s="646"/>
      <c r="F81" s="638"/>
      <c r="G81" s="144"/>
      <c r="H81" s="641"/>
      <c r="I81" s="642"/>
      <c r="J81" s="637"/>
      <c r="K81" s="644"/>
      <c r="L81" s="148"/>
      <c r="M81" s="641"/>
      <c r="N81" s="112"/>
      <c r="O81" s="112"/>
      <c r="P81" s="112"/>
      <c r="Q81" s="117"/>
      <c r="R81" s="117"/>
      <c r="S81" s="114" t="s">
        <v>699</v>
      </c>
      <c r="T81" s="15" t="s">
        <v>721</v>
      </c>
      <c r="U81" s="23">
        <v>45926</v>
      </c>
      <c r="V81" s="108" t="s">
        <v>764</v>
      </c>
      <c r="W81" s="23">
        <v>45939</v>
      </c>
      <c r="X81" s="118" t="s">
        <v>765</v>
      </c>
      <c r="Y81" s="15" t="s">
        <v>718</v>
      </c>
      <c r="Z81" s="23">
        <v>45944</v>
      </c>
      <c r="AA81" s="118" t="s">
        <v>766</v>
      </c>
      <c r="AB81" s="15" t="str">
        <f t="shared" si="99"/>
        <v>審定</v>
      </c>
      <c r="AC81" s="23">
        <v>45952</v>
      </c>
      <c r="AD81" s="109" t="s">
        <v>767</v>
      </c>
      <c r="AE81" s="15" t="str">
        <f t="shared" si="100"/>
        <v>核定</v>
      </c>
      <c r="AF81" s="15"/>
    </row>
    <row r="82" spans="3:32" s="127" customFormat="1" ht="40.4" customHeight="1">
      <c r="E82" s="645">
        <v>41</v>
      </c>
      <c r="F82" s="639" t="s">
        <v>48</v>
      </c>
      <c r="G82" s="143"/>
      <c r="H82" s="640" t="s">
        <v>1543</v>
      </c>
      <c r="I82" s="640" t="s">
        <v>916</v>
      </c>
      <c r="J82" s="637" t="s">
        <v>659</v>
      </c>
      <c r="K82" s="643" t="s">
        <v>869</v>
      </c>
      <c r="L82" s="145"/>
      <c r="M82" s="640" t="s">
        <v>671</v>
      </c>
      <c r="N82" s="112">
        <f>IF(P82="","",P82-60)</f>
        <v>45793</v>
      </c>
      <c r="O82" s="112">
        <f>IF(P82="","",P82-30)</f>
        <v>45823</v>
      </c>
      <c r="P82" s="112">
        <v>45853</v>
      </c>
      <c r="Q82" s="117" t="str">
        <f ca="1">IF(N82="","",IF(U82&lt;&gt;"","",IF(AND(U82="",N82-TODAY()&lt;=60),N82-TODAY(),"")))</f>
        <v/>
      </c>
      <c r="R82" s="117">
        <f>IF(AND(ISNUMBER(N82),ISNUMBER(U82)),N82-U82,"")</f>
        <v>-5</v>
      </c>
      <c r="S82" s="114"/>
      <c r="T82" s="15" t="s">
        <v>721</v>
      </c>
      <c r="U82" s="23">
        <v>45798</v>
      </c>
      <c r="V82" s="108" t="s">
        <v>768</v>
      </c>
      <c r="W82" s="23">
        <v>45803</v>
      </c>
      <c r="X82" s="118" t="s">
        <v>769</v>
      </c>
      <c r="Y82" s="15" t="s">
        <v>718</v>
      </c>
      <c r="Z82" s="23">
        <v>45805</v>
      </c>
      <c r="AA82" s="118" t="s">
        <v>762</v>
      </c>
      <c r="AB82" s="15" t="str">
        <f t="shared" si="73"/>
        <v>審定</v>
      </c>
      <c r="AC82" s="23">
        <v>45810</v>
      </c>
      <c r="AD82" s="109" t="s">
        <v>763</v>
      </c>
      <c r="AE82" s="15" t="str">
        <f t="shared" si="74"/>
        <v>核定</v>
      </c>
      <c r="AF82" s="15"/>
    </row>
    <row r="83" spans="3:32" s="127" customFormat="1" ht="40.4" customHeight="1">
      <c r="E83" s="646"/>
      <c r="F83" s="638"/>
      <c r="G83" s="144"/>
      <c r="H83" s="641"/>
      <c r="I83" s="642"/>
      <c r="J83" s="638"/>
      <c r="K83" s="644"/>
      <c r="L83" s="148"/>
      <c r="M83" s="641"/>
      <c r="N83" s="112"/>
      <c r="O83" s="112"/>
      <c r="P83" s="112"/>
      <c r="Q83" s="117"/>
      <c r="R83" s="117"/>
      <c r="S83" s="114" t="s">
        <v>699</v>
      </c>
      <c r="T83" s="15" t="s">
        <v>770</v>
      </c>
      <c r="U83" s="23">
        <v>45926</v>
      </c>
      <c r="V83" s="108" t="s">
        <v>771</v>
      </c>
      <c r="W83" s="23">
        <v>45939</v>
      </c>
      <c r="X83" s="118" t="s">
        <v>772</v>
      </c>
      <c r="Y83" s="15" t="s">
        <v>718</v>
      </c>
      <c r="Z83" s="23">
        <v>45944</v>
      </c>
      <c r="AA83" s="118" t="s">
        <v>773</v>
      </c>
      <c r="AB83" s="15" t="str">
        <f t="shared" si="73"/>
        <v>審定</v>
      </c>
      <c r="AC83" s="23">
        <v>45953</v>
      </c>
      <c r="AD83" s="109" t="s">
        <v>1613</v>
      </c>
      <c r="AE83" s="15" t="str">
        <f t="shared" si="74"/>
        <v>核定</v>
      </c>
      <c r="AF83" s="15"/>
    </row>
    <row r="84" spans="3:32" s="127" customFormat="1" ht="40.4" customHeight="1">
      <c r="E84" s="645">
        <v>42</v>
      </c>
      <c r="F84" s="639" t="s">
        <v>48</v>
      </c>
      <c r="G84" s="143"/>
      <c r="H84" s="640" t="s">
        <v>1544</v>
      </c>
      <c r="I84" s="640" t="s">
        <v>916</v>
      </c>
      <c r="J84" s="637" t="s">
        <v>659</v>
      </c>
      <c r="K84" s="643" t="s">
        <v>869</v>
      </c>
      <c r="L84" s="145"/>
      <c r="M84" s="640" t="s">
        <v>671</v>
      </c>
      <c r="N84" s="112">
        <f>IF(P84="","",P84-60)</f>
        <v>45793</v>
      </c>
      <c r="O84" s="112">
        <f>IF(P84="","",P84-30)</f>
        <v>45823</v>
      </c>
      <c r="P84" s="112">
        <v>45853</v>
      </c>
      <c r="Q84" s="117" t="str">
        <f ca="1">IF(N84="","",IF(U84&lt;&gt;"","",IF(AND(U84="",N84-TODAY()&lt;=60),N84-TODAY(),"")))</f>
        <v/>
      </c>
      <c r="R84" s="117">
        <f>IF(AND(ISNUMBER(N84),ISNUMBER(U84)),N84-U84,"")</f>
        <v>-5</v>
      </c>
      <c r="S84" s="114"/>
      <c r="T84" s="15" t="s">
        <v>721</v>
      </c>
      <c r="U84" s="23">
        <v>45798</v>
      </c>
      <c r="V84" s="108" t="s">
        <v>768</v>
      </c>
      <c r="W84" s="23">
        <v>45803</v>
      </c>
      <c r="X84" s="118" t="s">
        <v>769</v>
      </c>
      <c r="Y84" s="15" t="s">
        <v>718</v>
      </c>
      <c r="Z84" s="23">
        <v>45805</v>
      </c>
      <c r="AA84" s="118" t="s">
        <v>762</v>
      </c>
      <c r="AB84" s="15" t="str">
        <f t="shared" ref="AB84:AB85" si="101">IF(Z84="","",IF(Y84="檢退","檢退",IF(Y84="審查同意","審定","檢退")))</f>
        <v>審定</v>
      </c>
      <c r="AC84" s="23">
        <v>45810</v>
      </c>
      <c r="AD84" s="109" t="s">
        <v>763</v>
      </c>
      <c r="AE84" s="15" t="str">
        <f t="shared" ref="AE84:AE85" si="102">IF(AC84="","",IF(AB84="檢退","請修正",IF(AB84="請備查","備查",IF(AB84="審定","核定","請修正"))))</f>
        <v>核定</v>
      </c>
      <c r="AF84" s="15"/>
    </row>
    <row r="85" spans="3:32" s="127" customFormat="1" ht="40.4" customHeight="1">
      <c r="E85" s="646"/>
      <c r="F85" s="638"/>
      <c r="G85" s="144"/>
      <c r="H85" s="641"/>
      <c r="I85" s="642"/>
      <c r="J85" s="638"/>
      <c r="K85" s="644"/>
      <c r="L85" s="148"/>
      <c r="M85" s="641"/>
      <c r="N85" s="112"/>
      <c r="O85" s="112"/>
      <c r="P85" s="112"/>
      <c r="Q85" s="117"/>
      <c r="R85" s="117"/>
      <c r="S85" s="114" t="s">
        <v>699</v>
      </c>
      <c r="T85" s="15" t="s">
        <v>770</v>
      </c>
      <c r="U85" s="23">
        <v>45926</v>
      </c>
      <c r="V85" s="108" t="s">
        <v>771</v>
      </c>
      <c r="W85" s="23">
        <v>45939</v>
      </c>
      <c r="X85" s="118" t="s">
        <v>772</v>
      </c>
      <c r="Y85" s="15" t="s">
        <v>718</v>
      </c>
      <c r="Z85" s="23">
        <v>45944</v>
      </c>
      <c r="AA85" s="118" t="s">
        <v>773</v>
      </c>
      <c r="AB85" s="15" t="str">
        <f t="shared" si="101"/>
        <v>審定</v>
      </c>
      <c r="AC85" s="23">
        <v>45953</v>
      </c>
      <c r="AD85" s="109" t="s">
        <v>774</v>
      </c>
      <c r="AE85" s="15" t="str">
        <f t="shared" si="102"/>
        <v>核定</v>
      </c>
      <c r="AF85" s="15"/>
    </row>
    <row r="86" spans="3:32" s="127" customFormat="1" ht="40.4" customHeight="1">
      <c r="E86" s="645">
        <v>43</v>
      </c>
      <c r="F86" s="639" t="s">
        <v>48</v>
      </c>
      <c r="G86" s="143"/>
      <c r="H86" s="640" t="s">
        <v>1545</v>
      </c>
      <c r="I86" s="640" t="s">
        <v>916</v>
      </c>
      <c r="J86" s="637" t="s">
        <v>659</v>
      </c>
      <c r="K86" s="643" t="s">
        <v>869</v>
      </c>
      <c r="L86" s="145"/>
      <c r="M86" s="640" t="s">
        <v>671</v>
      </c>
      <c r="N86" s="112">
        <f>IF(P86="","",P86-60)</f>
        <v>45793</v>
      </c>
      <c r="O86" s="112">
        <f>IF(P86="","",P86-30)</f>
        <v>45823</v>
      </c>
      <c r="P86" s="112">
        <v>45853</v>
      </c>
      <c r="Q86" s="117" t="str">
        <f ca="1">IF(N86="","",IF(U86&lt;&gt;"","",IF(AND(U86="",N86-TODAY()&lt;=60),N86-TODAY(),"")))</f>
        <v/>
      </c>
      <c r="R86" s="117">
        <f>IF(AND(ISNUMBER(N86),ISNUMBER(U86)),N86-U86,"")</f>
        <v>-5</v>
      </c>
      <c r="S86" s="114"/>
      <c r="T86" s="15" t="s">
        <v>721</v>
      </c>
      <c r="U86" s="23">
        <v>45798</v>
      </c>
      <c r="V86" s="108" t="s">
        <v>768</v>
      </c>
      <c r="W86" s="23">
        <v>45803</v>
      </c>
      <c r="X86" s="118" t="s">
        <v>769</v>
      </c>
      <c r="Y86" s="15" t="s">
        <v>718</v>
      </c>
      <c r="Z86" s="23">
        <v>45805</v>
      </c>
      <c r="AA86" s="118" t="s">
        <v>762</v>
      </c>
      <c r="AB86" s="15" t="str">
        <f t="shared" ref="AB86:AB87" si="103">IF(Z86="","",IF(Y86="檢退","檢退",IF(Y86="審查同意","審定","檢退")))</f>
        <v>審定</v>
      </c>
      <c r="AC86" s="23">
        <v>45810</v>
      </c>
      <c r="AD86" s="109" t="s">
        <v>763</v>
      </c>
      <c r="AE86" s="15" t="str">
        <f t="shared" ref="AE86:AE87" si="104">IF(AC86="","",IF(AB86="檢退","請修正",IF(AB86="請備查","備查",IF(AB86="審定","核定","請修正"))))</f>
        <v>核定</v>
      </c>
      <c r="AF86" s="15"/>
    </row>
    <row r="87" spans="3:32" s="127" customFormat="1" ht="40.4" customHeight="1">
      <c r="E87" s="646"/>
      <c r="F87" s="638"/>
      <c r="G87" s="144"/>
      <c r="H87" s="641"/>
      <c r="I87" s="642"/>
      <c r="J87" s="638"/>
      <c r="K87" s="644"/>
      <c r="L87" s="148"/>
      <c r="M87" s="641"/>
      <c r="N87" s="112"/>
      <c r="O87" s="112"/>
      <c r="P87" s="112"/>
      <c r="Q87" s="117"/>
      <c r="R87" s="117"/>
      <c r="S87" s="114" t="s">
        <v>699</v>
      </c>
      <c r="T87" s="15" t="s">
        <v>770</v>
      </c>
      <c r="U87" s="23">
        <v>45926</v>
      </c>
      <c r="V87" s="108" t="s">
        <v>771</v>
      </c>
      <c r="W87" s="23">
        <v>45939</v>
      </c>
      <c r="X87" s="118" t="s">
        <v>772</v>
      </c>
      <c r="Y87" s="15" t="s">
        <v>718</v>
      </c>
      <c r="Z87" s="23">
        <v>45944</v>
      </c>
      <c r="AA87" s="118" t="s">
        <v>773</v>
      </c>
      <c r="AB87" s="15" t="str">
        <f t="shared" si="103"/>
        <v>審定</v>
      </c>
      <c r="AC87" s="23">
        <v>45953</v>
      </c>
      <c r="AD87" s="109" t="s">
        <v>774</v>
      </c>
      <c r="AE87" s="15" t="str">
        <f t="shared" si="104"/>
        <v>核定</v>
      </c>
      <c r="AF87" s="15"/>
    </row>
    <row r="88" spans="3:32" s="127" customFormat="1" ht="40.4" customHeight="1">
      <c r="E88" s="645">
        <v>44</v>
      </c>
      <c r="F88" s="639" t="s">
        <v>48</v>
      </c>
      <c r="G88" s="143"/>
      <c r="H88" s="640" t="s">
        <v>1546</v>
      </c>
      <c r="I88" s="640" t="s">
        <v>916</v>
      </c>
      <c r="J88" s="637" t="s">
        <v>659</v>
      </c>
      <c r="K88" s="643" t="s">
        <v>869</v>
      </c>
      <c r="L88" s="145"/>
      <c r="M88" s="640" t="s">
        <v>671</v>
      </c>
      <c r="N88" s="112">
        <f>IF(P88="","",P88-60)</f>
        <v>45793</v>
      </c>
      <c r="O88" s="112">
        <f>IF(P88="","",P88-30)</f>
        <v>45823</v>
      </c>
      <c r="P88" s="112">
        <v>45853</v>
      </c>
      <c r="Q88" s="117" t="str">
        <f ca="1">IF(N88="","",IF(U88&lt;&gt;"","",IF(AND(U88="",N88-TODAY()&lt;=60),N88-TODAY(),"")))</f>
        <v/>
      </c>
      <c r="R88" s="117">
        <f>IF(AND(ISNUMBER(N88),ISNUMBER(U88)),N88-U88,"")</f>
        <v>-5</v>
      </c>
      <c r="S88" s="114"/>
      <c r="T88" s="15" t="s">
        <v>721</v>
      </c>
      <c r="U88" s="23">
        <v>45798</v>
      </c>
      <c r="V88" s="108" t="s">
        <v>768</v>
      </c>
      <c r="W88" s="23">
        <v>45803</v>
      </c>
      <c r="X88" s="118" t="s">
        <v>769</v>
      </c>
      <c r="Y88" s="15" t="s">
        <v>718</v>
      </c>
      <c r="Z88" s="23">
        <v>45805</v>
      </c>
      <c r="AA88" s="118" t="s">
        <v>762</v>
      </c>
      <c r="AB88" s="15" t="str">
        <f t="shared" ref="AB88:AB91" si="105">IF(Z88="","",IF(Y88="檢退","檢退",IF(Y88="審查同意","審定","檢退")))</f>
        <v>審定</v>
      </c>
      <c r="AC88" s="23">
        <v>45810</v>
      </c>
      <c r="AD88" s="109" t="s">
        <v>763</v>
      </c>
      <c r="AE88" s="15" t="str">
        <f t="shared" ref="AE88:AE91" si="106">IF(AC88="","",IF(AB88="檢退","請修正",IF(AB88="請備查","備查",IF(AB88="審定","核定","請修正"))))</f>
        <v>核定</v>
      </c>
      <c r="AF88" s="15"/>
    </row>
    <row r="89" spans="3:32" s="127" customFormat="1" ht="40.4" customHeight="1">
      <c r="E89" s="646"/>
      <c r="F89" s="638"/>
      <c r="G89" s="144"/>
      <c r="H89" s="641"/>
      <c r="I89" s="642"/>
      <c r="J89" s="638"/>
      <c r="K89" s="644"/>
      <c r="L89" s="148"/>
      <c r="M89" s="641"/>
      <c r="N89" s="112"/>
      <c r="O89" s="112"/>
      <c r="P89" s="112"/>
      <c r="Q89" s="117"/>
      <c r="R89" s="117"/>
      <c r="S89" s="114" t="s">
        <v>699</v>
      </c>
      <c r="T89" s="15" t="s">
        <v>770</v>
      </c>
      <c r="U89" s="23">
        <v>45926</v>
      </c>
      <c r="V89" s="108" t="s">
        <v>771</v>
      </c>
      <c r="W89" s="23">
        <v>45939</v>
      </c>
      <c r="X89" s="118" t="s">
        <v>772</v>
      </c>
      <c r="Y89" s="15" t="s">
        <v>718</v>
      </c>
      <c r="Z89" s="23">
        <v>45944</v>
      </c>
      <c r="AA89" s="118" t="s">
        <v>773</v>
      </c>
      <c r="AB89" s="15" t="str">
        <f t="shared" si="105"/>
        <v>審定</v>
      </c>
      <c r="AC89" s="23">
        <v>45953</v>
      </c>
      <c r="AD89" s="109" t="s">
        <v>774</v>
      </c>
      <c r="AE89" s="15" t="str">
        <f t="shared" si="106"/>
        <v>核定</v>
      </c>
      <c r="AF89" s="15"/>
    </row>
    <row r="90" spans="3:32" s="127" customFormat="1" ht="40.4" customHeight="1">
      <c r="E90" s="645">
        <v>45</v>
      </c>
      <c r="F90" s="639" t="s">
        <v>1610</v>
      </c>
      <c r="G90" s="143"/>
      <c r="H90" s="640" t="s">
        <v>1550</v>
      </c>
      <c r="I90" s="640" t="s">
        <v>916</v>
      </c>
      <c r="J90" s="637" t="s">
        <v>659</v>
      </c>
      <c r="K90" s="643" t="s">
        <v>869</v>
      </c>
      <c r="L90" s="145"/>
      <c r="M90" s="640" t="s">
        <v>671</v>
      </c>
      <c r="N90" s="112">
        <f>IF(P90="","",P90-60)</f>
        <v>45793</v>
      </c>
      <c r="O90" s="112">
        <f>IF(P90="","",P90-30)</f>
        <v>45823</v>
      </c>
      <c r="P90" s="112">
        <v>45853</v>
      </c>
      <c r="Q90" s="117" t="str">
        <f ca="1">IF(N90="","",IF(U90&lt;&gt;"","",IF(AND(U90="",N90-TODAY()&lt;=60),N90-TODAY(),"")))</f>
        <v/>
      </c>
      <c r="R90" s="117">
        <f>IF(AND(ISNUMBER(N90),ISNUMBER(U90)),N90-U90,"")</f>
        <v>-5</v>
      </c>
      <c r="S90" s="114"/>
      <c r="T90" s="15" t="s">
        <v>721</v>
      </c>
      <c r="U90" s="23">
        <v>45798</v>
      </c>
      <c r="V90" s="108" t="s">
        <v>768</v>
      </c>
      <c r="W90" s="23">
        <v>45803</v>
      </c>
      <c r="X90" s="118" t="s">
        <v>769</v>
      </c>
      <c r="Y90" s="15" t="s">
        <v>718</v>
      </c>
      <c r="Z90" s="23">
        <v>45805</v>
      </c>
      <c r="AA90" s="118" t="s">
        <v>762</v>
      </c>
      <c r="AB90" s="15" t="str">
        <f t="shared" si="105"/>
        <v>審定</v>
      </c>
      <c r="AC90" s="23">
        <v>45810</v>
      </c>
      <c r="AD90" s="109" t="s">
        <v>763</v>
      </c>
      <c r="AE90" s="15" t="str">
        <f t="shared" si="106"/>
        <v>核定</v>
      </c>
      <c r="AF90" s="15"/>
    </row>
    <row r="91" spans="3:32" s="127" customFormat="1" ht="40.4" customHeight="1">
      <c r="E91" s="646"/>
      <c r="F91" s="638"/>
      <c r="G91" s="144"/>
      <c r="H91" s="641"/>
      <c r="I91" s="642"/>
      <c r="J91" s="638"/>
      <c r="K91" s="644"/>
      <c r="L91" s="148"/>
      <c r="M91" s="641"/>
      <c r="N91" s="112"/>
      <c r="O91" s="112"/>
      <c r="P91" s="112"/>
      <c r="Q91" s="117"/>
      <c r="R91" s="117"/>
      <c r="S91" s="114" t="s">
        <v>699</v>
      </c>
      <c r="T91" s="15" t="s">
        <v>770</v>
      </c>
      <c r="U91" s="23">
        <v>45926</v>
      </c>
      <c r="V91" s="108" t="s">
        <v>771</v>
      </c>
      <c r="W91" s="23">
        <v>45939</v>
      </c>
      <c r="X91" s="118" t="s">
        <v>772</v>
      </c>
      <c r="Y91" s="15" t="s">
        <v>718</v>
      </c>
      <c r="Z91" s="23">
        <v>45944</v>
      </c>
      <c r="AA91" s="118" t="s">
        <v>773</v>
      </c>
      <c r="AB91" s="15" t="str">
        <f t="shared" si="105"/>
        <v>審定</v>
      </c>
      <c r="AC91" s="23">
        <v>45953</v>
      </c>
      <c r="AD91" s="109" t="s">
        <v>774</v>
      </c>
      <c r="AE91" s="15" t="str">
        <f t="shared" si="106"/>
        <v>核定</v>
      </c>
      <c r="AF91" s="15"/>
    </row>
    <row r="92" spans="3:32" s="127" customFormat="1" ht="40.4" customHeight="1">
      <c r="E92" s="645">
        <v>46</v>
      </c>
      <c r="F92" s="639" t="s">
        <v>48</v>
      </c>
      <c r="G92" s="143"/>
      <c r="H92" s="640" t="s">
        <v>1551</v>
      </c>
      <c r="I92" s="640" t="s">
        <v>916</v>
      </c>
      <c r="J92" s="637" t="s">
        <v>659</v>
      </c>
      <c r="K92" s="643" t="s">
        <v>869</v>
      </c>
      <c r="L92" s="145"/>
      <c r="M92" s="640" t="s">
        <v>671</v>
      </c>
      <c r="N92" s="112">
        <f>IF(P92="","",P92-60)</f>
        <v>45793</v>
      </c>
      <c r="O92" s="112">
        <f>IF(P92="","",P92-30)</f>
        <v>45823</v>
      </c>
      <c r="P92" s="112">
        <v>45853</v>
      </c>
      <c r="Q92" s="117" t="str">
        <f ca="1">IF(N92="","",IF(U92&lt;&gt;"","",IF(AND(U92="",N92-TODAY()&lt;=60),N92-TODAY(),"")))</f>
        <v/>
      </c>
      <c r="R92" s="117">
        <f>IF(AND(ISNUMBER(N92),ISNUMBER(U92)),N92-U92,"")</f>
        <v>-5</v>
      </c>
      <c r="S92" s="114"/>
      <c r="T92" s="15" t="s">
        <v>721</v>
      </c>
      <c r="U92" s="23">
        <v>45798</v>
      </c>
      <c r="V92" s="108" t="s">
        <v>768</v>
      </c>
      <c r="W92" s="23">
        <v>45803</v>
      </c>
      <c r="X92" s="118" t="s">
        <v>769</v>
      </c>
      <c r="Y92" s="15" t="s">
        <v>718</v>
      </c>
      <c r="Z92" s="23">
        <v>45805</v>
      </c>
      <c r="AA92" s="118" t="s">
        <v>762</v>
      </c>
      <c r="AB92" s="15" t="str">
        <f t="shared" ref="AB92:AB93" si="107">IF(Z92="","",IF(Y92="檢退","檢退",IF(Y92="審查同意","審定","檢退")))</f>
        <v>審定</v>
      </c>
      <c r="AC92" s="23">
        <v>45810</v>
      </c>
      <c r="AD92" s="109" t="s">
        <v>763</v>
      </c>
      <c r="AE92" s="15" t="str">
        <f t="shared" ref="AE92:AE93" si="108">IF(AC92="","",IF(AB92="檢退","請修正",IF(AB92="請備查","備查",IF(AB92="審定","核定","請修正"))))</f>
        <v>核定</v>
      </c>
      <c r="AF92" s="15"/>
    </row>
    <row r="93" spans="3:32" s="127" customFormat="1" ht="40.4" customHeight="1">
      <c r="E93" s="646"/>
      <c r="F93" s="638"/>
      <c r="G93" s="144"/>
      <c r="H93" s="641"/>
      <c r="I93" s="642"/>
      <c r="J93" s="638"/>
      <c r="K93" s="644"/>
      <c r="L93" s="148"/>
      <c r="M93" s="641"/>
      <c r="N93" s="112"/>
      <c r="O93" s="112"/>
      <c r="P93" s="112"/>
      <c r="Q93" s="117"/>
      <c r="R93" s="117"/>
      <c r="S93" s="114" t="s">
        <v>699</v>
      </c>
      <c r="T93" s="15" t="s">
        <v>770</v>
      </c>
      <c r="U93" s="23">
        <v>45926</v>
      </c>
      <c r="V93" s="108" t="s">
        <v>771</v>
      </c>
      <c r="W93" s="23">
        <v>45939</v>
      </c>
      <c r="X93" s="118" t="s">
        <v>772</v>
      </c>
      <c r="Y93" s="15" t="s">
        <v>718</v>
      </c>
      <c r="Z93" s="23">
        <v>45944</v>
      </c>
      <c r="AA93" s="118" t="s">
        <v>773</v>
      </c>
      <c r="AB93" s="15" t="str">
        <f t="shared" si="107"/>
        <v>審定</v>
      </c>
      <c r="AC93" s="23">
        <v>45953</v>
      </c>
      <c r="AD93" s="109" t="s">
        <v>774</v>
      </c>
      <c r="AE93" s="15" t="str">
        <f t="shared" si="108"/>
        <v>核定</v>
      </c>
      <c r="AF93" s="15"/>
    </row>
    <row r="94" spans="3:32" s="2" customFormat="1" ht="40.4" customHeight="1">
      <c r="C94" s="115"/>
      <c r="D94" s="115"/>
      <c r="E94" s="645">
        <v>47</v>
      </c>
      <c r="F94" s="639" t="s">
        <v>1615</v>
      </c>
      <c r="G94" s="143"/>
      <c r="H94" s="640" t="s">
        <v>1547</v>
      </c>
      <c r="I94" s="640" t="s">
        <v>916</v>
      </c>
      <c r="J94" s="639" t="s">
        <v>659</v>
      </c>
      <c r="K94" s="643" t="s">
        <v>875</v>
      </c>
      <c r="L94" s="145"/>
      <c r="M94" s="640" t="s">
        <v>670</v>
      </c>
      <c r="N94" s="112" t="str">
        <f>IF(P94="","",P94-60)</f>
        <v/>
      </c>
      <c r="O94" s="116" t="str">
        <f>IF(P94="","",P94-30)</f>
        <v/>
      </c>
      <c r="P94" s="122"/>
      <c r="Q94" s="117" t="str">
        <f ca="1">IF(N94="","",IF(U94&lt;&gt;"","",IF(AND(U94="",N94-TODAY()&lt;=60),N94-TODAY(),"")))</f>
        <v/>
      </c>
      <c r="R94" s="117" t="str">
        <f>IF(AND(ISNUMBER(N94),ISNUMBER(U94)),N94-U94,"")</f>
        <v/>
      </c>
      <c r="S94" s="114"/>
      <c r="T94" s="15" t="s">
        <v>50</v>
      </c>
      <c r="U94" s="23" t="s">
        <v>51</v>
      </c>
      <c r="V94" s="110" t="s">
        <v>52</v>
      </c>
      <c r="W94" s="23">
        <v>45996</v>
      </c>
      <c r="X94" s="109" t="s">
        <v>53</v>
      </c>
      <c r="Y94" s="15" t="s">
        <v>807</v>
      </c>
      <c r="Z94" s="23"/>
      <c r="AA94" s="118"/>
      <c r="AB94" s="15" t="str">
        <f>IF(Z94="","",IF(Y94="檢退","檢退",IF(Y94="審查同意","審定","檢退")))</f>
        <v/>
      </c>
      <c r="AC94" s="23"/>
      <c r="AD94" s="123"/>
      <c r="AE94" s="15" t="str">
        <f>IF(AC94="","",IF(AB94="檢退","請修正",IF(AB94="請備查","備查",IF(AB94="審定","核定","請修正"))))</f>
        <v/>
      </c>
      <c r="AF94" s="16"/>
    </row>
    <row r="95" spans="3:32" s="2" customFormat="1" ht="40.4" customHeight="1">
      <c r="C95" s="115"/>
      <c r="D95" s="115"/>
      <c r="E95" s="646"/>
      <c r="F95" s="637"/>
      <c r="G95" s="147"/>
      <c r="H95" s="642"/>
      <c r="I95" s="641"/>
      <c r="J95" s="637"/>
      <c r="K95" s="647"/>
      <c r="L95" s="146"/>
      <c r="M95" s="642"/>
      <c r="N95" s="112"/>
      <c r="O95" s="116"/>
      <c r="P95" s="122"/>
      <c r="Q95" s="117" t="str">
        <f ca="1">IF(N95="","",IF(U95&lt;&gt;"","",IF(AND(U95="",N95-TODAY()&lt;=60),N95-TODAY(),"")))</f>
        <v/>
      </c>
      <c r="R95" s="117" t="str">
        <f>IF(AND(ISNUMBER(N95),ISNUMBER(U95)),N95-U95,"")</f>
        <v/>
      </c>
      <c r="S95" s="114" t="s">
        <v>699</v>
      </c>
      <c r="T95" s="15" t="s">
        <v>54</v>
      </c>
      <c r="U95" s="23" t="s">
        <v>55</v>
      </c>
      <c r="V95" s="110" t="s">
        <v>56</v>
      </c>
      <c r="W95" s="23">
        <v>46003</v>
      </c>
      <c r="X95" s="118" t="s">
        <v>808</v>
      </c>
      <c r="Y95" s="15" t="s">
        <v>702</v>
      </c>
      <c r="Z95" s="23">
        <v>46007</v>
      </c>
      <c r="AA95" s="118" t="s">
        <v>809</v>
      </c>
      <c r="AB95" s="15" t="str">
        <f>IF(Z95="","",IF(Y95="檢退","檢退",IF(Y95="審查同意","審定","檢退")))</f>
        <v>審定</v>
      </c>
      <c r="AC95" s="23">
        <v>46022</v>
      </c>
      <c r="AD95" s="109" t="s">
        <v>810</v>
      </c>
      <c r="AE95" s="15" t="str">
        <f>IF(AC95="","",IF(AB95="檢退","請修正",IF(AB95="請備查","備查",IF(AB95="審定","核定","請修正"))))</f>
        <v>核定</v>
      </c>
      <c r="AF95" s="16"/>
    </row>
    <row r="96" spans="3:32" s="2" customFormat="1" ht="40.4" customHeight="1">
      <c r="C96" s="115"/>
      <c r="D96" s="115"/>
      <c r="E96" s="645">
        <v>48</v>
      </c>
      <c r="F96" s="639" t="s">
        <v>49</v>
      </c>
      <c r="G96" s="143"/>
      <c r="H96" s="640" t="s">
        <v>1548</v>
      </c>
      <c r="I96" s="640" t="s">
        <v>916</v>
      </c>
      <c r="J96" s="639" t="s">
        <v>659</v>
      </c>
      <c r="K96" s="643" t="s">
        <v>875</v>
      </c>
      <c r="L96" s="145"/>
      <c r="M96" s="640" t="s">
        <v>670</v>
      </c>
      <c r="N96" s="112" t="str">
        <f>IF(P96="","",P96-60)</f>
        <v/>
      </c>
      <c r="O96" s="116" t="str">
        <f>IF(P96="","",P96-30)</f>
        <v/>
      </c>
      <c r="P96" s="122"/>
      <c r="Q96" s="117" t="str">
        <f ca="1">IF(N96="","",IF(U96&lt;&gt;"","",IF(AND(U96="",N96-TODAY()&lt;=60),N96-TODAY(),"")))</f>
        <v/>
      </c>
      <c r="R96" s="117" t="str">
        <f>IF(AND(ISNUMBER(N96),ISNUMBER(U96)),N96-U96,"")</f>
        <v/>
      </c>
      <c r="S96" s="114"/>
      <c r="T96" s="15" t="s">
        <v>50</v>
      </c>
      <c r="U96" s="23" t="s">
        <v>51</v>
      </c>
      <c r="V96" s="110" t="s">
        <v>52</v>
      </c>
      <c r="W96" s="23">
        <v>45996</v>
      </c>
      <c r="X96" s="109" t="s">
        <v>53</v>
      </c>
      <c r="Y96" s="15" t="s">
        <v>807</v>
      </c>
      <c r="Z96" s="23"/>
      <c r="AA96" s="118"/>
      <c r="AB96" s="15" t="str">
        <f>IF(Z96="","",IF(Y96="檢退","檢退",IF(Y96="審查同意","審定","檢退")))</f>
        <v/>
      </c>
      <c r="AC96" s="23"/>
      <c r="AD96" s="123"/>
      <c r="AE96" s="15" t="str">
        <f>IF(AC96="","",IF(AB96="檢退","請修正",IF(AB96="請備查","備查",IF(AB96="審定","核定","請修正"))))</f>
        <v/>
      </c>
      <c r="AF96" s="16"/>
    </row>
    <row r="97" spans="1:32" s="2" customFormat="1" ht="40.4" customHeight="1">
      <c r="C97" s="115"/>
      <c r="D97" s="115"/>
      <c r="E97" s="646"/>
      <c r="F97" s="637"/>
      <c r="G97" s="147"/>
      <c r="H97" s="642"/>
      <c r="I97" s="641"/>
      <c r="J97" s="637"/>
      <c r="K97" s="647"/>
      <c r="L97" s="146"/>
      <c r="M97" s="642"/>
      <c r="N97" s="112"/>
      <c r="O97" s="116"/>
      <c r="P97" s="122"/>
      <c r="Q97" s="117" t="str">
        <f ca="1">IF(N97="","",IF(U97&lt;&gt;"","",IF(AND(U97="",N97-TODAY()&lt;=60),N97-TODAY(),"")))</f>
        <v/>
      </c>
      <c r="R97" s="117" t="str">
        <f>IF(AND(ISNUMBER(N97),ISNUMBER(U97)),N97-U97,"")</f>
        <v/>
      </c>
      <c r="S97" s="114" t="s">
        <v>699</v>
      </c>
      <c r="T97" s="15" t="s">
        <v>54</v>
      </c>
      <c r="U97" s="23" t="s">
        <v>55</v>
      </c>
      <c r="V97" s="110" t="s">
        <v>56</v>
      </c>
      <c r="W97" s="23">
        <v>46003</v>
      </c>
      <c r="X97" s="118" t="s">
        <v>808</v>
      </c>
      <c r="Y97" s="15" t="s">
        <v>702</v>
      </c>
      <c r="Z97" s="23">
        <v>46007</v>
      </c>
      <c r="AA97" s="118" t="s">
        <v>809</v>
      </c>
      <c r="AB97" s="15" t="str">
        <f>IF(Z97="","",IF(Y97="檢退","檢退",IF(Y97="審查同意","審定","檢退")))</f>
        <v>審定</v>
      </c>
      <c r="AC97" s="23">
        <v>46022</v>
      </c>
      <c r="AD97" s="109" t="s">
        <v>1614</v>
      </c>
      <c r="AE97" s="15" t="str">
        <f>IF(AC97="","",IF(AB97="檢退","請修正",IF(AB97="請備查","備查",IF(AB97="審定","核定","請修正"))))</f>
        <v>核定</v>
      </c>
      <c r="AF97" s="16"/>
    </row>
    <row r="98" spans="1:32" s="2" customFormat="1" ht="40.4" customHeight="1">
      <c r="C98" s="115"/>
      <c r="D98" s="115"/>
      <c r="E98" s="645">
        <v>49</v>
      </c>
      <c r="F98" s="639" t="s">
        <v>1096</v>
      </c>
      <c r="G98" s="143"/>
      <c r="H98" s="640" t="s">
        <v>1547</v>
      </c>
      <c r="I98" s="640" t="s">
        <v>916</v>
      </c>
      <c r="J98" s="639" t="s">
        <v>659</v>
      </c>
      <c r="K98" s="643" t="s">
        <v>875</v>
      </c>
      <c r="L98" s="145"/>
      <c r="M98" s="640" t="s">
        <v>1097</v>
      </c>
      <c r="N98" s="112" t="str">
        <f>IF(P98="","",P98-60)</f>
        <v/>
      </c>
      <c r="O98" s="116" t="str">
        <f>IF(P98="","",P98-30)</f>
        <v/>
      </c>
      <c r="P98" s="122"/>
      <c r="Q98" s="117" t="str">
        <f t="shared" ref="Q98:Q99" ca="1" si="109">IF(N98="","",IF(U98&lt;&gt;"","",IF(AND(U98="",N98-TODAY()&lt;=60),N98-TODAY(),"")))</f>
        <v/>
      </c>
      <c r="R98" s="117" t="str">
        <f t="shared" ref="R98:R99" si="110">IF(AND(ISNUMBER(N98),ISNUMBER(U98)),N98-U98,"")</f>
        <v/>
      </c>
      <c r="S98" s="114" t="s">
        <v>699</v>
      </c>
      <c r="T98" s="15" t="s">
        <v>50</v>
      </c>
      <c r="U98" s="23" t="s">
        <v>1098</v>
      </c>
      <c r="V98" s="110" t="s">
        <v>1099</v>
      </c>
      <c r="W98" s="23" t="s">
        <v>1148</v>
      </c>
      <c r="X98" s="109" t="s">
        <v>1153</v>
      </c>
      <c r="Y98" s="15" t="s">
        <v>702</v>
      </c>
      <c r="Z98" s="23" t="s">
        <v>1148</v>
      </c>
      <c r="AA98" s="109" t="s">
        <v>1153</v>
      </c>
      <c r="AB98" s="15" t="str">
        <f>IF(Z98="","",IF(Y98="檢退","檢退",IF(Y98="審查同意","審定","檢退")))</f>
        <v>審定</v>
      </c>
      <c r="AC98" s="23" t="s">
        <v>1182</v>
      </c>
      <c r="AD98" s="418" t="s">
        <v>1183</v>
      </c>
      <c r="AE98" s="15" t="str">
        <f>IF(AC98="","",IF(AB98="檢退","請修正",IF(AB98="請備查","備查",IF(AB98="審定","核定","請修正"))))</f>
        <v>核定</v>
      </c>
      <c r="AF98" s="16"/>
    </row>
    <row r="99" spans="1:32" s="2" customFormat="1" ht="40.4" customHeight="1">
      <c r="C99" s="115"/>
      <c r="D99" s="115"/>
      <c r="E99" s="646"/>
      <c r="F99" s="637"/>
      <c r="G99" s="147"/>
      <c r="H99" s="642"/>
      <c r="I99" s="641"/>
      <c r="J99" s="637"/>
      <c r="K99" s="647"/>
      <c r="L99" s="146"/>
      <c r="M99" s="642"/>
      <c r="N99" s="112"/>
      <c r="O99" s="116"/>
      <c r="P99" s="122"/>
      <c r="Q99" s="117" t="str">
        <f t="shared" ca="1" si="109"/>
        <v/>
      </c>
      <c r="R99" s="117" t="str">
        <f t="shared" si="110"/>
        <v/>
      </c>
      <c r="T99" s="15" t="s">
        <v>54</v>
      </c>
      <c r="U99" s="23"/>
      <c r="V99" s="110"/>
      <c r="W99" s="23"/>
      <c r="X99" s="118"/>
      <c r="Y99" s="15"/>
      <c r="Z99" s="23"/>
      <c r="AA99" s="118"/>
      <c r="AB99" s="15"/>
      <c r="AC99" s="23"/>
      <c r="AD99" s="109"/>
      <c r="AE99" s="15"/>
      <c r="AF99" s="16"/>
    </row>
    <row r="100" spans="1:32" s="2" customFormat="1" ht="40.4" customHeight="1">
      <c r="C100" s="115"/>
      <c r="D100" s="115"/>
      <c r="E100" s="645">
        <v>50</v>
      </c>
      <c r="F100" s="639" t="s">
        <v>1096</v>
      </c>
      <c r="G100" s="143"/>
      <c r="H100" s="640" t="s">
        <v>1548</v>
      </c>
      <c r="I100" s="640" t="s">
        <v>916</v>
      </c>
      <c r="J100" s="639" t="s">
        <v>659</v>
      </c>
      <c r="K100" s="643" t="s">
        <v>875</v>
      </c>
      <c r="L100" s="145"/>
      <c r="M100" s="640" t="s">
        <v>1097</v>
      </c>
      <c r="N100" s="112" t="str">
        <f>IF(P100="","",P100-60)</f>
        <v/>
      </c>
      <c r="O100" s="116" t="str">
        <f>IF(P100="","",P100-30)</f>
        <v/>
      </c>
      <c r="P100" s="122"/>
      <c r="Q100" s="117" t="str">
        <f t="shared" ref="Q100:Q101" ca="1" si="111">IF(N100="","",IF(U100&lt;&gt;"","",IF(AND(U100="",N100-TODAY()&lt;=60),N100-TODAY(),"")))</f>
        <v/>
      </c>
      <c r="R100" s="117" t="str">
        <f t="shared" ref="R100:R101" si="112">IF(AND(ISNUMBER(N100),ISNUMBER(U100)),N100-U100,"")</f>
        <v/>
      </c>
      <c r="S100" s="114" t="s">
        <v>699</v>
      </c>
      <c r="T100" s="15" t="s">
        <v>50</v>
      </c>
      <c r="U100" s="23" t="s">
        <v>1098</v>
      </c>
      <c r="V100" s="110" t="s">
        <v>1099</v>
      </c>
      <c r="W100" s="23" t="s">
        <v>1148</v>
      </c>
      <c r="X100" s="109" t="s">
        <v>1153</v>
      </c>
      <c r="Y100" s="15" t="s">
        <v>702</v>
      </c>
      <c r="Z100" s="23" t="s">
        <v>1148</v>
      </c>
      <c r="AA100" s="109" t="s">
        <v>1153</v>
      </c>
      <c r="AB100" s="15" t="str">
        <f>IF(Z100="","",IF(Y100="檢退","檢退",IF(Y100="審查同意","審定","檢退")))</f>
        <v>審定</v>
      </c>
      <c r="AC100" s="23" t="s">
        <v>1182</v>
      </c>
      <c r="AD100" s="418" t="s">
        <v>1183</v>
      </c>
      <c r="AE100" s="15" t="str">
        <f>IF(AC100="","",IF(AB100="檢退","請修正",IF(AB100="請備查","備查",IF(AB100="審定","核定","請修正"))))</f>
        <v>核定</v>
      </c>
      <c r="AF100" s="16"/>
    </row>
    <row r="101" spans="1:32" s="2" customFormat="1" ht="40.4" customHeight="1">
      <c r="C101" s="115"/>
      <c r="D101" s="115"/>
      <c r="E101" s="646"/>
      <c r="F101" s="637"/>
      <c r="G101" s="147"/>
      <c r="H101" s="642"/>
      <c r="I101" s="641"/>
      <c r="J101" s="637"/>
      <c r="K101" s="647"/>
      <c r="L101" s="146"/>
      <c r="M101" s="642"/>
      <c r="N101" s="112"/>
      <c r="O101" s="116"/>
      <c r="P101" s="122"/>
      <c r="Q101" s="117" t="str">
        <f t="shared" ca="1" si="111"/>
        <v/>
      </c>
      <c r="R101" s="117" t="str">
        <f t="shared" si="112"/>
        <v/>
      </c>
      <c r="T101" s="15" t="s">
        <v>54</v>
      </c>
      <c r="U101" s="23"/>
      <c r="V101" s="110"/>
      <c r="W101" s="23"/>
      <c r="X101" s="118"/>
      <c r="Y101" s="15"/>
      <c r="Z101" s="23"/>
      <c r="AA101" s="118"/>
      <c r="AB101" s="15"/>
      <c r="AC101" s="23"/>
      <c r="AD101" s="109"/>
      <c r="AE101" s="15"/>
      <c r="AF101" s="16"/>
    </row>
    <row r="102" spans="1:32" s="111" customFormat="1" ht="157.75" customHeight="1">
      <c r="E102" s="139">
        <v>51</v>
      </c>
      <c r="F102" s="140" t="s">
        <v>1571</v>
      </c>
      <c r="G102" s="140"/>
      <c r="H102" s="145" t="s">
        <v>1570</v>
      </c>
      <c r="I102" s="145" t="s">
        <v>916</v>
      </c>
      <c r="J102" s="143" t="s">
        <v>659</v>
      </c>
      <c r="K102" s="186" t="s">
        <v>870</v>
      </c>
      <c r="L102" s="145"/>
      <c r="M102" s="145" t="s">
        <v>676</v>
      </c>
      <c r="N102" s="112"/>
      <c r="O102" s="112"/>
      <c r="P102" s="112"/>
      <c r="Q102" s="113" t="str">
        <f t="shared" ref="Q102:Q115" ca="1" si="113">IF(N102="","",IF(U102&lt;&gt;"","",IF(AND(U102="",N102-TODAY()&lt;=60),N102-TODAY(),"")))</f>
        <v/>
      </c>
      <c r="R102" s="113" t="str">
        <f t="shared" ref="R102:R115" si="114">IF(AND(ISNUMBER(N102),ISNUMBER(U102)),N102-U102,"")</f>
        <v/>
      </c>
      <c r="S102" s="114" t="s">
        <v>699</v>
      </c>
      <c r="T102" s="15" t="s">
        <v>700</v>
      </c>
      <c r="U102" s="23">
        <v>45776</v>
      </c>
      <c r="V102" s="108" t="s">
        <v>777</v>
      </c>
      <c r="W102" s="23">
        <v>45777</v>
      </c>
      <c r="X102" s="118" t="s">
        <v>778</v>
      </c>
      <c r="Y102" s="15" t="s">
        <v>718</v>
      </c>
      <c r="Z102" s="23">
        <v>45779</v>
      </c>
      <c r="AA102" s="118" t="s">
        <v>779</v>
      </c>
      <c r="AB102" s="15" t="str">
        <f>IF(Z102="","",IF(Y102="檢退","檢退",IF(Y102="審查同意","審定","檢退")))</f>
        <v>審定</v>
      </c>
      <c r="AC102" s="23">
        <v>45784</v>
      </c>
      <c r="AD102" s="109" t="s">
        <v>1572</v>
      </c>
      <c r="AE102" s="15" t="str">
        <f t="shared" si="74"/>
        <v>核定</v>
      </c>
      <c r="AF102" s="16"/>
    </row>
    <row r="103" spans="1:32" s="115" customFormat="1" ht="40.4" customHeight="1">
      <c r="B103" s="691">
        <v>3.2</v>
      </c>
      <c r="C103" s="135"/>
      <c r="D103" s="135"/>
      <c r="E103" s="645">
        <f>E102+1</f>
        <v>52</v>
      </c>
      <c r="F103" s="694" t="s">
        <v>1616</v>
      </c>
      <c r="G103" s="143"/>
      <c r="H103" s="640" t="s">
        <v>1592</v>
      </c>
      <c r="I103" s="640" t="s">
        <v>916</v>
      </c>
      <c r="J103" s="639" t="s">
        <v>659</v>
      </c>
      <c r="K103" s="643"/>
      <c r="L103" s="145"/>
      <c r="M103" s="640" t="s">
        <v>674</v>
      </c>
      <c r="N103" s="112">
        <f>IF(P103="","",P103-60)</f>
        <v>45841</v>
      </c>
      <c r="O103" s="112"/>
      <c r="P103" s="122">
        <v>45901</v>
      </c>
      <c r="Q103" s="117" t="str">
        <f t="shared" ca="1" si="113"/>
        <v/>
      </c>
      <c r="R103" s="117">
        <f t="shared" si="114"/>
        <v>-43</v>
      </c>
      <c r="S103" s="114"/>
      <c r="T103" s="15" t="s">
        <v>700</v>
      </c>
      <c r="U103" s="23">
        <v>45884</v>
      </c>
      <c r="V103" s="108" t="s">
        <v>704</v>
      </c>
      <c r="W103" s="23">
        <v>45898</v>
      </c>
      <c r="X103" s="108" t="s">
        <v>705</v>
      </c>
      <c r="Y103" s="15" t="s">
        <v>715</v>
      </c>
      <c r="Z103" s="23"/>
      <c r="AA103" s="118"/>
      <c r="AB103" s="15" t="str">
        <f t="shared" ref="AB103:AB113" si="115">IF(Z103="","",IF(Y103="檢退","檢退",IF(Y103="審查同意","審定","檢退")))</f>
        <v/>
      </c>
      <c r="AC103" s="23"/>
      <c r="AD103" s="123"/>
      <c r="AE103" s="15" t="str">
        <f t="shared" ref="AE103:AE108" si="116">IF(AC103="","",IF(AB103="檢退","請修正",IF(AB103="請備查","備查",IF(AB103="審定","核定","請修正"))))</f>
        <v/>
      </c>
      <c r="AF103" s="15"/>
    </row>
    <row r="104" spans="1:32" s="115" customFormat="1" ht="40.4" customHeight="1">
      <c r="B104" s="691"/>
      <c r="C104" s="135"/>
      <c r="D104" s="135"/>
      <c r="E104" s="692"/>
      <c r="F104" s="694"/>
      <c r="G104" s="147"/>
      <c r="H104" s="642"/>
      <c r="I104" s="642"/>
      <c r="J104" s="637"/>
      <c r="K104" s="647"/>
      <c r="L104" s="146"/>
      <c r="M104" s="642"/>
      <c r="N104" s="112"/>
      <c r="O104" s="112"/>
      <c r="P104" s="122"/>
      <c r="Q104" s="117" t="str">
        <f t="shared" ca="1" si="113"/>
        <v/>
      </c>
      <c r="R104" s="117" t="str">
        <f t="shared" si="114"/>
        <v/>
      </c>
      <c r="S104" s="114"/>
      <c r="T104" s="15" t="s">
        <v>707</v>
      </c>
      <c r="U104" s="23">
        <v>45904</v>
      </c>
      <c r="V104" s="108" t="s">
        <v>708</v>
      </c>
      <c r="W104" s="23">
        <v>45910</v>
      </c>
      <c r="X104" s="108" t="s">
        <v>709</v>
      </c>
      <c r="Y104" s="15" t="s">
        <v>710</v>
      </c>
      <c r="Z104" s="23"/>
      <c r="AA104" s="118"/>
      <c r="AB104" s="15" t="str">
        <f t="shared" si="115"/>
        <v/>
      </c>
      <c r="AC104" s="23"/>
      <c r="AD104" s="123"/>
      <c r="AE104" s="15" t="str">
        <f t="shared" si="116"/>
        <v/>
      </c>
      <c r="AF104" s="16"/>
    </row>
    <row r="105" spans="1:32" s="115" customFormat="1" ht="40.4" customHeight="1">
      <c r="B105" s="691"/>
      <c r="C105" s="135"/>
      <c r="D105" s="135"/>
      <c r="E105" s="646"/>
      <c r="F105" s="694"/>
      <c r="G105" s="144"/>
      <c r="H105" s="641"/>
      <c r="I105" s="641"/>
      <c r="J105" s="638"/>
      <c r="K105" s="644"/>
      <c r="L105" s="148"/>
      <c r="M105" s="641"/>
      <c r="N105" s="112">
        <f>W104+7</f>
        <v>45917</v>
      </c>
      <c r="O105" s="112"/>
      <c r="P105" s="122"/>
      <c r="Q105" s="117" t="str">
        <f t="shared" ca="1" si="113"/>
        <v/>
      </c>
      <c r="R105" s="117">
        <f t="shared" si="114"/>
        <v>-9</v>
      </c>
      <c r="S105" s="114" t="s">
        <v>699</v>
      </c>
      <c r="T105" s="15" t="s">
        <v>711</v>
      </c>
      <c r="U105" s="23">
        <v>45926</v>
      </c>
      <c r="V105" s="108" t="s">
        <v>712</v>
      </c>
      <c r="W105" s="23">
        <v>45939</v>
      </c>
      <c r="X105" s="123" t="s">
        <v>713</v>
      </c>
      <c r="Y105" s="15" t="s">
        <v>702</v>
      </c>
      <c r="Z105" s="23">
        <v>45944</v>
      </c>
      <c r="AA105" s="118" t="s">
        <v>714</v>
      </c>
      <c r="AB105" s="15" t="str">
        <f t="shared" si="115"/>
        <v>審定</v>
      </c>
      <c r="AC105" s="23">
        <v>45947</v>
      </c>
      <c r="AD105" s="109" t="s">
        <v>1617</v>
      </c>
      <c r="AE105" s="15" t="str">
        <f t="shared" si="116"/>
        <v>核定</v>
      </c>
      <c r="AF105" s="16"/>
    </row>
    <row r="106" spans="1:32" s="2" customFormat="1" ht="49.4" customHeight="1">
      <c r="E106" s="139">
        <f>E103+1</f>
        <v>53</v>
      </c>
      <c r="F106" s="142" t="s">
        <v>1176</v>
      </c>
      <c r="G106" s="143"/>
      <c r="H106" s="145" t="s">
        <v>1593</v>
      </c>
      <c r="I106" s="145" t="s">
        <v>916</v>
      </c>
      <c r="J106" s="143" t="s">
        <v>659</v>
      </c>
      <c r="K106" s="186"/>
      <c r="L106" s="145"/>
      <c r="M106" s="145" t="s">
        <v>674</v>
      </c>
      <c r="N106" s="112">
        <f>IF(P106="","",P106-60)</f>
        <v>45841</v>
      </c>
      <c r="O106" s="116">
        <f t="shared" ref="O106:O111" si="117">IF(P106="","",P106-30)</f>
        <v>45871</v>
      </c>
      <c r="P106" s="122">
        <v>45901</v>
      </c>
      <c r="Q106" s="117" t="str">
        <f t="shared" ca="1" si="113"/>
        <v/>
      </c>
      <c r="R106" s="117">
        <f t="shared" si="114"/>
        <v>-43</v>
      </c>
      <c r="S106" s="114" t="s">
        <v>699</v>
      </c>
      <c r="T106" s="15" t="s">
        <v>700</v>
      </c>
      <c r="U106" s="23">
        <v>45884</v>
      </c>
      <c r="V106" s="108" t="s">
        <v>780</v>
      </c>
      <c r="W106" s="23">
        <v>45890</v>
      </c>
      <c r="X106" s="118" t="s">
        <v>781</v>
      </c>
      <c r="Y106" s="15" t="s">
        <v>718</v>
      </c>
      <c r="Z106" s="23">
        <v>45898</v>
      </c>
      <c r="AA106" s="118" t="s">
        <v>782</v>
      </c>
      <c r="AB106" s="15" t="str">
        <f>IF(Z106="","",IF(Y106="檢退","檢退",IF(Y106="審查同意","審定","檢退")))</f>
        <v>審定</v>
      </c>
      <c r="AC106" s="23">
        <v>45904</v>
      </c>
      <c r="AD106" s="109" t="s">
        <v>1618</v>
      </c>
      <c r="AE106" s="15" t="str">
        <f t="shared" si="116"/>
        <v>核定</v>
      </c>
      <c r="AF106" s="16"/>
    </row>
    <row r="107" spans="1:32" s="115" customFormat="1" ht="40.4" customHeight="1">
      <c r="E107" s="139">
        <f>E106+1</f>
        <v>54</v>
      </c>
      <c r="F107" s="143" t="s">
        <v>1574</v>
      </c>
      <c r="G107" s="143"/>
      <c r="H107" s="145" t="s">
        <v>1573</v>
      </c>
      <c r="I107" s="145" t="s">
        <v>916</v>
      </c>
      <c r="J107" s="143" t="s">
        <v>659</v>
      </c>
      <c r="K107" s="186"/>
      <c r="L107" s="145"/>
      <c r="M107" s="145" t="s">
        <v>677</v>
      </c>
      <c r="N107" s="112" t="str">
        <f>IF(P107="","",P107-60)</f>
        <v/>
      </c>
      <c r="O107" s="116" t="str">
        <f t="shared" si="117"/>
        <v/>
      </c>
      <c r="P107" s="125"/>
      <c r="Q107" s="113" t="str">
        <f t="shared" ca="1" si="113"/>
        <v/>
      </c>
      <c r="R107" s="113" t="str">
        <f t="shared" si="114"/>
        <v/>
      </c>
      <c r="S107" s="114" t="s">
        <v>699</v>
      </c>
      <c r="T107" s="15" t="s">
        <v>700</v>
      </c>
      <c r="U107" s="23">
        <v>45951</v>
      </c>
      <c r="V107" s="110" t="s">
        <v>783</v>
      </c>
      <c r="W107" s="23">
        <v>45960</v>
      </c>
      <c r="X107" s="118" t="s">
        <v>784</v>
      </c>
      <c r="Y107" s="15" t="s">
        <v>702</v>
      </c>
      <c r="Z107" s="23">
        <v>45966</v>
      </c>
      <c r="AA107" s="118" t="s">
        <v>785</v>
      </c>
      <c r="AB107" s="15" t="str">
        <f t="shared" ref="AB107:AB108" si="118">IF(Z107="","",IF(Y107="檢退","檢退",IF(Y107="審查同意","審定","檢退")))</f>
        <v>審定</v>
      </c>
      <c r="AC107" s="23">
        <v>45974</v>
      </c>
      <c r="AD107" s="109" t="s">
        <v>1575</v>
      </c>
      <c r="AE107" s="15" t="str">
        <f t="shared" si="116"/>
        <v>核定</v>
      </c>
      <c r="AF107" s="16"/>
    </row>
    <row r="108" spans="1:32" s="2" customFormat="1" ht="40.4" customHeight="1">
      <c r="A108" s="136"/>
      <c r="B108" s="136"/>
      <c r="C108" s="136"/>
      <c r="D108" s="136"/>
      <c r="E108" s="139">
        <f>E107+1</f>
        <v>55</v>
      </c>
      <c r="F108" s="143" t="s">
        <v>1619</v>
      </c>
      <c r="G108" s="143"/>
      <c r="H108" s="145" t="s">
        <v>679</v>
      </c>
      <c r="I108" s="145" t="s">
        <v>916</v>
      </c>
      <c r="J108" s="143" t="s">
        <v>659</v>
      </c>
      <c r="K108" s="186"/>
      <c r="L108" s="145"/>
      <c r="M108" s="145" t="s">
        <v>678</v>
      </c>
      <c r="N108" s="112" t="str">
        <f>IF(P108="","",P108-60)</f>
        <v/>
      </c>
      <c r="O108" s="116" t="str">
        <f t="shared" si="117"/>
        <v/>
      </c>
      <c r="P108" s="125"/>
      <c r="Q108" s="113" t="str">
        <f t="shared" ca="1" si="113"/>
        <v/>
      </c>
      <c r="R108" s="113" t="str">
        <f t="shared" si="114"/>
        <v/>
      </c>
      <c r="S108" s="114" t="s">
        <v>699</v>
      </c>
      <c r="T108" s="15" t="s">
        <v>50</v>
      </c>
      <c r="U108" s="23" t="s">
        <v>786</v>
      </c>
      <c r="V108" s="128" t="s">
        <v>787</v>
      </c>
      <c r="W108" s="23">
        <v>45999</v>
      </c>
      <c r="X108" s="118" t="s">
        <v>185</v>
      </c>
      <c r="Y108" s="15" t="s">
        <v>702</v>
      </c>
      <c r="Z108" s="23">
        <v>46000</v>
      </c>
      <c r="AA108" s="118" t="s">
        <v>788</v>
      </c>
      <c r="AB108" s="15" t="str">
        <f t="shared" si="118"/>
        <v>審定</v>
      </c>
      <c r="AC108" s="23">
        <v>46003</v>
      </c>
      <c r="AD108" s="129" t="s">
        <v>1576</v>
      </c>
      <c r="AE108" s="15" t="str">
        <f t="shared" si="116"/>
        <v>核定</v>
      </c>
      <c r="AF108" s="16"/>
    </row>
    <row r="109" spans="1:32" s="115" customFormat="1" ht="40.4" customHeight="1">
      <c r="E109" s="139">
        <f t="shared" ref="E109:E110" si="119">E108+1</f>
        <v>56</v>
      </c>
      <c r="F109" s="143" t="s">
        <v>1620</v>
      </c>
      <c r="G109" s="143"/>
      <c r="H109" s="145" t="s">
        <v>34</v>
      </c>
      <c r="I109" s="145" t="s">
        <v>916</v>
      </c>
      <c r="J109" s="143" t="s">
        <v>659</v>
      </c>
      <c r="K109" s="186"/>
      <c r="L109" s="145"/>
      <c r="M109" s="145" t="s">
        <v>674</v>
      </c>
      <c r="N109" s="112" t="str">
        <f>IF(P109="","",P109-60)</f>
        <v/>
      </c>
      <c r="O109" s="116" t="str">
        <f t="shared" si="117"/>
        <v/>
      </c>
      <c r="P109" s="125"/>
      <c r="Q109" s="113" t="str">
        <f t="shared" ca="1" si="113"/>
        <v/>
      </c>
      <c r="R109" s="113" t="str">
        <f t="shared" si="114"/>
        <v/>
      </c>
      <c r="S109" s="114" t="s">
        <v>699</v>
      </c>
      <c r="T109" s="15" t="s">
        <v>700</v>
      </c>
      <c r="U109" s="23">
        <v>45982</v>
      </c>
      <c r="V109" s="110" t="s">
        <v>698</v>
      </c>
      <c r="W109" s="23">
        <v>45993</v>
      </c>
      <c r="X109" s="123" t="s">
        <v>701</v>
      </c>
      <c r="Y109" s="15" t="s">
        <v>702</v>
      </c>
      <c r="Z109" s="23">
        <v>45999</v>
      </c>
      <c r="AA109" s="118" t="s">
        <v>703</v>
      </c>
      <c r="AB109" s="15" t="str">
        <f t="shared" ref="AB109" si="120">IF(Z109="","",IF(Y109="檢退","檢退",IF(Y109="審查同意","審定","檢退")))</f>
        <v>審定</v>
      </c>
      <c r="AC109" s="23">
        <v>46003</v>
      </c>
      <c r="AD109" s="109" t="s">
        <v>1621</v>
      </c>
      <c r="AE109" s="15" t="str">
        <f t="shared" ref="AE109" si="121">IF(AC109="","",IF(AB109="檢退","請修正",IF(AB109="請備查","備查",IF(AB109="審定","核定","請修正"))))</f>
        <v>核定</v>
      </c>
      <c r="AF109" s="15" t="str">
        <f>IF(MOD(ROW()-5,3)&lt;&gt;0,"",
IF(COUNTA(U109:U109,V109:V109,W109:W109,X109:X109,Y109:Y109,Z109:Z109,AA109:AA109,AB109:AB109,AC109:AC109,AD109:AD109,AE109:AE109)=0,"",
IF(COUNTIF(U109:U109,"*核定*")+COUNTIF(V109:V109,"*核定*")+COUNTIF(W109:W109,"*核定*")+COUNTIF(X109:X109,"*核定*")+COUNTIF(Y109:Y109,"*核定*")+COUNTIF(Z109:Z109,"*核定*")+COUNTIF(AA109:AA109,"*核定*")+COUNTIF(AB109:AB109,"*核定*")+COUNTIF(AC109:AC109,"*核定*")+COUNTIF(AD109:AD109,"*核定*")+COUNTIF(AE109:AE109,"*核定*")&gt;0,"核定",
IF(COUNTIF(Z109:Z109,"*檢退*")&gt;0,"檢退",
IF(COUNTIF(Z109:Z109,"*審查同意*")&gt;0,"審查同意",
IF(COUNTIF(AA109:AA109,"*審定*")+COUNTIF(AB109:AB109,"*審定*")+COUNTIF(AC109:AC109,"*審定*")&gt;0,"審定",
IF(COUNTIF(U109:U109,"*核定中*")+COUNTIF(V109:V109,"*核定中*")+COUNTIF(W109:W109,"*核定中*")+COUNTIF(X109:X109,"*核定中*")+COUNTIF(Y109:Y109,"*核定中*")+COUNTIF(Z109:Z109,"*核定中*")+COUNTIF(AA109:AA109,"*核定中*")+COUNTIF(AB109:AB109,"*核定中*")+COUNTIF(AC109:AC109,"*核定中*")+COUNTIF(AD109:AD109,"*核定中*")+COUNTIF(AE109:AE109,"*核定中*")&gt;0,"核定中","")))))))</f>
        <v/>
      </c>
    </row>
    <row r="110" spans="1:32" s="2" customFormat="1" ht="40.4" customHeight="1">
      <c r="E110" s="139">
        <f t="shared" si="119"/>
        <v>57</v>
      </c>
      <c r="F110" s="142" t="s">
        <v>1578</v>
      </c>
      <c r="G110" s="142"/>
      <c r="H110" s="311" t="s">
        <v>192</v>
      </c>
      <c r="I110" s="145" t="s">
        <v>916</v>
      </c>
      <c r="J110" s="143" t="s">
        <v>659</v>
      </c>
      <c r="K110" s="186"/>
      <c r="L110" s="145"/>
      <c r="M110" s="145" t="s">
        <v>682</v>
      </c>
      <c r="N110" s="112">
        <v>46028</v>
      </c>
      <c r="O110" s="116" t="str">
        <f t="shared" si="117"/>
        <v/>
      </c>
      <c r="P110" s="122"/>
      <c r="Q110" s="117" t="str">
        <f t="shared" ca="1" si="113"/>
        <v/>
      </c>
      <c r="R110" s="117">
        <f t="shared" si="114"/>
        <v>0</v>
      </c>
      <c r="S110" s="114" t="s">
        <v>699</v>
      </c>
      <c r="T110" s="15" t="s">
        <v>700</v>
      </c>
      <c r="U110" s="23">
        <v>46028</v>
      </c>
      <c r="V110" s="128" t="s">
        <v>797</v>
      </c>
      <c r="W110" s="23">
        <v>46048</v>
      </c>
      <c r="X110" s="129" t="s">
        <v>798</v>
      </c>
      <c r="Y110" s="15" t="s">
        <v>702</v>
      </c>
      <c r="Z110" s="23">
        <v>46048</v>
      </c>
      <c r="AA110" s="129" t="s">
        <v>798</v>
      </c>
      <c r="AB110" s="15" t="str">
        <f t="shared" si="115"/>
        <v>審定</v>
      </c>
      <c r="AC110" s="23">
        <v>46051</v>
      </c>
      <c r="AD110" s="129" t="s">
        <v>1577</v>
      </c>
      <c r="AE110" s="15" t="str">
        <f t="shared" ref="AE110:AE113" si="122">IF(AC110="","",IF(AB110="檢退","請修正",IF(AB110="請備查","備查",IF(AB110="審定","核定","請修正"))))</f>
        <v>核定</v>
      </c>
      <c r="AF110" s="16"/>
    </row>
    <row r="111" spans="1:32" s="2" customFormat="1" ht="40.4" customHeight="1">
      <c r="E111" s="645">
        <f>E110+1</f>
        <v>58</v>
      </c>
      <c r="F111" s="637" t="s">
        <v>684</v>
      </c>
      <c r="G111" s="147"/>
      <c r="H111" s="642" t="s">
        <v>685</v>
      </c>
      <c r="I111" s="640" t="s">
        <v>916</v>
      </c>
      <c r="J111" s="639" t="s">
        <v>659</v>
      </c>
      <c r="K111" s="188"/>
      <c r="L111" s="146"/>
      <c r="M111" s="640" t="s">
        <v>686</v>
      </c>
      <c r="N111" s="112" t="str">
        <f>IF(P111="","",P111-60)</f>
        <v/>
      </c>
      <c r="O111" s="116" t="str">
        <f t="shared" si="117"/>
        <v/>
      </c>
      <c r="P111" s="122"/>
      <c r="Q111" s="117" t="str">
        <f t="shared" ref="Q111:Q112" si="123">IF(AND(ISNUMBER(M111),ISNUMBER(T111)),M111-T111,"")</f>
        <v/>
      </c>
      <c r="R111" s="117" t="str">
        <f t="shared" si="114"/>
        <v/>
      </c>
      <c r="S111" s="114"/>
      <c r="T111" s="15" t="s">
        <v>700</v>
      </c>
      <c r="U111" s="23">
        <v>45923</v>
      </c>
      <c r="V111" s="110" t="s">
        <v>789</v>
      </c>
      <c r="W111" s="23">
        <v>45933</v>
      </c>
      <c r="X111" s="109" t="s">
        <v>790</v>
      </c>
      <c r="Y111" s="15" t="s">
        <v>836</v>
      </c>
      <c r="Z111" s="23"/>
      <c r="AA111" s="118"/>
      <c r="AB111" s="15" t="str">
        <f t="shared" si="115"/>
        <v/>
      </c>
      <c r="AC111" s="23"/>
      <c r="AD111" s="123"/>
      <c r="AE111" s="15" t="str">
        <f t="shared" si="122"/>
        <v/>
      </c>
      <c r="AF111" s="15" t="str">
        <f t="shared" ref="AF111:AF112" si="124">IF(AD111="","",IF(AC111="檢退","請修正",IF(AC111="請備查","備查",IF(AC111="審定","核定","請修正"))))</f>
        <v/>
      </c>
    </row>
    <row r="112" spans="1:32" s="2" customFormat="1" ht="40.4" customHeight="1">
      <c r="E112" s="692"/>
      <c r="F112" s="637"/>
      <c r="G112" s="147"/>
      <c r="H112" s="642"/>
      <c r="I112" s="642"/>
      <c r="J112" s="637"/>
      <c r="K112" s="188"/>
      <c r="L112" s="146"/>
      <c r="M112" s="642"/>
      <c r="N112" s="112">
        <v>45938</v>
      </c>
      <c r="O112" s="116"/>
      <c r="P112" s="122"/>
      <c r="Q112" s="117" t="str">
        <f t="shared" si="123"/>
        <v/>
      </c>
      <c r="R112" s="117">
        <f t="shared" si="114"/>
        <v>0</v>
      </c>
      <c r="S112" s="114"/>
      <c r="T112" s="15" t="s">
        <v>791</v>
      </c>
      <c r="U112" s="23">
        <v>45938</v>
      </c>
      <c r="V112" s="108" t="s">
        <v>792</v>
      </c>
      <c r="W112" s="23">
        <v>45951</v>
      </c>
      <c r="X112" s="108" t="s">
        <v>793</v>
      </c>
      <c r="Y112" s="15" t="s">
        <v>837</v>
      </c>
      <c r="Z112" s="23"/>
      <c r="AA112" s="118"/>
      <c r="AB112" s="15" t="str">
        <f t="shared" si="115"/>
        <v/>
      </c>
      <c r="AC112" s="23"/>
      <c r="AD112" s="123"/>
      <c r="AE112" s="15" t="str">
        <f t="shared" si="122"/>
        <v/>
      </c>
      <c r="AF112" s="15" t="str">
        <f t="shared" si="124"/>
        <v/>
      </c>
    </row>
    <row r="113" spans="5:32" s="2" customFormat="1" ht="40.4" customHeight="1">
      <c r="E113" s="646"/>
      <c r="F113" s="638"/>
      <c r="G113" s="147"/>
      <c r="H113" s="641"/>
      <c r="I113" s="641"/>
      <c r="J113" s="638"/>
      <c r="K113" s="188"/>
      <c r="L113" s="146"/>
      <c r="M113" s="641"/>
      <c r="N113" s="112">
        <v>45945</v>
      </c>
      <c r="O113" s="116"/>
      <c r="P113" s="122"/>
      <c r="Q113" s="15" t="str">
        <f t="shared" ref="Q113" si="125">IF(O113="","",IF(N113="檢退","請修正",IF(N113="請備查","備查",IF(N113="審定","核定","請修正"))))</f>
        <v/>
      </c>
      <c r="R113" s="15" t="str">
        <f t="shared" ref="R113" si="126">IF(P113="","",IF(O113="檢退","請修正",IF(O113="請備查","備查",IF(O113="審定","核定","請修正"))))</f>
        <v/>
      </c>
      <c r="S113" s="114" t="s">
        <v>699</v>
      </c>
      <c r="T113" s="15" t="s">
        <v>750</v>
      </c>
      <c r="U113" s="23">
        <v>45945</v>
      </c>
      <c r="V113" s="108" t="s">
        <v>794</v>
      </c>
      <c r="W113" s="23">
        <v>45952</v>
      </c>
      <c r="X113" s="118" t="s">
        <v>795</v>
      </c>
      <c r="Y113" s="15" t="s">
        <v>702</v>
      </c>
      <c r="Z113" s="23">
        <v>45961</v>
      </c>
      <c r="AA113" s="118" t="s">
        <v>796</v>
      </c>
      <c r="AB113" s="15" t="str">
        <f t="shared" si="115"/>
        <v>審定</v>
      </c>
      <c r="AC113" s="23">
        <v>45981</v>
      </c>
      <c r="AD113" s="108" t="s">
        <v>1579</v>
      </c>
      <c r="AE113" s="15" t="str">
        <f t="shared" si="122"/>
        <v>核定</v>
      </c>
      <c r="AF113" s="15"/>
    </row>
    <row r="114" spans="5:32" s="25" customFormat="1" ht="40.4" customHeight="1">
      <c r="E114" s="645">
        <f>E111+1</f>
        <v>59</v>
      </c>
      <c r="F114" s="674"/>
      <c r="G114" s="640"/>
      <c r="H114" s="640" t="s">
        <v>243</v>
      </c>
      <c r="I114" s="640" t="s">
        <v>916</v>
      </c>
      <c r="J114" s="639" t="s">
        <v>659</v>
      </c>
      <c r="K114" s="186" t="s">
        <v>872</v>
      </c>
      <c r="L114" s="145"/>
      <c r="M114" s="640"/>
      <c r="N114" s="112" t="s">
        <v>1500</v>
      </c>
      <c r="O114" s="112"/>
      <c r="P114" s="112"/>
      <c r="Q114" s="113" t="str">
        <f t="shared" ca="1" si="113"/>
        <v/>
      </c>
      <c r="R114" s="113" t="str">
        <f t="shared" si="114"/>
        <v/>
      </c>
      <c r="S114" s="114"/>
      <c r="T114" s="163" t="s">
        <v>22</v>
      </c>
      <c r="U114" s="23" t="s">
        <v>1500</v>
      </c>
      <c r="V114" s="24"/>
      <c r="W114" s="23"/>
      <c r="X114" s="15"/>
      <c r="Y114" s="15"/>
      <c r="Z114" s="23"/>
      <c r="AA114" s="24"/>
      <c r="AB114" s="15" t="str">
        <f>IF(Z114="","",IF(Y114="檢退","檢退",IF(Y114="審查同意","審定","檢退")))</f>
        <v/>
      </c>
      <c r="AC114" s="23"/>
      <c r="AD114" s="15"/>
      <c r="AE114" s="15"/>
      <c r="AF114" s="15"/>
    </row>
    <row r="115" spans="5:32" s="25" customFormat="1" ht="40.4" customHeight="1">
      <c r="E115" s="692"/>
      <c r="F115" s="674"/>
      <c r="G115" s="642"/>
      <c r="H115" s="642"/>
      <c r="I115" s="642"/>
      <c r="J115" s="637"/>
      <c r="K115" s="188" t="s">
        <v>871</v>
      </c>
      <c r="L115" s="146"/>
      <c r="M115" s="642"/>
      <c r="N115" s="112"/>
      <c r="O115" s="112"/>
      <c r="P115" s="112"/>
      <c r="Q115" s="113" t="str">
        <f t="shared" ca="1" si="113"/>
        <v/>
      </c>
      <c r="R115" s="113" t="str">
        <f t="shared" si="114"/>
        <v/>
      </c>
      <c r="S115" s="114"/>
      <c r="T115" s="15"/>
      <c r="U115" s="23"/>
      <c r="V115" s="23"/>
      <c r="W115" s="23"/>
      <c r="X115" s="24"/>
      <c r="Y115" s="15"/>
      <c r="Z115" s="23"/>
      <c r="AA115" s="24"/>
      <c r="AB115" s="15" t="str">
        <f>IF(Z115="","",IF(Y115="檢退","檢退",IF(Y115="審查同意","審定","檢退")))</f>
        <v/>
      </c>
      <c r="AC115" s="23"/>
      <c r="AD115" s="15"/>
      <c r="AE115" s="15"/>
      <c r="AF115" s="16"/>
    </row>
    <row r="116" spans="5:32" s="25" customFormat="1" ht="40.4" customHeight="1">
      <c r="E116" s="646"/>
      <c r="F116" s="674"/>
      <c r="G116" s="641"/>
      <c r="H116" s="641"/>
      <c r="I116" s="641"/>
      <c r="J116" s="638"/>
      <c r="K116" s="276"/>
      <c r="L116" s="148"/>
      <c r="M116" s="641"/>
      <c r="N116" s="112"/>
      <c r="O116" s="112"/>
      <c r="P116" s="112"/>
      <c r="Q116" s="113" t="str">
        <f t="shared" ref="Q116" ca="1" si="127">IF(N116="","",IF(U116&lt;&gt;"","",IF(AND(U116="",N116-TODAY()&lt;=60),N116-TODAY(),"")))</f>
        <v/>
      </c>
      <c r="R116" s="113" t="str">
        <f t="shared" ref="R116" si="128">IF(AND(ISNUMBER(N116),ISNUMBER(U116)),N116-U116,"")</f>
        <v/>
      </c>
      <c r="S116" s="114"/>
      <c r="T116" s="15"/>
      <c r="U116" s="23"/>
      <c r="V116" s="24"/>
      <c r="W116" s="23"/>
      <c r="X116" s="24"/>
      <c r="Y116" s="15"/>
      <c r="Z116" s="23"/>
      <c r="AA116" s="24"/>
      <c r="AB116" s="15" t="str">
        <f>IF(Z116="","",IF(Y116="檢退","檢退",IF(Y116="審查同意","審定","檢退")))</f>
        <v/>
      </c>
      <c r="AC116" s="23"/>
      <c r="AD116" s="15"/>
      <c r="AE116" s="15"/>
      <c r="AF116" s="16"/>
    </row>
    <row r="117" spans="5:32" s="25" customFormat="1" ht="40.4" customHeight="1">
      <c r="E117" s="645">
        <f>E114+1</f>
        <v>60</v>
      </c>
      <c r="F117" s="674"/>
      <c r="G117" s="640"/>
      <c r="H117" s="640" t="s">
        <v>33</v>
      </c>
      <c r="I117" s="640" t="s">
        <v>916</v>
      </c>
      <c r="J117" s="639" t="s">
        <v>659</v>
      </c>
      <c r="K117" s="643" t="s">
        <v>876</v>
      </c>
      <c r="L117" s="145"/>
      <c r="M117" s="640"/>
      <c r="N117" s="112" t="s">
        <v>1500</v>
      </c>
      <c r="O117" s="112"/>
      <c r="P117" s="112"/>
      <c r="Q117" s="113" t="str">
        <f ca="1">IF(N117="","",IF(U117&lt;&gt;"","",IF(AND(U117="",N117-TODAY()&lt;=60),N117-TODAY(),"")))</f>
        <v/>
      </c>
      <c r="R117" s="113" t="str">
        <f>IF(AND(ISNUMBER(N117),ISNUMBER(U117)),N117-U117,"")</f>
        <v/>
      </c>
      <c r="S117" s="114"/>
      <c r="T117" s="163" t="s">
        <v>22</v>
      </c>
      <c r="U117" s="23" t="s">
        <v>1500</v>
      </c>
      <c r="V117" s="24"/>
      <c r="W117" s="23"/>
      <c r="X117" s="15"/>
      <c r="Y117" s="15"/>
      <c r="Z117" s="23"/>
      <c r="AA117" s="24"/>
      <c r="AB117" s="15" t="str">
        <f t="shared" ref="AB117:AB119" si="129">IF(Z117="","",IF(Y117="檢退","檢退",IF(Y117="審查同意","審定","檢退")))</f>
        <v/>
      </c>
      <c r="AC117" s="23"/>
      <c r="AD117" s="15"/>
      <c r="AE117" s="15"/>
      <c r="AF117" s="15"/>
    </row>
    <row r="118" spans="5:32" s="25" customFormat="1" ht="40.4" customHeight="1">
      <c r="E118" s="692"/>
      <c r="F118" s="674"/>
      <c r="G118" s="642"/>
      <c r="H118" s="642"/>
      <c r="I118" s="642"/>
      <c r="J118" s="637"/>
      <c r="K118" s="647"/>
      <c r="L118" s="146"/>
      <c r="M118" s="642"/>
      <c r="N118" s="112"/>
      <c r="O118" s="112"/>
      <c r="P118" s="112"/>
      <c r="Q118" s="113" t="str">
        <f ca="1">IF(N118="","",IF(U118&lt;&gt;"","",IF(AND(U118="",N118-TODAY()&lt;=60),N118-TODAY(),"")))</f>
        <v/>
      </c>
      <c r="R118" s="113" t="str">
        <f>IF(AND(ISNUMBER(N118),ISNUMBER(U118)),N118-U118,"")</f>
        <v/>
      </c>
      <c r="S118" s="114"/>
      <c r="T118" s="15"/>
      <c r="U118" s="23"/>
      <c r="V118" s="23"/>
      <c r="W118" s="23"/>
      <c r="X118" s="24"/>
      <c r="Y118" s="15"/>
      <c r="Z118" s="23"/>
      <c r="AA118" s="24"/>
      <c r="AB118" s="15" t="str">
        <f t="shared" si="129"/>
        <v/>
      </c>
      <c r="AC118" s="23"/>
      <c r="AD118" s="15"/>
      <c r="AE118" s="15"/>
      <c r="AF118" s="16"/>
    </row>
    <row r="119" spans="5:32" s="25" customFormat="1" ht="40.4" customHeight="1">
      <c r="E119" s="646"/>
      <c r="F119" s="674"/>
      <c r="G119" s="641"/>
      <c r="H119" s="641"/>
      <c r="I119" s="641"/>
      <c r="J119" s="638"/>
      <c r="K119" s="644"/>
      <c r="L119" s="148"/>
      <c r="M119" s="641"/>
      <c r="N119" s="112"/>
      <c r="O119" s="112"/>
      <c r="P119" s="112"/>
      <c r="Q119" s="113" t="str">
        <f t="shared" ref="Q119" ca="1" si="130">IF(N119="","",IF(U119&lt;&gt;"","",IF(AND(U119="",N119-TODAY()&lt;=60),N119-TODAY(),"")))</f>
        <v/>
      </c>
      <c r="R119" s="113" t="str">
        <f t="shared" ref="R119" si="131">IF(AND(ISNUMBER(N119),ISNUMBER(U119)),N119-U119,"")</f>
        <v/>
      </c>
      <c r="S119" s="114"/>
      <c r="T119" s="15"/>
      <c r="U119" s="23"/>
      <c r="V119" s="24"/>
      <c r="W119" s="23"/>
      <c r="X119" s="24"/>
      <c r="Y119" s="15"/>
      <c r="Z119" s="23"/>
      <c r="AA119" s="24"/>
      <c r="AB119" s="15" t="str">
        <f t="shared" si="129"/>
        <v/>
      </c>
      <c r="AC119" s="23"/>
      <c r="AD119" s="15"/>
      <c r="AE119" s="15"/>
      <c r="AF119" s="16"/>
    </row>
    <row r="120" spans="5:32" s="25" customFormat="1" ht="40.4" customHeight="1">
      <c r="E120" s="645">
        <f>E117+1</f>
        <v>61</v>
      </c>
      <c r="F120" s="674"/>
      <c r="G120" s="640"/>
      <c r="H120" s="640" t="s">
        <v>1580</v>
      </c>
      <c r="I120" s="640" t="s">
        <v>916</v>
      </c>
      <c r="J120" s="639" t="s">
        <v>659</v>
      </c>
      <c r="K120" s="643" t="s">
        <v>873</v>
      </c>
      <c r="L120" s="145"/>
      <c r="M120" s="640"/>
      <c r="N120" s="112" t="s">
        <v>1500</v>
      </c>
      <c r="O120" s="112"/>
      <c r="P120" s="112"/>
      <c r="Q120" s="113" t="str">
        <f ca="1">IF(N120="","",IF(U120&lt;&gt;"","",IF(AND(U120="",N120-TODAY()&lt;=60),N120-TODAY(),"")))</f>
        <v/>
      </c>
      <c r="R120" s="113" t="str">
        <f>IF(AND(ISNUMBER(N120),ISNUMBER(U120)),N120-U120,"")</f>
        <v/>
      </c>
      <c r="S120" s="114"/>
      <c r="T120" s="163" t="s">
        <v>22</v>
      </c>
      <c r="U120" s="23" t="s">
        <v>1500</v>
      </c>
      <c r="V120" s="24"/>
      <c r="W120" s="23"/>
      <c r="X120" s="15"/>
      <c r="Y120" s="15"/>
      <c r="Z120" s="23"/>
      <c r="AA120" s="24"/>
      <c r="AB120" s="15" t="str">
        <f t="shared" ref="AB120:AB122" si="132">IF(Z120="","",IF(Y120="檢退","檢退",IF(Y120="審查同意","審定","檢退")))</f>
        <v/>
      </c>
      <c r="AC120" s="23"/>
      <c r="AD120" s="15"/>
      <c r="AE120" s="15"/>
      <c r="AF120" s="15"/>
    </row>
    <row r="121" spans="5:32" s="25" customFormat="1" ht="40.4" customHeight="1">
      <c r="E121" s="692"/>
      <c r="F121" s="674"/>
      <c r="G121" s="642"/>
      <c r="H121" s="642"/>
      <c r="I121" s="642"/>
      <c r="J121" s="637"/>
      <c r="K121" s="647"/>
      <c r="L121" s="146"/>
      <c r="M121" s="642"/>
      <c r="N121" s="112"/>
      <c r="O121" s="112"/>
      <c r="P121" s="112"/>
      <c r="Q121" s="113" t="str">
        <f ca="1">IF(N121="","",IF(U121&lt;&gt;"","",IF(AND(U121="",N121-TODAY()&lt;=60),N121-TODAY(),"")))</f>
        <v/>
      </c>
      <c r="R121" s="113" t="str">
        <f>IF(AND(ISNUMBER(N121),ISNUMBER(U121)),N121-U121,"")</f>
        <v/>
      </c>
      <c r="S121" s="114"/>
      <c r="T121" s="15"/>
      <c r="U121" s="23"/>
      <c r="V121" s="23"/>
      <c r="W121" s="23"/>
      <c r="X121" s="24"/>
      <c r="Y121" s="15"/>
      <c r="Z121" s="23"/>
      <c r="AA121" s="24"/>
      <c r="AB121" s="15" t="str">
        <f t="shared" si="132"/>
        <v/>
      </c>
      <c r="AC121" s="23"/>
      <c r="AD121" s="15"/>
      <c r="AE121" s="15"/>
      <c r="AF121" s="16"/>
    </row>
    <row r="122" spans="5:32" s="25" customFormat="1" ht="40.4" customHeight="1">
      <c r="E122" s="646"/>
      <c r="F122" s="674"/>
      <c r="G122" s="641"/>
      <c r="H122" s="641"/>
      <c r="I122" s="641"/>
      <c r="J122" s="638"/>
      <c r="K122" s="644"/>
      <c r="L122" s="148"/>
      <c r="M122" s="641"/>
      <c r="N122" s="112"/>
      <c r="O122" s="112"/>
      <c r="P122" s="112"/>
      <c r="Q122" s="113" t="str">
        <f t="shared" ref="Q122" ca="1" si="133">IF(N122="","",IF(U122&lt;&gt;"","",IF(AND(U122="",N122-TODAY()&lt;=60),N122-TODAY(),"")))</f>
        <v/>
      </c>
      <c r="R122" s="113" t="str">
        <f t="shared" ref="R122" si="134">IF(AND(ISNUMBER(N122),ISNUMBER(U122)),N122-U122,"")</f>
        <v/>
      </c>
      <c r="S122" s="114"/>
      <c r="T122" s="15"/>
      <c r="U122" s="23"/>
      <c r="V122" s="24"/>
      <c r="W122" s="23"/>
      <c r="X122" s="24"/>
      <c r="Y122" s="15"/>
      <c r="Z122" s="23"/>
      <c r="AA122" s="24"/>
      <c r="AB122" s="15" t="str">
        <f t="shared" si="132"/>
        <v/>
      </c>
      <c r="AC122" s="23"/>
      <c r="AD122" s="15"/>
      <c r="AE122" s="15"/>
      <c r="AF122" s="16"/>
    </row>
    <row r="123" spans="5:32" s="25" customFormat="1" ht="40.4" customHeight="1">
      <c r="E123" s="645">
        <f>E120+1</f>
        <v>62</v>
      </c>
      <c r="F123" s="674"/>
      <c r="G123" s="640"/>
      <c r="H123" s="640" t="s">
        <v>1581</v>
      </c>
      <c r="I123" s="640" t="s">
        <v>916</v>
      </c>
      <c r="J123" s="639" t="s">
        <v>659</v>
      </c>
      <c r="K123" s="643" t="s">
        <v>874</v>
      </c>
      <c r="L123" s="145"/>
      <c r="M123" s="640"/>
      <c r="N123" s="112" t="s">
        <v>1500</v>
      </c>
      <c r="O123" s="112"/>
      <c r="P123" s="112"/>
      <c r="Q123" s="113" t="str">
        <f ca="1">IF(N123="","",IF(U123&lt;&gt;"","",IF(AND(U123="",N123-TODAY()&lt;=60),N123-TODAY(),"")))</f>
        <v/>
      </c>
      <c r="R123" s="113" t="str">
        <f>IF(AND(ISNUMBER(N123),ISNUMBER(U123)),N123-U123,"")</f>
        <v/>
      </c>
      <c r="S123" s="114"/>
      <c r="T123" s="163" t="s">
        <v>22</v>
      </c>
      <c r="U123" s="23" t="s">
        <v>1500</v>
      </c>
      <c r="V123" s="24"/>
      <c r="W123" s="23"/>
      <c r="X123" s="15"/>
      <c r="Y123" s="15"/>
      <c r="Z123" s="23"/>
      <c r="AA123" s="24"/>
      <c r="AB123" s="15" t="str">
        <f t="shared" ref="AB123:AB129" si="135">IF(Z123="","",IF(Y123="檢退","檢退",IF(Y123="審查同意","審定","檢退")))</f>
        <v/>
      </c>
      <c r="AC123" s="23"/>
      <c r="AD123" s="15"/>
      <c r="AE123" s="15"/>
      <c r="AF123" s="15"/>
    </row>
    <row r="124" spans="5:32" s="25" customFormat="1" ht="40.4" customHeight="1">
      <c r="E124" s="692"/>
      <c r="F124" s="674"/>
      <c r="G124" s="642"/>
      <c r="H124" s="642"/>
      <c r="I124" s="642"/>
      <c r="J124" s="637"/>
      <c r="K124" s="647"/>
      <c r="L124" s="146"/>
      <c r="M124" s="642"/>
      <c r="N124" s="112"/>
      <c r="O124" s="112"/>
      <c r="P124" s="112"/>
      <c r="Q124" s="113" t="str">
        <f ca="1">IF(N124="","",IF(U124&lt;&gt;"","",IF(AND(U124="",N124-TODAY()&lt;=60),N124-TODAY(),"")))</f>
        <v/>
      </c>
      <c r="R124" s="113" t="str">
        <f>IF(AND(ISNUMBER(N124),ISNUMBER(U124)),N124-U124,"")</f>
        <v/>
      </c>
      <c r="S124" s="114"/>
      <c r="T124" s="15"/>
      <c r="U124" s="23"/>
      <c r="V124" s="23"/>
      <c r="W124" s="23"/>
      <c r="X124" s="24"/>
      <c r="Y124" s="15"/>
      <c r="Z124" s="23"/>
      <c r="AA124" s="24"/>
      <c r="AB124" s="15" t="str">
        <f t="shared" si="135"/>
        <v/>
      </c>
      <c r="AC124" s="23"/>
      <c r="AD124" s="15"/>
      <c r="AE124" s="15"/>
      <c r="AF124" s="16"/>
    </row>
    <row r="125" spans="5:32" s="25" customFormat="1" ht="40.4" customHeight="1">
      <c r="E125" s="646"/>
      <c r="F125" s="674"/>
      <c r="G125" s="641"/>
      <c r="H125" s="641"/>
      <c r="I125" s="641"/>
      <c r="J125" s="638"/>
      <c r="K125" s="644"/>
      <c r="L125" s="148"/>
      <c r="M125" s="641"/>
      <c r="N125" s="112"/>
      <c r="O125" s="112"/>
      <c r="P125" s="112"/>
      <c r="Q125" s="113" t="str">
        <f t="shared" ref="Q125:Q129" ca="1" si="136">IF(N125="","",IF(U125&lt;&gt;"","",IF(AND(U125="",N125-TODAY()&lt;=60),N125-TODAY(),"")))</f>
        <v/>
      </c>
      <c r="R125" s="113" t="str">
        <f t="shared" ref="R125:R129" si="137">IF(AND(ISNUMBER(N125),ISNUMBER(U125)),N125-U125,"")</f>
        <v/>
      </c>
      <c r="S125" s="114"/>
      <c r="T125" s="15"/>
      <c r="U125" s="23"/>
      <c r="V125" s="24"/>
      <c r="W125" s="23"/>
      <c r="X125" s="24"/>
      <c r="Y125" s="15"/>
      <c r="Z125" s="23"/>
      <c r="AA125" s="24"/>
      <c r="AB125" s="15" t="str">
        <f t="shared" si="135"/>
        <v/>
      </c>
      <c r="AC125" s="23"/>
      <c r="AD125" s="15"/>
      <c r="AE125" s="15"/>
      <c r="AF125" s="16"/>
    </row>
    <row r="126" spans="5:32" s="25" customFormat="1" ht="40.4" customHeight="1">
      <c r="E126" s="645">
        <f>E123+1</f>
        <v>63</v>
      </c>
      <c r="F126" s="674" t="s">
        <v>1650</v>
      </c>
      <c r="G126" s="640"/>
      <c r="H126" s="640" t="s">
        <v>1646</v>
      </c>
      <c r="I126" s="640" t="s">
        <v>916</v>
      </c>
      <c r="J126" s="639" t="s">
        <v>659</v>
      </c>
      <c r="K126" s="643" t="s">
        <v>874</v>
      </c>
      <c r="L126" s="145"/>
      <c r="M126" s="640" t="s">
        <v>1647</v>
      </c>
      <c r="N126" s="112" t="s">
        <v>1500</v>
      </c>
      <c r="O126" s="112"/>
      <c r="P126" s="112"/>
      <c r="Q126" s="113" t="str">
        <f ca="1">IF(N126="","",IF(U126&lt;&gt;"","",IF(AND(U126="",N126-TODAY()&lt;=60),N126-TODAY(),"")))</f>
        <v/>
      </c>
      <c r="R126" s="113" t="str">
        <f>IF(AND(ISNUMBER(N126),ISNUMBER(U126)),N126-U126,"")</f>
        <v/>
      </c>
      <c r="S126" s="114"/>
      <c r="T126" s="163" t="s">
        <v>22</v>
      </c>
      <c r="U126" s="23" t="s">
        <v>1648</v>
      </c>
      <c r="V126" s="24" t="s">
        <v>1651</v>
      </c>
      <c r="W126" s="23" t="s">
        <v>1098</v>
      </c>
      <c r="X126" s="15" t="s">
        <v>1652</v>
      </c>
      <c r="Y126" s="15" t="s">
        <v>1653</v>
      </c>
      <c r="Z126" s="23"/>
      <c r="AA126" s="24"/>
      <c r="AB126" s="15" t="str">
        <f t="shared" ref="AB126:AB128" si="138">IF(Z126="","",IF(Y126="檢退","檢退",IF(Y126="審查同意","審定","檢退")))</f>
        <v/>
      </c>
      <c r="AC126" s="23"/>
      <c r="AD126" s="15" t="s">
        <v>1649</v>
      </c>
      <c r="AE126" s="15" t="s">
        <v>925</v>
      </c>
      <c r="AF126" s="15"/>
    </row>
    <row r="127" spans="5:32" s="25" customFormat="1" ht="40.4" customHeight="1">
      <c r="E127" s="692"/>
      <c r="F127" s="674"/>
      <c r="G127" s="642"/>
      <c r="H127" s="642"/>
      <c r="I127" s="642"/>
      <c r="J127" s="637"/>
      <c r="K127" s="647"/>
      <c r="L127" s="146"/>
      <c r="M127" s="642"/>
      <c r="N127" s="112"/>
      <c r="O127" s="112"/>
      <c r="P127" s="112"/>
      <c r="Q127" s="113" t="str">
        <f ca="1">IF(N127="","",IF(U127&lt;&gt;"","",IF(AND(U127="",N127-TODAY()&lt;=60),N127-TODAY(),"")))</f>
        <v/>
      </c>
      <c r="R127" s="113" t="str">
        <f>IF(AND(ISNUMBER(N127),ISNUMBER(U127)),N127-U127,"")</f>
        <v/>
      </c>
      <c r="S127" s="114"/>
      <c r="T127" s="15"/>
      <c r="U127" s="23"/>
      <c r="V127" s="23"/>
      <c r="W127" s="23"/>
      <c r="X127" s="24"/>
      <c r="Y127" s="15"/>
      <c r="Z127" s="23"/>
      <c r="AA127" s="24"/>
      <c r="AB127" s="15" t="str">
        <f t="shared" si="138"/>
        <v/>
      </c>
      <c r="AC127" s="23"/>
      <c r="AD127" s="15"/>
      <c r="AE127" s="15"/>
      <c r="AF127" s="16"/>
    </row>
    <row r="128" spans="5:32" s="25" customFormat="1" ht="40.4" customHeight="1">
      <c r="E128" s="646"/>
      <c r="F128" s="674"/>
      <c r="G128" s="641"/>
      <c r="H128" s="641"/>
      <c r="I128" s="641"/>
      <c r="J128" s="638"/>
      <c r="K128" s="644"/>
      <c r="L128" s="148"/>
      <c r="M128" s="641"/>
      <c r="N128" s="112"/>
      <c r="O128" s="112"/>
      <c r="P128" s="112"/>
      <c r="Q128" s="113" t="str">
        <f t="shared" ref="Q128" ca="1" si="139">IF(N128="","",IF(U128&lt;&gt;"","",IF(AND(U128="",N128-TODAY()&lt;=60),N128-TODAY(),"")))</f>
        <v/>
      </c>
      <c r="R128" s="113" t="str">
        <f t="shared" ref="R128" si="140">IF(AND(ISNUMBER(N128),ISNUMBER(U128)),N128-U128,"")</f>
        <v/>
      </c>
      <c r="S128" s="114"/>
      <c r="T128" s="15"/>
      <c r="U128" s="23"/>
      <c r="V128" s="24"/>
      <c r="W128" s="23"/>
      <c r="X128" s="24"/>
      <c r="Y128" s="15"/>
      <c r="Z128" s="23"/>
      <c r="AA128" s="24"/>
      <c r="AB128" s="15" t="str">
        <f t="shared" si="138"/>
        <v/>
      </c>
      <c r="AC128" s="23"/>
      <c r="AD128" s="15"/>
      <c r="AE128" s="15"/>
      <c r="AF128" s="16"/>
    </row>
    <row r="129" spans="1:32" s="2" customFormat="1" ht="40.4" customHeight="1">
      <c r="A129" s="136"/>
      <c r="B129" s="136"/>
      <c r="C129" s="136"/>
      <c r="D129" s="136"/>
      <c r="E129" s="696">
        <v>64</v>
      </c>
      <c r="F129" s="665" t="s">
        <v>1622</v>
      </c>
      <c r="G129" s="668"/>
      <c r="H129" s="668" t="s">
        <v>186</v>
      </c>
      <c r="I129" s="640" t="s">
        <v>916</v>
      </c>
      <c r="J129" s="639" t="s">
        <v>659</v>
      </c>
      <c r="K129" s="671" t="s">
        <v>877</v>
      </c>
      <c r="L129" s="130"/>
      <c r="M129" s="668" t="s">
        <v>681</v>
      </c>
      <c r="N129" s="112" t="str">
        <f>IF(P129="","",P129-60)</f>
        <v/>
      </c>
      <c r="O129" s="116" t="str">
        <f>IF(P129="","",P129-30)</f>
        <v/>
      </c>
      <c r="P129" s="122"/>
      <c r="Q129" s="117" t="str">
        <f t="shared" ca="1" si="136"/>
        <v/>
      </c>
      <c r="R129" s="117" t="str">
        <f t="shared" si="137"/>
        <v/>
      </c>
      <c r="S129" s="114" t="s">
        <v>699</v>
      </c>
      <c r="T129" s="15" t="s">
        <v>700</v>
      </c>
      <c r="U129" s="23">
        <v>45980</v>
      </c>
      <c r="V129" s="110" t="s">
        <v>799</v>
      </c>
      <c r="W129" s="23">
        <v>45989</v>
      </c>
      <c r="X129" s="123" t="s">
        <v>800</v>
      </c>
      <c r="Y129" s="15" t="s">
        <v>702</v>
      </c>
      <c r="Z129" s="23">
        <v>45999</v>
      </c>
      <c r="AA129" s="118" t="s">
        <v>801</v>
      </c>
      <c r="AB129" s="15" t="str">
        <f t="shared" si="135"/>
        <v>審定</v>
      </c>
      <c r="AC129" s="23">
        <v>46003</v>
      </c>
      <c r="AD129" s="109" t="s">
        <v>1623</v>
      </c>
      <c r="AE129" s="15" t="str">
        <f t="shared" ref="AE129" si="141">IF(AC129="","",IF(AB129="檢退","請修正",IF(AB129="請備查","備查",IF(AB129="審定","核定","請修正"))))</f>
        <v>核定</v>
      </c>
      <c r="AF129" s="16"/>
    </row>
    <row r="130" spans="1:32" s="2" customFormat="1" ht="40.4" customHeight="1">
      <c r="A130" s="136"/>
      <c r="B130" s="136"/>
      <c r="C130" s="136"/>
      <c r="D130" s="136"/>
      <c r="E130" s="697"/>
      <c r="F130" s="666"/>
      <c r="G130" s="669"/>
      <c r="H130" s="669"/>
      <c r="I130" s="642"/>
      <c r="J130" s="637"/>
      <c r="K130" s="672"/>
      <c r="L130" s="131"/>
      <c r="M130" s="669"/>
      <c r="N130" s="112"/>
      <c r="O130" s="116"/>
      <c r="P130" s="125"/>
      <c r="Q130" s="113" t="str">
        <f ca="1">IF(N130="","",IF(U130&lt;&gt;"","",IF(AND(U130="",N130-TODAY()&lt;=60),N130-TODAY(),"")))</f>
        <v/>
      </c>
      <c r="R130" s="113" t="str">
        <f>IF(AND(ISNUMBER(N130),ISNUMBER(U130)),N130-U130,"")</f>
        <v/>
      </c>
      <c r="S130" s="114"/>
      <c r="T130" s="15"/>
      <c r="U130" s="23"/>
      <c r="V130" s="24"/>
      <c r="W130" s="23"/>
      <c r="X130" s="126"/>
      <c r="Y130" s="15"/>
      <c r="Z130" s="23"/>
      <c r="AA130" s="24"/>
      <c r="AB130" s="15" t="str">
        <f>IF(Z130="","",IF(Y130="檢退","檢退",IF(Y130="審查同意","審定","檢退")))</f>
        <v/>
      </c>
      <c r="AC130" s="23"/>
      <c r="AD130" s="15"/>
      <c r="AE130" s="15"/>
      <c r="AF130" s="16"/>
    </row>
    <row r="131" spans="1:32" s="2" customFormat="1" ht="40.4" customHeight="1">
      <c r="A131" s="136"/>
      <c r="B131" s="136"/>
      <c r="C131" s="136"/>
      <c r="D131" s="136"/>
      <c r="E131" s="698"/>
      <c r="F131" s="667"/>
      <c r="G131" s="670"/>
      <c r="H131" s="670"/>
      <c r="I131" s="641"/>
      <c r="J131" s="638"/>
      <c r="K131" s="673"/>
      <c r="L131" s="132"/>
      <c r="M131" s="670"/>
      <c r="N131" s="112"/>
      <c r="O131" s="116"/>
      <c r="P131" s="125"/>
      <c r="Q131" s="113" t="str">
        <f ca="1">IF(N131="","",IF(U131&lt;&gt;"","",IF(AND(U131="",N131-TODAY()&lt;=60),N131-TODAY(),"")))</f>
        <v/>
      </c>
      <c r="R131" s="113" t="str">
        <f>IF(AND(ISNUMBER(N131),ISNUMBER(U131)),N131-U131,"")</f>
        <v/>
      </c>
      <c r="S131" s="114"/>
      <c r="T131" s="15"/>
      <c r="U131" s="23"/>
      <c r="V131" s="24"/>
      <c r="W131" s="23"/>
      <c r="X131" s="24"/>
      <c r="Y131" s="15"/>
      <c r="Z131" s="23"/>
      <c r="AA131" s="24"/>
      <c r="AB131" s="15" t="str">
        <f>IF(Z131="","",IF(Y131="檢退","檢退",IF(Y131="審查同意","審定","檢退")))</f>
        <v/>
      </c>
      <c r="AC131" s="23"/>
      <c r="AD131" s="15"/>
      <c r="AE131" s="15"/>
      <c r="AF131" s="16"/>
    </row>
    <row r="132" spans="1:32" s="2" customFormat="1" ht="40.4" customHeight="1">
      <c r="A132" s="136"/>
      <c r="B132" s="136"/>
      <c r="C132" s="136"/>
      <c r="D132" s="136"/>
      <c r="E132" s="696">
        <f t="shared" ref="E132" si="142">E129+1</f>
        <v>65</v>
      </c>
      <c r="F132" s="699" t="s">
        <v>1624</v>
      </c>
      <c r="G132" s="695"/>
      <c r="H132" s="695" t="s">
        <v>696</v>
      </c>
      <c r="I132" s="668" t="s">
        <v>917</v>
      </c>
      <c r="J132" s="695" t="s">
        <v>680</v>
      </c>
      <c r="K132" s="189"/>
      <c r="L132" s="131"/>
      <c r="M132" s="668" t="s">
        <v>683</v>
      </c>
      <c r="N132" s="112" t="str">
        <f>IF(P132="","",P132-60)</f>
        <v/>
      </c>
      <c r="O132" s="116" t="str">
        <f>IF(P132="","",P132-30)</f>
        <v/>
      </c>
      <c r="P132" s="122"/>
      <c r="Q132" s="117" t="str">
        <f t="shared" ref="Q132:Q134" ca="1" si="143">IF(N132="","",IF(U132&lt;&gt;"","",IF(AND(U132="",N132-TODAY()&lt;=60),N132-TODAY(),"")))</f>
        <v/>
      </c>
      <c r="R132" s="117" t="str">
        <f t="shared" ref="R132:R134" si="144">IF(AND(ISNUMBER(N132),ISNUMBER(U132)),N132-U132,"")</f>
        <v/>
      </c>
      <c r="S132" s="114"/>
      <c r="T132" s="15" t="s">
        <v>700</v>
      </c>
      <c r="U132" s="23">
        <v>45995</v>
      </c>
      <c r="V132" s="128" t="s">
        <v>802</v>
      </c>
      <c r="W132" s="23">
        <v>46009</v>
      </c>
      <c r="X132" s="129" t="s">
        <v>803</v>
      </c>
      <c r="Y132" s="15" t="s">
        <v>804</v>
      </c>
      <c r="Z132" s="23"/>
      <c r="AA132" s="118"/>
      <c r="AB132" s="15" t="str">
        <f t="shared" ref="AB132:AB134" si="145">IF(Z132="","",IF(Y132="檢退","檢退",IF(Y132="審查同意","審定","檢退")))</f>
        <v/>
      </c>
      <c r="AC132" s="23"/>
      <c r="AD132" s="123"/>
      <c r="AE132" s="15" t="str">
        <f t="shared" ref="AE132:AE134" si="146">IF(AC132="","",IF(AB132="檢退","請修正",IF(AB132="請備查","備查",IF(AB132="審定","核定","請修正"))))</f>
        <v/>
      </c>
      <c r="AF132" s="16"/>
    </row>
    <row r="133" spans="1:32" s="2" customFormat="1" ht="40.4" customHeight="1">
      <c r="A133" s="136"/>
      <c r="B133" s="136"/>
      <c r="C133" s="136"/>
      <c r="D133" s="136"/>
      <c r="E133" s="697"/>
      <c r="F133" s="699"/>
      <c r="G133" s="700"/>
      <c r="H133" s="695"/>
      <c r="I133" s="669"/>
      <c r="J133" s="695"/>
      <c r="K133" s="189"/>
      <c r="L133" s="131"/>
      <c r="M133" s="669"/>
      <c r="N133" s="112">
        <f>W132+7</f>
        <v>46016</v>
      </c>
      <c r="O133" s="116"/>
      <c r="P133" s="122"/>
      <c r="Q133" s="117" t="str">
        <f t="shared" ca="1" si="143"/>
        <v/>
      </c>
      <c r="R133" s="117">
        <f t="shared" si="144"/>
        <v>-13</v>
      </c>
      <c r="S133" s="114" t="s">
        <v>699</v>
      </c>
      <c r="T133" s="15" t="s">
        <v>750</v>
      </c>
      <c r="U133" s="23">
        <v>46029</v>
      </c>
      <c r="V133" s="129" t="s">
        <v>805</v>
      </c>
      <c r="W133" s="23">
        <v>46048</v>
      </c>
      <c r="X133" s="129" t="s">
        <v>806</v>
      </c>
      <c r="Y133" s="15" t="s">
        <v>702</v>
      </c>
      <c r="Z133" s="23">
        <v>46048</v>
      </c>
      <c r="AA133" s="129" t="s">
        <v>806</v>
      </c>
      <c r="AB133" s="15" t="str">
        <f t="shared" si="145"/>
        <v>審定</v>
      </c>
      <c r="AC133" s="23">
        <v>46086</v>
      </c>
      <c r="AD133" s="129" t="s">
        <v>1625</v>
      </c>
      <c r="AE133" s="15" t="str">
        <f t="shared" si="146"/>
        <v>核定</v>
      </c>
      <c r="AF133" s="16"/>
    </row>
    <row r="134" spans="1:32" s="2" customFormat="1" ht="40.4" customHeight="1">
      <c r="A134" s="136"/>
      <c r="B134" s="136"/>
      <c r="C134" s="136"/>
      <c r="D134" s="136"/>
      <c r="E134" s="698"/>
      <c r="F134" s="699"/>
      <c r="G134" s="700"/>
      <c r="H134" s="695"/>
      <c r="I134" s="670"/>
      <c r="J134" s="695"/>
      <c r="K134" s="189"/>
      <c r="L134" s="131"/>
      <c r="M134" s="669"/>
      <c r="N134" s="112"/>
      <c r="O134" s="116"/>
      <c r="P134" s="122"/>
      <c r="Q134" s="117" t="str">
        <f t="shared" ca="1" si="143"/>
        <v/>
      </c>
      <c r="R134" s="117" t="str">
        <f t="shared" si="144"/>
        <v/>
      </c>
      <c r="S134" s="114"/>
      <c r="T134" s="15"/>
      <c r="U134" s="23"/>
      <c r="V134" s="118"/>
      <c r="W134" s="23"/>
      <c r="X134" s="118"/>
      <c r="Y134" s="15"/>
      <c r="Z134" s="23"/>
      <c r="AA134" s="118"/>
      <c r="AB134" s="15" t="str">
        <f t="shared" si="145"/>
        <v/>
      </c>
      <c r="AC134" s="23"/>
      <c r="AD134" s="123"/>
      <c r="AE134" s="15" t="str">
        <f t="shared" si="146"/>
        <v/>
      </c>
      <c r="AF134" s="16"/>
    </row>
    <row r="135" spans="1:32" s="115" customFormat="1" ht="40.4" customHeight="1">
      <c r="E135" s="696">
        <f t="shared" ref="E135" si="147">E132+1</f>
        <v>66</v>
      </c>
      <c r="F135" s="699" t="s">
        <v>1627</v>
      </c>
      <c r="G135" s="107"/>
      <c r="H135" s="668" t="s">
        <v>680</v>
      </c>
      <c r="I135" s="668" t="s">
        <v>917</v>
      </c>
      <c r="J135" s="695" t="s">
        <v>680</v>
      </c>
      <c r="K135" s="672" t="s">
        <v>918</v>
      </c>
      <c r="L135" s="131"/>
      <c r="M135" s="668" t="s">
        <v>1626</v>
      </c>
      <c r="N135" s="112">
        <f>IF(P135="","",P135-60)</f>
        <v>45975</v>
      </c>
      <c r="O135" s="116">
        <f>IF(P135="","",P135-30)</f>
        <v>46005</v>
      </c>
      <c r="P135" s="122">
        <v>46035</v>
      </c>
      <c r="Q135" s="117" t="str">
        <f t="shared" ref="Q135:Q158" ca="1" si="148">IF(N135="","",IF(U135&lt;&gt;"","",IF(AND(U135="",N135-TODAY()&lt;=60),N135-TODAY(),"")))</f>
        <v/>
      </c>
      <c r="R135" s="117">
        <f t="shared" ref="R135:R158" si="149">IF(AND(ISNUMBER(N135),ISNUMBER(U135)),N135-U135,"")</f>
        <v>100</v>
      </c>
      <c r="S135" s="114"/>
      <c r="T135" s="15" t="s">
        <v>700</v>
      </c>
      <c r="U135" s="23">
        <v>45875</v>
      </c>
      <c r="V135" s="108" t="s">
        <v>811</v>
      </c>
      <c r="W135" s="23">
        <v>45887</v>
      </c>
      <c r="X135" s="108" t="s">
        <v>812</v>
      </c>
      <c r="Y135" s="126" t="s">
        <v>813</v>
      </c>
      <c r="Z135" s="23"/>
      <c r="AA135" s="118"/>
      <c r="AB135" s="15" t="str">
        <f t="shared" ref="AB135:AB152" si="150">IF(Z135="","",IF(Y135="檢退","檢退",IF(Y135="審查同意","審定","檢退")))</f>
        <v/>
      </c>
      <c r="AC135" s="23"/>
      <c r="AD135" s="123"/>
      <c r="AE135" s="15" t="str">
        <f t="shared" ref="AE135:AE152" si="151">IF(AC135="","",IF(AB135="檢退","請修正",IF(AB135="請備查","備查",IF(AB135="審定","核定","請修正"))))</f>
        <v/>
      </c>
      <c r="AF135" s="16"/>
    </row>
    <row r="136" spans="1:32" s="115" customFormat="1" ht="40.4" customHeight="1">
      <c r="E136" s="697"/>
      <c r="F136" s="699"/>
      <c r="G136" s="107"/>
      <c r="H136" s="669"/>
      <c r="I136" s="669"/>
      <c r="J136" s="695"/>
      <c r="K136" s="672"/>
      <c r="L136" s="131"/>
      <c r="M136" s="669"/>
      <c r="N136" s="112">
        <v>45891</v>
      </c>
      <c r="O136" s="116"/>
      <c r="P136" s="122"/>
      <c r="Q136" s="117" t="str">
        <f t="shared" ca="1" si="148"/>
        <v/>
      </c>
      <c r="R136" s="117">
        <f t="shared" si="149"/>
        <v>-33</v>
      </c>
      <c r="S136" s="114" t="s">
        <v>699</v>
      </c>
      <c r="T136" s="15" t="s">
        <v>750</v>
      </c>
      <c r="U136" s="23">
        <v>45924</v>
      </c>
      <c r="V136" s="110" t="s">
        <v>73</v>
      </c>
      <c r="W136" s="23">
        <v>45931</v>
      </c>
      <c r="X136" s="118" t="s">
        <v>814</v>
      </c>
      <c r="Y136" s="126" t="s">
        <v>702</v>
      </c>
      <c r="Z136" s="23">
        <v>45939</v>
      </c>
      <c r="AA136" s="118" t="s">
        <v>815</v>
      </c>
      <c r="AB136" s="15" t="str">
        <f t="shared" si="150"/>
        <v>審定</v>
      </c>
      <c r="AC136" s="23">
        <v>45946</v>
      </c>
      <c r="AD136" s="109" t="s">
        <v>1628</v>
      </c>
      <c r="AE136" s="15" t="str">
        <f t="shared" si="151"/>
        <v>核定</v>
      </c>
      <c r="AF136" s="16"/>
    </row>
    <row r="137" spans="1:32" s="115" customFormat="1" ht="40.4" customHeight="1">
      <c r="E137" s="698"/>
      <c r="F137" s="699"/>
      <c r="G137" s="107"/>
      <c r="H137" s="670"/>
      <c r="I137" s="670"/>
      <c r="J137" s="695"/>
      <c r="K137" s="672"/>
      <c r="L137" s="131"/>
      <c r="M137" s="670"/>
      <c r="N137" s="112"/>
      <c r="O137" s="116"/>
      <c r="P137" s="122"/>
      <c r="Q137" s="117" t="str">
        <f t="shared" ca="1" si="148"/>
        <v/>
      </c>
      <c r="R137" s="117" t="str">
        <f t="shared" si="149"/>
        <v/>
      </c>
      <c r="S137" s="114"/>
      <c r="T137" s="15"/>
      <c r="U137" s="23"/>
      <c r="V137" s="118"/>
      <c r="W137" s="23"/>
      <c r="X137" s="118"/>
      <c r="Y137" s="15"/>
      <c r="Z137" s="23"/>
      <c r="AA137" s="118"/>
      <c r="AB137" s="15" t="str">
        <f t="shared" si="150"/>
        <v/>
      </c>
      <c r="AC137" s="23"/>
      <c r="AD137" s="123"/>
      <c r="AE137" s="15" t="str">
        <f t="shared" si="151"/>
        <v/>
      </c>
      <c r="AF137" s="16"/>
    </row>
    <row r="138" spans="1:32" s="115" customFormat="1" ht="40.4" customHeight="1">
      <c r="E138" s="696">
        <f t="shared" ref="E138" si="152">E135+1</f>
        <v>67</v>
      </c>
      <c r="F138" s="665" t="s">
        <v>1631</v>
      </c>
      <c r="G138" s="107"/>
      <c r="H138" s="668" t="s">
        <v>691</v>
      </c>
      <c r="I138" s="668" t="s">
        <v>917</v>
      </c>
      <c r="J138" s="695" t="s">
        <v>680</v>
      </c>
      <c r="K138" s="672" t="s">
        <v>921</v>
      </c>
      <c r="L138" s="131"/>
      <c r="M138" s="668" t="s">
        <v>1629</v>
      </c>
      <c r="N138" s="112" t="str">
        <f>IF(P138="","",P138-60)</f>
        <v/>
      </c>
      <c r="O138" s="116" t="str">
        <f>IF(P138="","",P138-30)</f>
        <v/>
      </c>
      <c r="P138" s="122"/>
      <c r="Q138" s="117" t="str">
        <f t="shared" ca="1" si="148"/>
        <v/>
      </c>
      <c r="R138" s="117" t="str">
        <f t="shared" si="149"/>
        <v/>
      </c>
      <c r="S138" s="114" t="s">
        <v>699</v>
      </c>
      <c r="T138" s="15" t="s">
        <v>700</v>
      </c>
      <c r="U138" s="23">
        <v>45971</v>
      </c>
      <c r="V138" s="110" t="s">
        <v>816</v>
      </c>
      <c r="W138" s="23">
        <v>45974</v>
      </c>
      <c r="X138" s="118" t="s">
        <v>817</v>
      </c>
      <c r="Y138" s="15" t="s">
        <v>718</v>
      </c>
      <c r="Z138" s="23">
        <v>45980</v>
      </c>
      <c r="AA138" s="118" t="s">
        <v>818</v>
      </c>
      <c r="AB138" s="15" t="str">
        <f t="shared" si="150"/>
        <v>審定</v>
      </c>
      <c r="AC138" s="23">
        <v>45985</v>
      </c>
      <c r="AD138" s="109" t="s">
        <v>1630</v>
      </c>
      <c r="AE138" s="15" t="str">
        <f t="shared" si="151"/>
        <v>核定</v>
      </c>
      <c r="AF138" s="16"/>
    </row>
    <row r="139" spans="1:32" s="115" customFormat="1" ht="40.4" customHeight="1">
      <c r="E139" s="697"/>
      <c r="F139" s="666"/>
      <c r="G139" s="107"/>
      <c r="H139" s="669"/>
      <c r="I139" s="669"/>
      <c r="J139" s="695"/>
      <c r="K139" s="672"/>
      <c r="L139" s="131"/>
      <c r="M139" s="669"/>
      <c r="N139" s="112"/>
      <c r="O139" s="116"/>
      <c r="P139" s="122"/>
      <c r="Q139" s="117" t="str">
        <f t="shared" ca="1" si="148"/>
        <v/>
      </c>
      <c r="R139" s="117" t="str">
        <f t="shared" si="149"/>
        <v/>
      </c>
      <c r="S139" s="114"/>
      <c r="T139" s="15"/>
      <c r="U139" s="23"/>
      <c r="V139" s="118"/>
      <c r="W139" s="23"/>
      <c r="X139" s="124"/>
      <c r="Y139" s="15"/>
      <c r="Z139" s="23"/>
      <c r="AA139" s="118"/>
      <c r="AB139" s="15" t="str">
        <f t="shared" si="150"/>
        <v/>
      </c>
      <c r="AC139" s="23"/>
      <c r="AD139" s="123"/>
      <c r="AE139" s="15" t="str">
        <f t="shared" si="151"/>
        <v/>
      </c>
      <c r="AF139" s="16"/>
    </row>
    <row r="140" spans="1:32" s="115" customFormat="1" ht="40.4" customHeight="1">
      <c r="E140" s="698"/>
      <c r="F140" s="667"/>
      <c r="G140" s="107"/>
      <c r="H140" s="670"/>
      <c r="I140" s="670"/>
      <c r="J140" s="695"/>
      <c r="K140" s="672"/>
      <c r="L140" s="131"/>
      <c r="M140" s="670"/>
      <c r="N140" s="112"/>
      <c r="O140" s="116"/>
      <c r="P140" s="122"/>
      <c r="Q140" s="117" t="str">
        <f t="shared" ca="1" si="148"/>
        <v/>
      </c>
      <c r="R140" s="117" t="str">
        <f t="shared" si="149"/>
        <v/>
      </c>
      <c r="S140" s="114"/>
      <c r="T140" s="15"/>
      <c r="U140" s="23"/>
      <c r="V140" s="118"/>
      <c r="W140" s="23"/>
      <c r="X140" s="118"/>
      <c r="Y140" s="15"/>
      <c r="Z140" s="23"/>
      <c r="AA140" s="118"/>
      <c r="AB140" s="15" t="str">
        <f t="shared" si="150"/>
        <v/>
      </c>
      <c r="AC140" s="23"/>
      <c r="AD140" s="123"/>
      <c r="AE140" s="15" t="str">
        <f t="shared" si="151"/>
        <v/>
      </c>
      <c r="AF140" s="16"/>
    </row>
    <row r="141" spans="1:32" s="115" customFormat="1" ht="40.4" customHeight="1">
      <c r="E141" s="696">
        <f t="shared" ref="E141" si="153">E138+1</f>
        <v>68</v>
      </c>
      <c r="F141" s="665" t="s">
        <v>1114</v>
      </c>
      <c r="G141" s="107"/>
      <c r="H141" s="668" t="s">
        <v>1115</v>
      </c>
      <c r="I141" s="668" t="s">
        <v>917</v>
      </c>
      <c r="J141" s="695" t="s">
        <v>680</v>
      </c>
      <c r="K141" s="672" t="s">
        <v>921</v>
      </c>
      <c r="L141" s="131"/>
      <c r="M141" s="668" t="s">
        <v>1113</v>
      </c>
      <c r="N141" s="112" t="str">
        <f>IF(P141="","",P141-60)</f>
        <v/>
      </c>
      <c r="O141" s="116" t="str">
        <f>IF(P141="","",P141-30)</f>
        <v/>
      </c>
      <c r="P141" s="122"/>
      <c r="Q141" s="117" t="str">
        <f t="shared" ref="Q141:Q143" ca="1" si="154">IF(N141="","",IF(U141&lt;&gt;"","",IF(AND(U141="",N141-TODAY()&lt;=60),N141-TODAY(),"")))</f>
        <v/>
      </c>
      <c r="R141" s="117" t="str">
        <f t="shared" ref="R141:R143" si="155">IF(AND(ISNUMBER(N141),ISNUMBER(U141)),N141-U141,"")</f>
        <v/>
      </c>
      <c r="S141" s="114" t="s">
        <v>699</v>
      </c>
      <c r="T141" s="15" t="s">
        <v>700</v>
      </c>
      <c r="U141" s="23" t="s">
        <v>1117</v>
      </c>
      <c r="V141" s="110" t="s">
        <v>1116</v>
      </c>
      <c r="W141" s="23" t="s">
        <v>1148</v>
      </c>
      <c r="X141" s="118" t="s">
        <v>1158</v>
      </c>
      <c r="Y141" s="15" t="s">
        <v>718</v>
      </c>
      <c r="Z141" s="23" t="s">
        <v>1148</v>
      </c>
      <c r="AA141" s="118" t="s">
        <v>1158</v>
      </c>
      <c r="AB141" s="15" t="s">
        <v>200</v>
      </c>
      <c r="AC141" s="23" t="s">
        <v>1170</v>
      </c>
      <c r="AD141" s="308" t="s">
        <v>1171</v>
      </c>
      <c r="AE141" s="15" t="str">
        <f>IF(AC141="","",IF(AB141="檢退","請修正",IF(AB141="請備查","備查",IF(AB141="審定","核定","請修正"))))</f>
        <v>核定</v>
      </c>
      <c r="AF141" s="16"/>
    </row>
    <row r="142" spans="1:32" s="115" customFormat="1" ht="40.4" customHeight="1">
      <c r="E142" s="697"/>
      <c r="F142" s="666"/>
      <c r="G142" s="107"/>
      <c r="H142" s="669"/>
      <c r="I142" s="669"/>
      <c r="J142" s="695"/>
      <c r="K142" s="672"/>
      <c r="L142" s="131"/>
      <c r="M142" s="669"/>
      <c r="N142" s="112"/>
      <c r="O142" s="116"/>
      <c r="P142" s="122"/>
      <c r="Q142" s="117" t="str">
        <f t="shared" ca="1" si="154"/>
        <v/>
      </c>
      <c r="R142" s="117" t="str">
        <f t="shared" si="155"/>
        <v/>
      </c>
      <c r="S142" s="114"/>
      <c r="T142" s="15"/>
      <c r="U142" s="23"/>
      <c r="V142" s="118"/>
      <c r="W142" s="23"/>
      <c r="X142" s="124"/>
      <c r="Y142" s="15"/>
      <c r="Z142" s="23"/>
      <c r="AA142" s="118"/>
      <c r="AB142" s="15" t="str">
        <f t="shared" ref="AB142:AB143" si="156">IF(Z142="","",IF(Y142="檢退","檢退",IF(Y142="審查同意","審定","檢退")))</f>
        <v/>
      </c>
      <c r="AC142" s="23"/>
      <c r="AD142" s="123"/>
      <c r="AE142" s="15" t="str">
        <f t="shared" ref="AE142:AE143" si="157">IF(AC142="","",IF(AB142="檢退","請修正",IF(AB142="請備查","備查",IF(AB142="審定","核定","請修正"))))</f>
        <v/>
      </c>
      <c r="AF142" s="16"/>
    </row>
    <row r="143" spans="1:32" s="115" customFormat="1" ht="40.4" customHeight="1">
      <c r="E143" s="698"/>
      <c r="F143" s="667"/>
      <c r="G143" s="107"/>
      <c r="H143" s="670"/>
      <c r="I143" s="670"/>
      <c r="J143" s="695"/>
      <c r="K143" s="672"/>
      <c r="L143" s="131"/>
      <c r="M143" s="670"/>
      <c r="N143" s="112"/>
      <c r="O143" s="116"/>
      <c r="P143" s="122"/>
      <c r="Q143" s="117" t="str">
        <f t="shared" ca="1" si="154"/>
        <v/>
      </c>
      <c r="R143" s="117" t="str">
        <f t="shared" si="155"/>
        <v/>
      </c>
      <c r="S143" s="114"/>
      <c r="T143" s="15"/>
      <c r="U143" s="23"/>
      <c r="V143" s="118"/>
      <c r="W143" s="23"/>
      <c r="X143" s="118"/>
      <c r="Y143" s="15"/>
      <c r="Z143" s="23"/>
      <c r="AA143" s="118"/>
      <c r="AB143" s="15" t="str">
        <f t="shared" si="156"/>
        <v/>
      </c>
      <c r="AC143" s="23"/>
      <c r="AD143" s="123"/>
      <c r="AE143" s="15" t="str">
        <f t="shared" si="157"/>
        <v/>
      </c>
      <c r="AF143" s="16"/>
    </row>
    <row r="144" spans="1:32" s="115" customFormat="1" ht="40.4" customHeight="1">
      <c r="E144" s="696">
        <f t="shared" ref="E144:E147" si="158">E141+1</f>
        <v>69</v>
      </c>
      <c r="F144" s="665" t="s">
        <v>687</v>
      </c>
      <c r="G144" s="107"/>
      <c r="H144" s="668" t="s">
        <v>692</v>
      </c>
      <c r="I144" s="668" t="s">
        <v>917</v>
      </c>
      <c r="J144" s="695" t="s">
        <v>680</v>
      </c>
      <c r="K144" s="672" t="s">
        <v>920</v>
      </c>
      <c r="L144" s="131"/>
      <c r="M144" s="668" t="s">
        <v>1632</v>
      </c>
      <c r="N144" s="112" t="str">
        <f>IF(P144="","",P144-60)</f>
        <v/>
      </c>
      <c r="O144" s="116" t="str">
        <f>IF(P144="","",P144-30)</f>
        <v/>
      </c>
      <c r="P144" s="122"/>
      <c r="Q144" s="117" t="str">
        <f t="shared" ca="1" si="148"/>
        <v/>
      </c>
      <c r="R144" s="117" t="str">
        <f t="shared" si="149"/>
        <v/>
      </c>
      <c r="S144" s="114" t="s">
        <v>699</v>
      </c>
      <c r="T144" s="15" t="s">
        <v>700</v>
      </c>
      <c r="U144" s="23">
        <v>45960</v>
      </c>
      <c r="V144" s="110" t="s">
        <v>819</v>
      </c>
      <c r="W144" s="23">
        <v>45972</v>
      </c>
      <c r="X144" s="118" t="s">
        <v>820</v>
      </c>
      <c r="Y144" s="15" t="s">
        <v>718</v>
      </c>
      <c r="Z144" s="23">
        <v>45975</v>
      </c>
      <c r="AA144" s="118" t="s">
        <v>821</v>
      </c>
      <c r="AB144" s="15" t="str">
        <f t="shared" si="150"/>
        <v>審定</v>
      </c>
      <c r="AC144" s="23">
        <v>45981</v>
      </c>
      <c r="AD144" s="109" t="s">
        <v>74</v>
      </c>
      <c r="AE144" s="15" t="str">
        <f t="shared" si="151"/>
        <v>核定</v>
      </c>
      <c r="AF144" s="16"/>
    </row>
    <row r="145" spans="5:32" s="115" customFormat="1" ht="40.4" customHeight="1">
      <c r="E145" s="697"/>
      <c r="F145" s="666"/>
      <c r="G145" s="107"/>
      <c r="H145" s="669"/>
      <c r="I145" s="669"/>
      <c r="J145" s="695"/>
      <c r="K145" s="672"/>
      <c r="L145" s="131"/>
      <c r="M145" s="669"/>
      <c r="N145" s="112"/>
      <c r="O145" s="116"/>
      <c r="P145" s="122"/>
      <c r="Q145" s="117" t="str">
        <f t="shared" ca="1" si="148"/>
        <v/>
      </c>
      <c r="R145" s="117" t="str">
        <f t="shared" si="149"/>
        <v/>
      </c>
      <c r="S145" s="114"/>
      <c r="T145" s="15"/>
      <c r="U145" s="23"/>
      <c r="V145" s="118"/>
      <c r="W145" s="23"/>
      <c r="X145" s="124"/>
      <c r="Y145" s="15"/>
      <c r="Z145" s="23"/>
      <c r="AA145" s="118"/>
      <c r="AB145" s="15" t="str">
        <f t="shared" si="150"/>
        <v/>
      </c>
      <c r="AC145" s="23"/>
      <c r="AD145" s="123"/>
      <c r="AE145" s="15" t="str">
        <f t="shared" si="151"/>
        <v/>
      </c>
      <c r="AF145" s="16"/>
    </row>
    <row r="146" spans="5:32" s="115" customFormat="1" ht="40.4" customHeight="1">
      <c r="E146" s="698"/>
      <c r="F146" s="667"/>
      <c r="G146" s="107"/>
      <c r="H146" s="670"/>
      <c r="I146" s="670"/>
      <c r="J146" s="695"/>
      <c r="K146" s="672"/>
      <c r="L146" s="131"/>
      <c r="M146" s="670"/>
      <c r="N146" s="112"/>
      <c r="O146" s="116"/>
      <c r="P146" s="122"/>
      <c r="Q146" s="117" t="str">
        <f t="shared" ca="1" si="148"/>
        <v/>
      </c>
      <c r="R146" s="117" t="str">
        <f t="shared" si="149"/>
        <v/>
      </c>
      <c r="S146" s="114"/>
      <c r="T146" s="15"/>
      <c r="U146" s="23"/>
      <c r="V146" s="118"/>
      <c r="W146" s="23"/>
      <c r="X146" s="118"/>
      <c r="Y146" s="15"/>
      <c r="Z146" s="23"/>
      <c r="AA146" s="118"/>
      <c r="AB146" s="15" t="str">
        <f t="shared" si="150"/>
        <v/>
      </c>
      <c r="AC146" s="23"/>
      <c r="AD146" s="123"/>
      <c r="AE146" s="15" t="str">
        <f t="shared" si="151"/>
        <v/>
      </c>
      <c r="AF146" s="16"/>
    </row>
    <row r="147" spans="5:32" s="115" customFormat="1" ht="40.4" customHeight="1">
      <c r="E147" s="696">
        <f t="shared" si="158"/>
        <v>70</v>
      </c>
      <c r="F147" s="665" t="s">
        <v>688</v>
      </c>
      <c r="G147" s="107"/>
      <c r="H147" s="668" t="s">
        <v>693</v>
      </c>
      <c r="I147" s="668" t="s">
        <v>917</v>
      </c>
      <c r="J147" s="695" t="s">
        <v>680</v>
      </c>
      <c r="K147" s="672" t="s">
        <v>920</v>
      </c>
      <c r="L147" s="131"/>
      <c r="M147" s="668" t="s">
        <v>1633</v>
      </c>
      <c r="N147" s="112" t="str">
        <f>IF(P147="","",P147-60)</f>
        <v/>
      </c>
      <c r="O147" s="116" t="str">
        <f>IF(P147="","",P147-30)</f>
        <v/>
      </c>
      <c r="P147" s="122"/>
      <c r="Q147" s="117" t="str">
        <f t="shared" ca="1" si="148"/>
        <v/>
      </c>
      <c r="R147" s="117" t="str">
        <f t="shared" si="149"/>
        <v/>
      </c>
      <c r="S147" s="114" t="s">
        <v>699</v>
      </c>
      <c r="T147" s="15" t="s">
        <v>700</v>
      </c>
      <c r="U147" s="23">
        <v>45972</v>
      </c>
      <c r="V147" s="110" t="s">
        <v>822</v>
      </c>
      <c r="W147" s="23">
        <v>45985</v>
      </c>
      <c r="X147" s="118" t="s">
        <v>823</v>
      </c>
      <c r="Y147" s="15" t="s">
        <v>702</v>
      </c>
      <c r="Z147" s="23">
        <v>45999</v>
      </c>
      <c r="AA147" s="118" t="s">
        <v>824</v>
      </c>
      <c r="AB147" s="15" t="str">
        <f t="shared" si="150"/>
        <v>審定</v>
      </c>
      <c r="AC147" s="23">
        <v>46003</v>
      </c>
      <c r="AD147" s="109" t="s">
        <v>1634</v>
      </c>
      <c r="AE147" s="15" t="str">
        <f t="shared" si="151"/>
        <v>核定</v>
      </c>
      <c r="AF147" s="16"/>
    </row>
    <row r="148" spans="5:32" s="115" customFormat="1" ht="40.4" customHeight="1">
      <c r="E148" s="697"/>
      <c r="F148" s="666"/>
      <c r="G148" s="107"/>
      <c r="H148" s="669"/>
      <c r="I148" s="669"/>
      <c r="J148" s="695"/>
      <c r="K148" s="672"/>
      <c r="L148" s="131"/>
      <c r="M148" s="669"/>
      <c r="N148" s="112"/>
      <c r="O148" s="116"/>
      <c r="P148" s="122"/>
      <c r="Q148" s="117" t="str">
        <f t="shared" ca="1" si="148"/>
        <v/>
      </c>
      <c r="R148" s="117" t="str">
        <f t="shared" si="149"/>
        <v/>
      </c>
      <c r="S148" s="114"/>
      <c r="T148" s="15"/>
      <c r="U148" s="23"/>
      <c r="V148" s="118"/>
      <c r="W148" s="23"/>
      <c r="X148" s="124"/>
      <c r="Y148" s="15"/>
      <c r="Z148" s="23"/>
      <c r="AA148" s="118"/>
      <c r="AB148" s="15" t="str">
        <f t="shared" si="150"/>
        <v/>
      </c>
      <c r="AC148" s="23"/>
      <c r="AD148" s="123"/>
      <c r="AE148" s="15" t="str">
        <f t="shared" si="151"/>
        <v/>
      </c>
      <c r="AF148" s="16"/>
    </row>
    <row r="149" spans="5:32" s="115" customFormat="1" ht="40.4" customHeight="1">
      <c r="E149" s="698"/>
      <c r="F149" s="667"/>
      <c r="G149" s="107"/>
      <c r="H149" s="670"/>
      <c r="I149" s="670"/>
      <c r="J149" s="695"/>
      <c r="K149" s="672"/>
      <c r="L149" s="131"/>
      <c r="M149" s="670"/>
      <c r="N149" s="112"/>
      <c r="O149" s="116"/>
      <c r="P149" s="122"/>
      <c r="Q149" s="117" t="str">
        <f t="shared" ca="1" si="148"/>
        <v/>
      </c>
      <c r="R149" s="117" t="str">
        <f t="shared" si="149"/>
        <v/>
      </c>
      <c r="S149" s="114"/>
      <c r="T149" s="15"/>
      <c r="U149" s="23"/>
      <c r="V149" s="118"/>
      <c r="W149" s="23"/>
      <c r="X149" s="118"/>
      <c r="Y149" s="15"/>
      <c r="Z149" s="23"/>
      <c r="AA149" s="118"/>
      <c r="AB149" s="15" t="str">
        <f t="shared" si="150"/>
        <v/>
      </c>
      <c r="AC149" s="23"/>
      <c r="AD149" s="123"/>
      <c r="AE149" s="15" t="str">
        <f t="shared" si="151"/>
        <v/>
      </c>
      <c r="AF149" s="16"/>
    </row>
    <row r="150" spans="5:32" s="115" customFormat="1" ht="40.4" customHeight="1">
      <c r="E150" s="696">
        <f t="shared" ref="E150" si="159">E147+1</f>
        <v>71</v>
      </c>
      <c r="F150" s="665" t="s">
        <v>689</v>
      </c>
      <c r="G150" s="107"/>
      <c r="H150" s="668" t="s">
        <v>694</v>
      </c>
      <c r="I150" s="668" t="s">
        <v>917</v>
      </c>
      <c r="J150" s="695" t="s">
        <v>680</v>
      </c>
      <c r="K150" s="672" t="s">
        <v>920</v>
      </c>
      <c r="L150" s="131"/>
      <c r="M150" s="668" t="s">
        <v>1635</v>
      </c>
      <c r="N150" s="112" t="str">
        <f>IF(P150="","",P150-60)</f>
        <v/>
      </c>
      <c r="O150" s="116" t="str">
        <f>IF(P150="","",P150-30)</f>
        <v/>
      </c>
      <c r="P150" s="122"/>
      <c r="Q150" s="117" t="str">
        <f t="shared" ca="1" si="148"/>
        <v/>
      </c>
      <c r="R150" s="117" t="str">
        <f t="shared" si="149"/>
        <v/>
      </c>
      <c r="S150" s="114" t="s">
        <v>699</v>
      </c>
      <c r="T150" s="15" t="s">
        <v>700</v>
      </c>
      <c r="U150" s="23">
        <v>45974</v>
      </c>
      <c r="V150" s="110" t="s">
        <v>825</v>
      </c>
      <c r="W150" s="23">
        <v>45989</v>
      </c>
      <c r="X150" s="123" t="s">
        <v>826</v>
      </c>
      <c r="Y150" s="15" t="s">
        <v>702</v>
      </c>
      <c r="Z150" s="23">
        <v>45999</v>
      </c>
      <c r="AA150" s="118" t="s">
        <v>827</v>
      </c>
      <c r="AB150" s="15" t="str">
        <f t="shared" si="150"/>
        <v>審定</v>
      </c>
      <c r="AC150" s="23">
        <v>46003</v>
      </c>
      <c r="AD150" s="109" t="s">
        <v>1636</v>
      </c>
      <c r="AE150" s="15" t="str">
        <f t="shared" si="151"/>
        <v>核定</v>
      </c>
      <c r="AF150" s="16"/>
    </row>
    <row r="151" spans="5:32" s="115" customFormat="1" ht="40.4" customHeight="1">
      <c r="E151" s="697"/>
      <c r="F151" s="666"/>
      <c r="G151" s="107"/>
      <c r="H151" s="669"/>
      <c r="I151" s="669"/>
      <c r="J151" s="695"/>
      <c r="K151" s="672"/>
      <c r="L151" s="131"/>
      <c r="M151" s="669"/>
      <c r="N151" s="112"/>
      <c r="O151" s="116"/>
      <c r="P151" s="122"/>
      <c r="Q151" s="117" t="str">
        <f t="shared" ca="1" si="148"/>
        <v/>
      </c>
      <c r="R151" s="117" t="str">
        <f t="shared" si="149"/>
        <v/>
      </c>
      <c r="S151" s="114"/>
      <c r="T151" s="15"/>
      <c r="U151" s="23"/>
      <c r="V151" s="118"/>
      <c r="W151" s="23"/>
      <c r="X151" s="124"/>
      <c r="Y151" s="15"/>
      <c r="Z151" s="23"/>
      <c r="AA151" s="118"/>
      <c r="AB151" s="15" t="str">
        <f t="shared" si="150"/>
        <v/>
      </c>
      <c r="AC151" s="23"/>
      <c r="AD151" s="123"/>
      <c r="AE151" s="15" t="str">
        <f t="shared" si="151"/>
        <v/>
      </c>
      <c r="AF151" s="16"/>
    </row>
    <row r="152" spans="5:32" s="115" customFormat="1" ht="40.4" customHeight="1">
      <c r="E152" s="698"/>
      <c r="F152" s="667"/>
      <c r="G152" s="107"/>
      <c r="H152" s="670"/>
      <c r="I152" s="670"/>
      <c r="J152" s="695"/>
      <c r="K152" s="672"/>
      <c r="L152" s="131"/>
      <c r="M152" s="670"/>
      <c r="N152" s="112"/>
      <c r="O152" s="116"/>
      <c r="P152" s="122"/>
      <c r="Q152" s="117" t="str">
        <f t="shared" ca="1" si="148"/>
        <v/>
      </c>
      <c r="R152" s="117" t="str">
        <f t="shared" si="149"/>
        <v/>
      </c>
      <c r="S152" s="114"/>
      <c r="T152" s="15"/>
      <c r="U152" s="23"/>
      <c r="V152" s="118"/>
      <c r="W152" s="23"/>
      <c r="X152" s="118"/>
      <c r="Y152" s="15"/>
      <c r="Z152" s="23"/>
      <c r="AA152" s="118"/>
      <c r="AB152" s="15" t="str">
        <f t="shared" si="150"/>
        <v/>
      </c>
      <c r="AC152" s="23"/>
      <c r="AD152" s="123"/>
      <c r="AE152" s="15" t="str">
        <f t="shared" si="151"/>
        <v/>
      </c>
      <c r="AF152" s="16"/>
    </row>
    <row r="153" spans="5:32" s="115" customFormat="1" ht="40.4" customHeight="1">
      <c r="E153" s="696">
        <f>E150+1</f>
        <v>72</v>
      </c>
      <c r="F153" s="665" t="s">
        <v>690</v>
      </c>
      <c r="G153" s="107"/>
      <c r="H153" s="668" t="s">
        <v>695</v>
      </c>
      <c r="I153" s="668" t="s">
        <v>917</v>
      </c>
      <c r="J153" s="695" t="s">
        <v>680</v>
      </c>
      <c r="K153" s="672"/>
      <c r="L153" s="131"/>
      <c r="M153" s="668"/>
      <c r="N153" s="112" t="str">
        <f>IF(P153="","",P153-60)</f>
        <v/>
      </c>
      <c r="O153" s="116" t="str">
        <f>IF(P153="","",P153-30)</f>
        <v/>
      </c>
      <c r="P153" s="122"/>
      <c r="Q153" s="117" t="str">
        <f t="shared" ca="1" si="148"/>
        <v/>
      </c>
      <c r="R153" s="117" t="str">
        <f t="shared" si="149"/>
        <v/>
      </c>
      <c r="S153" s="23"/>
      <c r="T153" s="15" t="s">
        <v>700</v>
      </c>
      <c r="U153" s="23">
        <v>46017</v>
      </c>
      <c r="V153" s="110" t="s">
        <v>828</v>
      </c>
      <c r="W153" s="23">
        <v>46000</v>
      </c>
      <c r="X153" s="109" t="s">
        <v>829</v>
      </c>
      <c r="Y153" s="23" t="s">
        <v>715</v>
      </c>
      <c r="Z153" s="23">
        <v>46031</v>
      </c>
      <c r="AA153" s="110" t="s">
        <v>830</v>
      </c>
      <c r="AB153" s="23" t="s">
        <v>831</v>
      </c>
      <c r="AC153" s="394"/>
      <c r="AD153" s="394"/>
      <c r="AE153" s="15" t="s">
        <v>833</v>
      </c>
      <c r="AF153" s="16"/>
    </row>
    <row r="154" spans="5:32" s="115" customFormat="1" ht="40.4" customHeight="1">
      <c r="E154" s="697"/>
      <c r="F154" s="666"/>
      <c r="G154" s="107"/>
      <c r="H154" s="669"/>
      <c r="I154" s="669"/>
      <c r="J154" s="695"/>
      <c r="K154" s="672"/>
      <c r="L154" s="131"/>
      <c r="M154" s="669"/>
      <c r="N154" s="112"/>
      <c r="O154" s="116"/>
      <c r="P154" s="122"/>
      <c r="Q154" s="117" t="str">
        <f t="shared" ca="1" si="148"/>
        <v/>
      </c>
      <c r="R154" s="117" t="str">
        <f t="shared" si="149"/>
        <v/>
      </c>
      <c r="S154" s="114" t="s">
        <v>699</v>
      </c>
      <c r="T154" s="15" t="s">
        <v>707</v>
      </c>
      <c r="U154" s="23"/>
      <c r="V154" s="118" t="s">
        <v>1539</v>
      </c>
      <c r="W154" s="23">
        <v>46063</v>
      </c>
      <c r="X154" s="108" t="s">
        <v>834</v>
      </c>
      <c r="Y154" s="15" t="s">
        <v>702</v>
      </c>
      <c r="Z154" s="23">
        <v>46063</v>
      </c>
      <c r="AA154" s="108" t="s">
        <v>834</v>
      </c>
      <c r="AB154" s="15" t="s">
        <v>702</v>
      </c>
      <c r="AC154" s="23">
        <v>46024</v>
      </c>
      <c r="AD154" s="109" t="s">
        <v>832</v>
      </c>
      <c r="AE154" s="15" t="s">
        <v>925</v>
      </c>
      <c r="AF154" s="16"/>
    </row>
    <row r="155" spans="5:32" s="115" customFormat="1" ht="40.4" customHeight="1">
      <c r="E155" s="698"/>
      <c r="F155" s="667"/>
      <c r="G155" s="107"/>
      <c r="H155" s="670"/>
      <c r="I155" s="670"/>
      <c r="J155" s="695"/>
      <c r="K155" s="672"/>
      <c r="L155" s="131"/>
      <c r="M155" s="670"/>
      <c r="N155" s="112"/>
      <c r="O155" s="116"/>
      <c r="P155" s="122"/>
      <c r="Q155" s="117" t="str">
        <f t="shared" ca="1" si="148"/>
        <v/>
      </c>
      <c r="R155" s="117" t="str">
        <f t="shared" si="149"/>
        <v/>
      </c>
      <c r="S155" s="114"/>
      <c r="T155" s="15"/>
      <c r="U155" s="23"/>
      <c r="V155" s="118"/>
      <c r="W155" s="23"/>
      <c r="X155" s="118"/>
      <c r="Y155" s="15"/>
      <c r="Z155" s="23"/>
      <c r="AA155" s="118"/>
      <c r="AB155" s="15" t="str">
        <f t="shared" ref="AB155" si="160">IF(Z155="","",IF(Y155="檢退","檢退",IF(Y155="審查同意","審定","檢退")))</f>
        <v/>
      </c>
      <c r="AC155" s="23"/>
      <c r="AD155" s="123"/>
      <c r="AE155" s="15" t="str">
        <f>IF(AC155="","",IF(AB155="檢退","請修正",IF(AB155="請備查","備查",IF(AB155="審定","核定","請修正"))))</f>
        <v/>
      </c>
      <c r="AF155" s="16"/>
    </row>
    <row r="156" spans="5:32" s="115" customFormat="1" ht="40.4" customHeight="1">
      <c r="E156" s="696">
        <f>E153+1</f>
        <v>73</v>
      </c>
      <c r="F156" s="665" t="s">
        <v>1637</v>
      </c>
      <c r="G156" s="133"/>
      <c r="H156" s="668" t="s">
        <v>697</v>
      </c>
      <c r="I156" s="668" t="s">
        <v>917</v>
      </c>
      <c r="J156" s="695" t="s">
        <v>680</v>
      </c>
      <c r="K156" s="672" t="s">
        <v>919</v>
      </c>
      <c r="L156" s="131"/>
      <c r="M156" s="668" t="s">
        <v>683</v>
      </c>
      <c r="N156" s="112" t="str">
        <f>IF(P156="","",P156-60)</f>
        <v/>
      </c>
      <c r="O156" s="116" t="str">
        <f>IF(P156="","",P156-30)</f>
        <v/>
      </c>
      <c r="P156" s="122"/>
      <c r="Q156" s="117" t="str">
        <f t="shared" ca="1" si="148"/>
        <v/>
      </c>
      <c r="R156" s="117" t="str">
        <f t="shared" si="149"/>
        <v/>
      </c>
      <c r="S156" s="114" t="s">
        <v>699</v>
      </c>
      <c r="T156" s="15" t="s">
        <v>700</v>
      </c>
      <c r="U156" s="23">
        <v>46062</v>
      </c>
      <c r="V156" s="110" t="s">
        <v>835</v>
      </c>
      <c r="W156" s="23" t="s">
        <v>1061</v>
      </c>
      <c r="X156" s="110" t="s">
        <v>1100</v>
      </c>
      <c r="Y156" s="15" t="s">
        <v>922</v>
      </c>
      <c r="Z156" s="23" t="s">
        <v>1061</v>
      </c>
      <c r="AA156" s="110" t="s">
        <v>1100</v>
      </c>
      <c r="AB156" s="15" t="s">
        <v>922</v>
      </c>
      <c r="AC156" s="23" t="s">
        <v>1065</v>
      </c>
      <c r="AD156" s="123" t="s">
        <v>976</v>
      </c>
      <c r="AE156" s="15" t="s">
        <v>925</v>
      </c>
      <c r="AF156" s="16"/>
    </row>
    <row r="157" spans="5:32" s="115" customFormat="1" ht="40.4" customHeight="1">
      <c r="E157" s="697"/>
      <c r="F157" s="666"/>
      <c r="G157" s="133"/>
      <c r="H157" s="669"/>
      <c r="I157" s="669"/>
      <c r="J157" s="695"/>
      <c r="K157" s="672"/>
      <c r="L157" s="131"/>
      <c r="M157" s="669"/>
      <c r="N157" s="112"/>
      <c r="O157" s="116"/>
      <c r="P157" s="122"/>
      <c r="Q157" s="117" t="str">
        <f t="shared" ca="1" si="148"/>
        <v/>
      </c>
      <c r="R157" s="117" t="str">
        <f t="shared" si="149"/>
        <v/>
      </c>
      <c r="S157" s="114"/>
      <c r="T157" s="15"/>
      <c r="U157" s="23"/>
      <c r="V157" s="118"/>
      <c r="W157" s="23"/>
      <c r="X157" s="124"/>
      <c r="Y157" s="15"/>
      <c r="Z157" s="23"/>
      <c r="AA157" s="118"/>
      <c r="AB157" s="15" t="str">
        <f t="shared" ref="AB157:AB158" si="161">IF(Z157="","",IF(Y157="檢退","檢退",IF(Y157="審查同意","審定","檢退")))</f>
        <v/>
      </c>
      <c r="AC157" s="23"/>
      <c r="AD157" s="123"/>
      <c r="AE157" s="15" t="str">
        <f t="shared" ref="AE157:AE158" si="162">IF(AC157="","",IF(AB157="檢退","請修正",IF(AB157="請備查","備查",IF(AB157="審定","核定","請修正"))))</f>
        <v/>
      </c>
      <c r="AF157" s="16"/>
    </row>
    <row r="158" spans="5:32" s="115" customFormat="1" ht="40.4" customHeight="1">
      <c r="E158" s="698"/>
      <c r="F158" s="667"/>
      <c r="G158" s="133"/>
      <c r="H158" s="670"/>
      <c r="I158" s="670"/>
      <c r="J158" s="695"/>
      <c r="K158" s="672"/>
      <c r="L158" s="131"/>
      <c r="M158" s="670"/>
      <c r="N158" s="112"/>
      <c r="O158" s="116"/>
      <c r="P158" s="122"/>
      <c r="Q158" s="117" t="str">
        <f t="shared" ca="1" si="148"/>
        <v/>
      </c>
      <c r="R158" s="117" t="str">
        <f t="shared" si="149"/>
        <v/>
      </c>
      <c r="S158" s="114"/>
      <c r="T158" s="15"/>
      <c r="U158" s="23"/>
      <c r="V158" s="118"/>
      <c r="W158" s="23"/>
      <c r="X158" s="118"/>
      <c r="Y158" s="15"/>
      <c r="Z158" s="23"/>
      <c r="AA158" s="118"/>
      <c r="AB158" s="15" t="str">
        <f t="shared" si="161"/>
        <v/>
      </c>
      <c r="AC158" s="23"/>
      <c r="AD158" s="123"/>
      <c r="AE158" s="15" t="str">
        <f t="shared" si="162"/>
        <v/>
      </c>
      <c r="AF158" s="16"/>
    </row>
    <row r="159" spans="5:32" s="25" customFormat="1" ht="40.4" customHeight="1">
      <c r="E159" s="76"/>
      <c r="F159" s="154"/>
      <c r="G159" s="154"/>
      <c r="H159" s="43"/>
      <c r="I159" s="43"/>
      <c r="J159" s="43"/>
      <c r="K159" s="77"/>
      <c r="L159" s="43"/>
      <c r="M159" s="43"/>
      <c r="N159" s="39"/>
      <c r="O159" s="39"/>
      <c r="P159" s="39"/>
      <c r="Q159" s="42"/>
      <c r="R159" s="42"/>
      <c r="S159" s="43"/>
      <c r="T159" s="78"/>
      <c r="U159" s="79"/>
      <c r="V159" s="80"/>
      <c r="W159" s="79"/>
      <c r="X159" s="80"/>
      <c r="Y159" s="78"/>
      <c r="Z159" s="45"/>
      <c r="AA159" s="46"/>
      <c r="AB159" s="44"/>
      <c r="AC159" s="45"/>
      <c r="AD159" s="44"/>
      <c r="AE159" s="44"/>
      <c r="AF159" s="47"/>
    </row>
    <row r="160" spans="5:32" s="2" customFormat="1" ht="40.4" customHeight="1">
      <c r="E160" s="36"/>
      <c r="F160" s="104" t="s">
        <v>372</v>
      </c>
      <c r="G160" s="104"/>
      <c r="H160" s="96"/>
      <c r="I160" s="96"/>
      <c r="J160" s="96"/>
      <c r="K160" s="38"/>
      <c r="L160" s="96"/>
      <c r="M160" s="96"/>
      <c r="N160" s="39"/>
      <c r="O160" s="40"/>
      <c r="P160" s="41"/>
      <c r="Q160" s="42"/>
      <c r="R160" s="42"/>
      <c r="S160" s="43"/>
      <c r="T160" s="44"/>
      <c r="U160" s="45"/>
      <c r="V160" s="46"/>
      <c r="W160" s="45"/>
      <c r="X160" s="46"/>
      <c r="Y160" s="44"/>
      <c r="Z160" s="45"/>
      <c r="AA160" s="46"/>
      <c r="AB160" s="44"/>
      <c r="AC160" s="45"/>
      <c r="AD160" s="44"/>
      <c r="AE160" s="44"/>
      <c r="AF160" s="47"/>
    </row>
    <row r="161" spans="5:32" ht="40.4" customHeight="1">
      <c r="F161" s="155" t="s">
        <v>193</v>
      </c>
      <c r="G161" s="155"/>
      <c r="H161" s="64">
        <f>COUNTA(H5:H158)</f>
        <v>73</v>
      </c>
      <c r="I161" s="83"/>
      <c r="J161" s="83"/>
      <c r="K161" s="190"/>
      <c r="L161" s="83"/>
      <c r="M161" s="83"/>
      <c r="N161" s="50"/>
      <c r="O161" s="51"/>
      <c r="S161" s="2"/>
      <c r="AE161" s="52"/>
      <c r="AF161" s="1"/>
    </row>
    <row r="162" spans="5:32" ht="40.4" customHeight="1">
      <c r="F162" s="156" t="s">
        <v>240</v>
      </c>
      <c r="G162" s="156"/>
      <c r="H162" s="67">
        <f>H161-H163-H164-H165</f>
        <v>5</v>
      </c>
      <c r="I162" s="84"/>
      <c r="J162" s="84"/>
      <c r="K162" s="90"/>
      <c r="L162" s="84"/>
      <c r="M162" s="84"/>
      <c r="N162" s="56"/>
      <c r="O162" s="57"/>
      <c r="S162" s="2"/>
      <c r="AE162" s="52"/>
      <c r="AF162" s="1"/>
    </row>
    <row r="163" spans="5:32" ht="45.65" customHeight="1">
      <c r="F163" s="157" t="s">
        <v>194</v>
      </c>
      <c r="G163" s="157"/>
      <c r="H163" s="65">
        <f>COUNTIF(S5:S158,"核定")</f>
        <v>64</v>
      </c>
      <c r="I163" s="57"/>
      <c r="J163" s="57"/>
      <c r="K163" s="88"/>
      <c r="L163" s="57"/>
      <c r="M163" s="57"/>
      <c r="N163" s="59"/>
      <c r="O163" s="60"/>
      <c r="S163" s="2"/>
      <c r="AE163" s="52"/>
      <c r="AF163" s="1"/>
    </row>
    <row r="164" spans="5:32" ht="40.4" customHeight="1">
      <c r="F164" s="158" t="s">
        <v>177</v>
      </c>
      <c r="G164" s="158"/>
      <c r="H164" s="66">
        <f>COUNTIF(S5:S158,"審查")</f>
        <v>0</v>
      </c>
      <c r="I164" s="86"/>
      <c r="J164" s="86"/>
      <c r="K164" s="89"/>
      <c r="L164" s="86"/>
      <c r="M164" s="86"/>
      <c r="N164" s="62"/>
      <c r="O164" s="63"/>
      <c r="S164" s="2"/>
      <c r="AE164" s="52"/>
      <c r="AF164" s="1"/>
    </row>
    <row r="165" spans="5:32" s="52" customFormat="1" ht="40.4" customHeight="1">
      <c r="E165" s="48"/>
      <c r="F165" s="159" t="s">
        <v>239</v>
      </c>
      <c r="G165" s="159"/>
      <c r="H165" s="137">
        <f>COUNTIF(S5:S158,"修正")</f>
        <v>4</v>
      </c>
      <c r="I165" s="138"/>
      <c r="J165" s="138"/>
      <c r="K165" s="191"/>
      <c r="L165" s="138"/>
      <c r="M165" s="138"/>
      <c r="N165" s="53"/>
      <c r="Q165" s="53"/>
      <c r="R165" s="54"/>
      <c r="S165" s="54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</sheetData>
  <autoFilter ref="E4:AF165" xr:uid="{00000000-0009-0000-0000-000007000000}"/>
  <mergeCells count="382">
    <mergeCell ref="M126:M128"/>
    <mergeCell ref="I153:I155"/>
    <mergeCell ref="F153:F155"/>
    <mergeCell ref="M147:M149"/>
    <mergeCell ref="M150:M152"/>
    <mergeCell ref="M153:M155"/>
    <mergeCell ref="I156:I158"/>
    <mergeCell ref="H153:H155"/>
    <mergeCell ref="H156:H158"/>
    <mergeCell ref="I144:I146"/>
    <mergeCell ref="I147:I149"/>
    <mergeCell ref="I150:I152"/>
    <mergeCell ref="F156:F158"/>
    <mergeCell ref="H144:H146"/>
    <mergeCell ref="H147:H149"/>
    <mergeCell ref="H150:H152"/>
    <mergeCell ref="M156:M158"/>
    <mergeCell ref="J135:J137"/>
    <mergeCell ref="J138:J140"/>
    <mergeCell ref="J144:J146"/>
    <mergeCell ref="J147:J149"/>
    <mergeCell ref="J150:J152"/>
    <mergeCell ref="K135:K137"/>
    <mergeCell ref="K138:K140"/>
    <mergeCell ref="I64:I65"/>
    <mergeCell ref="I70:I71"/>
    <mergeCell ref="I82:I83"/>
    <mergeCell ref="I103:I105"/>
    <mergeCell ref="I111:I113"/>
    <mergeCell ref="I94:I95"/>
    <mergeCell ref="H123:H125"/>
    <mergeCell ref="I66:I67"/>
    <mergeCell ref="H141:H143"/>
    <mergeCell ref="I132:I134"/>
    <mergeCell ref="I98:I99"/>
    <mergeCell ref="I135:I137"/>
    <mergeCell ref="I138:I140"/>
    <mergeCell ref="I141:I143"/>
    <mergeCell ref="I72:I73"/>
    <mergeCell ref="I68:I69"/>
    <mergeCell ref="I74:I75"/>
    <mergeCell ref="I76:I77"/>
    <mergeCell ref="H135:H137"/>
    <mergeCell ref="H138:H140"/>
    <mergeCell ref="I86:I87"/>
    <mergeCell ref="E117:E119"/>
    <mergeCell ref="E114:E116"/>
    <mergeCell ref="E156:E158"/>
    <mergeCell ref="E147:E149"/>
    <mergeCell ref="E150:E152"/>
    <mergeCell ref="E153:E155"/>
    <mergeCell ref="H132:H134"/>
    <mergeCell ref="E120:E122"/>
    <mergeCell ref="E123:E125"/>
    <mergeCell ref="F123:F125"/>
    <mergeCell ref="F135:F137"/>
    <mergeCell ref="F138:F140"/>
    <mergeCell ref="F144:F146"/>
    <mergeCell ref="F147:F149"/>
    <mergeCell ref="F150:F152"/>
    <mergeCell ref="F141:F143"/>
    <mergeCell ref="E129:E131"/>
    <mergeCell ref="E126:E128"/>
    <mergeCell ref="E111:E113"/>
    <mergeCell ref="E132:E134"/>
    <mergeCell ref="E135:E137"/>
    <mergeCell ref="E138:E140"/>
    <mergeCell ref="E144:E146"/>
    <mergeCell ref="E141:E143"/>
    <mergeCell ref="M135:M137"/>
    <mergeCell ref="M138:M140"/>
    <mergeCell ref="M144:M146"/>
    <mergeCell ref="M132:M134"/>
    <mergeCell ref="F111:F113"/>
    <mergeCell ref="H111:H113"/>
    <mergeCell ref="J111:J113"/>
    <mergeCell ref="M111:M113"/>
    <mergeCell ref="J120:J122"/>
    <mergeCell ref="J123:J125"/>
    <mergeCell ref="M123:M125"/>
    <mergeCell ref="M120:M122"/>
    <mergeCell ref="M117:M119"/>
    <mergeCell ref="M114:M116"/>
    <mergeCell ref="J114:J116"/>
    <mergeCell ref="J117:J119"/>
    <mergeCell ref="F132:F134"/>
    <mergeCell ref="G132:G134"/>
    <mergeCell ref="K156:K158"/>
    <mergeCell ref="K153:K155"/>
    <mergeCell ref="K150:K152"/>
    <mergeCell ref="K147:K149"/>
    <mergeCell ref="K144:K146"/>
    <mergeCell ref="J153:J155"/>
    <mergeCell ref="J156:J158"/>
    <mergeCell ref="J141:J143"/>
    <mergeCell ref="K141:K143"/>
    <mergeCell ref="M141:M143"/>
    <mergeCell ref="F103:F105"/>
    <mergeCell ref="H103:H105"/>
    <mergeCell ref="K117:K119"/>
    <mergeCell ref="G114:G116"/>
    <mergeCell ref="G117:G119"/>
    <mergeCell ref="G120:G122"/>
    <mergeCell ref="M103:M105"/>
    <mergeCell ref="J132:J134"/>
    <mergeCell ref="M129:M131"/>
    <mergeCell ref="F114:F116"/>
    <mergeCell ref="H114:H116"/>
    <mergeCell ref="I120:I122"/>
    <mergeCell ref="I123:I125"/>
    <mergeCell ref="I129:I131"/>
    <mergeCell ref="I117:I119"/>
    <mergeCell ref="G123:G125"/>
    <mergeCell ref="G129:G131"/>
    <mergeCell ref="I114:I116"/>
    <mergeCell ref="F126:F128"/>
    <mergeCell ref="G126:G128"/>
    <mergeCell ref="H126:H128"/>
    <mergeCell ref="I126:I128"/>
    <mergeCell ref="J126:J128"/>
    <mergeCell ref="K126:K128"/>
    <mergeCell ref="M61:M63"/>
    <mergeCell ref="J24:J26"/>
    <mergeCell ref="J61:J63"/>
    <mergeCell ref="M15:M16"/>
    <mergeCell ref="M24:M26"/>
    <mergeCell ref="M36:M38"/>
    <mergeCell ref="M48:M50"/>
    <mergeCell ref="K15:K16"/>
    <mergeCell ref="K24:K26"/>
    <mergeCell ref="K36:K38"/>
    <mergeCell ref="K48:K50"/>
    <mergeCell ref="K61:K63"/>
    <mergeCell ref="J15:J16"/>
    <mergeCell ref="K30:K32"/>
    <mergeCell ref="M30:M32"/>
    <mergeCell ref="K33:K35"/>
    <mergeCell ref="M33:M35"/>
    <mergeCell ref="K39:K41"/>
    <mergeCell ref="M39:M41"/>
    <mergeCell ref="K42:K44"/>
    <mergeCell ref="M42:M44"/>
    <mergeCell ref="M70:M71"/>
    <mergeCell ref="J82:J83"/>
    <mergeCell ref="H61:H63"/>
    <mergeCell ref="F82:F83"/>
    <mergeCell ref="E66:E67"/>
    <mergeCell ref="F66:F67"/>
    <mergeCell ref="H66:H67"/>
    <mergeCell ref="F64:F65"/>
    <mergeCell ref="H64:H65"/>
    <mergeCell ref="F70:F71"/>
    <mergeCell ref="E98:E99"/>
    <mergeCell ref="F98:F99"/>
    <mergeCell ref="H98:H99"/>
    <mergeCell ref="F61:F63"/>
    <mergeCell ref="H70:H71"/>
    <mergeCell ref="E72:E73"/>
    <mergeCell ref="F72:F73"/>
    <mergeCell ref="H72:H73"/>
    <mergeCell ref="E68:E69"/>
    <mergeCell ref="F68:F69"/>
    <mergeCell ref="H68:H69"/>
    <mergeCell ref="F74:F75"/>
    <mergeCell ref="H74:H75"/>
    <mergeCell ref="E76:E77"/>
    <mergeCell ref="F76:F77"/>
    <mergeCell ref="H76:H77"/>
    <mergeCell ref="F15:F16"/>
    <mergeCell ref="H15:H16"/>
    <mergeCell ref="G2:G4"/>
    <mergeCell ref="F24:F26"/>
    <mergeCell ref="H24:H26"/>
    <mergeCell ref="F36:F38"/>
    <mergeCell ref="J36:J38"/>
    <mergeCell ref="J48:J50"/>
    <mergeCell ref="I48:I50"/>
    <mergeCell ref="H36:H38"/>
    <mergeCell ref="H30:H32"/>
    <mergeCell ref="J30:J32"/>
    <mergeCell ref="F33:F35"/>
    <mergeCell ref="H33:H35"/>
    <mergeCell ref="J33:J35"/>
    <mergeCell ref="F39:F41"/>
    <mergeCell ref="H39:H41"/>
    <mergeCell ref="J39:J41"/>
    <mergeCell ref="F42:F44"/>
    <mergeCell ref="H42:H44"/>
    <mergeCell ref="J42:J44"/>
    <mergeCell ref="A2:A4"/>
    <mergeCell ref="B103:B105"/>
    <mergeCell ref="E24:E26"/>
    <mergeCell ref="E64:E65"/>
    <mergeCell ref="E70:E71"/>
    <mergeCell ref="E103:E105"/>
    <mergeCell ref="E61:E63"/>
    <mergeCell ref="E82:E83"/>
    <mergeCell ref="E36:E38"/>
    <mergeCell ref="B2:B4"/>
    <mergeCell ref="E15:E16"/>
    <mergeCell ref="E48:E50"/>
    <mergeCell ref="E17:E18"/>
    <mergeCell ref="E21:E22"/>
    <mergeCell ref="E30:E32"/>
    <mergeCell ref="E39:E41"/>
    <mergeCell ref="E45:E47"/>
    <mergeCell ref="E74:E75"/>
    <mergeCell ref="E84:E85"/>
    <mergeCell ref="E100:E101"/>
    <mergeCell ref="E78:E79"/>
    <mergeCell ref="E88:E89"/>
    <mergeCell ref="E33:E35"/>
    <mergeCell ref="E42:E44"/>
    <mergeCell ref="E1:AF1"/>
    <mergeCell ref="E2:E4"/>
    <mergeCell ref="F2:F4"/>
    <mergeCell ref="H2:H4"/>
    <mergeCell ref="N2:N4"/>
    <mergeCell ref="O2:O4"/>
    <mergeCell ref="P2:P4"/>
    <mergeCell ref="Q2:Q4"/>
    <mergeCell ref="R2:R4"/>
    <mergeCell ref="U3:V3"/>
    <mergeCell ref="W3:Y3"/>
    <mergeCell ref="Z3:AB3"/>
    <mergeCell ref="AC3:AE3"/>
    <mergeCell ref="S2:S4"/>
    <mergeCell ref="J2:J4"/>
    <mergeCell ref="K2:K4"/>
    <mergeCell ref="L2:L4"/>
    <mergeCell ref="M2:M4"/>
    <mergeCell ref="I2:I4"/>
    <mergeCell ref="T2:T4"/>
    <mergeCell ref="U2:AE2"/>
    <mergeCell ref="AF2:AF4"/>
    <mergeCell ref="J70:J71"/>
    <mergeCell ref="J64:J65"/>
    <mergeCell ref="M64:M65"/>
    <mergeCell ref="K64:K65"/>
    <mergeCell ref="K70:K71"/>
    <mergeCell ref="K82:K83"/>
    <mergeCell ref="J72:J73"/>
    <mergeCell ref="K72:K73"/>
    <mergeCell ref="M72:M73"/>
    <mergeCell ref="J66:J67"/>
    <mergeCell ref="K66:K67"/>
    <mergeCell ref="M66:M67"/>
    <mergeCell ref="J68:J69"/>
    <mergeCell ref="K68:K69"/>
    <mergeCell ref="M68:M69"/>
    <mergeCell ref="J74:J75"/>
    <mergeCell ref="K74:K75"/>
    <mergeCell ref="M74:M75"/>
    <mergeCell ref="M78:M79"/>
    <mergeCell ref="J76:J77"/>
    <mergeCell ref="K76:K77"/>
    <mergeCell ref="M76:M77"/>
    <mergeCell ref="J94:J95"/>
    <mergeCell ref="M94:M95"/>
    <mergeCell ref="F129:F131"/>
    <mergeCell ref="H129:H131"/>
    <mergeCell ref="K103:K105"/>
    <mergeCell ref="K94:K95"/>
    <mergeCell ref="K129:K131"/>
    <mergeCell ref="K123:K125"/>
    <mergeCell ref="K120:K122"/>
    <mergeCell ref="J98:J99"/>
    <mergeCell ref="K98:K99"/>
    <mergeCell ref="M98:M99"/>
    <mergeCell ref="J129:J131"/>
    <mergeCell ref="F117:F119"/>
    <mergeCell ref="H117:H119"/>
    <mergeCell ref="F120:F122"/>
    <mergeCell ref="H120:H122"/>
    <mergeCell ref="F100:F101"/>
    <mergeCell ref="H100:H101"/>
    <mergeCell ref="I100:I101"/>
    <mergeCell ref="J100:J101"/>
    <mergeCell ref="K100:K101"/>
    <mergeCell ref="M100:M101"/>
    <mergeCell ref="J103:J105"/>
    <mergeCell ref="I61:I63"/>
    <mergeCell ref="F17:F18"/>
    <mergeCell ref="H17:H18"/>
    <mergeCell ref="J17:J18"/>
    <mergeCell ref="K17:K18"/>
    <mergeCell ref="M17:M18"/>
    <mergeCell ref="E19:E20"/>
    <mergeCell ref="F19:F20"/>
    <mergeCell ref="H19:H20"/>
    <mergeCell ref="J19:J20"/>
    <mergeCell ref="K19:K20"/>
    <mergeCell ref="M19:M20"/>
    <mergeCell ref="F21:F22"/>
    <mergeCell ref="H21:H22"/>
    <mergeCell ref="J21:J22"/>
    <mergeCell ref="K21:K22"/>
    <mergeCell ref="M21:M22"/>
    <mergeCell ref="E27:E29"/>
    <mergeCell ref="F27:F29"/>
    <mergeCell ref="H27:H29"/>
    <mergeCell ref="J27:J29"/>
    <mergeCell ref="K27:K29"/>
    <mergeCell ref="M27:M29"/>
    <mergeCell ref="F30:F32"/>
    <mergeCell ref="E54:E56"/>
    <mergeCell ref="F54:F56"/>
    <mergeCell ref="H54:H56"/>
    <mergeCell ref="I54:I56"/>
    <mergeCell ref="J54:J56"/>
    <mergeCell ref="K54:K56"/>
    <mergeCell ref="M54:M56"/>
    <mergeCell ref="F45:F47"/>
    <mergeCell ref="H45:H47"/>
    <mergeCell ref="J45:J47"/>
    <mergeCell ref="K45:K47"/>
    <mergeCell ref="M45:M47"/>
    <mergeCell ref="E51:E53"/>
    <mergeCell ref="F51:F53"/>
    <mergeCell ref="H51:H53"/>
    <mergeCell ref="I51:I53"/>
    <mergeCell ref="J51:J53"/>
    <mergeCell ref="K51:K53"/>
    <mergeCell ref="M51:M53"/>
    <mergeCell ref="F48:F50"/>
    <mergeCell ref="H48:H50"/>
    <mergeCell ref="E96:E97"/>
    <mergeCell ref="F96:F97"/>
    <mergeCell ref="H96:H97"/>
    <mergeCell ref="I96:I97"/>
    <mergeCell ref="J96:J97"/>
    <mergeCell ref="K96:K97"/>
    <mergeCell ref="M96:M97"/>
    <mergeCell ref="E90:E91"/>
    <mergeCell ref="F90:F91"/>
    <mergeCell ref="H90:H91"/>
    <mergeCell ref="I90:I91"/>
    <mergeCell ref="J90:J91"/>
    <mergeCell ref="K90:K91"/>
    <mergeCell ref="M90:M91"/>
    <mergeCell ref="E92:E93"/>
    <mergeCell ref="F92:F93"/>
    <mergeCell ref="H92:H93"/>
    <mergeCell ref="I92:I93"/>
    <mergeCell ref="F94:F95"/>
    <mergeCell ref="H94:H95"/>
    <mergeCell ref="J92:J93"/>
    <mergeCell ref="K92:K93"/>
    <mergeCell ref="M92:M93"/>
    <mergeCell ref="E94:E95"/>
    <mergeCell ref="F88:F89"/>
    <mergeCell ref="H88:H89"/>
    <mergeCell ref="I88:I89"/>
    <mergeCell ref="J88:J89"/>
    <mergeCell ref="K88:K89"/>
    <mergeCell ref="M88:M89"/>
    <mergeCell ref="F84:F85"/>
    <mergeCell ref="H84:H85"/>
    <mergeCell ref="I84:I85"/>
    <mergeCell ref="J84:J85"/>
    <mergeCell ref="K84:K85"/>
    <mergeCell ref="M84:M85"/>
    <mergeCell ref="M86:M87"/>
    <mergeCell ref="F86:F87"/>
    <mergeCell ref="H86:H87"/>
    <mergeCell ref="J86:J87"/>
    <mergeCell ref="F78:F79"/>
    <mergeCell ref="H78:H79"/>
    <mergeCell ref="I78:I79"/>
    <mergeCell ref="J78:J79"/>
    <mergeCell ref="K78:K79"/>
    <mergeCell ref="K86:K87"/>
    <mergeCell ref="M82:M83"/>
    <mergeCell ref="E80:E81"/>
    <mergeCell ref="F80:F81"/>
    <mergeCell ref="H80:H81"/>
    <mergeCell ref="I80:I81"/>
    <mergeCell ref="J80:J81"/>
    <mergeCell ref="K80:K81"/>
    <mergeCell ref="M80:M81"/>
    <mergeCell ref="E86:E87"/>
    <mergeCell ref="H82:H83"/>
  </mergeCells>
  <phoneticPr fontId="3" type="noConversion"/>
  <conditionalFormatting sqref="Q6:Q35 Q61:Q101">
    <cfRule type="cellIs" dxfId="47" priority="46" stopIfTrue="1" operator="greaterThan">
      <formula>0</formula>
    </cfRule>
  </conditionalFormatting>
  <conditionalFormatting sqref="Q94:Q101">
    <cfRule type="cellIs" dxfId="46" priority="16" stopIfTrue="1" operator="greaterThan">
      <formula>0</formula>
    </cfRule>
  </conditionalFormatting>
  <conditionalFormatting sqref="Q103:Q106">
    <cfRule type="cellIs" dxfId="45" priority="34" stopIfTrue="1" operator="greaterThan">
      <formula>0</formula>
    </cfRule>
  </conditionalFormatting>
  <conditionalFormatting sqref="Q110">
    <cfRule type="cellIs" dxfId="44" priority="19" stopIfTrue="1" operator="greaterThan">
      <formula>0</formula>
    </cfRule>
  </conditionalFormatting>
  <conditionalFormatting sqref="Q129">
    <cfRule type="cellIs" dxfId="43" priority="25" stopIfTrue="1" operator="greaterThan">
      <formula>0</formula>
    </cfRule>
  </conditionalFormatting>
  <conditionalFormatting sqref="Q132:Q158">
    <cfRule type="cellIs" dxfId="42" priority="9" stopIfTrue="1" operator="greaterThan">
      <formula>0</formula>
    </cfRule>
  </conditionalFormatting>
  <conditionalFormatting sqref="Q6:R22">
    <cfRule type="cellIs" dxfId="41" priority="1" stopIfTrue="1" operator="lessThanOrEqual">
      <formula>0</formula>
    </cfRule>
  </conditionalFormatting>
  <conditionalFormatting sqref="Q61:R101 Q23:Q35">
    <cfRule type="cellIs" dxfId="40" priority="44" stopIfTrue="1" operator="lessThanOrEqual">
      <formula>0</formula>
    </cfRule>
  </conditionalFormatting>
  <conditionalFormatting sqref="Q94:R101">
    <cfRule type="cellIs" dxfId="39" priority="14" stopIfTrue="1" operator="lessThanOrEqual">
      <formula>0</formula>
    </cfRule>
  </conditionalFormatting>
  <conditionalFormatting sqref="Q103:R106">
    <cfRule type="cellIs" dxfId="38" priority="33" stopIfTrue="1" operator="lessThanOrEqual">
      <formula>0</formula>
    </cfRule>
  </conditionalFormatting>
  <conditionalFormatting sqref="Q110:R110">
    <cfRule type="cellIs" dxfId="37" priority="18" stopIfTrue="1" operator="lessThanOrEqual">
      <formula>0</formula>
    </cfRule>
  </conditionalFormatting>
  <conditionalFormatting sqref="Q111:R112">
    <cfRule type="cellIs" dxfId="36" priority="4" stopIfTrue="1" operator="greaterThan">
      <formula>0</formula>
    </cfRule>
    <cfRule type="cellIs" dxfId="35" priority="6" stopIfTrue="1" operator="greaterThan">
      <formula>0</formula>
    </cfRule>
  </conditionalFormatting>
  <conditionalFormatting sqref="Q129:R129">
    <cfRule type="cellIs" dxfId="34" priority="24" stopIfTrue="1" operator="lessThanOrEqual">
      <formula>0</formula>
    </cfRule>
  </conditionalFormatting>
  <conditionalFormatting sqref="Q132:R158">
    <cfRule type="cellIs" dxfId="33" priority="8" stopIfTrue="1" operator="lessThanOrEqual">
      <formula>0</formula>
    </cfRule>
  </conditionalFormatting>
  <conditionalFormatting sqref="Q111:S112">
    <cfRule type="cellIs" dxfId="32" priority="5" stopIfTrue="1" operator="lessThanOrEqual">
      <formula>0</formula>
    </cfRule>
  </conditionalFormatting>
  <conditionalFormatting sqref="R24:R35 R61:R101 R6:R22">
    <cfRule type="cellIs" dxfId="31" priority="47" stopIfTrue="1" operator="greaterThan">
      <formula>0</formula>
    </cfRule>
  </conditionalFormatting>
  <conditionalFormatting sqref="R24:R35">
    <cfRule type="cellIs" dxfId="30" priority="45" stopIfTrue="1" operator="lessThanOrEqual">
      <formula>0</formula>
    </cfRule>
  </conditionalFormatting>
  <conditionalFormatting sqref="R94:R101">
    <cfRule type="cellIs" dxfId="29" priority="17" stopIfTrue="1" operator="greaterThan">
      <formula>0</formula>
    </cfRule>
  </conditionalFormatting>
  <conditionalFormatting sqref="R103:R106">
    <cfRule type="cellIs" dxfId="28" priority="35" stopIfTrue="1" operator="greaterThan">
      <formula>0</formula>
    </cfRule>
  </conditionalFormatting>
  <conditionalFormatting sqref="R110">
    <cfRule type="cellIs" dxfId="27" priority="20" stopIfTrue="1" operator="greaterThan">
      <formula>0</formula>
    </cfRule>
  </conditionalFormatting>
  <conditionalFormatting sqref="R129">
    <cfRule type="cellIs" dxfId="26" priority="26" stopIfTrue="1" operator="greaterThan">
      <formula>0</formula>
    </cfRule>
  </conditionalFormatting>
  <conditionalFormatting sqref="R132:R158">
    <cfRule type="cellIs" dxfId="25" priority="10" stopIfTrue="1" operator="greaterThan">
      <formula>0</formula>
    </cfRule>
  </conditionalFormatting>
  <conditionalFormatting sqref="S37:S38 S40:S41 S43:S44 S46:S47 S49:S50 S52:S53 S55:S56 S114:S128 S130:S131 S159">
    <cfRule type="expression" dxfId="24" priority="135">
      <formula>$S37="修正"</formula>
    </cfRule>
    <cfRule type="expression" dxfId="23" priority="136">
      <formula>$S37="核定"</formula>
    </cfRule>
    <cfRule type="expression" dxfId="22" priority="137">
      <formula>$S37="審查"</formula>
    </cfRule>
  </conditionalFormatting>
  <conditionalFormatting sqref="S111:S113">
    <cfRule type="cellIs" dxfId="21" priority="32" stopIfTrue="1" operator="greaterThan">
      <formula>0</formula>
    </cfRule>
  </conditionalFormatting>
  <conditionalFormatting sqref="S113">
    <cfRule type="cellIs" dxfId="20" priority="30" stopIfTrue="1" operator="lessThanOrEqual">
      <formula>0</formula>
    </cfRule>
  </conditionalFormatting>
  <hyperlinks>
    <hyperlink ref="AD109" r:id="rId1" xr:uid="{76569FF0-B8E7-499C-9CB4-35FE311FA8C8}"/>
    <hyperlink ref="V109" r:id="rId2" xr:uid="{6BB6FC41-0AEB-4B3B-8FD6-DB3E3307D5D6}"/>
    <hyperlink ref="X103" r:id="rId3" xr:uid="{9A553A57-283A-4AF8-9415-108100E1B1C9}"/>
    <hyperlink ref="X104" r:id="rId4" xr:uid="{FCC92B66-B567-49A7-AD95-44D123A2BD51}"/>
    <hyperlink ref="AD105" r:id="rId5" xr:uid="{0E50FD26-D5D2-45BC-9FDC-A45E98D85EFD}"/>
    <hyperlink ref="V103" r:id="rId6" xr:uid="{7328DB8F-E2E8-4BB7-8CE5-BF5CBF82DF32}"/>
    <hyperlink ref="V104" r:id="rId7" xr:uid="{01C72ED3-1C52-4278-8472-AB7CD01C3ADE}"/>
    <hyperlink ref="V105" r:id="rId8" xr:uid="{733CEAD8-29C4-49BC-B4C9-440DC534105E}"/>
    <hyperlink ref="AA24" r:id="rId9" xr:uid="{5CA39688-5FB1-4DE9-A8FC-A9688DE1D7CF}"/>
    <hyperlink ref="AD8" r:id="rId10" xr:uid="{ADC3D11B-BC61-421A-A902-910A8737A045}"/>
    <hyperlink ref="AD11" r:id="rId11" xr:uid="{76B3D243-43D6-4FB9-9A34-CF1DE8FAC3ED}"/>
    <hyperlink ref="AD12" r:id="rId12" xr:uid="{D374FDA5-C5F4-4A48-A981-E736F02E295A}"/>
    <hyperlink ref="AD15" r:id="rId13" xr:uid="{809C1292-71D3-419E-B42F-35F13842FD62}"/>
    <hyperlink ref="V8" r:id="rId14" display="https://pow06.ctci.com.tw/PRJ/24A5600A/JVPartner/Correspondence/%E6%94%B6%E7%99%BC%E6%96%87/%E7%99%BC%E6%96%87/114-305_%E9%8B%BC%E7%AD%8B(%E5%8D%9A%E5%A4%A7)%E6%9D%90%E6%96%99%E9%80%81%E5%AF%A9/%E9%BC%8E%E6%B0%B4%E8%B3%87%E5%AD%97%E7%AC%AC1140000305%E8%99%9F.pdf?d=wb4fa09cbc25d46c9bbf36b53e29b8d8a" xr:uid="{D032471E-A586-40BA-85E2-819C6936DBF4}"/>
    <hyperlink ref="V11" r:id="rId15" xr:uid="{BAF2638D-A849-4E0D-A02A-A04A5A150ECF}"/>
    <hyperlink ref="V12" r:id="rId16" xr:uid="{1EEAA0A0-74A1-4927-823D-0E0F7476DD69}"/>
    <hyperlink ref="V15" r:id="rId17" xr:uid="{C2395719-FCCA-4ED5-A9CB-9BE1229FBE86}"/>
    <hyperlink ref="V24" r:id="rId18" xr:uid="{22BE2340-7FAC-42F0-BB7E-EBC11070FC20}"/>
    <hyperlink ref="V16" r:id="rId19" xr:uid="{87F29CD9-4740-42BE-A2FA-89432BFF3519}"/>
    <hyperlink ref="AD24" r:id="rId20" xr:uid="{2C86F4AB-5BC4-4545-ADE5-2B3316A17F7C}"/>
    <hyperlink ref="V25" r:id="rId21" xr:uid="{C6C37C9E-71E8-434A-AE28-68F30BB8F6C4}"/>
    <hyperlink ref="X16" r:id="rId22" xr:uid="{50A65EF2-ED1A-4AE6-9A6F-54DDE5F1126C}"/>
    <hyperlink ref="X61" r:id="rId23" xr:uid="{99122D2E-5A09-46A8-80DC-4529D7DAC0C6}"/>
    <hyperlink ref="AD62" r:id="rId24" xr:uid="{28D5C2E1-769D-4B4C-8EB9-82A3DE597248}"/>
    <hyperlink ref="V61" r:id="rId25" xr:uid="{B8C34062-2D54-47BF-866C-270518DDCB7A}"/>
    <hyperlink ref="V62" r:id="rId26" xr:uid="{5B7A2791-2BCE-48A1-90C9-4F1C629DBBBF}"/>
    <hyperlink ref="X64" r:id="rId27" xr:uid="{25D4E93A-9AEF-47E4-86E0-635007F495D9}"/>
    <hyperlink ref="AD71" r:id="rId28" xr:uid="{1098E86E-C63F-4C2F-A3D7-5D7A25D1AC9F}"/>
    <hyperlink ref="AD83" r:id="rId29" xr:uid="{DA5A6E62-8CDC-4B32-8465-216F92700B07}"/>
    <hyperlink ref="AD82" r:id="rId30" xr:uid="{D4373F32-F29E-4038-AC33-E354792DA79D}"/>
    <hyperlink ref="AD70" r:id="rId31" xr:uid="{A4F3E366-7B3A-4341-AB92-9FA5DEC0479D}"/>
    <hyperlink ref="AD65" r:id="rId32" xr:uid="{FA966DF1-F4DB-4DEB-95E8-F083BF6551A6}"/>
    <hyperlink ref="V64" r:id="rId33" xr:uid="{8533336A-71DA-4C95-8B8F-98C4D0AAD194}"/>
    <hyperlink ref="V65" r:id="rId34" xr:uid="{01CE1E09-C129-4CB3-9EC8-2D034B305ACA}"/>
    <hyperlink ref="V70" r:id="rId35" display="https://pow06.ctci.com.tw/PRJ/24A5600A/JVPartner/Correspondence/%E6%94%B6%E7%99%BC%E6%96%87/%E7%99%BC%E6%96%87/114-464/%E9%BC%8E%E6%B0%B4%E8%B3%87%E5%AD%97%E7%AC%AC1140000464%E8%99%9F.pdf?d=w7105b4a671c34cc785a2c867e493f8a2" xr:uid="{24FA6BF1-C201-4DF6-A209-CCC922FD5366}"/>
    <hyperlink ref="V71" r:id="rId36" xr:uid="{DDB93A3E-2F58-4F90-8E82-1D6AEF3E9539}"/>
    <hyperlink ref="V82" r:id="rId37" display="https://pow06.ctci.com.tw/PRJ/24A5600A/JVPartner/Correspondence/%E6%94%B6%E7%99%BC%E6%96%87/%E7%99%BC%E6%96%87/114-467/%E9%BC%8E%E6%B0%B4%E8%B3%87%E5%AD%97%E7%AC%AC1140000467%E8%99%9F.pdf?d=wca3a840f95644a3db2dc66d7a892d620" xr:uid="{29B4438F-EEF1-44E7-A6FD-5B6A56E4E017}"/>
    <hyperlink ref="V83" r:id="rId38" xr:uid="{A895716C-3B55-4F6D-824C-1A7FA4068D8B}"/>
    <hyperlink ref="AD5" r:id="rId39" xr:uid="{0F4E1A18-4D87-49FB-AE27-67EF17ED278B}"/>
    <hyperlink ref="V5" r:id="rId40" xr:uid="{E49F070F-17AF-4E2D-9BF9-06D21832242B}"/>
    <hyperlink ref="AD102" r:id="rId41" xr:uid="{F9DB6ACF-FA5D-44EF-973C-BBDC5CC55D66}"/>
    <hyperlink ref="V102" r:id="rId42" xr:uid="{B9B6DDD7-D12E-4366-A151-DD61E8D74FD3}"/>
    <hyperlink ref="AD106" r:id="rId43" xr:uid="{438F1A62-84DC-4057-AE88-CB3667B81421}"/>
    <hyperlink ref="V106" r:id="rId44" xr:uid="{207F7412-4751-4139-8AFB-61B2ED04A62D}"/>
    <hyperlink ref="AD107" r:id="rId45" xr:uid="{7E735333-E21E-4877-9969-0A7A2C787A9C}"/>
    <hyperlink ref="V107" r:id="rId46" xr:uid="{422E1AA2-2FD4-4EEA-B552-5C68A2162FD5}"/>
    <hyperlink ref="AD108" r:id="rId47" xr:uid="{89B0D6D2-C29C-4843-8F52-A17D9122F332}"/>
    <hyperlink ref="V108" r:id="rId48" display="https://pow06.ctci.com.tw/PRJ/24A5600A/Construction/%E8%B3%87%E6%96%99%E5%A4%BE%E6%9A%AB%E5%81%9C%E4%BD%9C%E6%A5%AD_Correspondence/%E7%99%BC%E6%96%87/114-1374/%E9%BC%8E%E6%B0%B4%E8%B3%87%E5%AD%97%E7%AC%AC1140001374%E8%99%9F.pdf?d=w286415c2c01d44daa5c9b5ba3334f881" xr:uid="{2A4569C6-2E36-4939-B027-6A833322332A}"/>
    <hyperlink ref="AD129" r:id="rId49" xr:uid="{03B1708F-A6FA-4A21-B7E0-86071F1454ED}"/>
    <hyperlink ref="V129" r:id="rId50" xr:uid="{C2D0111F-FCFB-4BDA-882B-0AE80773BFD6}"/>
    <hyperlink ref="AA110" r:id="rId51" xr:uid="{EC65B9C5-A50F-42BC-B376-88DDF7F26EEB}"/>
    <hyperlink ref="X110" r:id="rId52" xr:uid="{4829E21E-1A32-4C8D-9B10-9CC2FDB21881}"/>
    <hyperlink ref="V110" r:id="rId53" xr:uid="{DF95F0FE-9A6E-468A-B0E1-B1142FF20E2A}"/>
    <hyperlink ref="AD110" r:id="rId54" xr:uid="{157B3ED5-043B-4475-913C-424DFDF33331}"/>
    <hyperlink ref="X94" r:id="rId55" xr:uid="{83618176-C132-45BE-B827-DB0BE4188704}"/>
    <hyperlink ref="AD95" r:id="rId56" xr:uid="{71666ACA-416E-4B06-9B19-1C45E136BFFF}"/>
    <hyperlink ref="V94" r:id="rId57" xr:uid="{908F46FB-3E6F-450F-9D2C-190223E1E97D}"/>
    <hyperlink ref="V95" r:id="rId58" xr:uid="{A22C4266-75A1-4CE7-9F14-6363073F98D1}"/>
    <hyperlink ref="X135" r:id="rId59" xr:uid="{274129EB-B3DF-4EE6-B161-94283450FE6E}"/>
    <hyperlink ref="AD136" r:id="rId60" xr:uid="{ABA75DD7-EF31-442A-A960-AD0FFE24C4C5}"/>
    <hyperlink ref="AD144" r:id="rId61" xr:uid="{51ACA1A7-CBC3-4D86-BEE2-CADEBF6FEA14}"/>
    <hyperlink ref="AD138" r:id="rId62" xr:uid="{545516D9-4332-4AF2-B145-37A6845034FC}"/>
    <hyperlink ref="AD150" r:id="rId63" xr:uid="{AF628D37-B424-4C73-9767-9529B1B87C49}"/>
    <hyperlink ref="AD147" r:id="rId64" xr:uid="{2CE609C2-DEF8-42BA-B585-ACB3C18EBBD9}"/>
    <hyperlink ref="AD154" r:id="rId65" xr:uid="{132A6B96-54E2-4553-95FA-F8D485FA1922}"/>
    <hyperlink ref="V153" r:id="rId66" xr:uid="{092DEEF6-A44C-49D5-B5BE-D27759A42B8E}"/>
    <hyperlink ref="X153" r:id="rId67" xr:uid="{A53B6FF3-96A4-4CAE-B1EC-7FFEB19C5A47}"/>
    <hyperlink ref="AA153" r:id="rId68" xr:uid="{D6A488B5-4F54-497A-8F00-7BABC7EF1FED}"/>
    <hyperlink ref="V135" r:id="rId69" xr:uid="{A9BE064A-3D87-470A-ACA6-DEBBF646E6D9}"/>
    <hyperlink ref="V136" r:id="rId70" xr:uid="{7E342F77-1BDE-48FD-BBC7-FB5B03893B75}"/>
    <hyperlink ref="V138" r:id="rId71" xr:uid="{C15A1874-B166-4B41-8838-E067910BD4C3}"/>
    <hyperlink ref="V144" r:id="rId72" xr:uid="{07E21967-96F5-4CB2-A8E3-C34B111A323D}"/>
    <hyperlink ref="V147" r:id="rId73" xr:uid="{FAAE6194-55A2-420C-9C86-FD8196321334}"/>
    <hyperlink ref="V150" r:id="rId74" xr:uid="{7A0E6FB7-CD46-4C41-8D34-81C45504AAED}"/>
    <hyperlink ref="V156" r:id="rId75" xr:uid="{42B36988-0E59-4C1D-BA4F-F9B4B3E745F6}"/>
    <hyperlink ref="X154" r:id="rId76" xr:uid="{8257E46E-F2B5-4511-AB66-4045B92A11E6}"/>
    <hyperlink ref="X132" r:id="rId77" xr:uid="{C7FE6A61-05F3-4E0D-B3F0-05221C939364}"/>
    <hyperlink ref="V133" r:id="rId78" xr:uid="{3BA807A0-4770-47E8-83D6-C25029B98945}"/>
    <hyperlink ref="V132" r:id="rId79" xr:uid="{925860EA-4D2D-42B8-82E2-BB7A35924D1B}"/>
    <hyperlink ref="X133" r:id="rId80" xr:uid="{1F588FB1-D67F-43B2-B4BB-A2C4C927B227}"/>
    <hyperlink ref="AA133" r:id="rId81" xr:uid="{73556E48-C57C-40B2-916F-9797A19324E1}"/>
    <hyperlink ref="AD133" r:id="rId82" xr:uid="{890E7D63-68B4-4CA7-9F8D-57394DF8F186}"/>
    <hyperlink ref="X111" r:id="rId83" display="水北多字第11453136660號" xr:uid="{32938097-8A36-4672-A333-D6C816892AFE}"/>
    <hyperlink ref="X112" r:id="rId84" display="鼎水資字第1140001354號" xr:uid="{D7EE0239-40F0-4D48-B803-021E8E56D4DA}"/>
    <hyperlink ref="AD113" r:id="rId85" display="艾奕康水字第1150002915號" xr:uid="{399B6158-4FC0-46B6-BAD6-239C04EB0A63}"/>
    <hyperlink ref="V111" r:id="rId86" display="艾奕康水字第1150002915號" xr:uid="{B797F92E-DA28-43CC-8762-C2D108B5FD1E}"/>
    <hyperlink ref="V112" r:id="rId87" display="鼎水資字第1150000031號" xr:uid="{84A61F48-8D86-412F-A50B-3D1A0C8D1672}"/>
    <hyperlink ref="V113" r:id="rId88" display="水北多字第11522004950號" xr:uid="{1E13A89E-D580-45C8-9521-3A7F48468DC6}"/>
    <hyperlink ref="V36" r:id="rId89" xr:uid="{EAD6945C-3D0F-4BBB-974D-AEB3CBBB9730}"/>
    <hyperlink ref="X36" r:id="rId90" xr:uid="{16A13554-32C7-437E-B714-31D0D8B4A7AA}"/>
    <hyperlink ref="AA36" r:id="rId91" xr:uid="{857B8B42-D991-4D05-B04A-95CAB33DA0BA}"/>
    <hyperlink ref="AD36" r:id="rId92" xr:uid="{CA8AECD1-FD4A-4774-A4FA-99F7E809C1D8}"/>
    <hyperlink ref="V48" r:id="rId93" xr:uid="{41F19A01-E57D-4B07-A07E-829054F0F220}"/>
    <hyperlink ref="X48" r:id="rId94" xr:uid="{A40BF6D0-35F3-414F-AB5D-C5F04B80E2B0}"/>
    <hyperlink ref="AA48" r:id="rId95" xr:uid="{19881AEC-9661-4C7E-B12F-F9607CD231A4}"/>
    <hyperlink ref="AD48" r:id="rId96" xr:uid="{530DC278-B51A-4DEC-8600-464F239AE3C5}"/>
    <hyperlink ref="V57" r:id="rId97" xr:uid="{1BB1F091-CEE4-4B4D-85ED-DBF00D0A900D}"/>
    <hyperlink ref="X57" r:id="rId98" xr:uid="{93DB184F-E837-49C8-B917-46871493805C}"/>
    <hyperlink ref="AA57" r:id="rId99" xr:uid="{13AFDE66-BEA4-4EAF-BCCA-9F6C223F5D37}"/>
    <hyperlink ref="AD57" r:id="rId100" xr:uid="{468BC77C-2382-4D82-981D-53255D5C71FF}"/>
    <hyperlink ref="AD141" r:id="rId101" xr:uid="{A17C6807-6641-408B-832A-D98470E0C98D}"/>
    <hyperlink ref="AD98" r:id="rId102" xr:uid="{38DD933A-6EE7-4F9B-8D38-9289B3767C17}"/>
    <hyperlink ref="AA154" r:id="rId103" xr:uid="{8792CD61-E86C-49DD-9764-C543730D83D8}"/>
    <hyperlink ref="AD6" r:id="rId104" xr:uid="{6010D0CF-70C4-4F0C-924A-A3D9A0957199}"/>
    <hyperlink ref="V6" r:id="rId105" display="https://pow06.ctci.com.tw/PRJ/24A5600A/JVPartner/Correspondence/%E6%94%B6%E7%99%BC%E6%96%87/%E7%99%BC%E6%96%87/114-305_%E9%8B%BC%E7%AD%8B(%E5%8D%9A%E5%A4%A7)%E6%9D%90%E6%96%99%E9%80%81%E5%AF%A9/%E9%BC%8E%E6%B0%B4%E8%B3%87%E5%AD%97%E7%AC%AC1140000305%E8%99%9F.pdf?d=wb4fa09cbc25d46c9bbf36b53e29b8d8a" xr:uid="{74D81F3B-75B1-43E2-865C-5BCB49D988F5}"/>
    <hyperlink ref="AD7" r:id="rId106" xr:uid="{C74F672B-CE62-42F0-AED3-BF3CDD55CD34}"/>
    <hyperlink ref="V7" r:id="rId107" display="https://pow06.ctci.com.tw/PRJ/24A5600A/JVPartner/Correspondence/%E6%94%B6%E7%99%BC%E6%96%87/%E7%99%BC%E6%96%87/114-305_%E9%8B%BC%E7%AD%8B(%E5%8D%9A%E5%A4%A7)%E6%9D%90%E6%96%99%E9%80%81%E5%AF%A9/%E9%BC%8E%E6%B0%B4%E8%B3%87%E5%AD%97%E7%AC%AC1140000305%E8%99%9F.pdf?d=wb4fa09cbc25d46c9bbf36b53e29b8d8a" xr:uid="{C60EF61F-1A42-4CDB-A15E-1C99199CA3C1}"/>
    <hyperlink ref="AD9" r:id="rId108" xr:uid="{2968716B-3C47-452B-BBF1-FD59ACA3948A}"/>
    <hyperlink ref="V9" r:id="rId109" xr:uid="{2CB99BED-003E-4E2A-9660-42E3DCBCC663}"/>
    <hyperlink ref="AD10" r:id="rId110" xr:uid="{EBE25F34-5EEC-4DEC-8F8E-B949DF26B383}"/>
    <hyperlink ref="V10" r:id="rId111" xr:uid="{7FC108CE-2091-4E0F-A400-C28906E25211}"/>
    <hyperlink ref="AD13" r:id="rId112" xr:uid="{42923DA3-D81B-469F-AE2D-B9BA0E66D7F8}"/>
    <hyperlink ref="V13" r:id="rId113" xr:uid="{96DFCEFD-93FD-4EB9-8A00-EF369628B4E4}"/>
    <hyperlink ref="AD14" r:id="rId114" xr:uid="{2209C1C8-BC82-491E-862F-0DBDC0633A45}"/>
    <hyperlink ref="V14" r:id="rId115" xr:uid="{21D1A703-F06D-48C1-8F79-1B97A120A9DD}"/>
    <hyperlink ref="AD17" r:id="rId116" xr:uid="{C183AF1F-10EF-4C6A-BC3A-A261F0E44360}"/>
    <hyperlink ref="V17" r:id="rId117" xr:uid="{15132090-92ED-4526-B7A4-BBA9AA1D187E}"/>
    <hyperlink ref="V18" r:id="rId118" xr:uid="{A60A2906-0E10-48B2-A928-732B3973D292}"/>
    <hyperlink ref="X18" r:id="rId119" xr:uid="{C5BE959E-6D6B-457D-99E4-02ABBC044D65}"/>
    <hyperlink ref="AD19" r:id="rId120" xr:uid="{B55C56DB-60C4-4FFE-9C16-1C224831B4B8}"/>
    <hyperlink ref="V19" r:id="rId121" xr:uid="{C3F8F925-D94E-42C1-A0AF-98A5EB456343}"/>
    <hyperlink ref="V20" r:id="rId122" xr:uid="{D98C01B9-5E58-490A-BF75-BC85DB87AE60}"/>
    <hyperlink ref="X20" r:id="rId123" xr:uid="{FBD18C9E-93DF-4448-BD01-9DEB91E41CEC}"/>
    <hyperlink ref="AD21" r:id="rId124" xr:uid="{0E2F77C3-8412-4324-9B70-62E5A0F942E8}"/>
    <hyperlink ref="V21" r:id="rId125" xr:uid="{6ED866FA-E0BB-4ECD-BA0F-77739AA54356}"/>
    <hyperlink ref="V22" r:id="rId126" xr:uid="{16D138C7-EC6A-4F3C-B1A5-FC2D080988A4}"/>
    <hyperlink ref="X22" r:id="rId127" xr:uid="{99380C37-0B54-4AD5-A44D-3A7DBDCBC32D}"/>
    <hyperlink ref="AD23" r:id="rId128" xr:uid="{5BA9FC1F-C21A-42AA-BCBC-819AB50F207D}"/>
    <hyperlink ref="V23" r:id="rId129" xr:uid="{03C53799-AC73-45E2-BD89-4DBD2419A9F7}"/>
    <hyperlink ref="AA27" r:id="rId130" xr:uid="{E89941B7-61C3-4781-8503-2E5E37609AE0}"/>
    <hyperlink ref="V27" r:id="rId131" xr:uid="{6F1CC323-0E87-4F68-B68C-ED56EADCE888}"/>
    <hyperlink ref="AD27" r:id="rId132" xr:uid="{31A7025D-8C2F-44D7-895E-9BAA1264F833}"/>
    <hyperlink ref="V28" r:id="rId133" xr:uid="{658FE15E-8083-418F-9DD4-7B5C80B7BA4C}"/>
    <hyperlink ref="AA30" r:id="rId134" xr:uid="{431AF371-8058-4DB2-B156-E800D6D6F6BC}"/>
    <hyperlink ref="V30" r:id="rId135" xr:uid="{BF295563-8202-407A-BB1E-F7C0C18A5CB5}"/>
    <hyperlink ref="AD30" r:id="rId136" xr:uid="{4E621BCB-B02F-49D6-B514-82E98D2811E2}"/>
    <hyperlink ref="V31" r:id="rId137" xr:uid="{DA5FBE3F-2464-4BE3-9D25-0214D7A72311}"/>
    <hyperlink ref="AA33" r:id="rId138" xr:uid="{9E350889-F83A-47F3-BE37-D89DB48B33D6}"/>
    <hyperlink ref="V33" r:id="rId139" xr:uid="{EE58CBC9-9D9E-4E99-9DC0-2DE28BA71601}"/>
    <hyperlink ref="AD33" r:id="rId140" xr:uid="{73425426-0402-40E0-A375-BD98E11B22D3}"/>
    <hyperlink ref="V34" r:id="rId141" xr:uid="{E964B210-5E67-4F94-AF89-64D4EE7E7121}"/>
    <hyperlink ref="V39" r:id="rId142" xr:uid="{CE3233D8-3CF3-494D-8084-B0BE1D8135C4}"/>
    <hyperlink ref="X39" r:id="rId143" xr:uid="{8D1A91DD-413C-476C-ADB5-B394B5643FCA}"/>
    <hyperlink ref="AA39" r:id="rId144" xr:uid="{B375B2D3-BE5D-4799-B557-7F8903864543}"/>
    <hyperlink ref="AD39" r:id="rId145" xr:uid="{326F6E8C-0D24-40DB-A4A3-ACF4B621FF1F}"/>
    <hyperlink ref="V42" r:id="rId146" xr:uid="{40124AB0-F0EC-4EDB-8F2A-9B1747EFB90C}"/>
    <hyperlink ref="X42" r:id="rId147" xr:uid="{50145818-0E57-4495-B98E-EECC47362A08}"/>
    <hyperlink ref="AA42" r:id="rId148" xr:uid="{A6403890-1AB6-475D-ABEC-592B862AE7E6}"/>
    <hyperlink ref="AD42" r:id="rId149" xr:uid="{C056E1C3-5ED9-4B52-907C-3505215BA5EA}"/>
    <hyperlink ref="V45" r:id="rId150" xr:uid="{F25E8F2F-5BF7-4CB4-9C25-F757D087DCA4}"/>
    <hyperlink ref="X45" r:id="rId151" xr:uid="{D19D074F-B27D-400A-9F71-1D56992467C7}"/>
    <hyperlink ref="AA45" r:id="rId152" xr:uid="{6DCB7EAE-53A4-4C1C-BB1E-52320598AE3A}"/>
    <hyperlink ref="AD45" r:id="rId153" xr:uid="{739BD167-BAFC-44BF-BA30-8D675A123030}"/>
    <hyperlink ref="V51" r:id="rId154" xr:uid="{23212BE0-BCDD-45F6-8CAA-0F4AD3A60812}"/>
    <hyperlink ref="X51" r:id="rId155" xr:uid="{A151AE1D-83A9-4D87-9ABB-BFDE9DD89ABF}"/>
    <hyperlink ref="AA51" r:id="rId156" xr:uid="{BD1FFD62-CBC8-4C42-AAAB-DC9D899EE66D}"/>
    <hyperlink ref="AD51" r:id="rId157" xr:uid="{501CFCA1-18CD-4275-B44C-0E1B0BFC550A}"/>
    <hyperlink ref="V54" r:id="rId158" xr:uid="{FE7237B9-6657-41C1-AABB-B80156FCC045}"/>
    <hyperlink ref="X54" r:id="rId159" xr:uid="{1D0B7903-EB58-4688-AB6B-141B126EE655}"/>
    <hyperlink ref="AA54" r:id="rId160" xr:uid="{76EA9B33-35D3-40BF-9D72-1125EA6A2B27}"/>
    <hyperlink ref="AD54" r:id="rId161" xr:uid="{E8E68E11-F767-4A86-BA5E-804D04428242}"/>
    <hyperlink ref="V58" r:id="rId162" xr:uid="{53EA62FA-90C7-472F-9A48-D1F764D329A7}"/>
    <hyperlink ref="X58" r:id="rId163" xr:uid="{218E2A67-DE70-4D28-8F88-03E816688A44}"/>
    <hyperlink ref="AA58" r:id="rId164" xr:uid="{FEE6AC13-98B7-4A53-AACA-6491C1BE8D07}"/>
    <hyperlink ref="AD58" r:id="rId165" xr:uid="{E500B735-732C-4A88-8B1C-5A7CEFF70EFF}"/>
    <hyperlink ref="V59" r:id="rId166" xr:uid="{239A8E5F-8AB6-4074-A8F3-173E510F62AD}"/>
    <hyperlink ref="X59" r:id="rId167" xr:uid="{D83CE799-7659-4FEF-8E22-1E0DC1337E63}"/>
    <hyperlink ref="AA59" r:id="rId168" xr:uid="{45FC50B9-EF34-4036-9065-3730299859A9}"/>
    <hyperlink ref="AD59" r:id="rId169" xr:uid="{619A2995-D006-4681-82F6-148AB8D11989}"/>
    <hyperlink ref="V60" r:id="rId170" xr:uid="{C3D21B6A-7943-4AF3-95FB-7F4E82B653B4}"/>
    <hyperlink ref="X60" r:id="rId171" xr:uid="{B46FAEBF-0D98-4AA2-91A3-E96AE59B736C}"/>
    <hyperlink ref="AA60" r:id="rId172" xr:uid="{1039F565-62A2-4845-8C3F-B5C033C5A9AC}"/>
    <hyperlink ref="AD60" r:id="rId173" xr:uid="{F0F96174-882A-4AE2-A3BD-83FD21F5AC83}"/>
    <hyperlink ref="X66" r:id="rId174" xr:uid="{C36F6C8F-66BA-40BC-B9BC-37480D460FD3}"/>
    <hyperlink ref="AD67" r:id="rId175" xr:uid="{91996E3F-0848-48E7-BEDF-7488FC6DB63A}"/>
    <hyperlink ref="V66" r:id="rId176" xr:uid="{A56B8308-0240-43DF-9207-0F3889E57526}"/>
    <hyperlink ref="V67" r:id="rId177" xr:uid="{B74F14DB-D906-4942-BEF1-446EEBC58FA0}"/>
    <hyperlink ref="X68" r:id="rId178" xr:uid="{1CCAE9A3-06E9-4293-80E9-53497A88B17F}"/>
    <hyperlink ref="AD69" r:id="rId179" xr:uid="{035CFA24-4CEB-4C37-9E2F-10A583223745}"/>
    <hyperlink ref="V68" r:id="rId180" xr:uid="{8C9AC307-B888-41A3-934F-36B7AAB59B32}"/>
    <hyperlink ref="V69" r:id="rId181" xr:uid="{A1A698E0-4A75-4238-AE1E-E81818CAC159}"/>
    <hyperlink ref="AD73" r:id="rId182" xr:uid="{154AC367-C9EE-491E-A677-17C60C96860A}"/>
    <hyperlink ref="AD72" r:id="rId183" xr:uid="{9736D7A3-E0FE-49D6-8B91-FA1C3EB64608}"/>
    <hyperlink ref="V72" r:id="rId184" display="https://pow06.ctci.com.tw/PRJ/24A5600A/JVPartner/Correspondence/%E6%94%B6%E7%99%BC%E6%96%87/%E7%99%BC%E6%96%87/114-464/%E9%BC%8E%E6%B0%B4%E8%B3%87%E5%AD%97%E7%AC%AC1140000464%E8%99%9F.pdf?d=w7105b4a671c34cc785a2c867e493f8a2" xr:uid="{D62C35F4-FF40-4299-BAA8-75283125F4BA}"/>
    <hyperlink ref="V73" r:id="rId185" xr:uid="{CB263EDC-8BAB-4037-8486-94F7EBE874F7}"/>
    <hyperlink ref="AD75" r:id="rId186" xr:uid="{C75BB577-AE11-4BE3-92C4-BE72A372A330}"/>
    <hyperlink ref="AD74" r:id="rId187" xr:uid="{E092C17B-5F18-4DF8-B670-E3B7854C5AF3}"/>
    <hyperlink ref="V74" r:id="rId188" display="https://pow06.ctci.com.tw/PRJ/24A5600A/JVPartner/Correspondence/%E6%94%B6%E7%99%BC%E6%96%87/%E7%99%BC%E6%96%87/114-464/%E9%BC%8E%E6%B0%B4%E8%B3%87%E5%AD%97%E7%AC%AC1140000464%E8%99%9F.pdf?d=w7105b4a671c34cc785a2c867e493f8a2" xr:uid="{7C11214F-774C-4793-955A-C3B0658A7322}"/>
    <hyperlink ref="V75" r:id="rId189" xr:uid="{AB4F4C61-4190-4B4A-B6BB-3E6ED9514B3D}"/>
    <hyperlink ref="AD77" r:id="rId190" xr:uid="{C8CAE729-2262-4F57-ACAC-FD0FEFAA5A3F}"/>
    <hyperlink ref="AD76" r:id="rId191" xr:uid="{D5B805EA-8B12-4D07-8E2F-315AD0E81F1A}"/>
    <hyperlink ref="V76" r:id="rId192" display="https://pow06.ctci.com.tw/PRJ/24A5600A/JVPartner/Correspondence/%E6%94%B6%E7%99%BC%E6%96%87/%E7%99%BC%E6%96%87/114-464/%E9%BC%8E%E6%B0%B4%E8%B3%87%E5%AD%97%E7%AC%AC1140000464%E8%99%9F.pdf?d=w7105b4a671c34cc785a2c867e493f8a2" xr:uid="{475C36AF-F3C1-4D4E-A96A-B67911693CF1}"/>
    <hyperlink ref="V77" r:id="rId193" xr:uid="{3285C371-2966-41F2-AF55-0F63F15F251E}"/>
    <hyperlink ref="AD85" r:id="rId194" xr:uid="{E0B29E61-374F-42E0-B86A-6ACD0BF734DB}"/>
    <hyperlink ref="AD84" r:id="rId195" xr:uid="{B0DE6F54-7C51-40E6-9291-6AC67A5335B3}"/>
    <hyperlink ref="V84" r:id="rId196" display="https://pow06.ctci.com.tw/PRJ/24A5600A/JVPartner/Correspondence/%E6%94%B6%E7%99%BC%E6%96%87/%E7%99%BC%E6%96%87/114-467/%E9%BC%8E%E6%B0%B4%E8%B3%87%E5%AD%97%E7%AC%AC1140000467%E8%99%9F.pdf?d=wca3a840f95644a3db2dc66d7a892d620" xr:uid="{71094E69-2A18-45CB-901D-14B9C7EEFD6C}"/>
    <hyperlink ref="V85" r:id="rId197" xr:uid="{4FD06E21-10D3-4E32-8ECC-AC4D85BC756D}"/>
    <hyperlink ref="AD87" r:id="rId198" xr:uid="{892812E8-9A30-4C41-B9CA-E406FD44D78B}"/>
    <hyperlink ref="AD86" r:id="rId199" xr:uid="{D7260B26-843A-4618-8EC7-B0194AE8B30B}"/>
    <hyperlink ref="V86" r:id="rId200" display="https://pow06.ctci.com.tw/PRJ/24A5600A/JVPartner/Correspondence/%E6%94%B6%E7%99%BC%E6%96%87/%E7%99%BC%E6%96%87/114-467/%E9%BC%8E%E6%B0%B4%E8%B3%87%E5%AD%97%E7%AC%AC1140000467%E8%99%9F.pdf?d=wca3a840f95644a3db2dc66d7a892d620" xr:uid="{9EB3C4EE-A0AA-464A-8961-2D291A1B6AAA}"/>
    <hyperlink ref="V87" r:id="rId201" xr:uid="{C5945555-0E8B-4E00-B308-C35A0313DBDF}"/>
    <hyperlink ref="AD89" r:id="rId202" xr:uid="{64F663E8-20FC-4151-A8EB-E8103DBAE901}"/>
    <hyperlink ref="AD88" r:id="rId203" xr:uid="{60590AE7-8A78-4164-B13C-0B7FABC9AD55}"/>
    <hyperlink ref="V88" r:id="rId204" display="https://pow06.ctci.com.tw/PRJ/24A5600A/JVPartner/Correspondence/%E6%94%B6%E7%99%BC%E6%96%87/%E7%99%BC%E6%96%87/114-467/%E9%BC%8E%E6%B0%B4%E8%B3%87%E5%AD%97%E7%AC%AC1140000467%E8%99%9F.pdf?d=wca3a840f95644a3db2dc66d7a892d620" xr:uid="{6E161759-85FD-4D8D-813D-50EAB7C87C70}"/>
    <hyperlink ref="V89" r:id="rId205" xr:uid="{7B5D0BD0-30EF-4208-BBDB-9E59AE8F1D9E}"/>
    <hyperlink ref="X96" r:id="rId206" xr:uid="{4BAB7CB9-D1EE-429D-A070-A9CA54DDDA8A}"/>
    <hyperlink ref="AD97" r:id="rId207" xr:uid="{D6818733-C736-4804-AB71-758AAE06604E}"/>
    <hyperlink ref="V96" r:id="rId208" xr:uid="{78ABB86A-2BCD-4B5C-9DD5-31926C21E8AF}"/>
    <hyperlink ref="V97" r:id="rId209" xr:uid="{85827173-AFA2-412D-9A56-CBC88BE1AED5}"/>
    <hyperlink ref="AD100" r:id="rId210" xr:uid="{8DEFF87F-60B1-4D8D-AD3E-50B152841332}"/>
    <hyperlink ref="AD79" r:id="rId211" xr:uid="{01E52BF3-E7C6-45E5-8CAD-F68AA9F4414B}"/>
    <hyperlink ref="AD78" r:id="rId212" xr:uid="{6A57037A-8A09-44A3-9355-8C7FDA58AF2A}"/>
    <hyperlink ref="V78" r:id="rId213" display="https://pow06.ctci.com.tw/PRJ/24A5600A/JVPartner/Correspondence/%E6%94%B6%E7%99%BC%E6%96%87/%E7%99%BC%E6%96%87/114-464/%E9%BC%8E%E6%B0%B4%E8%B3%87%E5%AD%97%E7%AC%AC1140000464%E8%99%9F.pdf?d=w7105b4a671c34cc785a2c867e493f8a2" xr:uid="{AF7D1BD8-6F68-4C3E-BE9E-5FDFC0598C50}"/>
    <hyperlink ref="V79" r:id="rId214" xr:uid="{D610D118-34F1-42EB-89D3-DD72023BF00B}"/>
    <hyperlink ref="AD81" r:id="rId215" xr:uid="{98CDDC14-6AB2-4E26-AA89-D053F85D2ACD}"/>
    <hyperlink ref="AD80" r:id="rId216" xr:uid="{7BA476D1-7ECB-4BC7-B379-9EEE97A636B3}"/>
    <hyperlink ref="V80" r:id="rId217" display="https://pow06.ctci.com.tw/PRJ/24A5600A/JVPartner/Correspondence/%E6%94%B6%E7%99%BC%E6%96%87/%E7%99%BC%E6%96%87/114-464/%E9%BC%8E%E6%B0%B4%E8%B3%87%E5%AD%97%E7%AC%AC1140000464%E8%99%9F.pdf?d=w7105b4a671c34cc785a2c867e493f8a2" xr:uid="{686E4916-1802-410B-8175-2C7998CF4EDF}"/>
    <hyperlink ref="V81" r:id="rId218" xr:uid="{1FE68FF9-F3B3-41B7-8852-E7B700C20004}"/>
    <hyperlink ref="AD91" r:id="rId219" xr:uid="{A1650A59-90B9-4E0C-B3E2-2DEC2AEDAEA1}"/>
    <hyperlink ref="AD90" r:id="rId220" xr:uid="{8BB1EAD2-F2AE-437A-8FD4-00E6E2C1A8EB}"/>
    <hyperlink ref="V90" r:id="rId221" display="https://pow06.ctci.com.tw/PRJ/24A5600A/JVPartner/Correspondence/%E6%94%B6%E7%99%BC%E6%96%87/%E7%99%BC%E6%96%87/114-467/%E9%BC%8E%E6%B0%B4%E8%B3%87%E5%AD%97%E7%AC%AC1140000467%E8%99%9F.pdf?d=wca3a840f95644a3db2dc66d7a892d620" xr:uid="{90A05A06-1FDE-4FDC-A146-54067276776A}"/>
    <hyperlink ref="V91" r:id="rId222" xr:uid="{54AC4167-6F64-4FF8-AEA5-E78265AA8BCE}"/>
    <hyperlink ref="AD93" r:id="rId223" xr:uid="{C6599EAB-C7AD-4D49-B33A-5BEC18601D8B}"/>
    <hyperlink ref="AD92" r:id="rId224" xr:uid="{DEDEB020-9FDF-4536-959A-A895B022CD1C}"/>
    <hyperlink ref="V92" r:id="rId225" display="https://pow06.ctci.com.tw/PRJ/24A5600A/JVPartner/Correspondence/%E6%94%B6%E7%99%BC%E6%96%87/%E7%99%BC%E6%96%87/114-467/%E9%BC%8E%E6%B0%B4%E8%B3%87%E5%AD%97%E7%AC%AC1140000467%E8%99%9F.pdf?d=wca3a840f95644a3db2dc66d7a892d620" xr:uid="{EA1BAC93-48B5-4C00-B5CB-05004499FFB9}"/>
    <hyperlink ref="V93" r:id="rId226" xr:uid="{631CC177-71C1-496A-83A7-818B2DAD930C}"/>
  </hyperlinks>
  <pageMargins left="0.31496062992125984" right="0.31496062992125984" top="0.74803149606299213" bottom="0.74803149606299213" header="0.3543307086614173" footer="0.3543307086614173"/>
  <pageSetup paperSize="8" scale="51" fitToHeight="0" orientation="landscape" r:id="rId227"/>
  <rowBreaks count="1" manualBreakCount="1">
    <brk id="106" min="4" max="24" man="1"/>
  </rowBreaks>
  <ignoredErrors>
    <ignoredError sqref="E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F17AB-E55C-4BEA-9EA2-3D8EFF2C18B0}">
  <sheetPr>
    <tabColor theme="9" tint="0.79998168889431442"/>
    <pageSetUpPr autoPageBreaks="0" fitToPage="1"/>
  </sheetPr>
  <dimension ref="A1:Z42"/>
  <sheetViews>
    <sheetView zoomScale="55" zoomScaleNormal="55" zoomScaleSheetLayoutView="55" zoomScalePageLayoutView="40" workbookViewId="0">
      <pane xSplit="3" ySplit="4" topLeftCell="D19" activePane="bottomRight" state="frozen"/>
      <selection activeCell="J17" sqref="J17"/>
      <selection pane="topRight" activeCell="J17" sqref="J17"/>
      <selection pane="bottomLeft" activeCell="J17" sqref="J17"/>
      <selection pane="bottomRight" activeCell="P31" sqref="P31"/>
    </sheetView>
  </sheetViews>
  <sheetFormatPr defaultColWidth="8" defaultRowHeight="16"/>
  <cols>
    <col min="1" max="1" width="10.90625" style="48" customWidth="1"/>
    <col min="2" max="2" width="29.08984375" style="2" bestFit="1" customWidth="1"/>
    <col min="3" max="3" width="29.453125" style="52" customWidth="1"/>
    <col min="4" max="4" width="17.453125" style="53" hidden="1" customWidth="1"/>
    <col min="5" max="6" width="17.453125" style="52" hidden="1" customWidth="1"/>
    <col min="7" max="7" width="28" style="52" hidden="1" customWidth="1"/>
    <col min="8" max="8" width="19.90625" style="52" hidden="1" customWidth="1"/>
    <col min="9" max="9" width="21.36328125" style="52" customWidth="1"/>
    <col min="10" max="10" width="16.453125" style="52" customWidth="1"/>
    <col min="11" max="11" width="20.08984375" style="53" customWidth="1"/>
    <col min="12" max="12" width="14.08984375" style="54" customWidth="1"/>
    <col min="13" max="13" width="11.453125" style="54" customWidth="1"/>
    <col min="14" max="14" width="14.08984375" style="2" customWidth="1"/>
    <col min="15" max="15" width="16.453125" style="2" customWidth="1"/>
    <col min="16" max="16" width="24.453125" style="2" customWidth="1"/>
    <col min="17" max="17" width="16.08984375" style="2" bestFit="1" customWidth="1"/>
    <col min="18" max="18" width="24.453125" style="2" customWidth="1"/>
    <col min="19" max="19" width="24.90625" style="2" customWidth="1"/>
    <col min="20" max="20" width="16.08984375" style="2" hidden="1" customWidth="1"/>
    <col min="21" max="21" width="20.453125" style="2" hidden="1" customWidth="1"/>
    <col min="22" max="22" width="14.08984375" style="2" hidden="1" customWidth="1"/>
    <col min="23" max="23" width="16.08984375" style="2" hidden="1" customWidth="1"/>
    <col min="24" max="24" width="23" style="2" bestFit="1" customWidth="1"/>
    <col min="25" max="25" width="14.08984375" style="2" bestFit="1" customWidth="1"/>
    <col min="26" max="26" width="23.08984375" style="52" customWidth="1"/>
    <col min="27" max="16384" width="8" style="1"/>
  </cols>
  <sheetData>
    <row r="1" spans="1:26" ht="40.4" customHeight="1">
      <c r="A1" s="608"/>
      <c r="B1" s="608"/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</row>
    <row r="2" spans="1:26" s="2" customFormat="1" ht="25.4" customHeight="1">
      <c r="A2" s="609" t="s">
        <v>1</v>
      </c>
      <c r="B2" s="610" t="s">
        <v>3</v>
      </c>
      <c r="C2" s="610" t="s">
        <v>4</v>
      </c>
      <c r="D2" s="617" t="s">
        <v>5</v>
      </c>
      <c r="E2" s="614" t="s">
        <v>6</v>
      </c>
      <c r="F2" s="701" t="s">
        <v>230</v>
      </c>
      <c r="G2" s="610" t="s">
        <v>255</v>
      </c>
      <c r="H2" s="701" t="s">
        <v>562</v>
      </c>
      <c r="I2" s="701" t="s">
        <v>565</v>
      </c>
      <c r="J2" s="614" t="s">
        <v>7</v>
      </c>
      <c r="K2" s="617" t="s">
        <v>8</v>
      </c>
      <c r="L2" s="611" t="s">
        <v>9</v>
      </c>
      <c r="M2" s="610" t="s">
        <v>10</v>
      </c>
      <c r="N2" s="610" t="s">
        <v>11</v>
      </c>
      <c r="O2" s="618" t="s">
        <v>12</v>
      </c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 t="s">
        <v>13</v>
      </c>
    </row>
    <row r="3" spans="1:26" s="2" customFormat="1" ht="25.4" customHeight="1">
      <c r="A3" s="609"/>
      <c r="B3" s="610"/>
      <c r="C3" s="610"/>
      <c r="D3" s="617"/>
      <c r="E3" s="615"/>
      <c r="F3" s="701"/>
      <c r="G3" s="610"/>
      <c r="H3" s="701"/>
      <c r="I3" s="701"/>
      <c r="J3" s="615"/>
      <c r="K3" s="617" t="s">
        <v>14</v>
      </c>
      <c r="L3" s="612"/>
      <c r="M3" s="610"/>
      <c r="N3" s="610"/>
      <c r="O3" s="619" t="s">
        <v>15</v>
      </c>
      <c r="P3" s="619"/>
      <c r="Q3" s="620" t="s">
        <v>16</v>
      </c>
      <c r="R3" s="620"/>
      <c r="S3" s="620"/>
      <c r="T3" s="621" t="s">
        <v>17</v>
      </c>
      <c r="U3" s="621"/>
      <c r="V3" s="621"/>
      <c r="W3" s="622" t="s">
        <v>18</v>
      </c>
      <c r="X3" s="622"/>
      <c r="Y3" s="622"/>
      <c r="Z3" s="618"/>
    </row>
    <row r="4" spans="1:26" s="2" customFormat="1" ht="25.4" customHeight="1">
      <c r="A4" s="609"/>
      <c r="B4" s="610"/>
      <c r="C4" s="610"/>
      <c r="D4" s="617"/>
      <c r="E4" s="616"/>
      <c r="F4" s="701"/>
      <c r="G4" s="610"/>
      <c r="H4" s="701"/>
      <c r="I4" s="701"/>
      <c r="J4" s="616"/>
      <c r="K4" s="617"/>
      <c r="L4" s="613"/>
      <c r="M4" s="610"/>
      <c r="N4" s="610"/>
      <c r="O4" s="3" t="s">
        <v>19</v>
      </c>
      <c r="P4" s="3" t="s">
        <v>20</v>
      </c>
      <c r="Q4" s="4" t="s">
        <v>19</v>
      </c>
      <c r="R4" s="4" t="s">
        <v>20</v>
      </c>
      <c r="S4" s="4" t="s">
        <v>21</v>
      </c>
      <c r="T4" s="5" t="s">
        <v>19</v>
      </c>
      <c r="U4" s="5" t="s">
        <v>20</v>
      </c>
      <c r="V4" s="5" t="s">
        <v>21</v>
      </c>
      <c r="W4" s="6" t="s">
        <v>19</v>
      </c>
      <c r="X4" s="6" t="s">
        <v>20</v>
      </c>
      <c r="Y4" s="6" t="s">
        <v>21</v>
      </c>
      <c r="Z4" s="618"/>
    </row>
    <row r="5" spans="1:26" s="2" customFormat="1" ht="40.4" customHeight="1">
      <c r="A5" s="704">
        <v>1</v>
      </c>
      <c r="B5" s="722" t="s">
        <v>1642</v>
      </c>
      <c r="C5" s="725" t="s">
        <v>1594</v>
      </c>
      <c r="D5" s="7">
        <f>IF(J5="","",J5-60)</f>
        <v>45912</v>
      </c>
      <c r="E5" s="8">
        <f>IF(J5="","",J5-30)</f>
        <v>45942</v>
      </c>
      <c r="F5" s="8"/>
      <c r="G5" s="732" t="s">
        <v>899</v>
      </c>
      <c r="H5" s="732" t="s">
        <v>900</v>
      </c>
      <c r="I5" s="735" t="s">
        <v>901</v>
      </c>
      <c r="J5" s="9">
        <v>45972</v>
      </c>
      <c r="K5" s="10" t="str">
        <f ca="1">IF(D5="","",IF(O5&lt;&gt;"","",IF(AND(O5="",D5-TODAY()&lt;=60),D5-TODAY(),"")))</f>
        <v/>
      </c>
      <c r="L5" s="10">
        <f>IF(COUNT(D5, O5)=2, D5-O5, "")</f>
        <v>25</v>
      </c>
      <c r="M5" s="11"/>
      <c r="N5" s="12" t="s">
        <v>22</v>
      </c>
      <c r="O5" s="13">
        <v>45887</v>
      </c>
      <c r="P5" s="14" t="s">
        <v>23</v>
      </c>
      <c r="Q5" s="13">
        <v>45897</v>
      </c>
      <c r="R5" s="14" t="s">
        <v>24</v>
      </c>
      <c r="S5" s="12" t="s">
        <v>25</v>
      </c>
      <c r="T5" s="13"/>
      <c r="U5" s="14"/>
      <c r="V5" s="12" t="str">
        <f>IF(T5="","",IF(S5="檢退","檢退",IF(S5="審查同意","審定","檢退")))</f>
        <v/>
      </c>
      <c r="W5" s="13"/>
      <c r="X5" s="12"/>
      <c r="Y5" s="12"/>
      <c r="Z5" s="15"/>
    </row>
    <row r="6" spans="1:26" s="2" customFormat="1" ht="40.4" customHeight="1">
      <c r="A6" s="705"/>
      <c r="B6" s="723"/>
      <c r="C6" s="726"/>
      <c r="D6" s="7">
        <f>Q5+7</f>
        <v>45904</v>
      </c>
      <c r="E6" s="8"/>
      <c r="F6" s="8"/>
      <c r="G6" s="733"/>
      <c r="H6" s="733"/>
      <c r="I6" s="736"/>
      <c r="J6" s="9"/>
      <c r="K6" s="10" t="str">
        <f ca="1">IF(D6="","",IF(O6&lt;&gt;"","",IF(AND(O6="",D6-TODAY()&lt;=60),D6-TODAY(),"")))</f>
        <v/>
      </c>
      <c r="L6" s="10">
        <f t="shared" ref="L6:L35" si="0">IF(COUNT(D6, O6)=2, D6-O6, "")</f>
        <v>-12</v>
      </c>
      <c r="M6" s="11" t="s">
        <v>26</v>
      </c>
      <c r="N6" s="12" t="s">
        <v>27</v>
      </c>
      <c r="O6" s="13">
        <v>45916</v>
      </c>
      <c r="P6" s="14" t="s">
        <v>28</v>
      </c>
      <c r="Q6" s="13">
        <v>45919</v>
      </c>
      <c r="R6" s="12" t="s">
        <v>29</v>
      </c>
      <c r="S6" s="12" t="s">
        <v>30</v>
      </c>
      <c r="T6" s="13">
        <v>45926</v>
      </c>
      <c r="U6" s="12" t="s">
        <v>31</v>
      </c>
      <c r="V6" s="12" t="s">
        <v>201</v>
      </c>
      <c r="W6" s="13">
        <v>45931</v>
      </c>
      <c r="X6" s="12" t="s">
        <v>32</v>
      </c>
      <c r="Y6" s="11" t="s">
        <v>26</v>
      </c>
      <c r="Z6" s="16"/>
    </row>
    <row r="7" spans="1:26" s="2" customFormat="1" ht="40.4" customHeight="1">
      <c r="A7" s="706"/>
      <c r="B7" s="724"/>
      <c r="C7" s="727"/>
      <c r="D7" s="7"/>
      <c r="E7" s="8"/>
      <c r="F7" s="8"/>
      <c r="G7" s="734"/>
      <c r="H7" s="734"/>
      <c r="I7" s="737"/>
      <c r="J7" s="9"/>
      <c r="K7" s="10" t="str">
        <f ca="1">IF(D7="","",IF(O7&lt;&gt;"","",IF(AND(O7="",D7-TODAY()&lt;=60),D7-TODAY(),"")))</f>
        <v/>
      </c>
      <c r="L7" s="10" t="str">
        <f t="shared" si="0"/>
        <v/>
      </c>
      <c r="M7" s="11"/>
      <c r="N7" s="12"/>
      <c r="O7" s="13"/>
      <c r="P7" s="14"/>
      <c r="Q7" s="13"/>
      <c r="R7" s="14"/>
      <c r="S7" s="12"/>
      <c r="T7" s="13"/>
      <c r="U7" s="14"/>
      <c r="V7" s="12"/>
      <c r="W7" s="13"/>
      <c r="X7" s="12"/>
      <c r="Y7" s="12"/>
      <c r="Z7" s="16"/>
    </row>
    <row r="8" spans="1:26" s="2" customFormat="1" ht="40.4" customHeight="1">
      <c r="A8" s="704">
        <f>A5+1</f>
        <v>2</v>
      </c>
      <c r="B8" s="716" t="s">
        <v>57</v>
      </c>
      <c r="C8" s="719" t="s">
        <v>58</v>
      </c>
      <c r="D8" s="35">
        <f>IF(J8="","",J8-60)</f>
        <v>45810</v>
      </c>
      <c r="E8" s="8">
        <f>IF(J8="","",J8-30)</f>
        <v>45840</v>
      </c>
      <c r="F8" s="8"/>
      <c r="G8" s="732" t="s">
        <v>902</v>
      </c>
      <c r="H8" s="8"/>
      <c r="I8" s="735" t="s">
        <v>903</v>
      </c>
      <c r="J8" s="35">
        <v>45870</v>
      </c>
      <c r="K8" s="10" t="str">
        <f ca="1">IF(D8="","",IF(O8&lt;&gt;"","",IF(AND(O8="",D8-TODAY()&lt;=60),D8-TODAY(),"")))</f>
        <v/>
      </c>
      <c r="L8" s="10">
        <f t="shared" si="0"/>
        <v>-11</v>
      </c>
      <c r="M8" s="11"/>
      <c r="N8" s="12" t="s">
        <v>22</v>
      </c>
      <c r="O8" s="29">
        <v>45821</v>
      </c>
      <c r="P8" s="30" t="s">
        <v>59</v>
      </c>
      <c r="Q8" s="29">
        <v>45834</v>
      </c>
      <c r="R8" s="30" t="s">
        <v>60</v>
      </c>
      <c r="S8" s="12" t="s">
        <v>61</v>
      </c>
      <c r="T8" s="29"/>
      <c r="U8" s="30"/>
      <c r="V8" s="12" t="str">
        <f>IF(T8="","",IF(S8="檢退","檢退",IF(S8="審查同意","審定","檢退")))</f>
        <v/>
      </c>
      <c r="W8" s="29"/>
      <c r="X8" s="12"/>
      <c r="Y8" s="12"/>
      <c r="Z8" s="16"/>
    </row>
    <row r="9" spans="1:26" s="2" customFormat="1" ht="40.4" customHeight="1">
      <c r="A9" s="705"/>
      <c r="B9" s="717"/>
      <c r="C9" s="720"/>
      <c r="D9" s="35"/>
      <c r="E9" s="8"/>
      <c r="F9" s="8"/>
      <c r="G9" s="733"/>
      <c r="H9" s="8"/>
      <c r="I9" s="736"/>
      <c r="J9" s="35"/>
      <c r="K9" s="10" t="str">
        <f t="shared" ref="K9" ca="1" si="1">IF(D9="","",IF(O9&lt;&gt;"","",IF(AND(O9="",D9-TODAY()&lt;=60),D9-TODAY(),"")))</f>
        <v/>
      </c>
      <c r="L9" s="10" t="str">
        <f t="shared" si="0"/>
        <v/>
      </c>
      <c r="M9" s="11" t="s">
        <v>26</v>
      </c>
      <c r="N9" s="12" t="s">
        <v>27</v>
      </c>
      <c r="O9" s="29">
        <v>45839</v>
      </c>
      <c r="P9" s="30" t="s">
        <v>62</v>
      </c>
      <c r="Q9" s="29">
        <v>45848</v>
      </c>
      <c r="R9" s="30" t="s">
        <v>63</v>
      </c>
      <c r="S9" s="12" t="s">
        <v>38</v>
      </c>
      <c r="T9" s="29">
        <v>45852</v>
      </c>
      <c r="U9" s="30" t="s">
        <v>64</v>
      </c>
      <c r="V9" s="12" t="str">
        <f t="shared" ref="V9" si="2">IF(T9="","",IF(S9="檢退","檢退",IF(S9="審查同意","審定","檢退")))</f>
        <v>審定</v>
      </c>
      <c r="W9" s="29">
        <v>45862</v>
      </c>
      <c r="X9" s="12" t="s">
        <v>65</v>
      </c>
      <c r="Y9" s="11" t="s">
        <v>26</v>
      </c>
      <c r="Z9" s="16"/>
    </row>
    <row r="10" spans="1:26" s="2" customFormat="1" ht="40.4" customHeight="1">
      <c r="A10" s="706"/>
      <c r="B10" s="718"/>
      <c r="C10" s="721"/>
      <c r="D10" s="35"/>
      <c r="E10" s="8"/>
      <c r="F10" s="8"/>
      <c r="G10" s="734"/>
      <c r="H10" s="8"/>
      <c r="I10" s="737"/>
      <c r="J10" s="35"/>
      <c r="K10" s="10"/>
      <c r="L10" s="10" t="str">
        <f t="shared" si="0"/>
        <v/>
      </c>
      <c r="M10" s="11"/>
      <c r="N10" s="12"/>
      <c r="O10" s="29"/>
      <c r="P10" s="30"/>
      <c r="Q10" s="29"/>
      <c r="R10" s="30"/>
      <c r="S10" s="12"/>
      <c r="T10" s="29"/>
      <c r="U10" s="30"/>
      <c r="V10" s="12"/>
      <c r="W10" s="29"/>
      <c r="X10" s="12"/>
      <c r="Y10" s="12"/>
      <c r="Z10" s="16"/>
    </row>
    <row r="11" spans="1:26" s="2" customFormat="1" ht="40.4" customHeight="1">
      <c r="A11" s="704">
        <f>A8+1</f>
        <v>3</v>
      </c>
      <c r="B11" s="707" t="s">
        <v>76</v>
      </c>
      <c r="C11" s="708" t="s">
        <v>77</v>
      </c>
      <c r="D11" s="7">
        <f t="shared" ref="D11" si="3">IF(J11="","",J11-60)</f>
        <v>45902</v>
      </c>
      <c r="E11" s="8">
        <f>IF(J11="","",J11-30)</f>
        <v>45932</v>
      </c>
      <c r="F11" s="8"/>
      <c r="G11" s="732" t="s">
        <v>902</v>
      </c>
      <c r="H11" s="732"/>
      <c r="I11" s="735" t="s">
        <v>1639</v>
      </c>
      <c r="J11" s="9">
        <v>45962</v>
      </c>
      <c r="K11" s="10" t="str">
        <f t="shared" ref="K11:K20" ca="1" si="4">IF(D11="","",IF(O11&lt;&gt;"","",IF(AND(O11="",D11-TODAY()&lt;=60),D11-TODAY(),"")))</f>
        <v/>
      </c>
      <c r="L11" s="10">
        <f t="shared" si="0"/>
        <v>1</v>
      </c>
      <c r="M11" s="11"/>
      <c r="N11" s="12" t="s">
        <v>22</v>
      </c>
      <c r="O11" s="13">
        <v>45901</v>
      </c>
      <c r="P11" s="14" t="s">
        <v>78</v>
      </c>
      <c r="Q11" s="13">
        <v>45909</v>
      </c>
      <c r="R11" s="14" t="s">
        <v>79</v>
      </c>
      <c r="S11" s="14" t="s">
        <v>80</v>
      </c>
      <c r="T11" s="13"/>
      <c r="U11" s="14"/>
      <c r="V11" s="12" t="str">
        <f>IF(T11="","",IF(S11="檢退","檢退",IF(S11="審查同意","審定","檢退")))</f>
        <v/>
      </c>
      <c r="W11" s="13"/>
      <c r="X11" s="12"/>
      <c r="Y11" s="12"/>
      <c r="Z11" s="16"/>
    </row>
    <row r="12" spans="1:26" s="2" customFormat="1" ht="40.4" customHeight="1">
      <c r="A12" s="711"/>
      <c r="B12" s="707"/>
      <c r="C12" s="709"/>
      <c r="D12" s="7">
        <v>45916</v>
      </c>
      <c r="E12" s="7"/>
      <c r="F12" s="7"/>
      <c r="G12" s="733"/>
      <c r="H12" s="733"/>
      <c r="I12" s="736"/>
      <c r="J12" s="9"/>
      <c r="K12" s="10" t="str">
        <f t="shared" ca="1" si="4"/>
        <v/>
      </c>
      <c r="L12" s="10">
        <f t="shared" si="0"/>
        <v>0</v>
      </c>
      <c r="M12" s="11"/>
      <c r="N12" s="12" t="s">
        <v>45</v>
      </c>
      <c r="O12" s="13">
        <v>45916</v>
      </c>
      <c r="P12" s="14" t="s">
        <v>81</v>
      </c>
      <c r="Q12" s="13">
        <v>45919</v>
      </c>
      <c r="R12" s="12" t="s">
        <v>82</v>
      </c>
      <c r="S12" s="12" t="s">
        <v>25</v>
      </c>
      <c r="T12" s="13"/>
      <c r="U12" s="14"/>
      <c r="V12" s="12" t="str">
        <f>IF(T12="","",IF(S12="檢退","檢退",IF(S12="審查同意","審定","檢退")))</f>
        <v/>
      </c>
      <c r="W12" s="13"/>
      <c r="X12" s="12"/>
      <c r="Y12" s="12"/>
      <c r="Z12" s="16"/>
    </row>
    <row r="13" spans="1:26" s="2" customFormat="1" ht="40.4" customHeight="1">
      <c r="A13" s="711"/>
      <c r="B13" s="707"/>
      <c r="C13" s="709"/>
      <c r="D13" s="7">
        <f>Q11+7</f>
        <v>45916</v>
      </c>
      <c r="E13" s="7"/>
      <c r="F13" s="7"/>
      <c r="G13" s="733"/>
      <c r="H13" s="733"/>
      <c r="I13" s="736"/>
      <c r="J13" s="9"/>
      <c r="K13" s="10" t="str">
        <f t="shared" ca="1" si="4"/>
        <v/>
      </c>
      <c r="L13" s="10">
        <f t="shared" si="0"/>
        <v>-27</v>
      </c>
      <c r="M13" s="11"/>
      <c r="N13" s="12" t="s">
        <v>36</v>
      </c>
      <c r="O13" s="13">
        <v>45943</v>
      </c>
      <c r="P13" s="14" t="s">
        <v>83</v>
      </c>
      <c r="Q13" s="13">
        <v>45947</v>
      </c>
      <c r="R13" s="14" t="s">
        <v>84</v>
      </c>
      <c r="S13" s="12" t="s">
        <v>30</v>
      </c>
      <c r="T13" s="13">
        <v>45953</v>
      </c>
      <c r="U13" s="14" t="s">
        <v>85</v>
      </c>
      <c r="V13" s="12" t="str">
        <f t="shared" ref="V13" si="5">IF(T13="","",IF(S13="檢退","檢退",IF(S13="審查同意","審定","檢退")))</f>
        <v>審定</v>
      </c>
      <c r="W13" s="13">
        <v>45965</v>
      </c>
      <c r="X13" s="12" t="s">
        <v>86</v>
      </c>
      <c r="Y13" s="12"/>
      <c r="Z13" s="16"/>
    </row>
    <row r="14" spans="1:26" s="2" customFormat="1" ht="40.4" customHeight="1">
      <c r="A14" s="712"/>
      <c r="B14" s="707"/>
      <c r="C14" s="710"/>
      <c r="D14" s="7"/>
      <c r="E14" s="7"/>
      <c r="F14" s="7"/>
      <c r="G14" s="734"/>
      <c r="H14" s="734"/>
      <c r="I14" s="737"/>
      <c r="J14" s="9"/>
      <c r="K14" s="10" t="str">
        <f t="shared" ca="1" si="4"/>
        <v/>
      </c>
      <c r="L14" s="10" t="str">
        <f t="shared" si="0"/>
        <v/>
      </c>
      <c r="M14" s="11" t="s">
        <v>26</v>
      </c>
      <c r="N14" s="12" t="s">
        <v>87</v>
      </c>
      <c r="O14" s="13">
        <v>45988</v>
      </c>
      <c r="P14" s="14" t="s">
        <v>88</v>
      </c>
      <c r="Q14" s="13">
        <v>46007</v>
      </c>
      <c r="R14" s="14" t="s">
        <v>89</v>
      </c>
      <c r="S14" s="12" t="s">
        <v>30</v>
      </c>
      <c r="T14" s="13">
        <v>46009</v>
      </c>
      <c r="U14" s="14" t="s">
        <v>90</v>
      </c>
      <c r="V14" s="12" t="str">
        <f>IF(T14="","",IF(S14="檢退","檢退",IF(S14="審查同意","審定","檢退")))</f>
        <v>審定</v>
      </c>
      <c r="W14" s="13">
        <v>46020</v>
      </c>
      <c r="X14" s="12" t="s">
        <v>91</v>
      </c>
      <c r="Y14" s="11" t="s">
        <v>26</v>
      </c>
      <c r="Z14" s="16"/>
    </row>
    <row r="15" spans="1:26" s="2" customFormat="1" ht="40.4" customHeight="1">
      <c r="A15" s="704">
        <f>A11+1</f>
        <v>4</v>
      </c>
      <c r="B15" s="707" t="s">
        <v>92</v>
      </c>
      <c r="C15" s="708" t="s">
        <v>93</v>
      </c>
      <c r="D15" s="7">
        <f t="shared" ref="D15" si="6">IF(J15="","",J15-60)</f>
        <v>45902</v>
      </c>
      <c r="E15" s="8">
        <f>IF(J15="","",J15-30)</f>
        <v>45932</v>
      </c>
      <c r="F15" s="8"/>
      <c r="G15" s="732" t="s">
        <v>902</v>
      </c>
      <c r="H15" s="8"/>
      <c r="I15" s="735" t="s">
        <v>1640</v>
      </c>
      <c r="J15" s="9">
        <v>45962</v>
      </c>
      <c r="K15" s="10" t="str">
        <f t="shared" ca="1" si="4"/>
        <v/>
      </c>
      <c r="L15" s="10">
        <f t="shared" si="0"/>
        <v>-14</v>
      </c>
      <c r="M15" s="11"/>
      <c r="N15" s="12" t="s">
        <v>22</v>
      </c>
      <c r="O15" s="13">
        <v>45916</v>
      </c>
      <c r="P15" s="14" t="s">
        <v>94</v>
      </c>
      <c r="Q15" s="13">
        <v>45922</v>
      </c>
      <c r="R15" s="12" t="s">
        <v>95</v>
      </c>
      <c r="S15" s="12" t="s">
        <v>25</v>
      </c>
      <c r="T15" s="13"/>
      <c r="U15" s="14"/>
      <c r="V15" s="12" t="str">
        <f>IF(T15="","",IF(S15="檢退","檢退",IF(S15="審查同意","審定","檢退")))</f>
        <v/>
      </c>
      <c r="W15" s="13"/>
      <c r="X15" s="12"/>
      <c r="Y15" s="12"/>
      <c r="Z15" s="16"/>
    </row>
    <row r="16" spans="1:26" s="2" customFormat="1" ht="40.25" customHeight="1">
      <c r="A16" s="705"/>
      <c r="B16" s="707"/>
      <c r="C16" s="709"/>
      <c r="D16" s="7">
        <f>Q15+7</f>
        <v>45929</v>
      </c>
      <c r="E16" s="7"/>
      <c r="F16" s="7"/>
      <c r="G16" s="733"/>
      <c r="H16" s="7"/>
      <c r="I16" s="736"/>
      <c r="J16" s="9"/>
      <c r="K16" s="10" t="str">
        <f t="shared" ca="1" si="4"/>
        <v/>
      </c>
      <c r="L16" s="10">
        <f t="shared" si="0"/>
        <v>-42</v>
      </c>
      <c r="M16" s="11" t="s">
        <v>26</v>
      </c>
      <c r="N16" s="12" t="s">
        <v>27</v>
      </c>
      <c r="O16" s="13">
        <v>45971</v>
      </c>
      <c r="P16" s="14" t="s">
        <v>96</v>
      </c>
      <c r="Q16" s="13">
        <v>45974</v>
      </c>
      <c r="R16" s="12" t="s">
        <v>97</v>
      </c>
      <c r="S16" s="12" t="s">
        <v>30</v>
      </c>
      <c r="T16" s="13">
        <v>45980</v>
      </c>
      <c r="U16" s="14" t="s">
        <v>98</v>
      </c>
      <c r="V16" s="12" t="str">
        <f>IF(T16="","",IF(S16="檢退","檢退",IF(S16="審查同意","審定","檢退")))</f>
        <v>審定</v>
      </c>
      <c r="W16" s="13">
        <v>45999</v>
      </c>
      <c r="X16" s="12" t="s">
        <v>99</v>
      </c>
      <c r="Y16" s="11" t="s">
        <v>26</v>
      </c>
      <c r="Z16" s="16"/>
    </row>
    <row r="17" spans="1:26" s="2" customFormat="1" ht="40.4" customHeight="1">
      <c r="A17" s="706"/>
      <c r="B17" s="707"/>
      <c r="C17" s="710"/>
      <c r="D17" s="7"/>
      <c r="E17" s="7"/>
      <c r="F17" s="7"/>
      <c r="G17" s="734"/>
      <c r="H17" s="7"/>
      <c r="I17" s="737"/>
      <c r="J17" s="9"/>
      <c r="K17" s="10" t="str">
        <f t="shared" ca="1" si="4"/>
        <v/>
      </c>
      <c r="L17" s="10" t="str">
        <f t="shared" si="0"/>
        <v/>
      </c>
      <c r="M17" s="11"/>
      <c r="N17" s="12"/>
      <c r="O17" s="13"/>
      <c r="P17" s="14"/>
      <c r="Q17" s="13"/>
      <c r="R17" s="14"/>
      <c r="S17" s="12"/>
      <c r="T17" s="13"/>
      <c r="U17" s="14"/>
      <c r="V17" s="12" t="str">
        <f>IF(T17="","",IF(S17="檢退","檢退",IF(S17="審查同意","審定","檢退")))</f>
        <v/>
      </c>
      <c r="W17" s="13"/>
      <c r="X17" s="12"/>
      <c r="Y17" s="12"/>
      <c r="Z17" s="16"/>
    </row>
    <row r="18" spans="1:26" s="2" customFormat="1" ht="40.4" customHeight="1">
      <c r="A18" s="704">
        <f>A15+1</f>
        <v>5</v>
      </c>
      <c r="B18" s="713" t="s">
        <v>1643</v>
      </c>
      <c r="C18" s="708" t="s">
        <v>180</v>
      </c>
      <c r="D18" s="7" t="str">
        <f t="shared" ref="D18" si="7">IF(J18="","",J18-60)</f>
        <v/>
      </c>
      <c r="E18" s="8" t="str">
        <f>IF(J18="","",J18-30)</f>
        <v/>
      </c>
      <c r="F18" s="8"/>
      <c r="G18" s="732" t="s">
        <v>899</v>
      </c>
      <c r="H18" s="732" t="s">
        <v>900</v>
      </c>
      <c r="I18" s="735" t="s">
        <v>904</v>
      </c>
      <c r="J18" s="9"/>
      <c r="K18" s="10" t="str">
        <f t="shared" ca="1" si="4"/>
        <v/>
      </c>
      <c r="L18" s="10" t="str">
        <f t="shared" si="0"/>
        <v/>
      </c>
      <c r="M18" s="11" t="s">
        <v>26</v>
      </c>
      <c r="N18" s="12" t="s">
        <v>22</v>
      </c>
      <c r="O18" s="13">
        <v>45943</v>
      </c>
      <c r="P18" s="14" t="s">
        <v>181</v>
      </c>
      <c r="Q18" s="13">
        <v>45947</v>
      </c>
      <c r="R18" s="14" t="s">
        <v>182</v>
      </c>
      <c r="S18" s="12" t="s">
        <v>30</v>
      </c>
      <c r="T18" s="13">
        <v>45953</v>
      </c>
      <c r="U18" s="14" t="s">
        <v>183</v>
      </c>
      <c r="V18" s="12" t="str">
        <f t="shared" ref="V18:V20" si="8">IF(T18="","",IF(S18="檢退","檢退",IF(S18="審查同意","審定","檢退")))</f>
        <v>審定</v>
      </c>
      <c r="W18" s="13">
        <v>45960</v>
      </c>
      <c r="X18" s="12" t="s">
        <v>184</v>
      </c>
      <c r="Y18" s="11" t="s">
        <v>26</v>
      </c>
      <c r="Z18" s="16"/>
    </row>
    <row r="19" spans="1:26" s="2" customFormat="1" ht="40.4" customHeight="1">
      <c r="A19" s="705"/>
      <c r="B19" s="714"/>
      <c r="C19" s="709"/>
      <c r="D19" s="7"/>
      <c r="E19" s="8"/>
      <c r="F19" s="8"/>
      <c r="G19" s="733"/>
      <c r="H19" s="733"/>
      <c r="I19" s="736"/>
      <c r="J19" s="9"/>
      <c r="K19" s="10" t="str">
        <f t="shared" ca="1" si="4"/>
        <v/>
      </c>
      <c r="L19" s="10" t="str">
        <f t="shared" si="0"/>
        <v/>
      </c>
      <c r="M19" s="11"/>
      <c r="N19" s="12"/>
      <c r="O19" s="13"/>
      <c r="P19" s="14"/>
      <c r="Q19" s="13"/>
      <c r="R19" s="12"/>
      <c r="S19" s="12"/>
      <c r="T19" s="13"/>
      <c r="U19" s="12"/>
      <c r="V19" s="12"/>
      <c r="W19" s="13"/>
      <c r="X19" s="12"/>
      <c r="Y19" s="12"/>
      <c r="Z19" s="16"/>
    </row>
    <row r="20" spans="1:26" s="2" customFormat="1" ht="40.4" customHeight="1">
      <c r="A20" s="706"/>
      <c r="B20" s="715"/>
      <c r="C20" s="710"/>
      <c r="D20" s="7"/>
      <c r="E20" s="8"/>
      <c r="F20" s="8"/>
      <c r="G20" s="734"/>
      <c r="H20" s="734"/>
      <c r="I20" s="737"/>
      <c r="J20" s="9"/>
      <c r="K20" s="10" t="str">
        <f t="shared" ca="1" si="4"/>
        <v/>
      </c>
      <c r="L20" s="10" t="str">
        <f t="shared" si="0"/>
        <v/>
      </c>
      <c r="M20" s="11"/>
      <c r="N20" s="12"/>
      <c r="O20" s="13"/>
      <c r="P20" s="14"/>
      <c r="Q20" s="13"/>
      <c r="R20" s="14"/>
      <c r="S20" s="12"/>
      <c r="T20" s="13"/>
      <c r="U20" s="14"/>
      <c r="V20" s="12" t="str">
        <f t="shared" si="8"/>
        <v/>
      </c>
      <c r="W20" s="13"/>
      <c r="X20" s="12"/>
      <c r="Y20" s="12"/>
      <c r="Z20" s="16"/>
    </row>
    <row r="21" spans="1:26" s="25" customFormat="1" ht="40.4" customHeight="1">
      <c r="A21" s="703">
        <f>A18+1</f>
        <v>6</v>
      </c>
      <c r="B21" s="728" t="s">
        <v>1584</v>
      </c>
      <c r="C21" s="729" t="s">
        <v>397</v>
      </c>
      <c r="D21" s="17"/>
      <c r="E21" s="17"/>
      <c r="F21" s="17"/>
      <c r="G21" s="17"/>
      <c r="H21" s="17"/>
      <c r="I21" s="738" t="s">
        <v>905</v>
      </c>
      <c r="J21" s="17"/>
      <c r="K21" s="18" t="str">
        <f ca="1">IF(D21="","",IF(O21&lt;&gt;"","",IF(AND(O21="",D21-TODAY()&lt;=60),D21-TODAY(),"")))</f>
        <v/>
      </c>
      <c r="L21" s="18" t="str">
        <f t="shared" si="0"/>
        <v/>
      </c>
      <c r="M21" s="19"/>
      <c r="N21" s="22" t="s">
        <v>22</v>
      </c>
      <c r="O21" s="27" t="s">
        <v>906</v>
      </c>
      <c r="P21" s="28" t="s">
        <v>907</v>
      </c>
      <c r="Q21" s="27" t="s">
        <v>861</v>
      </c>
      <c r="R21" s="28" t="s">
        <v>862</v>
      </c>
      <c r="S21" s="26" t="s">
        <v>25</v>
      </c>
      <c r="T21" s="27"/>
      <c r="U21" s="28"/>
      <c r="V21" s="28"/>
      <c r="W21" s="23"/>
      <c r="X21" s="22"/>
      <c r="Y21" s="22"/>
      <c r="Z21" s="16"/>
    </row>
    <row r="22" spans="1:26" s="25" customFormat="1" ht="40.4" customHeight="1">
      <c r="A22" s="703"/>
      <c r="B22" s="728"/>
      <c r="C22" s="729"/>
      <c r="D22" s="17"/>
      <c r="E22" s="17"/>
      <c r="F22" s="17"/>
      <c r="G22" s="17"/>
      <c r="H22" s="17"/>
      <c r="I22" s="739"/>
      <c r="J22" s="17"/>
      <c r="K22" s="18" t="str">
        <f ca="1">IF(D22="","",IF(O22&lt;&gt;"","",IF(AND(O22="",D22-TODAY()&lt;=60),D22-TODAY(),"")))</f>
        <v/>
      </c>
      <c r="L22" s="18" t="str">
        <f t="shared" si="0"/>
        <v/>
      </c>
      <c r="M22" s="19" t="s">
        <v>1532</v>
      </c>
      <c r="N22" s="22" t="s">
        <v>27</v>
      </c>
      <c r="O22" s="27" t="s">
        <v>908</v>
      </c>
      <c r="P22" s="27" t="s">
        <v>909</v>
      </c>
      <c r="Q22" s="20"/>
      <c r="R22" s="21"/>
      <c r="S22" s="22"/>
      <c r="T22" s="23"/>
      <c r="U22" s="24"/>
      <c r="V22" s="22" t="str">
        <f t="shared" ref="V22:V23" si="9">IF(T22="","",IF(S22="檢退","檢退",IF(S22="審查同意","審定","檢退")))</f>
        <v/>
      </c>
      <c r="W22" s="23"/>
      <c r="X22" s="22"/>
      <c r="Y22" s="22"/>
      <c r="Z22" s="16"/>
    </row>
    <row r="23" spans="1:26" s="25" customFormat="1" ht="40.4" customHeight="1">
      <c r="A23" s="703"/>
      <c r="B23" s="728"/>
      <c r="C23" s="729"/>
      <c r="D23" s="17"/>
      <c r="E23" s="17"/>
      <c r="F23" s="17"/>
      <c r="G23" s="17"/>
      <c r="H23" s="17"/>
      <c r="I23" s="740"/>
      <c r="J23" s="17"/>
      <c r="K23" s="18" t="str">
        <f t="shared" ref="K23" ca="1" si="10">IF(D23="","",IF(O23&lt;&gt;"","",IF(AND(O23="",D23-TODAY()&lt;=60),D23-TODAY(),"")))</f>
        <v/>
      </c>
      <c r="L23" s="18" t="str">
        <f t="shared" si="0"/>
        <v/>
      </c>
      <c r="M23" s="19"/>
      <c r="N23" s="22" t="s">
        <v>36</v>
      </c>
      <c r="O23" s="27"/>
      <c r="P23" s="28"/>
      <c r="Q23" s="27"/>
      <c r="R23" s="28"/>
      <c r="S23" s="26"/>
      <c r="T23" s="23"/>
      <c r="U23" s="24"/>
      <c r="V23" s="22" t="str">
        <f t="shared" si="9"/>
        <v/>
      </c>
      <c r="W23" s="23"/>
      <c r="X23" s="22"/>
      <c r="Y23" s="22"/>
      <c r="Z23" s="16"/>
    </row>
    <row r="24" spans="1:26" s="25" customFormat="1" ht="40.4" customHeight="1">
      <c r="A24" s="702">
        <f>A21+1</f>
        <v>7</v>
      </c>
      <c r="B24" s="730" t="s">
        <v>1587</v>
      </c>
      <c r="C24" s="731" t="s">
        <v>1585</v>
      </c>
      <c r="D24" s="7"/>
      <c r="E24" s="7"/>
      <c r="F24" s="7"/>
      <c r="G24" s="741" t="s">
        <v>910</v>
      </c>
      <c r="H24" s="7"/>
      <c r="I24" s="744" t="s">
        <v>911</v>
      </c>
      <c r="J24" s="7"/>
      <c r="K24" s="10" t="str">
        <f ca="1">IF(D24="","",IF(O24&lt;&gt;"","",IF(AND(O24="",D24-TODAY()&lt;=60),D24-TODAY(),"")))</f>
        <v/>
      </c>
      <c r="L24" s="10" t="str">
        <f t="shared" si="0"/>
        <v/>
      </c>
      <c r="M24" s="11" t="s">
        <v>196</v>
      </c>
      <c r="N24" s="12" t="s">
        <v>22</v>
      </c>
      <c r="O24" s="13">
        <v>46057</v>
      </c>
      <c r="P24" s="14" t="s">
        <v>400</v>
      </c>
      <c r="Q24" s="13">
        <v>46059</v>
      </c>
      <c r="R24" s="14" t="s">
        <v>401</v>
      </c>
      <c r="S24" s="12" t="s">
        <v>38</v>
      </c>
      <c r="T24" s="13">
        <v>46062</v>
      </c>
      <c r="U24" s="14" t="s">
        <v>402</v>
      </c>
      <c r="V24" s="14" t="s">
        <v>201</v>
      </c>
      <c r="W24" s="13">
        <v>46062</v>
      </c>
      <c r="X24" s="12" t="s">
        <v>1586</v>
      </c>
      <c r="Y24" s="12" t="s">
        <v>196</v>
      </c>
      <c r="Z24" s="16"/>
    </row>
    <row r="25" spans="1:26" s="25" customFormat="1" ht="40.4" customHeight="1">
      <c r="A25" s="702"/>
      <c r="B25" s="730"/>
      <c r="C25" s="731"/>
      <c r="D25" s="7"/>
      <c r="E25" s="7"/>
      <c r="F25" s="7"/>
      <c r="G25" s="742"/>
      <c r="H25" s="7"/>
      <c r="I25" s="745"/>
      <c r="J25" s="7"/>
      <c r="K25" s="10" t="str">
        <f ca="1">IF(D25="","",IF(O25&lt;&gt;"","",IF(AND(O25="",D25-TODAY()&lt;=60),D25-TODAY(),"")))</f>
        <v/>
      </c>
      <c r="L25" s="10" t="str">
        <f t="shared" si="0"/>
        <v/>
      </c>
      <c r="M25" s="11"/>
      <c r="N25" s="12" t="s">
        <v>27</v>
      </c>
      <c r="O25" s="13"/>
      <c r="P25" s="13"/>
      <c r="Q25" s="13"/>
      <c r="R25" s="14"/>
      <c r="S25" s="12"/>
      <c r="T25" s="13"/>
      <c r="U25" s="14"/>
      <c r="V25" s="12" t="str">
        <f t="shared" ref="V25:V26" si="11">IF(T25="","",IF(S25="檢退","檢退",IF(S25="審查同意","審定","檢退")))</f>
        <v/>
      </c>
      <c r="W25" s="13"/>
      <c r="X25" s="12"/>
      <c r="Y25" s="12"/>
      <c r="Z25" s="16"/>
    </row>
    <row r="26" spans="1:26" s="25" customFormat="1" ht="40.4" customHeight="1">
      <c r="A26" s="702"/>
      <c r="B26" s="730"/>
      <c r="C26" s="731"/>
      <c r="D26" s="7"/>
      <c r="E26" s="7"/>
      <c r="F26" s="7"/>
      <c r="G26" s="743"/>
      <c r="H26" s="7"/>
      <c r="I26" s="746"/>
      <c r="J26" s="7"/>
      <c r="K26" s="10" t="str">
        <f t="shared" ref="K26" ca="1" si="12">IF(D26="","",IF(O26&lt;&gt;"","",IF(AND(O26="",D26-TODAY()&lt;=60),D26-TODAY(),"")))</f>
        <v/>
      </c>
      <c r="L26" s="10" t="str">
        <f t="shared" si="0"/>
        <v/>
      </c>
      <c r="M26" s="11"/>
      <c r="N26" s="12" t="s">
        <v>36</v>
      </c>
      <c r="O26" s="13"/>
      <c r="P26" s="14"/>
      <c r="Q26" s="13"/>
      <c r="R26" s="14"/>
      <c r="S26" s="12"/>
      <c r="T26" s="13"/>
      <c r="U26" s="14"/>
      <c r="V26" s="12" t="str">
        <f t="shared" si="11"/>
        <v/>
      </c>
      <c r="W26" s="13"/>
      <c r="X26" s="12"/>
      <c r="Y26" s="12"/>
      <c r="Z26" s="16"/>
    </row>
    <row r="27" spans="1:26" s="25" customFormat="1" ht="40.4" customHeight="1">
      <c r="A27" s="703">
        <f>A24+1</f>
        <v>8</v>
      </c>
      <c r="B27" s="728" t="s">
        <v>1588</v>
      </c>
      <c r="C27" s="729" t="s">
        <v>1589</v>
      </c>
      <c r="D27" s="17"/>
      <c r="E27" s="17"/>
      <c r="F27" s="17"/>
      <c r="G27" s="747" t="s">
        <v>912</v>
      </c>
      <c r="H27" s="17"/>
      <c r="I27" s="738" t="s">
        <v>1641</v>
      </c>
      <c r="J27" s="17"/>
      <c r="K27" s="18" t="str">
        <f ca="1">IF(D27="","",IF(O27&lt;&gt;"","",IF(AND(O27="",D27-TODAY()&lt;=60),D27-TODAY(),"")))</f>
        <v/>
      </c>
      <c r="L27" s="18" t="str">
        <f t="shared" si="0"/>
        <v/>
      </c>
      <c r="M27" s="19" t="s">
        <v>1532</v>
      </c>
      <c r="N27" s="22" t="s">
        <v>22</v>
      </c>
      <c r="O27" s="27" t="s">
        <v>906</v>
      </c>
      <c r="P27" s="28" t="s">
        <v>907</v>
      </c>
      <c r="Q27" s="27" t="s">
        <v>861</v>
      </c>
      <c r="R27" s="28" t="s">
        <v>862</v>
      </c>
      <c r="S27" s="26" t="s">
        <v>38</v>
      </c>
      <c r="T27" s="27"/>
      <c r="U27" s="28"/>
      <c r="V27" s="28"/>
      <c r="W27" s="23"/>
      <c r="X27" s="22"/>
      <c r="Y27" s="22"/>
      <c r="Z27" s="16"/>
    </row>
    <row r="28" spans="1:26" s="25" customFormat="1" ht="40.4" customHeight="1">
      <c r="A28" s="703"/>
      <c r="B28" s="728"/>
      <c r="C28" s="729"/>
      <c r="D28" s="17"/>
      <c r="E28" s="17"/>
      <c r="F28" s="17"/>
      <c r="G28" s="748"/>
      <c r="H28" s="17"/>
      <c r="I28" s="739"/>
      <c r="J28" s="17"/>
      <c r="K28" s="18" t="str">
        <f ca="1">IF(D28="","",IF(O28&lt;&gt;"","",IF(AND(O28="",D28-TODAY()&lt;=60),D28-TODAY(),"")))</f>
        <v/>
      </c>
      <c r="L28" s="18" t="str">
        <f t="shared" si="0"/>
        <v/>
      </c>
      <c r="M28" s="19"/>
      <c r="N28" s="22" t="s">
        <v>27</v>
      </c>
      <c r="O28" s="20"/>
      <c r="P28" s="20"/>
      <c r="Q28" s="20"/>
      <c r="R28" s="21"/>
      <c r="S28" s="22"/>
      <c r="T28" s="23"/>
      <c r="U28" s="24"/>
      <c r="V28" s="22" t="str">
        <f t="shared" ref="V28:V29" si="13">IF(T28="","",IF(S28="檢退","檢退",IF(S28="審查同意","審定","檢退")))</f>
        <v/>
      </c>
      <c r="W28" s="23"/>
      <c r="X28" s="22"/>
      <c r="Y28" s="22"/>
      <c r="Z28" s="16"/>
    </row>
    <row r="29" spans="1:26" s="25" customFormat="1" ht="40.4" customHeight="1">
      <c r="A29" s="703"/>
      <c r="B29" s="728"/>
      <c r="C29" s="729"/>
      <c r="D29" s="17"/>
      <c r="E29" s="17"/>
      <c r="F29" s="17"/>
      <c r="G29" s="749"/>
      <c r="H29" s="17"/>
      <c r="I29" s="740"/>
      <c r="J29" s="17"/>
      <c r="K29" s="18" t="str">
        <f t="shared" ref="K29" ca="1" si="14">IF(D29="","",IF(O29&lt;&gt;"","",IF(AND(O29="",D29-TODAY()&lt;=60),D29-TODAY(),"")))</f>
        <v/>
      </c>
      <c r="L29" s="18" t="str">
        <f t="shared" si="0"/>
        <v/>
      </c>
      <c r="M29" s="19"/>
      <c r="N29" s="22" t="s">
        <v>36</v>
      </c>
      <c r="O29" s="27"/>
      <c r="P29" s="28"/>
      <c r="Q29" s="27"/>
      <c r="R29" s="28"/>
      <c r="S29" s="26"/>
      <c r="T29" s="23"/>
      <c r="U29" s="24"/>
      <c r="V29" s="22" t="str">
        <f t="shared" si="13"/>
        <v/>
      </c>
      <c r="W29" s="23"/>
      <c r="X29" s="22"/>
      <c r="Y29" s="22"/>
      <c r="Z29" s="16"/>
    </row>
    <row r="30" spans="1:26" s="25" customFormat="1" ht="40.4" customHeight="1">
      <c r="A30" s="703">
        <f>A27+1</f>
        <v>9</v>
      </c>
      <c r="B30" s="728" t="s">
        <v>1533</v>
      </c>
      <c r="C30" s="729" t="s">
        <v>398</v>
      </c>
      <c r="D30" s="17"/>
      <c r="E30" s="17"/>
      <c r="F30" s="17"/>
      <c r="G30" s="17"/>
      <c r="H30" s="17"/>
      <c r="I30" s="17"/>
      <c r="J30" s="17"/>
      <c r="K30" s="18" t="str">
        <f ca="1">IF(D30="","",IF(O30&lt;&gt;"","",IF(AND(O30="",D30-TODAY()&lt;=60),D30-TODAY(),"")))</f>
        <v/>
      </c>
      <c r="L30" s="18" t="str">
        <f t="shared" si="0"/>
        <v/>
      </c>
      <c r="M30" s="19" t="s">
        <v>1532</v>
      </c>
      <c r="N30" s="22" t="s">
        <v>22</v>
      </c>
      <c r="O30" s="27" t="s">
        <v>1065</v>
      </c>
      <c r="P30" s="28" t="s">
        <v>1066</v>
      </c>
      <c r="Q30" s="27"/>
      <c r="R30" s="28"/>
      <c r="S30" s="26"/>
      <c r="T30" s="27"/>
      <c r="U30" s="28"/>
      <c r="V30" s="28"/>
      <c r="W30" s="23"/>
      <c r="X30" s="22"/>
      <c r="Y30" s="22"/>
      <c r="Z30" s="16"/>
    </row>
    <row r="31" spans="1:26" s="25" customFormat="1" ht="40.4" customHeight="1">
      <c r="A31" s="703"/>
      <c r="B31" s="728"/>
      <c r="C31" s="729"/>
      <c r="D31" s="17"/>
      <c r="E31" s="17"/>
      <c r="F31" s="17"/>
      <c r="G31" s="17"/>
      <c r="H31" s="17"/>
      <c r="I31" s="17"/>
      <c r="J31" s="17"/>
      <c r="K31" s="18" t="str">
        <f ca="1">IF(D31="","",IF(O31&lt;&gt;"","",IF(AND(O31="",D31-TODAY()&lt;=60),D31-TODAY(),"")))</f>
        <v/>
      </c>
      <c r="L31" s="18" t="str">
        <f t="shared" si="0"/>
        <v/>
      </c>
      <c r="M31" s="19"/>
      <c r="N31" s="22" t="s">
        <v>27</v>
      </c>
      <c r="O31" s="20" t="s">
        <v>1655</v>
      </c>
      <c r="P31" s="20" t="s">
        <v>1654</v>
      </c>
      <c r="Q31" s="20"/>
      <c r="R31" s="21"/>
      <c r="S31" s="22"/>
      <c r="T31" s="23"/>
      <c r="U31" s="24"/>
      <c r="V31" s="22" t="str">
        <f t="shared" ref="V31:V32" si="15">IF(T31="","",IF(S31="檢退","檢退",IF(S31="審查同意","審定","檢退")))</f>
        <v/>
      </c>
      <c r="W31" s="23"/>
      <c r="X31" s="22"/>
      <c r="Y31" s="22"/>
      <c r="Z31" s="16"/>
    </row>
    <row r="32" spans="1:26" s="25" customFormat="1" ht="40.4" customHeight="1">
      <c r="A32" s="703"/>
      <c r="B32" s="728"/>
      <c r="C32" s="729"/>
      <c r="D32" s="17"/>
      <c r="E32" s="17"/>
      <c r="F32" s="17"/>
      <c r="G32" s="17"/>
      <c r="H32" s="17"/>
      <c r="I32" s="17"/>
      <c r="J32" s="17"/>
      <c r="K32" s="18" t="str">
        <f t="shared" ref="K32" ca="1" si="16">IF(D32="","",IF(O32&lt;&gt;"","",IF(AND(O32="",D32-TODAY()&lt;=60),D32-TODAY(),"")))</f>
        <v/>
      </c>
      <c r="L32" s="18" t="str">
        <f t="shared" si="0"/>
        <v/>
      </c>
      <c r="M32" s="19"/>
      <c r="N32" s="22" t="s">
        <v>36</v>
      </c>
      <c r="O32" s="27"/>
      <c r="P32" s="28"/>
      <c r="Q32" s="27"/>
      <c r="R32" s="28"/>
      <c r="S32" s="26"/>
      <c r="T32" s="23"/>
      <c r="U32" s="24"/>
      <c r="V32" s="22" t="str">
        <f t="shared" si="15"/>
        <v/>
      </c>
      <c r="W32" s="23"/>
      <c r="X32" s="22"/>
      <c r="Y32" s="22"/>
      <c r="Z32" s="16"/>
    </row>
    <row r="33" spans="1:26" s="25" customFormat="1" ht="40.4" customHeight="1">
      <c r="A33" s="703">
        <f>A30+1</f>
        <v>10</v>
      </c>
      <c r="B33" s="728" t="s">
        <v>1591</v>
      </c>
      <c r="C33" s="729" t="s">
        <v>913</v>
      </c>
      <c r="D33" s="17"/>
      <c r="E33" s="17"/>
      <c r="F33" s="17"/>
      <c r="G33" s="747" t="s">
        <v>910</v>
      </c>
      <c r="H33" s="747" t="s">
        <v>914</v>
      </c>
      <c r="I33" s="738" t="s">
        <v>1590</v>
      </c>
      <c r="J33" s="17"/>
      <c r="K33" s="18" t="str">
        <f ca="1">IF(D33="","",IF(O33&lt;&gt;"","",IF(AND(O33="",D33-TODAY()&lt;=60),D33-TODAY(),"")))</f>
        <v/>
      </c>
      <c r="L33" s="18" t="str">
        <f t="shared" si="0"/>
        <v/>
      </c>
      <c r="M33" s="19" t="s">
        <v>1532</v>
      </c>
      <c r="N33" s="22" t="s">
        <v>22</v>
      </c>
      <c r="O33" s="27" t="s">
        <v>908</v>
      </c>
      <c r="P33" s="28" t="s">
        <v>915</v>
      </c>
      <c r="Q33" s="27"/>
      <c r="R33" s="28"/>
      <c r="S33" s="26"/>
      <c r="T33" s="27"/>
      <c r="U33" s="28"/>
      <c r="V33" s="28"/>
      <c r="W33" s="23"/>
      <c r="X33" s="22"/>
      <c r="Y33" s="22"/>
      <c r="Z33" s="16"/>
    </row>
    <row r="34" spans="1:26" s="25" customFormat="1" ht="40.4" customHeight="1">
      <c r="A34" s="703"/>
      <c r="B34" s="728"/>
      <c r="C34" s="729"/>
      <c r="D34" s="17"/>
      <c r="E34" s="17"/>
      <c r="F34" s="17"/>
      <c r="G34" s="748"/>
      <c r="H34" s="748"/>
      <c r="I34" s="739"/>
      <c r="J34" s="17"/>
      <c r="K34" s="18" t="str">
        <f ca="1">IF(D34="","",IF(O34&lt;&gt;"","",IF(AND(O34="",D34-TODAY()&lt;=60),D34-TODAY(),"")))</f>
        <v/>
      </c>
      <c r="L34" s="18" t="str">
        <f t="shared" si="0"/>
        <v/>
      </c>
      <c r="M34" s="19"/>
      <c r="N34" s="22" t="s">
        <v>27</v>
      </c>
      <c r="O34" s="20"/>
      <c r="P34" s="20"/>
      <c r="Q34" s="20"/>
      <c r="R34" s="21"/>
      <c r="S34" s="22"/>
      <c r="T34" s="23"/>
      <c r="U34" s="24"/>
      <c r="V34" s="22" t="str">
        <f t="shared" ref="V34:V35" si="17">IF(T34="","",IF(S34="檢退","檢退",IF(S34="審查同意","審定","檢退")))</f>
        <v/>
      </c>
      <c r="W34" s="23"/>
      <c r="X34" s="22"/>
      <c r="Y34" s="22"/>
      <c r="Z34" s="16"/>
    </row>
    <row r="35" spans="1:26" s="25" customFormat="1" ht="40.4" customHeight="1">
      <c r="A35" s="703"/>
      <c r="B35" s="728"/>
      <c r="C35" s="729"/>
      <c r="D35" s="17"/>
      <c r="E35" s="17"/>
      <c r="F35" s="17"/>
      <c r="G35" s="749"/>
      <c r="H35" s="749"/>
      <c r="I35" s="740"/>
      <c r="J35" s="17"/>
      <c r="K35" s="18" t="str">
        <f t="shared" ref="K35" ca="1" si="18">IF(D35="","",IF(O35&lt;&gt;"","",IF(AND(O35="",D35-TODAY()&lt;=60),D35-TODAY(),"")))</f>
        <v/>
      </c>
      <c r="L35" s="18" t="str">
        <f t="shared" si="0"/>
        <v/>
      </c>
      <c r="M35" s="19"/>
      <c r="N35" s="22" t="s">
        <v>36</v>
      </c>
      <c r="O35" s="27"/>
      <c r="P35" s="28"/>
      <c r="Q35" s="27"/>
      <c r="R35" s="28"/>
      <c r="S35" s="26"/>
      <c r="T35" s="23"/>
      <c r="U35" s="24"/>
      <c r="V35" s="22" t="str">
        <f t="shared" si="17"/>
        <v/>
      </c>
      <c r="W35" s="23"/>
      <c r="X35" s="22"/>
      <c r="Y35" s="22"/>
      <c r="Z35" s="16"/>
    </row>
    <row r="36" spans="1:26" s="25" customFormat="1" ht="40.4" customHeight="1">
      <c r="A36" s="76"/>
      <c r="B36" s="93"/>
      <c r="C36" s="94"/>
      <c r="D36" s="39"/>
      <c r="E36" s="39"/>
      <c r="F36" s="39"/>
      <c r="G36" s="39"/>
      <c r="H36" s="39"/>
      <c r="I36" s="39"/>
      <c r="J36" s="39"/>
      <c r="K36" s="42"/>
      <c r="L36" s="42"/>
      <c r="M36" s="43"/>
      <c r="N36" s="44"/>
      <c r="O36" s="79"/>
      <c r="P36" s="80"/>
      <c r="Q36" s="79"/>
      <c r="R36" s="80"/>
      <c r="S36" s="78"/>
      <c r="T36" s="45"/>
      <c r="U36" s="46"/>
      <c r="V36" s="44"/>
      <c r="W36" s="45"/>
      <c r="X36" s="44"/>
      <c r="Y36" s="44"/>
      <c r="Z36" s="47"/>
    </row>
    <row r="37" spans="1:26" s="2" customFormat="1" ht="40.4" customHeight="1">
      <c r="A37" s="36"/>
      <c r="B37" s="95" t="s">
        <v>373</v>
      </c>
      <c r="C37" s="38"/>
      <c r="D37" s="39"/>
      <c r="E37" s="40"/>
      <c r="F37" s="40"/>
      <c r="G37" s="40"/>
      <c r="H37" s="40"/>
      <c r="I37" s="40"/>
      <c r="J37" s="41"/>
      <c r="K37" s="42"/>
      <c r="L37" s="42"/>
      <c r="M37" s="43"/>
      <c r="N37" s="44"/>
      <c r="O37" s="45"/>
      <c r="P37" s="46"/>
      <c r="Q37" s="45"/>
      <c r="R37" s="46"/>
      <c r="S37" s="44"/>
      <c r="T37" s="45"/>
      <c r="U37" s="46"/>
      <c r="V37" s="44"/>
      <c r="W37" s="45"/>
      <c r="X37" s="44"/>
      <c r="Y37" s="44"/>
      <c r="Z37" s="47"/>
    </row>
    <row r="38" spans="1:26" ht="40.4" customHeight="1">
      <c r="B38" s="49" t="s">
        <v>193</v>
      </c>
      <c r="C38" s="64">
        <f>COUNTA(C5:C35)</f>
        <v>10</v>
      </c>
      <c r="D38" s="50"/>
      <c r="E38" s="51"/>
      <c r="F38" s="51"/>
      <c r="G38" s="51"/>
      <c r="H38" s="51"/>
      <c r="I38" s="51"/>
      <c r="M38" s="2"/>
      <c r="Y38" s="52"/>
      <c r="Z38" s="1"/>
    </row>
    <row r="39" spans="1:26" ht="40.4" customHeight="1">
      <c r="B39" s="61" t="s">
        <v>240</v>
      </c>
      <c r="C39" s="67">
        <f>C38-C40-C41-C42</f>
        <v>0</v>
      </c>
      <c r="D39" s="56"/>
      <c r="E39" s="57"/>
      <c r="F39" s="57"/>
      <c r="G39" s="57"/>
      <c r="H39" s="57"/>
      <c r="I39" s="57"/>
      <c r="M39" s="2"/>
      <c r="Y39" s="52"/>
      <c r="Z39" s="1"/>
    </row>
    <row r="40" spans="1:26" ht="45.65" customHeight="1">
      <c r="B40" s="55" t="s">
        <v>194</v>
      </c>
      <c r="C40" s="65">
        <f>COUNTIF(M5:M35,"核定")</f>
        <v>6</v>
      </c>
      <c r="D40" s="59"/>
      <c r="E40" s="60"/>
      <c r="F40" s="60"/>
      <c r="G40" s="60"/>
      <c r="H40" s="60"/>
      <c r="I40" s="60"/>
      <c r="M40" s="2"/>
      <c r="Y40" s="52"/>
      <c r="Z40" s="1"/>
    </row>
    <row r="41" spans="1:26" ht="40.4" customHeight="1">
      <c r="B41" s="72" t="s">
        <v>177</v>
      </c>
      <c r="C41" s="73">
        <f>COUNTIF(M5:M35,"審查")</f>
        <v>4</v>
      </c>
      <c r="D41" s="62"/>
      <c r="E41" s="63"/>
      <c r="F41" s="63"/>
      <c r="G41" s="63"/>
      <c r="H41" s="63"/>
      <c r="I41" s="63"/>
      <c r="M41" s="2"/>
      <c r="Y41" s="52"/>
      <c r="Z41" s="1"/>
    </row>
    <row r="42" spans="1:26" s="52" customFormat="1" ht="40.4" customHeight="1">
      <c r="A42" s="48"/>
      <c r="B42" s="58" t="s">
        <v>239</v>
      </c>
      <c r="C42" s="66">
        <f>COUNTIF(M5:M35,"修正")</f>
        <v>0</v>
      </c>
      <c r="D42" s="53"/>
      <c r="K42" s="53"/>
      <c r="L42" s="54"/>
      <c r="M42" s="5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</sheetData>
  <autoFilter ref="A4:Z42" xr:uid="{00000000-0009-0000-0000-000007000000}"/>
  <mergeCells count="72">
    <mergeCell ref="G27:G29"/>
    <mergeCell ref="I27:I29"/>
    <mergeCell ref="G33:G35"/>
    <mergeCell ref="H33:H35"/>
    <mergeCell ref="I33:I35"/>
    <mergeCell ref="G18:G20"/>
    <mergeCell ref="H18:H20"/>
    <mergeCell ref="I18:I20"/>
    <mergeCell ref="I21:I23"/>
    <mergeCell ref="G24:G26"/>
    <mergeCell ref="I24:I26"/>
    <mergeCell ref="G11:G14"/>
    <mergeCell ref="H11:H14"/>
    <mergeCell ref="I11:I14"/>
    <mergeCell ref="G15:G17"/>
    <mergeCell ref="I15:I17"/>
    <mergeCell ref="G5:G7"/>
    <mergeCell ref="H5:H7"/>
    <mergeCell ref="I5:I7"/>
    <mergeCell ref="G8:G10"/>
    <mergeCell ref="I8:I10"/>
    <mergeCell ref="B5:B7"/>
    <mergeCell ref="C5:C7"/>
    <mergeCell ref="A5:A7"/>
    <mergeCell ref="B33:B35"/>
    <mergeCell ref="C33:C35"/>
    <mergeCell ref="A33:A35"/>
    <mergeCell ref="B30:B32"/>
    <mergeCell ref="C30:C32"/>
    <mergeCell ref="A30:A32"/>
    <mergeCell ref="A27:A29"/>
    <mergeCell ref="B27:B29"/>
    <mergeCell ref="C27:C29"/>
    <mergeCell ref="B21:B23"/>
    <mergeCell ref="C21:C23"/>
    <mergeCell ref="B24:B26"/>
    <mergeCell ref="C24:C26"/>
    <mergeCell ref="A24:A26"/>
    <mergeCell ref="A21:A23"/>
    <mergeCell ref="A8:A10"/>
    <mergeCell ref="B11:B14"/>
    <mergeCell ref="C11:C14"/>
    <mergeCell ref="A11:A14"/>
    <mergeCell ref="B15:B17"/>
    <mergeCell ref="C15:C17"/>
    <mergeCell ref="A15:A17"/>
    <mergeCell ref="B18:B20"/>
    <mergeCell ref="A18:A20"/>
    <mergeCell ref="B8:B10"/>
    <mergeCell ref="C8:C10"/>
    <mergeCell ref="C18:C20"/>
    <mergeCell ref="A1:Z1"/>
    <mergeCell ref="A2:A4"/>
    <mergeCell ref="B2:B4"/>
    <mergeCell ref="C2:C4"/>
    <mergeCell ref="D2:D4"/>
    <mergeCell ref="E2:E4"/>
    <mergeCell ref="J2:J4"/>
    <mergeCell ref="K2:K4"/>
    <mergeCell ref="L2:L4"/>
    <mergeCell ref="N2:N4"/>
    <mergeCell ref="O2:Y2"/>
    <mergeCell ref="Z2:Z4"/>
    <mergeCell ref="T3:V3"/>
    <mergeCell ref="O3:P3"/>
    <mergeCell ref="W3:Y3"/>
    <mergeCell ref="F2:F4"/>
    <mergeCell ref="G2:G4"/>
    <mergeCell ref="H2:H4"/>
    <mergeCell ref="I2:I4"/>
    <mergeCell ref="Q3:S3"/>
    <mergeCell ref="M2:M4"/>
  </mergeCells>
  <phoneticPr fontId="3" type="noConversion"/>
  <conditionalFormatting sqref="M5:M36">
    <cfRule type="expression" dxfId="19" priority="1">
      <formula>$M5="修正"</formula>
    </cfRule>
    <cfRule type="expression" dxfId="18" priority="2">
      <formula>$M5="核定"</formula>
    </cfRule>
    <cfRule type="expression" dxfId="17" priority="3">
      <formula>$M5="審查"</formula>
    </cfRule>
  </conditionalFormatting>
  <pageMargins left="0.31496062992125984" right="0.31496062992125984" top="0.74803149606299213" bottom="0.74803149606299213" header="0.3543307086614173" footer="0.3543307086614173"/>
  <pageSetup paperSize="8" scale="49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0D4ED-5A52-49E6-AE92-D5A22F19A4A2}">
  <sheetPr>
    <tabColor theme="9" tint="0.79998168889431442"/>
    <pageSetUpPr autoPageBreaks="0" fitToPage="1"/>
  </sheetPr>
  <dimension ref="A1:AC173"/>
  <sheetViews>
    <sheetView zoomScale="55" zoomScaleNormal="55" zoomScaleSheetLayoutView="55" zoomScalePageLayoutView="40" workbookViewId="0">
      <pane xSplit="6" ySplit="4" topLeftCell="G157" activePane="bottomRight" state="frozen"/>
      <selection activeCell="J17" sqref="J17"/>
      <selection pane="topRight" activeCell="J17" sqref="J17"/>
      <selection pane="bottomLeft" activeCell="J17" sqref="J17"/>
      <selection pane="bottomRight" activeCell="K116" sqref="K116"/>
    </sheetView>
  </sheetViews>
  <sheetFormatPr defaultColWidth="8" defaultRowHeight="16"/>
  <cols>
    <col min="1" max="1" width="12.90625" style="1" hidden="1" customWidth="1"/>
    <col min="2" max="2" width="11.453125" style="1" customWidth="1"/>
    <col min="3" max="3" width="10.90625" style="48" customWidth="1"/>
    <col min="4" max="4" width="29.08984375" style="2" bestFit="1" customWidth="1"/>
    <col min="5" max="5" width="24.90625" style="2" hidden="1" customWidth="1"/>
    <col min="6" max="6" width="37.36328125" style="52" customWidth="1"/>
    <col min="7" max="7" width="17.90625" style="52" customWidth="1"/>
    <col min="8" max="8" width="26.08984375" style="52" hidden="1" customWidth="1"/>
    <col min="9" max="9" width="43.36328125" style="52" hidden="1" customWidth="1"/>
    <col min="10" max="10" width="29.453125" style="52" customWidth="1"/>
    <col min="11" max="11" width="17.453125" style="53" customWidth="1"/>
    <col min="12" max="12" width="17.453125" style="52" hidden="1" customWidth="1"/>
    <col min="13" max="13" width="16.453125" style="52" hidden="1" customWidth="1"/>
    <col min="14" max="14" width="20.08984375" style="53" hidden="1" customWidth="1"/>
    <col min="15" max="15" width="14.08984375" style="54" hidden="1" customWidth="1"/>
    <col min="16" max="16" width="11.453125" style="54" hidden="1" customWidth="1"/>
    <col min="17" max="17" width="14.08984375" style="2" hidden="1" customWidth="1"/>
    <col min="18" max="18" width="16.453125" style="2" customWidth="1"/>
    <col min="19" max="19" width="24.453125" style="2" customWidth="1"/>
    <col min="20" max="20" width="16.08984375" style="2" bestFit="1" customWidth="1"/>
    <col min="21" max="21" width="24.453125" style="2" customWidth="1"/>
    <col min="22" max="22" width="24.90625" style="2" customWidth="1"/>
    <col min="23" max="23" width="16.08984375" style="2" hidden="1" customWidth="1"/>
    <col min="24" max="24" width="20.453125" style="2" hidden="1" customWidth="1"/>
    <col min="25" max="25" width="14.08984375" style="2" hidden="1" customWidth="1"/>
    <col min="26" max="26" width="16.08984375" style="2" bestFit="1" customWidth="1"/>
    <col min="27" max="27" width="23" style="2" bestFit="1" customWidth="1"/>
    <col min="28" max="28" width="14.08984375" style="2" bestFit="1" customWidth="1"/>
    <col min="29" max="29" width="23.08984375" style="52" customWidth="1"/>
    <col min="30" max="16384" width="8" style="1"/>
  </cols>
  <sheetData>
    <row r="1" spans="1:29" ht="40.4" customHeight="1">
      <c r="C1" s="608" t="s">
        <v>0</v>
      </c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</row>
    <row r="2" spans="1:29" s="2" customFormat="1" ht="25.4" customHeight="1">
      <c r="A2" s="776" t="s">
        <v>522</v>
      </c>
      <c r="B2" s="777" t="s">
        <v>521</v>
      </c>
      <c r="C2" s="768" t="s">
        <v>1</v>
      </c>
      <c r="D2" s="769" t="s">
        <v>3</v>
      </c>
      <c r="E2" s="772" t="s">
        <v>491</v>
      </c>
      <c r="F2" s="769" t="s">
        <v>4</v>
      </c>
      <c r="G2" s="772" t="s">
        <v>230</v>
      </c>
      <c r="H2" s="770" t="s">
        <v>255</v>
      </c>
      <c r="I2" s="770" t="s">
        <v>562</v>
      </c>
      <c r="J2" s="770" t="s">
        <v>565</v>
      </c>
      <c r="K2" s="617" t="s">
        <v>5</v>
      </c>
      <c r="L2" s="614" t="s">
        <v>6</v>
      </c>
      <c r="M2" s="614" t="s">
        <v>7</v>
      </c>
      <c r="N2" s="617" t="s">
        <v>8</v>
      </c>
      <c r="O2" s="611" t="s">
        <v>9</v>
      </c>
      <c r="P2" s="610" t="s">
        <v>10</v>
      </c>
      <c r="Q2" s="610" t="s">
        <v>11</v>
      </c>
      <c r="R2" s="618" t="s">
        <v>12</v>
      </c>
      <c r="S2" s="618"/>
      <c r="T2" s="618"/>
      <c r="U2" s="618"/>
      <c r="V2" s="618"/>
      <c r="W2" s="618"/>
      <c r="X2" s="618"/>
      <c r="Y2" s="618"/>
      <c r="Z2" s="618"/>
      <c r="AA2" s="618"/>
      <c r="AB2" s="618"/>
      <c r="AC2" s="618" t="s">
        <v>13</v>
      </c>
    </row>
    <row r="3" spans="1:29" s="2" customFormat="1" ht="25.4" customHeight="1">
      <c r="A3" s="776"/>
      <c r="B3" s="777"/>
      <c r="C3" s="768"/>
      <c r="D3" s="769"/>
      <c r="E3" s="773"/>
      <c r="F3" s="769"/>
      <c r="G3" s="773"/>
      <c r="H3" s="771"/>
      <c r="I3" s="771"/>
      <c r="J3" s="771"/>
      <c r="K3" s="617"/>
      <c r="L3" s="615"/>
      <c r="M3" s="615"/>
      <c r="N3" s="617" t="s">
        <v>14</v>
      </c>
      <c r="O3" s="612"/>
      <c r="P3" s="610"/>
      <c r="Q3" s="610"/>
      <c r="R3" s="619" t="s">
        <v>15</v>
      </c>
      <c r="S3" s="619"/>
      <c r="T3" s="620" t="s">
        <v>16</v>
      </c>
      <c r="U3" s="620"/>
      <c r="V3" s="620"/>
      <c r="W3" s="621" t="s">
        <v>17</v>
      </c>
      <c r="X3" s="621"/>
      <c r="Y3" s="621"/>
      <c r="Z3" s="622" t="s">
        <v>18</v>
      </c>
      <c r="AA3" s="622"/>
      <c r="AB3" s="622"/>
      <c r="AC3" s="618"/>
    </row>
    <row r="4" spans="1:29" s="2" customFormat="1" ht="25.4" customHeight="1">
      <c r="A4" s="776"/>
      <c r="B4" s="777"/>
      <c r="C4" s="768"/>
      <c r="D4" s="769"/>
      <c r="E4" s="774"/>
      <c r="F4" s="769"/>
      <c r="G4" s="774"/>
      <c r="H4" s="771"/>
      <c r="I4" s="775"/>
      <c r="J4" s="775"/>
      <c r="K4" s="617"/>
      <c r="L4" s="616"/>
      <c r="M4" s="616"/>
      <c r="N4" s="617"/>
      <c r="O4" s="613"/>
      <c r="P4" s="610"/>
      <c r="Q4" s="610"/>
      <c r="R4" s="3" t="s">
        <v>19</v>
      </c>
      <c r="S4" s="3" t="s">
        <v>20</v>
      </c>
      <c r="T4" s="4" t="s">
        <v>19</v>
      </c>
      <c r="U4" s="4" t="s">
        <v>20</v>
      </c>
      <c r="V4" s="4" t="s">
        <v>21</v>
      </c>
      <c r="W4" s="5" t="s">
        <v>19</v>
      </c>
      <c r="X4" s="5" t="s">
        <v>20</v>
      </c>
      <c r="Y4" s="5" t="s">
        <v>21</v>
      </c>
      <c r="Z4" s="6" t="s">
        <v>19</v>
      </c>
      <c r="AA4" s="6" t="s">
        <v>20</v>
      </c>
      <c r="AB4" s="6" t="s">
        <v>21</v>
      </c>
      <c r="AC4" s="618"/>
    </row>
    <row r="5" spans="1:29" s="2" customFormat="1" ht="40.4" customHeight="1">
      <c r="A5" s="165"/>
      <c r="B5" s="165"/>
      <c r="C5" s="784">
        <v>1</v>
      </c>
      <c r="D5" s="781" t="s">
        <v>1582</v>
      </c>
      <c r="E5" s="788"/>
      <c r="F5" s="787" t="s">
        <v>567</v>
      </c>
      <c r="G5" s="801" t="s">
        <v>563</v>
      </c>
      <c r="H5" s="778" t="s">
        <v>438</v>
      </c>
      <c r="I5" s="606" t="s">
        <v>564</v>
      </c>
      <c r="J5" s="792" t="s">
        <v>566</v>
      </c>
      <c r="K5" s="391">
        <f>IF(M5="","",M5-60)</f>
        <v>46234</v>
      </c>
      <c r="L5" s="392">
        <f>IF(M5="","",M5-30)</f>
        <v>46264</v>
      </c>
      <c r="M5" s="391">
        <v>46294</v>
      </c>
      <c r="N5" s="18" t="str">
        <f t="shared" ref="N5:N7" ca="1" si="0">IF(K5="","",IF(R5&lt;&gt;"","",IF(AND(R5="",K5-TODAY()&lt;=60),K5-TODAY(),"")))</f>
        <v/>
      </c>
      <c r="O5" s="18">
        <f t="shared" ref="O5:O7" si="1">IF(AND(ISNUMBER(K5),ISNUMBER(R5)),K5-R5,"")</f>
        <v>171</v>
      </c>
      <c r="P5" s="22" t="s">
        <v>925</v>
      </c>
      <c r="Q5" s="15" t="s">
        <v>50</v>
      </c>
      <c r="R5" s="23">
        <v>46063</v>
      </c>
      <c r="S5" s="23" t="s">
        <v>1107</v>
      </c>
      <c r="T5" s="23">
        <v>46097</v>
      </c>
      <c r="U5" s="24" t="s">
        <v>1108</v>
      </c>
      <c r="V5" s="15" t="s">
        <v>208</v>
      </c>
      <c r="W5" s="23">
        <v>46097</v>
      </c>
      <c r="X5" s="24" t="s">
        <v>1108</v>
      </c>
      <c r="Y5" s="15" t="s">
        <v>200</v>
      </c>
      <c r="Z5" s="23" t="s">
        <v>1109</v>
      </c>
      <c r="AA5" s="15" t="s">
        <v>1110</v>
      </c>
      <c r="AB5" s="22" t="s">
        <v>925</v>
      </c>
      <c r="AC5" s="16"/>
    </row>
    <row r="6" spans="1:29" s="2" customFormat="1" ht="40.4" customHeight="1">
      <c r="A6" s="165"/>
      <c r="B6" s="165"/>
      <c r="C6" s="785"/>
      <c r="D6" s="782"/>
      <c r="E6" s="789"/>
      <c r="F6" s="606"/>
      <c r="G6" s="793"/>
      <c r="H6" s="779"/>
      <c r="I6" s="606"/>
      <c r="J6" s="793"/>
      <c r="K6" s="17"/>
      <c r="L6" s="31"/>
      <c r="M6" s="17"/>
      <c r="N6" s="18" t="str">
        <f t="shared" ca="1" si="0"/>
        <v/>
      </c>
      <c r="O6" s="18" t="str">
        <f t="shared" si="1"/>
        <v/>
      </c>
      <c r="P6" s="19"/>
      <c r="Q6" s="26"/>
      <c r="R6" s="27"/>
      <c r="S6" s="27"/>
      <c r="T6" s="27"/>
      <c r="U6" s="26"/>
      <c r="V6" s="26"/>
      <c r="W6" s="27"/>
      <c r="X6" s="28"/>
      <c r="Y6" s="26"/>
      <c r="Z6" s="23"/>
      <c r="AA6" s="26"/>
      <c r="AB6" s="22"/>
      <c r="AC6" s="16"/>
    </row>
    <row r="7" spans="1:29" s="2" customFormat="1" ht="40.4" customHeight="1">
      <c r="A7" s="165"/>
      <c r="B7" s="165"/>
      <c r="C7" s="786"/>
      <c r="D7" s="783"/>
      <c r="E7" s="790"/>
      <c r="F7" s="607"/>
      <c r="G7" s="794"/>
      <c r="H7" s="780"/>
      <c r="I7" s="607"/>
      <c r="J7" s="794"/>
      <c r="K7" s="17"/>
      <c r="L7" s="31"/>
      <c r="M7" s="17"/>
      <c r="N7" s="18" t="str">
        <f t="shared" ca="1" si="0"/>
        <v/>
      </c>
      <c r="O7" s="18" t="str">
        <f t="shared" si="1"/>
        <v/>
      </c>
      <c r="P7" s="19"/>
      <c r="Q7" s="22"/>
      <c r="R7" s="23"/>
      <c r="S7" s="24"/>
      <c r="T7" s="23"/>
      <c r="U7" s="24"/>
      <c r="V7" s="22"/>
      <c r="W7" s="23"/>
      <c r="X7" s="24"/>
      <c r="Y7" s="22"/>
      <c r="Z7" s="23"/>
      <c r="AA7" s="22"/>
      <c r="AB7" s="22"/>
      <c r="AC7" s="16"/>
    </row>
    <row r="8" spans="1:29" s="2" customFormat="1" ht="40.4" customHeight="1">
      <c r="A8" s="165"/>
      <c r="B8" s="165"/>
      <c r="C8" s="802">
        <v>2</v>
      </c>
      <c r="D8" s="788"/>
      <c r="E8" s="788"/>
      <c r="F8" s="605" t="s">
        <v>635</v>
      </c>
      <c r="G8" s="792" t="s">
        <v>636</v>
      </c>
      <c r="H8" s="828" t="s">
        <v>878</v>
      </c>
      <c r="I8" s="828"/>
      <c r="J8" s="792"/>
      <c r="K8" s="391">
        <f>IF(M8="","",M8-60)</f>
        <v>46265</v>
      </c>
      <c r="L8" s="392">
        <f>IF(M8="","",M8-30)</f>
        <v>46295</v>
      </c>
      <c r="M8" s="391">
        <v>46325</v>
      </c>
      <c r="N8" s="18"/>
      <c r="O8" s="18"/>
      <c r="P8" s="19"/>
      <c r="Q8" s="22"/>
      <c r="R8" s="20"/>
      <c r="S8" s="21"/>
      <c r="T8" s="20"/>
      <c r="U8" s="21"/>
      <c r="V8" s="22"/>
      <c r="W8" s="20"/>
      <c r="X8" s="21"/>
      <c r="Y8" s="22"/>
      <c r="Z8" s="20"/>
      <c r="AA8" s="22"/>
      <c r="AB8" s="22"/>
      <c r="AC8" s="34"/>
    </row>
    <row r="9" spans="1:29" s="2" customFormat="1" ht="40.4" customHeight="1">
      <c r="A9" s="165"/>
      <c r="B9" s="165"/>
      <c r="C9" s="782"/>
      <c r="D9" s="789"/>
      <c r="E9" s="789"/>
      <c r="F9" s="606"/>
      <c r="G9" s="793"/>
      <c r="H9" s="829"/>
      <c r="I9" s="829"/>
      <c r="J9" s="793"/>
      <c r="K9" s="17"/>
      <c r="L9" s="31"/>
      <c r="M9" s="17"/>
      <c r="N9" s="18"/>
      <c r="O9" s="18"/>
      <c r="P9" s="19"/>
      <c r="Q9" s="22"/>
      <c r="R9" s="20"/>
      <c r="S9" s="21"/>
      <c r="T9" s="20"/>
      <c r="U9" s="21"/>
      <c r="V9" s="22"/>
      <c r="W9" s="20"/>
      <c r="X9" s="21"/>
      <c r="Y9" s="22"/>
      <c r="Z9" s="20"/>
      <c r="AA9" s="22"/>
      <c r="AB9" s="22"/>
      <c r="AC9" s="34"/>
    </row>
    <row r="10" spans="1:29" s="2" customFormat="1" ht="40.4" customHeight="1">
      <c r="A10" s="165"/>
      <c r="B10" s="165"/>
      <c r="C10" s="783"/>
      <c r="D10" s="790"/>
      <c r="E10" s="790"/>
      <c r="F10" s="606"/>
      <c r="G10" s="794"/>
      <c r="H10" s="830"/>
      <c r="I10" s="830"/>
      <c r="J10" s="794"/>
      <c r="K10" s="17"/>
      <c r="L10" s="31"/>
      <c r="M10" s="17"/>
      <c r="N10" s="18"/>
      <c r="O10" s="18"/>
      <c r="P10" s="19"/>
      <c r="Q10" s="22"/>
      <c r="R10" s="20"/>
      <c r="S10" s="21"/>
      <c r="T10" s="20"/>
      <c r="U10" s="21"/>
      <c r="V10" s="22"/>
      <c r="W10" s="20"/>
      <c r="X10" s="21"/>
      <c r="Y10" s="22"/>
      <c r="Z10" s="20"/>
      <c r="AA10" s="22"/>
      <c r="AB10" s="22"/>
      <c r="AC10" s="34"/>
    </row>
    <row r="11" spans="1:29" s="2" customFormat="1" ht="40.4" customHeight="1">
      <c r="A11" s="165"/>
      <c r="B11" s="165"/>
      <c r="C11" s="802">
        <v>3</v>
      </c>
      <c r="D11" s="788"/>
      <c r="E11" s="788"/>
      <c r="F11" s="820" t="s">
        <v>629</v>
      </c>
      <c r="G11" s="821" t="s">
        <v>1583</v>
      </c>
      <c r="H11" s="605" t="s">
        <v>653</v>
      </c>
      <c r="I11" s="605" t="s">
        <v>654</v>
      </c>
      <c r="J11" s="792"/>
      <c r="K11" s="391">
        <f>IF(M11="","",M11-60)</f>
        <v>46173</v>
      </c>
      <c r="L11" s="392">
        <f>IF(M11="","",M11-30)</f>
        <v>46203</v>
      </c>
      <c r="M11" s="391">
        <v>46233</v>
      </c>
      <c r="N11" s="18"/>
      <c r="O11" s="18"/>
      <c r="P11" s="19"/>
      <c r="Q11" s="22"/>
      <c r="R11" s="20"/>
      <c r="S11" s="21"/>
      <c r="T11" s="20"/>
      <c r="U11" s="21"/>
      <c r="V11" s="22"/>
      <c r="W11" s="20"/>
      <c r="X11" s="21"/>
      <c r="Y11" s="22"/>
      <c r="Z11" s="20"/>
      <c r="AA11" s="22"/>
      <c r="AB11" s="22"/>
      <c r="AC11" s="34"/>
    </row>
    <row r="12" spans="1:29" s="2" customFormat="1" ht="40.4" customHeight="1">
      <c r="A12" s="165"/>
      <c r="B12" s="165"/>
      <c r="C12" s="782"/>
      <c r="D12" s="789"/>
      <c r="E12" s="789"/>
      <c r="F12" s="606"/>
      <c r="G12" s="793"/>
      <c r="H12" s="606"/>
      <c r="I12" s="606"/>
      <c r="J12" s="793"/>
      <c r="K12" s="17"/>
      <c r="L12" s="31"/>
      <c r="M12" s="17"/>
      <c r="N12" s="18"/>
      <c r="O12" s="18"/>
      <c r="P12" s="19"/>
      <c r="Q12" s="22"/>
      <c r="R12" s="20"/>
      <c r="S12" s="21"/>
      <c r="T12" s="20"/>
      <c r="U12" s="21"/>
      <c r="V12" s="22"/>
      <c r="W12" s="20"/>
      <c r="X12" s="21"/>
      <c r="Y12" s="22"/>
      <c r="Z12" s="20"/>
      <c r="AA12" s="22"/>
      <c r="AB12" s="22"/>
      <c r="AC12" s="34"/>
    </row>
    <row r="13" spans="1:29" s="2" customFormat="1" ht="40.4" customHeight="1">
      <c r="A13" s="165"/>
      <c r="B13" s="165"/>
      <c r="C13" s="783"/>
      <c r="D13" s="790"/>
      <c r="E13" s="790"/>
      <c r="F13" s="607"/>
      <c r="G13" s="794"/>
      <c r="H13" s="607"/>
      <c r="I13" s="607"/>
      <c r="J13" s="794"/>
      <c r="K13" s="17"/>
      <c r="L13" s="31"/>
      <c r="M13" s="17"/>
      <c r="N13" s="18"/>
      <c r="O13" s="18"/>
      <c r="P13" s="19"/>
      <c r="Q13" s="22"/>
      <c r="R13" s="20"/>
      <c r="S13" s="21"/>
      <c r="T13" s="20"/>
      <c r="U13" s="21"/>
      <c r="V13" s="22"/>
      <c r="W13" s="20"/>
      <c r="X13" s="21"/>
      <c r="Y13" s="22"/>
      <c r="Z13" s="20"/>
      <c r="AA13" s="22"/>
      <c r="AB13" s="22"/>
      <c r="AC13" s="34"/>
    </row>
    <row r="14" spans="1:29" s="2" customFormat="1" ht="40.4" customHeight="1">
      <c r="A14" s="165"/>
      <c r="B14" s="165"/>
      <c r="C14" s="802">
        <f t="shared" ref="C14" si="2">C11+1</f>
        <v>4</v>
      </c>
      <c r="D14" s="788" t="s">
        <v>1179</v>
      </c>
      <c r="E14" s="788"/>
      <c r="F14" s="820" t="s">
        <v>1177</v>
      </c>
      <c r="G14" s="821" t="s">
        <v>630</v>
      </c>
      <c r="H14" s="605" t="s">
        <v>655</v>
      </c>
      <c r="I14" s="605" t="s">
        <v>656</v>
      </c>
      <c r="J14" s="792" t="s">
        <v>1178</v>
      </c>
      <c r="K14" s="391">
        <f>IF(M14="","",M14-60)</f>
        <v>46204</v>
      </c>
      <c r="L14" s="392">
        <f>IF(M14="","",M14-30)</f>
        <v>46234</v>
      </c>
      <c r="M14" s="391">
        <v>46264</v>
      </c>
      <c r="N14" s="18"/>
      <c r="O14" s="18"/>
      <c r="P14" s="22" t="s">
        <v>925</v>
      </c>
      <c r="Q14" s="22" t="s">
        <v>50</v>
      </c>
      <c r="R14" s="20">
        <v>46021</v>
      </c>
      <c r="S14" s="21" t="s">
        <v>1104</v>
      </c>
      <c r="T14" s="20">
        <v>46041</v>
      </c>
      <c r="U14" s="21" t="s">
        <v>1105</v>
      </c>
      <c r="V14" s="22" t="s">
        <v>208</v>
      </c>
      <c r="W14" s="20">
        <v>46041</v>
      </c>
      <c r="X14" s="21" t="s">
        <v>1105</v>
      </c>
      <c r="Y14" s="22" t="s">
        <v>208</v>
      </c>
      <c r="Z14" s="20">
        <v>46051</v>
      </c>
      <c r="AA14" s="22" t="s">
        <v>1106</v>
      </c>
      <c r="AB14" s="22" t="s">
        <v>925</v>
      </c>
      <c r="AC14" s="34"/>
    </row>
    <row r="15" spans="1:29" s="2" customFormat="1" ht="40.4" customHeight="1">
      <c r="A15" s="165"/>
      <c r="B15" s="165"/>
      <c r="C15" s="782"/>
      <c r="D15" s="789"/>
      <c r="E15" s="789"/>
      <c r="F15" s="606"/>
      <c r="G15" s="793"/>
      <c r="H15" s="606"/>
      <c r="I15" s="606"/>
      <c r="J15" s="793"/>
      <c r="K15" s="17"/>
      <c r="L15" s="31"/>
      <c r="M15" s="17"/>
      <c r="N15" s="18"/>
      <c r="O15" s="18"/>
      <c r="P15" s="19"/>
      <c r="Q15" s="22"/>
      <c r="R15" s="20"/>
      <c r="S15" s="21"/>
      <c r="T15" s="20"/>
      <c r="U15" s="21"/>
      <c r="V15" s="22"/>
      <c r="W15" s="20"/>
      <c r="X15" s="21"/>
      <c r="Y15" s="22"/>
      <c r="Z15" s="20"/>
      <c r="AA15" s="22"/>
      <c r="AB15" s="22"/>
      <c r="AC15" s="34"/>
    </row>
    <row r="16" spans="1:29" s="2" customFormat="1" ht="40.4" customHeight="1">
      <c r="A16" s="165"/>
      <c r="B16" s="165"/>
      <c r="C16" s="783"/>
      <c r="D16" s="790"/>
      <c r="E16" s="790"/>
      <c r="F16" s="607"/>
      <c r="G16" s="794"/>
      <c r="H16" s="607"/>
      <c r="I16" s="607"/>
      <c r="J16" s="794"/>
      <c r="K16" s="17"/>
      <c r="L16" s="31"/>
      <c r="M16" s="17"/>
      <c r="N16" s="18"/>
      <c r="O16" s="18"/>
      <c r="P16" s="19"/>
      <c r="Q16" s="22"/>
      <c r="R16" s="20"/>
      <c r="S16" s="21"/>
      <c r="T16" s="20"/>
      <c r="U16" s="21"/>
      <c r="V16" s="22"/>
      <c r="W16" s="20"/>
      <c r="X16" s="21"/>
      <c r="Y16" s="22"/>
      <c r="Z16" s="20"/>
      <c r="AA16" s="22"/>
      <c r="AB16" s="22"/>
      <c r="AC16" s="34"/>
    </row>
    <row r="17" spans="1:29" s="2" customFormat="1" ht="40.4" customHeight="1">
      <c r="A17" s="165"/>
      <c r="B17" s="165"/>
      <c r="C17" s="802">
        <v>5</v>
      </c>
      <c r="D17" s="788"/>
      <c r="E17" s="788"/>
      <c r="F17" s="791" t="s">
        <v>618</v>
      </c>
      <c r="G17" s="798" t="s">
        <v>613</v>
      </c>
      <c r="H17" s="605" t="s">
        <v>644</v>
      </c>
      <c r="I17" s="605" t="s">
        <v>643</v>
      </c>
      <c r="J17" s="792"/>
      <c r="K17" s="391" t="s">
        <v>1502</v>
      </c>
      <c r="L17" s="31"/>
      <c r="M17" s="391" t="s">
        <v>1502</v>
      </c>
      <c r="N17" s="18"/>
      <c r="O17" s="18"/>
      <c r="P17" s="19"/>
      <c r="Q17" s="22"/>
      <c r="R17" s="20"/>
      <c r="S17" s="21"/>
      <c r="T17" s="20"/>
      <c r="U17" s="21"/>
      <c r="V17" s="22"/>
      <c r="W17" s="20"/>
      <c r="X17" s="21"/>
      <c r="Y17" s="22"/>
      <c r="Z17" s="20"/>
      <c r="AA17" s="22"/>
      <c r="AB17" s="22"/>
      <c r="AC17" s="34"/>
    </row>
    <row r="18" spans="1:29" s="2" customFormat="1" ht="40.4" customHeight="1">
      <c r="A18" s="165"/>
      <c r="B18" s="165"/>
      <c r="C18" s="782"/>
      <c r="D18" s="789"/>
      <c r="E18" s="789"/>
      <c r="F18" s="791"/>
      <c r="G18" s="799"/>
      <c r="H18" s="606"/>
      <c r="I18" s="606"/>
      <c r="J18" s="793"/>
      <c r="K18" s="17"/>
      <c r="L18" s="31"/>
      <c r="M18" s="17"/>
      <c r="N18" s="18"/>
      <c r="O18" s="18"/>
      <c r="P18" s="19"/>
      <c r="Q18" s="22"/>
      <c r="R18" s="20"/>
      <c r="S18" s="21"/>
      <c r="T18" s="20"/>
      <c r="U18" s="21"/>
      <c r="V18" s="22"/>
      <c r="W18" s="20"/>
      <c r="X18" s="21"/>
      <c r="Y18" s="22"/>
      <c r="Z18" s="20"/>
      <c r="AA18" s="22"/>
      <c r="AB18" s="22"/>
      <c r="AC18" s="34"/>
    </row>
    <row r="19" spans="1:29" s="2" customFormat="1" ht="40.4" customHeight="1">
      <c r="A19" s="165"/>
      <c r="B19" s="165"/>
      <c r="C19" s="783"/>
      <c r="D19" s="790"/>
      <c r="E19" s="790"/>
      <c r="F19" s="791"/>
      <c r="G19" s="800"/>
      <c r="H19" s="607"/>
      <c r="I19" s="607"/>
      <c r="J19" s="794"/>
      <c r="K19" s="17"/>
      <c r="L19" s="31"/>
      <c r="M19" s="17"/>
      <c r="N19" s="18"/>
      <c r="O19" s="18"/>
      <c r="P19" s="19"/>
      <c r="Q19" s="22"/>
      <c r="R19" s="20"/>
      <c r="S19" s="21"/>
      <c r="T19" s="20"/>
      <c r="U19" s="21"/>
      <c r="V19" s="22"/>
      <c r="W19" s="20"/>
      <c r="X19" s="21"/>
      <c r="Y19" s="22"/>
      <c r="Z19" s="20"/>
      <c r="AA19" s="22"/>
      <c r="AB19" s="22"/>
      <c r="AC19" s="34"/>
    </row>
    <row r="20" spans="1:29" s="2" customFormat="1" ht="40.4" customHeight="1">
      <c r="A20" s="165"/>
      <c r="B20" s="165"/>
      <c r="C20" s="802">
        <v>6</v>
      </c>
      <c r="D20" s="788"/>
      <c r="E20" s="788"/>
      <c r="F20" s="795" t="s">
        <v>612</v>
      </c>
      <c r="G20" s="798" t="s">
        <v>613</v>
      </c>
      <c r="H20" s="605" t="s">
        <v>637</v>
      </c>
      <c r="I20" s="605" t="s">
        <v>638</v>
      </c>
      <c r="J20" s="792"/>
      <c r="K20" s="391" t="s">
        <v>1502</v>
      </c>
      <c r="L20" s="31"/>
      <c r="M20" s="391" t="s">
        <v>1502</v>
      </c>
      <c r="N20" s="18"/>
      <c r="O20" s="18"/>
      <c r="P20" s="19"/>
      <c r="Q20" s="22"/>
      <c r="R20" s="20"/>
      <c r="S20" s="21"/>
      <c r="T20" s="20"/>
      <c r="U20" s="21"/>
      <c r="V20" s="22"/>
      <c r="W20" s="20"/>
      <c r="X20" s="21"/>
      <c r="Y20" s="22"/>
      <c r="Z20" s="20"/>
      <c r="AA20" s="22"/>
      <c r="AB20" s="22"/>
      <c r="AC20" s="34"/>
    </row>
    <row r="21" spans="1:29" s="2" customFormat="1" ht="40.4" customHeight="1">
      <c r="A21" s="165"/>
      <c r="B21" s="165"/>
      <c r="C21" s="782"/>
      <c r="D21" s="789"/>
      <c r="E21" s="789"/>
      <c r="F21" s="796"/>
      <c r="G21" s="799"/>
      <c r="H21" s="606"/>
      <c r="I21" s="606"/>
      <c r="J21" s="793"/>
      <c r="K21" s="17"/>
      <c r="L21" s="31"/>
      <c r="M21" s="17"/>
      <c r="N21" s="18"/>
      <c r="O21" s="18"/>
      <c r="P21" s="19"/>
      <c r="Q21" s="22"/>
      <c r="R21" s="20"/>
      <c r="S21" s="21"/>
      <c r="T21" s="20"/>
      <c r="U21" s="21"/>
      <c r="V21" s="22"/>
      <c r="W21" s="20"/>
      <c r="X21" s="21"/>
      <c r="Y21" s="22"/>
      <c r="Z21" s="20"/>
      <c r="AA21" s="22"/>
      <c r="AB21" s="22"/>
      <c r="AC21" s="34"/>
    </row>
    <row r="22" spans="1:29" s="2" customFormat="1" ht="40.4" customHeight="1">
      <c r="A22" s="165"/>
      <c r="B22" s="165"/>
      <c r="C22" s="783"/>
      <c r="D22" s="790"/>
      <c r="E22" s="790"/>
      <c r="F22" s="797"/>
      <c r="G22" s="800"/>
      <c r="H22" s="607"/>
      <c r="I22" s="607"/>
      <c r="J22" s="794"/>
      <c r="K22" s="17"/>
      <c r="L22" s="31"/>
      <c r="M22" s="17"/>
      <c r="N22" s="18"/>
      <c r="O22" s="18"/>
      <c r="P22" s="19"/>
      <c r="Q22" s="22"/>
      <c r="R22" s="20"/>
      <c r="S22" s="21"/>
      <c r="T22" s="20"/>
      <c r="U22" s="21"/>
      <c r="V22" s="22"/>
      <c r="W22" s="20"/>
      <c r="X22" s="21"/>
      <c r="Y22" s="22"/>
      <c r="Z22" s="20"/>
      <c r="AA22" s="22"/>
      <c r="AB22" s="22"/>
      <c r="AC22" s="34"/>
    </row>
    <row r="23" spans="1:29" s="2" customFormat="1" ht="40.4" customHeight="1">
      <c r="A23" s="165"/>
      <c r="B23" s="165"/>
      <c r="C23" s="802">
        <v>7</v>
      </c>
      <c r="D23" s="788"/>
      <c r="E23" s="788"/>
      <c r="F23" s="795" t="s">
        <v>616</v>
      </c>
      <c r="G23" s="798" t="s">
        <v>613</v>
      </c>
      <c r="H23" s="605" t="s">
        <v>641</v>
      </c>
      <c r="I23" s="605" t="s">
        <v>642</v>
      </c>
      <c r="J23" s="792"/>
      <c r="K23" s="391" t="s">
        <v>1502</v>
      </c>
      <c r="L23" s="31"/>
      <c r="M23" s="391" t="s">
        <v>1502</v>
      </c>
      <c r="N23" s="18"/>
      <c r="O23" s="18"/>
      <c r="P23" s="19"/>
      <c r="Q23" s="22"/>
      <c r="R23" s="20"/>
      <c r="S23" s="21"/>
      <c r="T23" s="20"/>
      <c r="U23" s="21"/>
      <c r="V23" s="22"/>
      <c r="W23" s="20"/>
      <c r="X23" s="21"/>
      <c r="Y23" s="22"/>
      <c r="Z23" s="20"/>
      <c r="AA23" s="22"/>
      <c r="AB23" s="22"/>
      <c r="AC23" s="34"/>
    </row>
    <row r="24" spans="1:29" s="2" customFormat="1" ht="40.4" customHeight="1">
      <c r="A24" s="165"/>
      <c r="B24" s="165"/>
      <c r="C24" s="782"/>
      <c r="D24" s="789"/>
      <c r="E24" s="789"/>
      <c r="F24" s="796"/>
      <c r="G24" s="799"/>
      <c r="H24" s="606"/>
      <c r="I24" s="606"/>
      <c r="J24" s="793"/>
      <c r="K24" s="17"/>
      <c r="L24" s="31"/>
      <c r="M24" s="17"/>
      <c r="N24" s="18"/>
      <c r="O24" s="18"/>
      <c r="P24" s="19"/>
      <c r="Q24" s="22"/>
      <c r="R24" s="20"/>
      <c r="S24" s="21"/>
      <c r="T24" s="20"/>
      <c r="U24" s="21"/>
      <c r="V24" s="22"/>
      <c r="W24" s="20"/>
      <c r="X24" s="21"/>
      <c r="Y24" s="22"/>
      <c r="Z24" s="20"/>
      <c r="AA24" s="22"/>
      <c r="AB24" s="22"/>
      <c r="AC24" s="34"/>
    </row>
    <row r="25" spans="1:29" s="2" customFormat="1" ht="40.4" customHeight="1">
      <c r="A25" s="165"/>
      <c r="B25" s="165"/>
      <c r="C25" s="783"/>
      <c r="D25" s="790"/>
      <c r="E25" s="790"/>
      <c r="F25" s="797"/>
      <c r="G25" s="800"/>
      <c r="H25" s="607"/>
      <c r="I25" s="607"/>
      <c r="J25" s="794"/>
      <c r="K25" s="17"/>
      <c r="L25" s="31"/>
      <c r="M25" s="17"/>
      <c r="N25" s="18"/>
      <c r="O25" s="18"/>
      <c r="P25" s="19"/>
      <c r="Q25" s="22"/>
      <c r="R25" s="20"/>
      <c r="S25" s="21"/>
      <c r="T25" s="20"/>
      <c r="U25" s="21"/>
      <c r="V25" s="22"/>
      <c r="W25" s="20"/>
      <c r="X25" s="21"/>
      <c r="Y25" s="22"/>
      <c r="Z25" s="20"/>
      <c r="AA25" s="22"/>
      <c r="AB25" s="22"/>
      <c r="AC25" s="34"/>
    </row>
    <row r="26" spans="1:29" s="2" customFormat="1" ht="40.4" customHeight="1">
      <c r="A26" s="165"/>
      <c r="B26" s="165"/>
      <c r="C26" s="802">
        <v>8</v>
      </c>
      <c r="D26" s="788"/>
      <c r="E26" s="788"/>
      <c r="F26" s="823" t="s">
        <v>621</v>
      </c>
      <c r="G26" s="826" t="s">
        <v>622</v>
      </c>
      <c r="H26" s="605" t="s">
        <v>646</v>
      </c>
      <c r="I26" s="605" t="s">
        <v>638</v>
      </c>
      <c r="J26" s="792"/>
      <c r="K26" s="391" t="s">
        <v>1502</v>
      </c>
      <c r="L26" s="31"/>
      <c r="M26" s="391" t="s">
        <v>1502</v>
      </c>
      <c r="N26" s="18"/>
      <c r="O26" s="18"/>
      <c r="P26" s="19"/>
      <c r="Q26" s="22"/>
      <c r="R26" s="20"/>
      <c r="S26" s="21"/>
      <c r="T26" s="20"/>
      <c r="U26" s="21"/>
      <c r="V26" s="22"/>
      <c r="W26" s="20"/>
      <c r="X26" s="21"/>
      <c r="Y26" s="22"/>
      <c r="Z26" s="20"/>
      <c r="AA26" s="22"/>
      <c r="AB26" s="22"/>
      <c r="AC26" s="34"/>
    </row>
    <row r="27" spans="1:29" s="2" customFormat="1" ht="40.4" customHeight="1">
      <c r="A27" s="165"/>
      <c r="B27" s="165"/>
      <c r="C27" s="782"/>
      <c r="D27" s="789"/>
      <c r="E27" s="789"/>
      <c r="F27" s="824"/>
      <c r="G27" s="827"/>
      <c r="H27" s="606"/>
      <c r="I27" s="606"/>
      <c r="J27" s="793"/>
      <c r="K27" s="17"/>
      <c r="L27" s="31"/>
      <c r="M27" s="17"/>
      <c r="N27" s="18"/>
      <c r="O27" s="18"/>
      <c r="P27" s="19"/>
      <c r="Q27" s="22"/>
      <c r="R27" s="20"/>
      <c r="S27" s="21"/>
      <c r="T27" s="20"/>
      <c r="U27" s="21"/>
      <c r="V27" s="22"/>
      <c r="W27" s="20"/>
      <c r="X27" s="21"/>
      <c r="Y27" s="22"/>
      <c r="Z27" s="20"/>
      <c r="AA27" s="22"/>
      <c r="AB27" s="22"/>
      <c r="AC27" s="34"/>
    </row>
    <row r="28" spans="1:29" s="2" customFormat="1" ht="40.4" customHeight="1">
      <c r="A28" s="165"/>
      <c r="B28" s="165"/>
      <c r="C28" s="783"/>
      <c r="D28" s="790"/>
      <c r="E28" s="790"/>
      <c r="F28" s="825"/>
      <c r="G28" s="827"/>
      <c r="H28" s="607"/>
      <c r="I28" s="607"/>
      <c r="J28" s="794"/>
      <c r="K28" s="17"/>
      <c r="L28" s="31"/>
      <c r="M28" s="17"/>
      <c r="N28" s="18"/>
      <c r="O28" s="18"/>
      <c r="P28" s="19"/>
      <c r="Q28" s="22"/>
      <c r="R28" s="20"/>
      <c r="S28" s="21"/>
      <c r="T28" s="20"/>
      <c r="U28" s="21"/>
      <c r="V28" s="22"/>
      <c r="W28" s="20"/>
      <c r="X28" s="21"/>
      <c r="Y28" s="22"/>
      <c r="Z28" s="20"/>
      <c r="AA28" s="22"/>
      <c r="AB28" s="22"/>
      <c r="AC28" s="34"/>
    </row>
    <row r="29" spans="1:29" s="2" customFormat="1" ht="40.4" customHeight="1">
      <c r="A29" s="165"/>
      <c r="B29" s="165"/>
      <c r="C29" s="802">
        <v>9</v>
      </c>
      <c r="D29" s="781"/>
      <c r="E29" s="781"/>
      <c r="F29" s="787" t="s">
        <v>568</v>
      </c>
      <c r="G29" s="807" t="s">
        <v>563</v>
      </c>
      <c r="H29" s="605" t="s">
        <v>569</v>
      </c>
      <c r="I29" s="605" t="s">
        <v>570</v>
      </c>
      <c r="J29" s="792"/>
      <c r="K29" s="391" t="s">
        <v>1501</v>
      </c>
      <c r="L29" s="31"/>
      <c r="M29" s="391" t="s">
        <v>1501</v>
      </c>
      <c r="N29" s="18"/>
      <c r="O29" s="18"/>
      <c r="P29" s="19"/>
      <c r="Q29" s="22"/>
      <c r="R29" s="23"/>
      <c r="S29" s="24"/>
      <c r="T29" s="23"/>
      <c r="U29" s="24"/>
      <c r="V29" s="22"/>
      <c r="W29" s="23"/>
      <c r="X29" s="24"/>
      <c r="Y29" s="22"/>
      <c r="Z29" s="23"/>
      <c r="AA29" s="22"/>
      <c r="AB29" s="22"/>
      <c r="AC29" s="16"/>
    </row>
    <row r="30" spans="1:29" s="2" customFormat="1" ht="40.4" customHeight="1">
      <c r="A30" s="165"/>
      <c r="B30" s="165"/>
      <c r="C30" s="782"/>
      <c r="D30" s="782"/>
      <c r="E30" s="782"/>
      <c r="F30" s="606"/>
      <c r="G30" s="793"/>
      <c r="H30" s="606"/>
      <c r="I30" s="606"/>
      <c r="J30" s="793"/>
      <c r="K30" s="17"/>
      <c r="L30" s="31"/>
      <c r="M30" s="17"/>
      <c r="N30" s="18"/>
      <c r="O30" s="18"/>
      <c r="P30" s="19"/>
      <c r="Q30" s="22"/>
      <c r="R30" s="23"/>
      <c r="S30" s="24"/>
      <c r="T30" s="23"/>
      <c r="U30" s="24"/>
      <c r="V30" s="22"/>
      <c r="W30" s="23"/>
      <c r="X30" s="24"/>
      <c r="Y30" s="22"/>
      <c r="Z30" s="23"/>
      <c r="AA30" s="22"/>
      <c r="AB30" s="22"/>
      <c r="AC30" s="16"/>
    </row>
    <row r="31" spans="1:29" s="2" customFormat="1" ht="40.4" customHeight="1">
      <c r="A31" s="165"/>
      <c r="B31" s="165"/>
      <c r="C31" s="783"/>
      <c r="D31" s="783"/>
      <c r="E31" s="783"/>
      <c r="F31" s="607"/>
      <c r="G31" s="794"/>
      <c r="H31" s="607"/>
      <c r="I31" s="607"/>
      <c r="J31" s="794"/>
      <c r="K31" s="17"/>
      <c r="L31" s="31"/>
      <c r="M31" s="17"/>
      <c r="N31" s="18"/>
      <c r="O31" s="18"/>
      <c r="P31" s="19"/>
      <c r="Q31" s="22"/>
      <c r="R31" s="23"/>
      <c r="S31" s="24"/>
      <c r="T31" s="23"/>
      <c r="U31" s="24"/>
      <c r="V31" s="22"/>
      <c r="W31" s="23"/>
      <c r="X31" s="24"/>
      <c r="Y31" s="22"/>
      <c r="Z31" s="23"/>
      <c r="AA31" s="22"/>
      <c r="AB31" s="22"/>
      <c r="AC31" s="16"/>
    </row>
    <row r="32" spans="1:29" s="2" customFormat="1" ht="40.4" customHeight="1">
      <c r="A32" s="165"/>
      <c r="B32" s="165"/>
      <c r="C32" s="802">
        <v>10</v>
      </c>
      <c r="D32" s="788"/>
      <c r="E32" s="788"/>
      <c r="F32" s="795" t="s">
        <v>615</v>
      </c>
      <c r="G32" s="798" t="s">
        <v>613</v>
      </c>
      <c r="H32" s="605" t="s">
        <v>640</v>
      </c>
      <c r="I32" s="605" t="s">
        <v>639</v>
      </c>
      <c r="J32" s="792"/>
      <c r="K32" s="391" t="s">
        <v>1502</v>
      </c>
      <c r="L32" s="31"/>
      <c r="M32" s="391" t="s">
        <v>1502</v>
      </c>
      <c r="N32" s="18"/>
      <c r="O32" s="18"/>
      <c r="P32" s="19"/>
      <c r="Q32" s="22"/>
      <c r="R32" s="20"/>
      <c r="S32" s="21"/>
      <c r="T32" s="20"/>
      <c r="U32" s="21"/>
      <c r="V32" s="22"/>
      <c r="W32" s="20"/>
      <c r="X32" s="21"/>
      <c r="Y32" s="22"/>
      <c r="Z32" s="20"/>
      <c r="AA32" s="22"/>
      <c r="AB32" s="22"/>
      <c r="AC32" s="34"/>
    </row>
    <row r="33" spans="1:29" s="2" customFormat="1" ht="40.4" customHeight="1">
      <c r="A33" s="165"/>
      <c r="B33" s="165"/>
      <c r="C33" s="782"/>
      <c r="D33" s="789"/>
      <c r="E33" s="789"/>
      <c r="F33" s="606"/>
      <c r="G33" s="808"/>
      <c r="H33" s="606"/>
      <c r="I33" s="606"/>
      <c r="J33" s="793"/>
      <c r="K33" s="17"/>
      <c r="L33" s="31"/>
      <c r="M33" s="17"/>
      <c r="N33" s="18"/>
      <c r="O33" s="18"/>
      <c r="P33" s="19"/>
      <c r="Q33" s="22"/>
      <c r="R33" s="20"/>
      <c r="S33" s="21"/>
      <c r="T33" s="20"/>
      <c r="U33" s="21"/>
      <c r="V33" s="22"/>
      <c r="W33" s="20"/>
      <c r="X33" s="21"/>
      <c r="Y33" s="22"/>
      <c r="Z33" s="20"/>
      <c r="AA33" s="22"/>
      <c r="AB33" s="22"/>
      <c r="AC33" s="34"/>
    </row>
    <row r="34" spans="1:29" s="2" customFormat="1" ht="40.4" customHeight="1">
      <c r="A34" s="165"/>
      <c r="B34" s="165"/>
      <c r="C34" s="783"/>
      <c r="D34" s="790"/>
      <c r="E34" s="790"/>
      <c r="F34" s="607"/>
      <c r="G34" s="809"/>
      <c r="H34" s="607"/>
      <c r="I34" s="607"/>
      <c r="J34" s="794"/>
      <c r="K34" s="17"/>
      <c r="L34" s="31"/>
      <c r="M34" s="17"/>
      <c r="N34" s="18"/>
      <c r="O34" s="18"/>
      <c r="P34" s="19"/>
      <c r="Q34" s="22"/>
      <c r="R34" s="20"/>
      <c r="S34" s="21"/>
      <c r="T34" s="20"/>
      <c r="U34" s="21"/>
      <c r="V34" s="22"/>
      <c r="W34" s="20"/>
      <c r="X34" s="21"/>
      <c r="Y34" s="22"/>
      <c r="Z34" s="20"/>
      <c r="AA34" s="22"/>
      <c r="AB34" s="22"/>
      <c r="AC34" s="34"/>
    </row>
    <row r="35" spans="1:29" s="2" customFormat="1" ht="40.4" customHeight="1">
      <c r="A35" s="165"/>
      <c r="B35" s="165"/>
      <c r="C35" s="802">
        <v>11</v>
      </c>
      <c r="D35" s="788"/>
      <c r="E35" s="788"/>
      <c r="F35" s="791" t="s">
        <v>620</v>
      </c>
      <c r="G35" s="798" t="s">
        <v>613</v>
      </c>
      <c r="H35" s="605" t="s">
        <v>640</v>
      </c>
      <c r="I35" s="605" t="s">
        <v>645</v>
      </c>
      <c r="J35" s="792"/>
      <c r="K35" s="391" t="s">
        <v>1502</v>
      </c>
      <c r="L35" s="31"/>
      <c r="M35" s="391" t="s">
        <v>1502</v>
      </c>
      <c r="N35" s="18"/>
      <c r="O35" s="18"/>
      <c r="P35" s="19"/>
      <c r="Q35" s="22"/>
      <c r="R35" s="20"/>
      <c r="S35" s="21"/>
      <c r="T35" s="20"/>
      <c r="U35" s="21"/>
      <c r="V35" s="22"/>
      <c r="W35" s="20"/>
      <c r="X35" s="21"/>
      <c r="Y35" s="22"/>
      <c r="Z35" s="20"/>
      <c r="AA35" s="22"/>
      <c r="AB35" s="22"/>
      <c r="AC35" s="34"/>
    </row>
    <row r="36" spans="1:29" s="2" customFormat="1" ht="40.4" customHeight="1">
      <c r="A36" s="165"/>
      <c r="B36" s="165"/>
      <c r="C36" s="782"/>
      <c r="D36" s="789"/>
      <c r="E36" s="789"/>
      <c r="F36" s="759"/>
      <c r="G36" s="808"/>
      <c r="H36" s="606"/>
      <c r="I36" s="606"/>
      <c r="J36" s="793"/>
      <c r="K36" s="17"/>
      <c r="L36" s="31"/>
      <c r="M36" s="17"/>
      <c r="N36" s="18"/>
      <c r="O36" s="18"/>
      <c r="P36" s="19"/>
      <c r="Q36" s="22"/>
      <c r="R36" s="20"/>
      <c r="S36" s="21"/>
      <c r="T36" s="20"/>
      <c r="U36" s="21"/>
      <c r="V36" s="22"/>
      <c r="W36" s="20"/>
      <c r="X36" s="21"/>
      <c r="Y36" s="22"/>
      <c r="Z36" s="20"/>
      <c r="AA36" s="22"/>
      <c r="AB36" s="22"/>
      <c r="AC36" s="34"/>
    </row>
    <row r="37" spans="1:29" s="2" customFormat="1" ht="40.4" customHeight="1">
      <c r="A37" s="165"/>
      <c r="B37" s="165"/>
      <c r="C37" s="783"/>
      <c r="D37" s="790"/>
      <c r="E37" s="790"/>
      <c r="F37" s="759"/>
      <c r="G37" s="809"/>
      <c r="H37" s="607"/>
      <c r="I37" s="607"/>
      <c r="J37" s="794"/>
      <c r="K37" s="17"/>
      <c r="L37" s="31"/>
      <c r="M37" s="17"/>
      <c r="N37" s="18"/>
      <c r="O37" s="18"/>
      <c r="P37" s="19"/>
      <c r="Q37" s="22"/>
      <c r="R37" s="20"/>
      <c r="S37" s="21"/>
      <c r="T37" s="20"/>
      <c r="U37" s="21"/>
      <c r="V37" s="22"/>
      <c r="W37" s="20"/>
      <c r="X37" s="21"/>
      <c r="Y37" s="22"/>
      <c r="Z37" s="20"/>
      <c r="AA37" s="22"/>
      <c r="AB37" s="22"/>
      <c r="AC37" s="34"/>
    </row>
    <row r="38" spans="1:29" s="2" customFormat="1" ht="40.4" customHeight="1">
      <c r="A38" s="165"/>
      <c r="B38" s="165"/>
      <c r="C38" s="802">
        <v>12</v>
      </c>
      <c r="D38" s="788"/>
      <c r="E38" s="788"/>
      <c r="F38" s="816" t="s">
        <v>593</v>
      </c>
      <c r="G38" s="806" t="s">
        <v>559</v>
      </c>
      <c r="H38" s="605" t="s">
        <v>604</v>
      </c>
      <c r="I38" s="605" t="s">
        <v>605</v>
      </c>
      <c r="J38" s="792"/>
      <c r="K38" s="391" t="s">
        <v>1502</v>
      </c>
      <c r="L38" s="31"/>
      <c r="M38" s="391" t="s">
        <v>1502</v>
      </c>
      <c r="N38" s="18"/>
      <c r="O38" s="18"/>
      <c r="P38" s="19"/>
      <c r="Q38" s="22"/>
      <c r="R38" s="20"/>
      <c r="S38" s="21"/>
      <c r="T38" s="20"/>
      <c r="U38" s="21"/>
      <c r="V38" s="22"/>
      <c r="W38" s="20"/>
      <c r="X38" s="21"/>
      <c r="Y38" s="22"/>
      <c r="Z38" s="20"/>
      <c r="AA38" s="22"/>
      <c r="AB38" s="22"/>
      <c r="AC38" s="34"/>
    </row>
    <row r="39" spans="1:29" s="2" customFormat="1" ht="40.4" customHeight="1">
      <c r="A39" s="165"/>
      <c r="B39" s="165"/>
      <c r="C39" s="782"/>
      <c r="D39" s="789"/>
      <c r="E39" s="789"/>
      <c r="F39" s="606"/>
      <c r="G39" s="793"/>
      <c r="H39" s="606"/>
      <c r="I39" s="606"/>
      <c r="J39" s="793"/>
      <c r="K39" s="17"/>
      <c r="L39" s="31"/>
      <c r="M39" s="17"/>
      <c r="N39" s="18"/>
      <c r="O39" s="18"/>
      <c r="P39" s="19"/>
      <c r="Q39" s="22"/>
      <c r="R39" s="20"/>
      <c r="S39" s="21"/>
      <c r="T39" s="20"/>
      <c r="U39" s="21"/>
      <c r="V39" s="22"/>
      <c r="W39" s="20"/>
      <c r="X39" s="21"/>
      <c r="Y39" s="22"/>
      <c r="Z39" s="20"/>
      <c r="AA39" s="22"/>
      <c r="AB39" s="22"/>
      <c r="AC39" s="34"/>
    </row>
    <row r="40" spans="1:29" s="2" customFormat="1" ht="40.4" customHeight="1">
      <c r="A40" s="165"/>
      <c r="B40" s="165"/>
      <c r="C40" s="783"/>
      <c r="D40" s="790"/>
      <c r="E40" s="790"/>
      <c r="F40" s="607"/>
      <c r="G40" s="794"/>
      <c r="H40" s="607"/>
      <c r="I40" s="607"/>
      <c r="J40" s="794"/>
      <c r="K40" s="17"/>
      <c r="L40" s="31"/>
      <c r="M40" s="17"/>
      <c r="N40" s="18"/>
      <c r="O40" s="18"/>
      <c r="P40" s="19"/>
      <c r="Q40" s="22"/>
      <c r="R40" s="20"/>
      <c r="S40" s="21"/>
      <c r="T40" s="20"/>
      <c r="U40" s="21"/>
      <c r="V40" s="22"/>
      <c r="W40" s="20"/>
      <c r="X40" s="21"/>
      <c r="Y40" s="22"/>
      <c r="Z40" s="20"/>
      <c r="AA40" s="22"/>
      <c r="AB40" s="22"/>
      <c r="AC40" s="34"/>
    </row>
    <row r="41" spans="1:29" s="2" customFormat="1" ht="58.75" customHeight="1">
      <c r="A41" s="165"/>
      <c r="B41" s="165"/>
      <c r="C41" s="802">
        <v>13</v>
      </c>
      <c r="D41" s="837" t="s">
        <v>1638</v>
      </c>
      <c r="E41" s="788"/>
      <c r="F41" s="812" t="s">
        <v>587</v>
      </c>
      <c r="G41" s="806" t="s">
        <v>559</v>
      </c>
      <c r="H41" s="605" t="s">
        <v>560</v>
      </c>
      <c r="I41" s="605" t="s">
        <v>561</v>
      </c>
      <c r="J41" s="792" t="s">
        <v>586</v>
      </c>
      <c r="K41" s="391" t="s">
        <v>1502</v>
      </c>
      <c r="L41" s="31" t="e">
        <f>IF(M41="","",M41-30)</f>
        <v>#VALUE!</v>
      </c>
      <c r="M41" s="391" t="s">
        <v>1502</v>
      </c>
      <c r="N41" s="18" t="str">
        <f t="shared" ref="N41:N43" ca="1" si="3">IF(K41="","",IF(R41&lt;&gt;"","",IF(AND(R41="",K41-TODAY()&lt;=60),K41-TODAY(),"")))</f>
        <v/>
      </c>
      <c r="O41" s="18" t="str">
        <f t="shared" ref="O41:O43" si="4">IF(AND(ISNUMBER(K41),ISNUMBER(R41)),K41-R41,"")</f>
        <v/>
      </c>
      <c r="P41" s="22" t="s">
        <v>925</v>
      </c>
      <c r="Q41" s="26" t="s">
        <v>22</v>
      </c>
      <c r="R41" s="23">
        <v>46048</v>
      </c>
      <c r="S41" s="24" t="s">
        <v>1101</v>
      </c>
      <c r="T41" s="23">
        <v>46058</v>
      </c>
      <c r="U41" s="24" t="s">
        <v>1102</v>
      </c>
      <c r="V41" s="15" t="s">
        <v>208</v>
      </c>
      <c r="W41" s="23">
        <v>46058</v>
      </c>
      <c r="X41" s="23" t="s">
        <v>1102</v>
      </c>
      <c r="Y41" s="15" t="s">
        <v>200</v>
      </c>
      <c r="Z41" s="23">
        <v>46112</v>
      </c>
      <c r="AA41" s="15" t="s">
        <v>1103</v>
      </c>
      <c r="AB41" s="15" t="s">
        <v>925</v>
      </c>
      <c r="AC41" s="34"/>
    </row>
    <row r="42" spans="1:29" s="2" customFormat="1" ht="40.4" customHeight="1">
      <c r="A42" s="165"/>
      <c r="B42" s="165"/>
      <c r="C42" s="782"/>
      <c r="D42" s="837"/>
      <c r="E42" s="789"/>
      <c r="F42" s="813"/>
      <c r="G42" s="793"/>
      <c r="H42" s="606"/>
      <c r="I42" s="606"/>
      <c r="J42" s="793"/>
      <c r="K42" s="17"/>
      <c r="L42" s="31"/>
      <c r="M42" s="17"/>
      <c r="N42" s="18" t="str">
        <f t="shared" ca="1" si="3"/>
        <v/>
      </c>
      <c r="O42" s="18" t="str">
        <f t="shared" si="4"/>
        <v/>
      </c>
      <c r="P42" s="19"/>
      <c r="Q42" s="22"/>
      <c r="R42" s="20"/>
      <c r="S42" s="21"/>
      <c r="T42" s="20"/>
      <c r="U42" s="33"/>
      <c r="V42" s="22"/>
      <c r="W42" s="20"/>
      <c r="X42" s="21"/>
      <c r="Y42" s="22"/>
      <c r="Z42" s="20"/>
      <c r="AA42" s="22"/>
      <c r="AB42" s="22"/>
      <c r="AC42" s="34"/>
    </row>
    <row r="43" spans="1:29" s="2" customFormat="1" ht="40.4" customHeight="1">
      <c r="A43" s="165"/>
      <c r="B43" s="165"/>
      <c r="C43" s="783"/>
      <c r="D43" s="837"/>
      <c r="E43" s="790"/>
      <c r="F43" s="813"/>
      <c r="G43" s="794"/>
      <c r="H43" s="607"/>
      <c r="I43" s="607"/>
      <c r="J43" s="794"/>
      <c r="K43" s="17"/>
      <c r="L43" s="31"/>
      <c r="M43" s="17"/>
      <c r="N43" s="18" t="str">
        <f t="shared" ca="1" si="3"/>
        <v/>
      </c>
      <c r="O43" s="18" t="str">
        <f t="shared" si="4"/>
        <v/>
      </c>
      <c r="P43" s="19"/>
      <c r="Q43" s="22"/>
      <c r="R43" s="20"/>
      <c r="S43" s="21"/>
      <c r="T43" s="20"/>
      <c r="U43" s="21"/>
      <c r="V43" s="22"/>
      <c r="W43" s="20"/>
      <c r="X43" s="21"/>
      <c r="Y43" s="22"/>
      <c r="Z43" s="20"/>
      <c r="AA43" s="22"/>
      <c r="AB43" s="22"/>
      <c r="AC43" s="34"/>
    </row>
    <row r="44" spans="1:29" s="2" customFormat="1" ht="40.4" customHeight="1">
      <c r="A44" s="165"/>
      <c r="B44" s="165"/>
      <c r="C44" s="763">
        <v>14</v>
      </c>
      <c r="D44" s="765"/>
      <c r="E44" s="765"/>
      <c r="F44" s="811" t="s">
        <v>591</v>
      </c>
      <c r="G44" s="810" t="s">
        <v>559</v>
      </c>
      <c r="H44" s="759" t="s">
        <v>601</v>
      </c>
      <c r="I44" s="759" t="s">
        <v>602</v>
      </c>
      <c r="J44" s="804"/>
      <c r="K44" s="391" t="s">
        <v>1502</v>
      </c>
      <c r="L44" s="31"/>
      <c r="M44" s="391" t="s">
        <v>1502</v>
      </c>
      <c r="N44" s="18"/>
      <c r="O44" s="18"/>
      <c r="P44" s="19"/>
      <c r="Q44" s="22"/>
      <c r="R44" s="20"/>
      <c r="S44" s="21"/>
      <c r="T44" s="20"/>
      <c r="U44" s="21"/>
      <c r="V44" s="22"/>
      <c r="W44" s="20"/>
      <c r="X44" s="21"/>
      <c r="Y44" s="22"/>
      <c r="Z44" s="20"/>
      <c r="AA44" s="22"/>
      <c r="AB44" s="22"/>
      <c r="AC44" s="34"/>
    </row>
    <row r="45" spans="1:29" s="2" customFormat="1" ht="40.4" customHeight="1">
      <c r="A45" s="165"/>
      <c r="B45" s="165"/>
      <c r="C45" s="764"/>
      <c r="D45" s="765"/>
      <c r="E45" s="765"/>
      <c r="F45" s="759"/>
      <c r="G45" s="804"/>
      <c r="H45" s="759"/>
      <c r="I45" s="759"/>
      <c r="J45" s="804"/>
      <c r="K45" s="17"/>
      <c r="L45" s="31"/>
      <c r="M45" s="17"/>
      <c r="N45" s="18"/>
      <c r="O45" s="18"/>
      <c r="P45" s="19"/>
      <c r="Q45" s="22"/>
      <c r="R45" s="20"/>
      <c r="S45" s="21"/>
      <c r="T45" s="20"/>
      <c r="U45" s="21"/>
      <c r="V45" s="22"/>
      <c r="W45" s="20"/>
      <c r="X45" s="21"/>
      <c r="Y45" s="22"/>
      <c r="Z45" s="20"/>
      <c r="AA45" s="22"/>
      <c r="AB45" s="22"/>
      <c r="AC45" s="34"/>
    </row>
    <row r="46" spans="1:29" s="2" customFormat="1" ht="40.4" customHeight="1">
      <c r="A46" s="165"/>
      <c r="B46" s="165"/>
      <c r="C46" s="764"/>
      <c r="D46" s="765"/>
      <c r="E46" s="765"/>
      <c r="F46" s="759"/>
      <c r="G46" s="804"/>
      <c r="H46" s="759"/>
      <c r="I46" s="759"/>
      <c r="J46" s="804"/>
      <c r="K46" s="17"/>
      <c r="L46" s="31"/>
      <c r="M46" s="17"/>
      <c r="N46" s="18"/>
      <c r="O46" s="18"/>
      <c r="P46" s="19"/>
      <c r="Q46" s="22"/>
      <c r="R46" s="20"/>
      <c r="S46" s="21"/>
      <c r="T46" s="20"/>
      <c r="U46" s="21"/>
      <c r="V46" s="22"/>
      <c r="W46" s="20"/>
      <c r="X46" s="21"/>
      <c r="Y46" s="22"/>
      <c r="Z46" s="20"/>
      <c r="AA46" s="22"/>
      <c r="AB46" s="22"/>
      <c r="AC46" s="34"/>
    </row>
    <row r="47" spans="1:29" s="2" customFormat="1" ht="60" customHeight="1">
      <c r="A47" s="165"/>
      <c r="B47" s="165"/>
      <c r="C47" s="763">
        <v>15</v>
      </c>
      <c r="D47" s="765"/>
      <c r="E47" s="765"/>
      <c r="F47" s="811" t="s">
        <v>595</v>
      </c>
      <c r="G47" s="810" t="s">
        <v>559</v>
      </c>
      <c r="H47" s="759" t="s">
        <v>607</v>
      </c>
      <c r="I47" s="759" t="s">
        <v>608</v>
      </c>
      <c r="J47" s="804"/>
      <c r="K47" s="391" t="s">
        <v>1502</v>
      </c>
      <c r="L47" s="31"/>
      <c r="M47" s="391" t="s">
        <v>1502</v>
      </c>
      <c r="N47" s="18"/>
      <c r="O47" s="18"/>
      <c r="P47" s="19"/>
      <c r="Q47" s="22"/>
      <c r="R47" s="20"/>
      <c r="S47" s="21"/>
      <c r="T47" s="20"/>
      <c r="U47" s="21"/>
      <c r="V47" s="22"/>
      <c r="W47" s="20"/>
      <c r="X47" s="21"/>
      <c r="Y47" s="22"/>
      <c r="Z47" s="20"/>
      <c r="AA47" s="22"/>
      <c r="AB47" s="22"/>
      <c r="AC47" s="34"/>
    </row>
    <row r="48" spans="1:29" s="2" customFormat="1" ht="40.4" customHeight="1">
      <c r="A48" s="165"/>
      <c r="B48" s="165"/>
      <c r="C48" s="764"/>
      <c r="D48" s="765"/>
      <c r="E48" s="765"/>
      <c r="F48" s="759"/>
      <c r="G48" s="804"/>
      <c r="H48" s="759"/>
      <c r="I48" s="759"/>
      <c r="J48" s="804"/>
      <c r="K48" s="17"/>
      <c r="L48" s="31"/>
      <c r="M48" s="17"/>
      <c r="N48" s="18"/>
      <c r="O48" s="18"/>
      <c r="P48" s="19"/>
      <c r="Q48" s="22"/>
      <c r="R48" s="20"/>
      <c r="S48" s="21"/>
      <c r="T48" s="20"/>
      <c r="U48" s="21"/>
      <c r="V48" s="22"/>
      <c r="W48" s="20"/>
      <c r="X48" s="21"/>
      <c r="Y48" s="22"/>
      <c r="Z48" s="20"/>
      <c r="AA48" s="22"/>
      <c r="AB48" s="22"/>
      <c r="AC48" s="34"/>
    </row>
    <row r="49" spans="1:29" s="2" customFormat="1" ht="40.4" customHeight="1">
      <c r="A49" s="165"/>
      <c r="B49" s="165"/>
      <c r="C49" s="764"/>
      <c r="D49" s="765"/>
      <c r="E49" s="765"/>
      <c r="F49" s="759"/>
      <c r="G49" s="804"/>
      <c r="H49" s="759"/>
      <c r="I49" s="759"/>
      <c r="J49" s="804"/>
      <c r="K49" s="17"/>
      <c r="L49" s="31"/>
      <c r="M49" s="17"/>
      <c r="N49" s="18"/>
      <c r="O49" s="18"/>
      <c r="P49" s="19"/>
      <c r="Q49" s="22"/>
      <c r="R49" s="20"/>
      <c r="S49" s="21"/>
      <c r="T49" s="20"/>
      <c r="U49" s="21"/>
      <c r="V49" s="22"/>
      <c r="W49" s="20"/>
      <c r="X49" s="21"/>
      <c r="Y49" s="22"/>
      <c r="Z49" s="20"/>
      <c r="AA49" s="22"/>
      <c r="AB49" s="22"/>
      <c r="AC49" s="34"/>
    </row>
    <row r="50" spans="1:29" s="2" customFormat="1" ht="40.4" customHeight="1">
      <c r="A50" s="165"/>
      <c r="B50" s="165"/>
      <c r="C50" s="763">
        <v>16</v>
      </c>
      <c r="D50" s="765"/>
      <c r="E50" s="765"/>
      <c r="F50" s="811" t="s">
        <v>589</v>
      </c>
      <c r="G50" s="810" t="s">
        <v>559</v>
      </c>
      <c r="H50" s="759" t="s">
        <v>598</v>
      </c>
      <c r="I50" s="759" t="s">
        <v>599</v>
      </c>
      <c r="J50" s="804"/>
      <c r="K50" s="391" t="s">
        <v>1502</v>
      </c>
      <c r="L50" s="31"/>
      <c r="M50" s="391" t="s">
        <v>1502</v>
      </c>
      <c r="N50" s="18"/>
      <c r="O50" s="18"/>
      <c r="P50" s="19"/>
      <c r="Q50" s="22"/>
      <c r="R50" s="20"/>
      <c r="S50" s="21"/>
      <c r="T50" s="20"/>
      <c r="U50" s="21"/>
      <c r="V50" s="22"/>
      <c r="W50" s="20"/>
      <c r="X50" s="21"/>
      <c r="Y50" s="22"/>
      <c r="Z50" s="20"/>
      <c r="AA50" s="22"/>
      <c r="AB50" s="22"/>
      <c r="AC50" s="34"/>
    </row>
    <row r="51" spans="1:29" s="2" customFormat="1" ht="40.4" customHeight="1">
      <c r="A51" s="165"/>
      <c r="B51" s="165"/>
      <c r="C51" s="764"/>
      <c r="D51" s="765"/>
      <c r="E51" s="765"/>
      <c r="F51" s="759"/>
      <c r="G51" s="804"/>
      <c r="H51" s="759"/>
      <c r="I51" s="759"/>
      <c r="J51" s="804"/>
      <c r="K51" s="17"/>
      <c r="L51" s="31"/>
      <c r="M51" s="17"/>
      <c r="N51" s="18"/>
      <c r="O51" s="18"/>
      <c r="P51" s="19"/>
      <c r="Q51" s="22"/>
      <c r="R51" s="20"/>
      <c r="S51" s="21"/>
      <c r="T51" s="20"/>
      <c r="U51" s="21"/>
      <c r="V51" s="22"/>
      <c r="W51" s="20"/>
      <c r="X51" s="21"/>
      <c r="Y51" s="22"/>
      <c r="Z51" s="20"/>
      <c r="AA51" s="22"/>
      <c r="AB51" s="22"/>
      <c r="AC51" s="34"/>
    </row>
    <row r="52" spans="1:29" s="2" customFormat="1" ht="40.4" customHeight="1">
      <c r="A52" s="165"/>
      <c r="B52" s="165"/>
      <c r="C52" s="764"/>
      <c r="D52" s="765"/>
      <c r="E52" s="765"/>
      <c r="F52" s="759"/>
      <c r="G52" s="804"/>
      <c r="H52" s="759"/>
      <c r="I52" s="759"/>
      <c r="J52" s="804"/>
      <c r="K52" s="17"/>
      <c r="L52" s="31"/>
      <c r="M52" s="17"/>
      <c r="N52" s="18"/>
      <c r="O52" s="18"/>
      <c r="P52" s="19"/>
      <c r="Q52" s="22"/>
      <c r="R52" s="20"/>
      <c r="S52" s="21"/>
      <c r="T52" s="20"/>
      <c r="U52" s="21"/>
      <c r="V52" s="22"/>
      <c r="W52" s="20"/>
      <c r="X52" s="21"/>
      <c r="Y52" s="22"/>
      <c r="Z52" s="20"/>
      <c r="AA52" s="22"/>
      <c r="AB52" s="22"/>
      <c r="AC52" s="34"/>
    </row>
    <row r="53" spans="1:29" s="2" customFormat="1" ht="82.75" customHeight="1">
      <c r="A53" s="165"/>
      <c r="B53" s="165"/>
      <c r="C53" s="763">
        <v>17</v>
      </c>
      <c r="D53" s="764" t="s">
        <v>610</v>
      </c>
      <c r="E53" s="765"/>
      <c r="F53" s="811" t="s">
        <v>596</v>
      </c>
      <c r="G53" s="810" t="s">
        <v>559</v>
      </c>
      <c r="H53" s="759" t="s">
        <v>609</v>
      </c>
      <c r="I53" s="759" t="s">
        <v>561</v>
      </c>
      <c r="J53" s="804" t="s">
        <v>611</v>
      </c>
      <c r="K53" s="391" t="s">
        <v>1502</v>
      </c>
      <c r="L53" s="31"/>
      <c r="M53" s="391" t="s">
        <v>1502</v>
      </c>
      <c r="N53" s="18"/>
      <c r="O53" s="18"/>
      <c r="P53" s="22" t="s">
        <v>925</v>
      </c>
      <c r="Q53" s="22" t="s">
        <v>50</v>
      </c>
      <c r="R53" s="20">
        <v>46086</v>
      </c>
      <c r="S53" s="21" t="s">
        <v>1111</v>
      </c>
      <c r="T53" s="20" t="s">
        <v>1098</v>
      </c>
      <c r="U53" s="21" t="s">
        <v>1112</v>
      </c>
      <c r="V53" s="22" t="s">
        <v>208</v>
      </c>
      <c r="W53" s="20" t="s">
        <v>1098</v>
      </c>
      <c r="X53" s="21" t="s">
        <v>1112</v>
      </c>
      <c r="Y53" s="22" t="s">
        <v>208</v>
      </c>
      <c r="Z53" s="20" t="s">
        <v>1123</v>
      </c>
      <c r="AA53" s="22" t="s">
        <v>1122</v>
      </c>
      <c r="AB53" s="22" t="s">
        <v>925</v>
      </c>
      <c r="AC53" s="34"/>
    </row>
    <row r="54" spans="1:29" s="2" customFormat="1" ht="40.4" customHeight="1">
      <c r="A54" s="165"/>
      <c r="B54" s="165"/>
      <c r="C54" s="764"/>
      <c r="D54" s="764"/>
      <c r="E54" s="765"/>
      <c r="F54" s="759"/>
      <c r="G54" s="804"/>
      <c r="H54" s="759"/>
      <c r="I54" s="759"/>
      <c r="J54" s="804"/>
      <c r="K54" s="17"/>
      <c r="L54" s="31"/>
      <c r="M54" s="17"/>
      <c r="N54" s="18"/>
      <c r="O54" s="18"/>
      <c r="P54" s="19"/>
      <c r="Q54" s="22"/>
      <c r="R54" s="20"/>
      <c r="S54" s="21"/>
      <c r="T54" s="20"/>
      <c r="U54" s="21"/>
      <c r="V54" s="22"/>
      <c r="W54" s="20"/>
      <c r="X54" s="21"/>
      <c r="Y54" s="22"/>
      <c r="Z54" s="20"/>
      <c r="AA54" s="22"/>
      <c r="AB54" s="22"/>
      <c r="AC54" s="34"/>
    </row>
    <row r="55" spans="1:29" s="2" customFormat="1" ht="40.4" customHeight="1">
      <c r="A55" s="165"/>
      <c r="B55" s="165"/>
      <c r="C55" s="764"/>
      <c r="D55" s="764"/>
      <c r="E55" s="765"/>
      <c r="F55" s="759"/>
      <c r="G55" s="804"/>
      <c r="H55" s="759"/>
      <c r="I55" s="759"/>
      <c r="J55" s="804"/>
      <c r="K55" s="17"/>
      <c r="L55" s="31"/>
      <c r="M55" s="17"/>
      <c r="N55" s="18"/>
      <c r="O55" s="18"/>
      <c r="P55" s="19"/>
      <c r="Q55" s="22"/>
      <c r="R55" s="20"/>
      <c r="S55" s="21"/>
      <c r="T55" s="20"/>
      <c r="U55" s="21"/>
      <c r="V55" s="22"/>
      <c r="W55" s="20"/>
      <c r="X55" s="21"/>
      <c r="Y55" s="22"/>
      <c r="Z55" s="20"/>
      <c r="AA55" s="22"/>
      <c r="AB55" s="22"/>
      <c r="AC55" s="34"/>
    </row>
    <row r="56" spans="1:29" s="2" customFormat="1" ht="40.4" customHeight="1">
      <c r="A56" s="165"/>
      <c r="B56" s="165"/>
      <c r="C56" s="763">
        <v>18</v>
      </c>
      <c r="D56" s="804"/>
      <c r="E56" s="804"/>
      <c r="F56" s="814" t="s">
        <v>579</v>
      </c>
      <c r="G56" s="803" t="s">
        <v>578</v>
      </c>
      <c r="H56" s="759" t="s">
        <v>583</v>
      </c>
      <c r="I56" s="759" t="s">
        <v>584</v>
      </c>
      <c r="J56" s="804"/>
      <c r="K56" s="391" t="s">
        <v>1502</v>
      </c>
      <c r="L56" s="31"/>
      <c r="M56" s="391" t="s">
        <v>1502</v>
      </c>
      <c r="N56" s="18"/>
      <c r="O56" s="18"/>
      <c r="P56" s="19"/>
      <c r="Q56" s="22"/>
      <c r="R56" s="23"/>
      <c r="S56" s="24"/>
      <c r="T56" s="23"/>
      <c r="U56" s="24"/>
      <c r="V56" s="22"/>
      <c r="W56" s="23"/>
      <c r="X56" s="24"/>
      <c r="Y56" s="22"/>
      <c r="Z56" s="23"/>
      <c r="AA56" s="22"/>
      <c r="AB56" s="22"/>
      <c r="AC56" s="16"/>
    </row>
    <row r="57" spans="1:29" s="2" customFormat="1" ht="40.4" customHeight="1">
      <c r="A57" s="165"/>
      <c r="B57" s="165"/>
      <c r="C57" s="764"/>
      <c r="D57" s="804"/>
      <c r="E57" s="804"/>
      <c r="F57" s="759"/>
      <c r="G57" s="804"/>
      <c r="H57" s="759"/>
      <c r="I57" s="759"/>
      <c r="J57" s="804"/>
      <c r="K57" s="17"/>
      <c r="L57" s="31"/>
      <c r="M57" s="17"/>
      <c r="N57" s="18"/>
      <c r="O57" s="18"/>
      <c r="P57" s="19"/>
      <c r="Q57" s="22"/>
      <c r="R57" s="23"/>
      <c r="S57" s="24"/>
      <c r="T57" s="23"/>
      <c r="U57" s="24"/>
      <c r="V57" s="22"/>
      <c r="W57" s="23"/>
      <c r="X57" s="24"/>
      <c r="Y57" s="22"/>
      <c r="Z57" s="23"/>
      <c r="AA57" s="22"/>
      <c r="AB57" s="22"/>
      <c r="AC57" s="16"/>
    </row>
    <row r="58" spans="1:29" s="2" customFormat="1" ht="40.4" customHeight="1">
      <c r="A58" s="165"/>
      <c r="B58" s="165"/>
      <c r="C58" s="764"/>
      <c r="D58" s="804"/>
      <c r="E58" s="804"/>
      <c r="F58" s="759"/>
      <c r="G58" s="804"/>
      <c r="H58" s="759"/>
      <c r="I58" s="759"/>
      <c r="J58" s="804"/>
      <c r="K58" s="17"/>
      <c r="L58" s="31"/>
      <c r="M58" s="17"/>
      <c r="N58" s="18"/>
      <c r="O58" s="18"/>
      <c r="P58" s="19"/>
      <c r="Q58" s="22"/>
      <c r="R58" s="23"/>
      <c r="S58" s="24"/>
      <c r="T58" s="23"/>
      <c r="U58" s="24"/>
      <c r="V58" s="22"/>
      <c r="W58" s="23"/>
      <c r="X58" s="24"/>
      <c r="Y58" s="22"/>
      <c r="Z58" s="23"/>
      <c r="AA58" s="22"/>
      <c r="AB58" s="22"/>
      <c r="AC58" s="16"/>
    </row>
    <row r="59" spans="1:29" s="2" customFormat="1" ht="40.4" customHeight="1">
      <c r="A59" s="165"/>
      <c r="B59" s="165"/>
      <c r="C59" s="763">
        <v>19</v>
      </c>
      <c r="D59" s="804"/>
      <c r="E59" s="804"/>
      <c r="F59" s="814" t="s">
        <v>577</v>
      </c>
      <c r="G59" s="803" t="s">
        <v>578</v>
      </c>
      <c r="H59" s="759" t="s">
        <v>581</v>
      </c>
      <c r="I59" s="759" t="s">
        <v>582</v>
      </c>
      <c r="J59" s="804"/>
      <c r="K59" s="391" t="s">
        <v>1502</v>
      </c>
      <c r="L59" s="31"/>
      <c r="M59" s="391" t="s">
        <v>1502</v>
      </c>
      <c r="N59" s="18"/>
      <c r="O59" s="18"/>
      <c r="P59" s="19"/>
      <c r="Q59" s="22"/>
      <c r="R59" s="23"/>
      <c r="S59" s="24"/>
      <c r="T59" s="23"/>
      <c r="U59" s="24"/>
      <c r="V59" s="22"/>
      <c r="W59" s="23"/>
      <c r="X59" s="24"/>
      <c r="Y59" s="22"/>
      <c r="Z59" s="23"/>
      <c r="AA59" s="22"/>
      <c r="AB59" s="22"/>
      <c r="AC59" s="16"/>
    </row>
    <row r="60" spans="1:29" s="2" customFormat="1" ht="40.4" customHeight="1">
      <c r="A60" s="165"/>
      <c r="B60" s="165"/>
      <c r="C60" s="764"/>
      <c r="D60" s="804"/>
      <c r="E60" s="804"/>
      <c r="F60" s="759"/>
      <c r="G60" s="804"/>
      <c r="H60" s="759"/>
      <c r="I60" s="759"/>
      <c r="J60" s="804"/>
      <c r="K60" s="17"/>
      <c r="L60" s="31"/>
      <c r="M60" s="17"/>
      <c r="N60" s="18"/>
      <c r="O60" s="18"/>
      <c r="P60" s="19"/>
      <c r="Q60" s="22"/>
      <c r="R60" s="23"/>
      <c r="S60" s="24"/>
      <c r="T60" s="23"/>
      <c r="U60" s="24"/>
      <c r="V60" s="22"/>
      <c r="W60" s="23"/>
      <c r="X60" s="24"/>
      <c r="Y60" s="22"/>
      <c r="Z60" s="23"/>
      <c r="AA60" s="22"/>
      <c r="AB60" s="22"/>
      <c r="AC60" s="16"/>
    </row>
    <row r="61" spans="1:29" s="2" customFormat="1" ht="40.4" customHeight="1">
      <c r="A61" s="165"/>
      <c r="B61" s="165"/>
      <c r="C61" s="764"/>
      <c r="D61" s="804"/>
      <c r="E61" s="804"/>
      <c r="F61" s="759"/>
      <c r="G61" s="804"/>
      <c r="H61" s="759"/>
      <c r="I61" s="759"/>
      <c r="J61" s="804"/>
      <c r="K61" s="17"/>
      <c r="L61" s="31"/>
      <c r="M61" s="17"/>
      <c r="N61" s="18"/>
      <c r="O61" s="18"/>
      <c r="P61" s="19"/>
      <c r="Q61" s="22"/>
      <c r="R61" s="23"/>
      <c r="S61" s="24"/>
      <c r="T61" s="23"/>
      <c r="U61" s="24"/>
      <c r="V61" s="22"/>
      <c r="W61" s="23"/>
      <c r="X61" s="24"/>
      <c r="Y61" s="22"/>
      <c r="Z61" s="23"/>
      <c r="AA61" s="22"/>
      <c r="AB61" s="22"/>
      <c r="AC61" s="16"/>
    </row>
    <row r="62" spans="1:29" s="2" customFormat="1" ht="40.4" customHeight="1">
      <c r="A62" s="165"/>
      <c r="B62" s="165"/>
      <c r="C62" s="763">
        <v>20</v>
      </c>
      <c r="D62" s="804"/>
      <c r="E62" s="804"/>
      <c r="F62" s="814" t="s">
        <v>580</v>
      </c>
      <c r="G62" s="803" t="s">
        <v>578</v>
      </c>
      <c r="H62" s="759"/>
      <c r="I62" s="759" t="s">
        <v>585</v>
      </c>
      <c r="J62" s="804"/>
      <c r="K62" s="391" t="s">
        <v>1502</v>
      </c>
      <c r="L62" s="31"/>
      <c r="M62" s="391" t="s">
        <v>1502</v>
      </c>
      <c r="N62" s="18"/>
      <c r="O62" s="18"/>
      <c r="P62" s="19"/>
      <c r="Q62" s="22"/>
      <c r="R62" s="23"/>
      <c r="S62" s="24"/>
      <c r="T62" s="23"/>
      <c r="U62" s="24"/>
      <c r="V62" s="22"/>
      <c r="W62" s="23"/>
      <c r="X62" s="24"/>
      <c r="Y62" s="22"/>
      <c r="Z62" s="23"/>
      <c r="AA62" s="22"/>
      <c r="AB62" s="22"/>
      <c r="AC62" s="16"/>
    </row>
    <row r="63" spans="1:29" s="2" customFormat="1" ht="40.4" customHeight="1">
      <c r="A63" s="165"/>
      <c r="B63" s="165"/>
      <c r="C63" s="764"/>
      <c r="D63" s="804"/>
      <c r="E63" s="804"/>
      <c r="F63" s="759"/>
      <c r="G63" s="804"/>
      <c r="H63" s="759"/>
      <c r="I63" s="759"/>
      <c r="J63" s="804"/>
      <c r="K63" s="17"/>
      <c r="L63" s="31"/>
      <c r="M63" s="17"/>
      <c r="N63" s="18"/>
      <c r="O63" s="18"/>
      <c r="P63" s="19"/>
      <c r="Q63" s="22"/>
      <c r="R63" s="23"/>
      <c r="S63" s="24"/>
      <c r="T63" s="23"/>
      <c r="U63" s="24"/>
      <c r="V63" s="22"/>
      <c r="W63" s="23"/>
      <c r="X63" s="24"/>
      <c r="Y63" s="22"/>
      <c r="Z63" s="23"/>
      <c r="AA63" s="22"/>
      <c r="AB63" s="22"/>
      <c r="AC63" s="16"/>
    </row>
    <row r="64" spans="1:29" s="2" customFormat="1" ht="40.4" customHeight="1">
      <c r="A64" s="165"/>
      <c r="B64" s="165"/>
      <c r="C64" s="764"/>
      <c r="D64" s="804"/>
      <c r="E64" s="804"/>
      <c r="F64" s="759"/>
      <c r="G64" s="804"/>
      <c r="H64" s="759"/>
      <c r="I64" s="759"/>
      <c r="J64" s="804"/>
      <c r="K64" s="17"/>
      <c r="L64" s="31"/>
      <c r="M64" s="17"/>
      <c r="N64" s="18"/>
      <c r="O64" s="18"/>
      <c r="P64" s="19"/>
      <c r="Q64" s="22"/>
      <c r="R64" s="23"/>
      <c r="S64" s="24"/>
      <c r="T64" s="23"/>
      <c r="U64" s="24"/>
      <c r="V64" s="22"/>
      <c r="W64" s="23"/>
      <c r="X64" s="24"/>
      <c r="Y64" s="22"/>
      <c r="Z64" s="23"/>
      <c r="AA64" s="22"/>
      <c r="AB64" s="22"/>
      <c r="AC64" s="16"/>
    </row>
    <row r="65" spans="1:29" s="2" customFormat="1" ht="40.4" customHeight="1">
      <c r="A65" s="165"/>
      <c r="B65" s="165"/>
      <c r="C65" s="763">
        <v>21</v>
      </c>
      <c r="D65" s="765"/>
      <c r="E65" s="765"/>
      <c r="F65" s="805" t="s">
        <v>628</v>
      </c>
      <c r="G65" s="819" t="s">
        <v>626</v>
      </c>
      <c r="H65" s="759" t="s">
        <v>651</v>
      </c>
      <c r="I65" s="759" t="s">
        <v>652</v>
      </c>
      <c r="J65" s="804"/>
      <c r="K65" s="391" t="s">
        <v>1502</v>
      </c>
      <c r="L65" s="31"/>
      <c r="M65" s="391" t="s">
        <v>1502</v>
      </c>
      <c r="N65" s="18"/>
      <c r="O65" s="18"/>
      <c r="P65" s="19"/>
      <c r="Q65" s="22"/>
      <c r="R65" s="20"/>
      <c r="S65" s="21"/>
      <c r="T65" s="20"/>
      <c r="U65" s="21"/>
      <c r="V65" s="22"/>
      <c r="W65" s="20"/>
      <c r="X65" s="21"/>
      <c r="Y65" s="22"/>
      <c r="Z65" s="20"/>
      <c r="AA65" s="22"/>
      <c r="AB65" s="22"/>
      <c r="AC65" s="34"/>
    </row>
    <row r="66" spans="1:29" s="2" customFormat="1" ht="40.4" customHeight="1">
      <c r="A66" s="165"/>
      <c r="B66" s="165"/>
      <c r="C66" s="764"/>
      <c r="D66" s="765"/>
      <c r="E66" s="765"/>
      <c r="F66" s="759"/>
      <c r="G66" s="804"/>
      <c r="H66" s="759"/>
      <c r="I66" s="759"/>
      <c r="J66" s="804"/>
      <c r="K66" s="17"/>
      <c r="L66" s="31"/>
      <c r="M66" s="17"/>
      <c r="N66" s="18"/>
      <c r="O66" s="18"/>
      <c r="P66" s="19"/>
      <c r="Q66" s="22"/>
      <c r="R66" s="20"/>
      <c r="S66" s="21"/>
      <c r="T66" s="20"/>
      <c r="U66" s="21"/>
      <c r="V66" s="22"/>
      <c r="W66" s="20"/>
      <c r="X66" s="21"/>
      <c r="Y66" s="22"/>
      <c r="Z66" s="20"/>
      <c r="AA66" s="22"/>
      <c r="AB66" s="22"/>
      <c r="AC66" s="34"/>
    </row>
    <row r="67" spans="1:29" s="2" customFormat="1" ht="40.4" customHeight="1">
      <c r="A67" s="165"/>
      <c r="B67" s="165"/>
      <c r="C67" s="764"/>
      <c r="D67" s="765"/>
      <c r="E67" s="765"/>
      <c r="F67" s="759"/>
      <c r="G67" s="804"/>
      <c r="H67" s="759"/>
      <c r="I67" s="759"/>
      <c r="J67" s="804"/>
      <c r="K67" s="17"/>
      <c r="L67" s="31"/>
      <c r="M67" s="17"/>
      <c r="N67" s="18"/>
      <c r="O67" s="18"/>
      <c r="P67" s="19"/>
      <c r="Q67" s="22"/>
      <c r="R67" s="20"/>
      <c r="S67" s="21"/>
      <c r="T67" s="20"/>
      <c r="U67" s="21"/>
      <c r="V67" s="22"/>
      <c r="W67" s="20"/>
      <c r="X67" s="21"/>
      <c r="Y67" s="22"/>
      <c r="Z67" s="20"/>
      <c r="AA67" s="22"/>
      <c r="AB67" s="22"/>
      <c r="AC67" s="34"/>
    </row>
    <row r="68" spans="1:29" s="2" customFormat="1" ht="40.4" customHeight="1">
      <c r="A68" s="165"/>
      <c r="B68" s="165"/>
      <c r="C68" s="763">
        <v>22</v>
      </c>
      <c r="D68" s="765"/>
      <c r="E68" s="765"/>
      <c r="F68" s="805" t="s">
        <v>625</v>
      </c>
      <c r="G68" s="819" t="s">
        <v>626</v>
      </c>
      <c r="H68" s="759" t="s">
        <v>648</v>
      </c>
      <c r="I68" s="759" t="s">
        <v>649</v>
      </c>
      <c r="J68" s="804"/>
      <c r="K68" s="391" t="s">
        <v>1502</v>
      </c>
      <c r="L68" s="31"/>
      <c r="M68" s="391" t="s">
        <v>1502</v>
      </c>
      <c r="N68" s="18"/>
      <c r="O68" s="18"/>
      <c r="P68" s="19"/>
      <c r="Q68" s="22"/>
      <c r="R68" s="20"/>
      <c r="S68" s="21"/>
      <c r="T68" s="20"/>
      <c r="U68" s="21"/>
      <c r="V68" s="22"/>
      <c r="W68" s="20"/>
      <c r="X68" s="21"/>
      <c r="Y68" s="22"/>
      <c r="Z68" s="20"/>
      <c r="AA68" s="22"/>
      <c r="AB68" s="22"/>
      <c r="AC68" s="34"/>
    </row>
    <row r="69" spans="1:29" s="2" customFormat="1" ht="40.4" customHeight="1">
      <c r="A69" s="165"/>
      <c r="B69" s="165"/>
      <c r="C69" s="764"/>
      <c r="D69" s="765"/>
      <c r="E69" s="765"/>
      <c r="F69" s="759"/>
      <c r="G69" s="804"/>
      <c r="H69" s="759"/>
      <c r="I69" s="759"/>
      <c r="J69" s="804"/>
      <c r="K69" s="17"/>
      <c r="L69" s="31"/>
      <c r="M69" s="17"/>
      <c r="N69" s="18"/>
      <c r="O69" s="18"/>
      <c r="P69" s="19"/>
      <c r="Q69" s="22"/>
      <c r="R69" s="20"/>
      <c r="S69" s="21"/>
      <c r="T69" s="20"/>
      <c r="U69" s="21"/>
      <c r="V69" s="22"/>
      <c r="W69" s="20"/>
      <c r="X69" s="21"/>
      <c r="Y69" s="22"/>
      <c r="Z69" s="20"/>
      <c r="AA69" s="22"/>
      <c r="AB69" s="22"/>
      <c r="AC69" s="34"/>
    </row>
    <row r="70" spans="1:29" s="2" customFormat="1" ht="40.4" customHeight="1">
      <c r="A70" s="165"/>
      <c r="B70" s="165"/>
      <c r="C70" s="764"/>
      <c r="D70" s="765"/>
      <c r="E70" s="765"/>
      <c r="F70" s="759"/>
      <c r="G70" s="804"/>
      <c r="H70" s="759"/>
      <c r="I70" s="759"/>
      <c r="J70" s="804"/>
      <c r="K70" s="17"/>
      <c r="L70" s="31"/>
      <c r="M70" s="17"/>
      <c r="N70" s="18"/>
      <c r="O70" s="18"/>
      <c r="P70" s="19"/>
      <c r="Q70" s="22"/>
      <c r="R70" s="20"/>
      <c r="S70" s="21"/>
      <c r="T70" s="20"/>
      <c r="U70" s="21"/>
      <c r="V70" s="22"/>
      <c r="W70" s="20"/>
      <c r="X70" s="21"/>
      <c r="Y70" s="22"/>
      <c r="Z70" s="20"/>
      <c r="AA70" s="22"/>
      <c r="AB70" s="22"/>
      <c r="AC70" s="34"/>
    </row>
    <row r="71" spans="1:29" s="2" customFormat="1" ht="40.4" customHeight="1">
      <c r="A71" s="165"/>
      <c r="B71" s="165"/>
      <c r="C71" s="763">
        <v>23</v>
      </c>
      <c r="D71" s="765"/>
      <c r="E71" s="765"/>
      <c r="F71" s="805" t="s">
        <v>627</v>
      </c>
      <c r="G71" s="819" t="s">
        <v>626</v>
      </c>
      <c r="H71" s="759"/>
      <c r="I71" s="759" t="s">
        <v>650</v>
      </c>
      <c r="J71" s="804"/>
      <c r="K71" s="391" t="s">
        <v>1502</v>
      </c>
      <c r="L71" s="31"/>
      <c r="M71" s="391" t="s">
        <v>1502</v>
      </c>
      <c r="N71" s="18"/>
      <c r="O71" s="18"/>
      <c r="P71" s="19"/>
      <c r="Q71" s="22"/>
      <c r="R71" s="20"/>
      <c r="S71" s="21"/>
      <c r="T71" s="20"/>
      <c r="U71" s="21"/>
      <c r="V71" s="22"/>
      <c r="W71" s="20"/>
      <c r="X71" s="21"/>
      <c r="Y71" s="22"/>
      <c r="Z71" s="20"/>
      <c r="AA71" s="22"/>
      <c r="AB71" s="22"/>
      <c r="AC71" s="34"/>
    </row>
    <row r="72" spans="1:29" s="2" customFormat="1" ht="40.4" customHeight="1">
      <c r="A72" s="165"/>
      <c r="B72" s="165"/>
      <c r="C72" s="764"/>
      <c r="D72" s="765"/>
      <c r="E72" s="765"/>
      <c r="F72" s="759"/>
      <c r="G72" s="804"/>
      <c r="H72" s="759"/>
      <c r="I72" s="759"/>
      <c r="J72" s="804"/>
      <c r="K72" s="17"/>
      <c r="L72" s="31"/>
      <c r="M72" s="17"/>
      <c r="N72" s="18"/>
      <c r="O72" s="18"/>
      <c r="P72" s="19"/>
      <c r="Q72" s="22"/>
      <c r="R72" s="20"/>
      <c r="S72" s="21"/>
      <c r="T72" s="20"/>
      <c r="U72" s="21"/>
      <c r="V72" s="22"/>
      <c r="W72" s="20"/>
      <c r="X72" s="21"/>
      <c r="Y72" s="22"/>
      <c r="Z72" s="20"/>
      <c r="AA72" s="22"/>
      <c r="AB72" s="22"/>
      <c r="AC72" s="34"/>
    </row>
    <row r="73" spans="1:29" s="2" customFormat="1" ht="40.4" customHeight="1">
      <c r="A73" s="165"/>
      <c r="B73" s="165"/>
      <c r="C73" s="764"/>
      <c r="D73" s="765"/>
      <c r="E73" s="765"/>
      <c r="F73" s="759"/>
      <c r="G73" s="804"/>
      <c r="H73" s="759"/>
      <c r="I73" s="759"/>
      <c r="J73" s="804"/>
      <c r="K73" s="17"/>
      <c r="L73" s="31"/>
      <c r="M73" s="17"/>
      <c r="N73" s="18"/>
      <c r="O73" s="18"/>
      <c r="P73" s="19"/>
      <c r="Q73" s="22"/>
      <c r="R73" s="20"/>
      <c r="S73" s="21"/>
      <c r="T73" s="20"/>
      <c r="U73" s="21"/>
      <c r="V73" s="22"/>
      <c r="W73" s="20"/>
      <c r="X73" s="21"/>
      <c r="Y73" s="22"/>
      <c r="Z73" s="20"/>
      <c r="AA73" s="22"/>
      <c r="AB73" s="22"/>
      <c r="AC73" s="34"/>
    </row>
    <row r="74" spans="1:29" s="2" customFormat="1" ht="40.4" customHeight="1">
      <c r="A74" s="165"/>
      <c r="B74" s="165"/>
      <c r="C74" s="763">
        <v>24</v>
      </c>
      <c r="D74" s="765"/>
      <c r="E74" s="765"/>
      <c r="F74" s="811" t="s">
        <v>592</v>
      </c>
      <c r="G74" s="810" t="s">
        <v>559</v>
      </c>
      <c r="H74" s="759" t="s">
        <v>603</v>
      </c>
      <c r="I74" s="759" t="s">
        <v>561</v>
      </c>
      <c r="J74" s="804"/>
      <c r="K74" s="391" t="s">
        <v>1502</v>
      </c>
      <c r="L74" s="31"/>
      <c r="M74" s="391" t="s">
        <v>1502</v>
      </c>
      <c r="N74" s="18"/>
      <c r="O74" s="18"/>
      <c r="P74" s="19"/>
      <c r="Q74" s="22"/>
      <c r="R74" s="20"/>
      <c r="S74" s="21"/>
      <c r="T74" s="20"/>
      <c r="U74" s="21"/>
      <c r="V74" s="22"/>
      <c r="W74" s="20"/>
      <c r="X74" s="21"/>
      <c r="Y74" s="22"/>
      <c r="Z74" s="20"/>
      <c r="AA74" s="22"/>
      <c r="AB74" s="22"/>
      <c r="AC74" s="34"/>
    </row>
    <row r="75" spans="1:29" s="2" customFormat="1" ht="40.4" customHeight="1">
      <c r="A75" s="165"/>
      <c r="B75" s="165"/>
      <c r="C75" s="764"/>
      <c r="D75" s="765"/>
      <c r="E75" s="765"/>
      <c r="F75" s="759"/>
      <c r="G75" s="804"/>
      <c r="H75" s="759"/>
      <c r="I75" s="759"/>
      <c r="J75" s="804"/>
      <c r="K75" s="17"/>
      <c r="L75" s="31"/>
      <c r="M75" s="17"/>
      <c r="N75" s="18"/>
      <c r="O75" s="18"/>
      <c r="P75" s="19"/>
      <c r="Q75" s="22"/>
      <c r="R75" s="20"/>
      <c r="S75" s="21"/>
      <c r="T75" s="20"/>
      <c r="U75" s="21"/>
      <c r="V75" s="22"/>
      <c r="W75" s="20"/>
      <c r="X75" s="21"/>
      <c r="Y75" s="22"/>
      <c r="Z75" s="20"/>
      <c r="AA75" s="22"/>
      <c r="AB75" s="22"/>
      <c r="AC75" s="34"/>
    </row>
    <row r="76" spans="1:29" s="2" customFormat="1" ht="40.4" customHeight="1">
      <c r="A76" s="165"/>
      <c r="B76" s="165"/>
      <c r="C76" s="764"/>
      <c r="D76" s="765"/>
      <c r="E76" s="765"/>
      <c r="F76" s="759"/>
      <c r="G76" s="804"/>
      <c r="H76" s="759"/>
      <c r="I76" s="759"/>
      <c r="J76" s="804"/>
      <c r="K76" s="17"/>
      <c r="L76" s="31"/>
      <c r="M76" s="17"/>
      <c r="N76" s="18"/>
      <c r="O76" s="18"/>
      <c r="P76" s="19"/>
      <c r="Q76" s="22"/>
      <c r="R76" s="20"/>
      <c r="S76" s="21"/>
      <c r="T76" s="20"/>
      <c r="U76" s="21"/>
      <c r="V76" s="22"/>
      <c r="W76" s="20"/>
      <c r="X76" s="21"/>
      <c r="Y76" s="22"/>
      <c r="Z76" s="20"/>
      <c r="AA76" s="22"/>
      <c r="AB76" s="22"/>
      <c r="AC76" s="34"/>
    </row>
    <row r="77" spans="1:29" s="2" customFormat="1" ht="40.4" customHeight="1">
      <c r="A77" s="165"/>
      <c r="B77" s="165"/>
      <c r="C77" s="763">
        <v>25</v>
      </c>
      <c r="D77" s="765"/>
      <c r="E77" s="765"/>
      <c r="F77" s="811" t="s">
        <v>588</v>
      </c>
      <c r="G77" s="810" t="s">
        <v>559</v>
      </c>
      <c r="H77" s="759"/>
      <c r="I77" s="831" t="s">
        <v>597</v>
      </c>
      <c r="J77" s="804"/>
      <c r="K77" s="391" t="s">
        <v>1502</v>
      </c>
      <c r="L77" s="31"/>
      <c r="M77" s="391" t="s">
        <v>1502</v>
      </c>
      <c r="N77" s="18"/>
      <c r="O77" s="18"/>
      <c r="P77" s="19"/>
      <c r="Q77" s="22"/>
      <c r="R77" s="20"/>
      <c r="S77" s="21"/>
      <c r="T77" s="20"/>
      <c r="U77" s="21"/>
      <c r="V77" s="22"/>
      <c r="W77" s="20"/>
      <c r="X77" s="21"/>
      <c r="Y77" s="22"/>
      <c r="Z77" s="20"/>
      <c r="AA77" s="22"/>
      <c r="AB77" s="22"/>
      <c r="AC77" s="34"/>
    </row>
    <row r="78" spans="1:29" s="2" customFormat="1" ht="40.4" customHeight="1">
      <c r="A78" s="165"/>
      <c r="B78" s="165"/>
      <c r="C78" s="764"/>
      <c r="D78" s="765"/>
      <c r="E78" s="765"/>
      <c r="F78" s="759"/>
      <c r="G78" s="804"/>
      <c r="H78" s="759"/>
      <c r="I78" s="831"/>
      <c r="J78" s="804"/>
      <c r="K78" s="17"/>
      <c r="L78" s="31"/>
      <c r="M78" s="17"/>
      <c r="N78" s="18"/>
      <c r="O78" s="18"/>
      <c r="P78" s="19"/>
      <c r="Q78" s="22"/>
      <c r="R78" s="20"/>
      <c r="S78" s="21"/>
      <c r="T78" s="20"/>
      <c r="U78" s="21"/>
      <c r="V78" s="22"/>
      <c r="W78" s="20"/>
      <c r="X78" s="21"/>
      <c r="Y78" s="22"/>
      <c r="Z78" s="20"/>
      <c r="AA78" s="22"/>
      <c r="AB78" s="22"/>
      <c r="AC78" s="34"/>
    </row>
    <row r="79" spans="1:29" s="2" customFormat="1" ht="40.4" customHeight="1">
      <c r="A79" s="165"/>
      <c r="B79" s="165"/>
      <c r="C79" s="764"/>
      <c r="D79" s="765"/>
      <c r="E79" s="765"/>
      <c r="F79" s="759"/>
      <c r="G79" s="804"/>
      <c r="H79" s="759"/>
      <c r="I79" s="831"/>
      <c r="J79" s="804"/>
      <c r="K79" s="17"/>
      <c r="L79" s="31"/>
      <c r="M79" s="17"/>
      <c r="N79" s="18"/>
      <c r="O79" s="18"/>
      <c r="P79" s="19"/>
      <c r="Q79" s="22"/>
      <c r="R79" s="20"/>
      <c r="S79" s="21"/>
      <c r="T79" s="20"/>
      <c r="U79" s="21"/>
      <c r="V79" s="22"/>
      <c r="W79" s="20"/>
      <c r="X79" s="21"/>
      <c r="Y79" s="22"/>
      <c r="Z79" s="20"/>
      <c r="AA79" s="22"/>
      <c r="AB79" s="22"/>
      <c r="AC79" s="34"/>
    </row>
    <row r="80" spans="1:29" s="2" customFormat="1" ht="40.4" customHeight="1">
      <c r="A80" s="165"/>
      <c r="B80" s="165"/>
      <c r="C80" s="763">
        <v>26</v>
      </c>
      <c r="D80" s="765"/>
      <c r="E80" s="765"/>
      <c r="F80" s="811" t="s">
        <v>590</v>
      </c>
      <c r="G80" s="810" t="s">
        <v>559</v>
      </c>
      <c r="H80" s="759"/>
      <c r="I80" s="759" t="s">
        <v>600</v>
      </c>
      <c r="J80" s="804"/>
      <c r="K80" s="391" t="s">
        <v>1502</v>
      </c>
      <c r="L80" s="31"/>
      <c r="M80" s="391" t="s">
        <v>1502</v>
      </c>
      <c r="N80" s="18"/>
      <c r="O80" s="18"/>
      <c r="P80" s="19"/>
      <c r="Q80" s="22"/>
      <c r="R80" s="20"/>
      <c r="S80" s="21"/>
      <c r="T80" s="20"/>
      <c r="U80" s="21"/>
      <c r="V80" s="22"/>
      <c r="W80" s="20"/>
      <c r="X80" s="21"/>
      <c r="Y80" s="22"/>
      <c r="Z80" s="20"/>
      <c r="AA80" s="22"/>
      <c r="AB80" s="22"/>
      <c r="AC80" s="34"/>
    </row>
    <row r="81" spans="1:29" s="2" customFormat="1" ht="40.4" customHeight="1">
      <c r="A81" s="165"/>
      <c r="B81" s="165"/>
      <c r="C81" s="764"/>
      <c r="D81" s="765"/>
      <c r="E81" s="765"/>
      <c r="F81" s="759"/>
      <c r="G81" s="804"/>
      <c r="H81" s="759"/>
      <c r="I81" s="759"/>
      <c r="J81" s="804"/>
      <c r="K81" s="17"/>
      <c r="L81" s="31"/>
      <c r="M81" s="17"/>
      <c r="N81" s="18"/>
      <c r="O81" s="18"/>
      <c r="P81" s="19"/>
      <c r="Q81" s="22"/>
      <c r="R81" s="20"/>
      <c r="S81" s="21"/>
      <c r="T81" s="20"/>
      <c r="U81" s="21"/>
      <c r="V81" s="22"/>
      <c r="W81" s="20"/>
      <c r="X81" s="21"/>
      <c r="Y81" s="22"/>
      <c r="Z81" s="20"/>
      <c r="AA81" s="22"/>
      <c r="AB81" s="22"/>
      <c r="AC81" s="34"/>
    </row>
    <row r="82" spans="1:29" s="2" customFormat="1" ht="40.4" customHeight="1">
      <c r="A82" s="165"/>
      <c r="B82" s="165"/>
      <c r="C82" s="764"/>
      <c r="D82" s="765"/>
      <c r="E82" s="765"/>
      <c r="F82" s="759"/>
      <c r="G82" s="804"/>
      <c r="H82" s="759"/>
      <c r="I82" s="759"/>
      <c r="J82" s="804"/>
      <c r="K82" s="17"/>
      <c r="L82" s="31"/>
      <c r="M82" s="17"/>
      <c r="N82" s="18"/>
      <c r="O82" s="18"/>
      <c r="P82" s="19"/>
      <c r="Q82" s="22"/>
      <c r="R82" s="20"/>
      <c r="S82" s="21"/>
      <c r="T82" s="20"/>
      <c r="U82" s="21"/>
      <c r="V82" s="22"/>
      <c r="W82" s="20"/>
      <c r="X82" s="21"/>
      <c r="Y82" s="22"/>
      <c r="Z82" s="20"/>
      <c r="AA82" s="22"/>
      <c r="AB82" s="22"/>
      <c r="AC82" s="34"/>
    </row>
    <row r="83" spans="1:29" s="2" customFormat="1" ht="40.4" customHeight="1">
      <c r="A83" s="165"/>
      <c r="B83" s="165"/>
      <c r="C83" s="763">
        <v>27</v>
      </c>
      <c r="D83" s="765"/>
      <c r="E83" s="765"/>
      <c r="F83" s="811" t="s">
        <v>594</v>
      </c>
      <c r="G83" s="810" t="s">
        <v>559</v>
      </c>
      <c r="H83" s="759"/>
      <c r="I83" s="759" t="s">
        <v>606</v>
      </c>
      <c r="J83" s="804"/>
      <c r="K83" s="391" t="s">
        <v>1502</v>
      </c>
      <c r="L83" s="31"/>
      <c r="M83" s="391" t="s">
        <v>1502</v>
      </c>
      <c r="N83" s="18"/>
      <c r="O83" s="18"/>
      <c r="P83" s="19"/>
      <c r="Q83" s="22"/>
      <c r="R83" s="20"/>
      <c r="S83" s="21"/>
      <c r="T83" s="20"/>
      <c r="U83" s="21"/>
      <c r="V83" s="22"/>
      <c r="W83" s="20"/>
      <c r="X83" s="21"/>
      <c r="Y83" s="22"/>
      <c r="Z83" s="20"/>
      <c r="AA83" s="22"/>
      <c r="AB83" s="22"/>
      <c r="AC83" s="34"/>
    </row>
    <row r="84" spans="1:29" s="2" customFormat="1" ht="40.4" customHeight="1">
      <c r="A84" s="165"/>
      <c r="B84" s="165"/>
      <c r="C84" s="764"/>
      <c r="D84" s="765"/>
      <c r="E84" s="765"/>
      <c r="F84" s="759"/>
      <c r="G84" s="804"/>
      <c r="H84" s="759"/>
      <c r="I84" s="759"/>
      <c r="J84" s="804"/>
      <c r="K84" s="17"/>
      <c r="L84" s="31"/>
      <c r="M84" s="17"/>
      <c r="N84" s="18"/>
      <c r="O84" s="18"/>
      <c r="P84" s="19"/>
      <c r="Q84" s="22"/>
      <c r="R84" s="20"/>
      <c r="S84" s="21"/>
      <c r="T84" s="20"/>
      <c r="U84" s="21"/>
      <c r="V84" s="22"/>
      <c r="W84" s="20"/>
      <c r="X84" s="21"/>
      <c r="Y84" s="22"/>
      <c r="Z84" s="20"/>
      <c r="AA84" s="22"/>
      <c r="AB84" s="22"/>
      <c r="AC84" s="34"/>
    </row>
    <row r="85" spans="1:29" s="2" customFormat="1" ht="40.4" customHeight="1">
      <c r="A85" s="165"/>
      <c r="B85" s="165"/>
      <c r="C85" s="764"/>
      <c r="D85" s="765"/>
      <c r="E85" s="765"/>
      <c r="F85" s="759"/>
      <c r="G85" s="804"/>
      <c r="H85" s="759"/>
      <c r="I85" s="759"/>
      <c r="J85" s="804"/>
      <c r="K85" s="17"/>
      <c r="L85" s="31"/>
      <c r="M85" s="17"/>
      <c r="N85" s="18"/>
      <c r="O85" s="18"/>
      <c r="P85" s="19"/>
      <c r="Q85" s="22"/>
      <c r="R85" s="20"/>
      <c r="S85" s="21"/>
      <c r="T85" s="20"/>
      <c r="U85" s="21"/>
      <c r="V85" s="22"/>
      <c r="W85" s="20"/>
      <c r="X85" s="21"/>
      <c r="Y85" s="22"/>
      <c r="Z85" s="20"/>
      <c r="AA85" s="22"/>
      <c r="AB85" s="22"/>
      <c r="AC85" s="34"/>
    </row>
    <row r="86" spans="1:29" s="2" customFormat="1" ht="40.4" customHeight="1">
      <c r="A86" s="165"/>
      <c r="B86" s="165"/>
      <c r="C86" s="763">
        <v>28</v>
      </c>
      <c r="D86" s="764"/>
      <c r="E86" s="764"/>
      <c r="F86" s="835" t="s">
        <v>571</v>
      </c>
      <c r="G86" s="815" t="s">
        <v>563</v>
      </c>
      <c r="H86" s="838"/>
      <c r="I86" s="759" t="s">
        <v>575</v>
      </c>
      <c r="J86" s="804"/>
      <c r="K86" s="391" t="s">
        <v>1501</v>
      </c>
      <c r="L86" s="31"/>
      <c r="M86" s="391" t="s">
        <v>1501</v>
      </c>
      <c r="N86" s="18"/>
      <c r="O86" s="18"/>
      <c r="P86" s="19"/>
      <c r="Q86" s="22"/>
      <c r="R86" s="23"/>
      <c r="S86" s="24"/>
      <c r="T86" s="23"/>
      <c r="U86" s="24"/>
      <c r="V86" s="22"/>
      <c r="W86" s="23"/>
      <c r="X86" s="24"/>
      <c r="Y86" s="22"/>
      <c r="Z86" s="23"/>
      <c r="AA86" s="22"/>
      <c r="AB86" s="22"/>
      <c r="AC86" s="16"/>
    </row>
    <row r="87" spans="1:29" s="2" customFormat="1" ht="40.4" customHeight="1">
      <c r="A87" s="165"/>
      <c r="B87" s="165"/>
      <c r="C87" s="764"/>
      <c r="D87" s="764"/>
      <c r="E87" s="764"/>
      <c r="F87" s="759"/>
      <c r="G87" s="804"/>
      <c r="H87" s="838"/>
      <c r="I87" s="759"/>
      <c r="J87" s="804"/>
      <c r="K87" s="17"/>
      <c r="L87" s="31"/>
      <c r="M87" s="17"/>
      <c r="N87" s="18"/>
      <c r="O87" s="18"/>
      <c r="P87" s="19"/>
      <c r="Q87" s="22"/>
      <c r="R87" s="23"/>
      <c r="S87" s="24"/>
      <c r="T87" s="23"/>
      <c r="U87" s="24"/>
      <c r="V87" s="22"/>
      <c r="W87" s="23"/>
      <c r="X87" s="24"/>
      <c r="Y87" s="22"/>
      <c r="Z87" s="23"/>
      <c r="AA87" s="22"/>
      <c r="AB87" s="22"/>
      <c r="AC87" s="16"/>
    </row>
    <row r="88" spans="1:29" s="2" customFormat="1" ht="40.4" customHeight="1">
      <c r="A88" s="165"/>
      <c r="B88" s="165"/>
      <c r="C88" s="764"/>
      <c r="D88" s="764"/>
      <c r="E88" s="764"/>
      <c r="F88" s="759"/>
      <c r="G88" s="804"/>
      <c r="H88" s="838"/>
      <c r="I88" s="759"/>
      <c r="J88" s="804"/>
      <c r="K88" s="17"/>
      <c r="L88" s="31"/>
      <c r="M88" s="17"/>
      <c r="N88" s="18"/>
      <c r="O88" s="18"/>
      <c r="P88" s="19"/>
      <c r="Q88" s="22"/>
      <c r="R88" s="23"/>
      <c r="S88" s="24"/>
      <c r="T88" s="23"/>
      <c r="U88" s="24"/>
      <c r="V88" s="22"/>
      <c r="W88" s="23"/>
      <c r="X88" s="24"/>
      <c r="Y88" s="22"/>
      <c r="Z88" s="23"/>
      <c r="AA88" s="22"/>
      <c r="AB88" s="22"/>
      <c r="AC88" s="16"/>
    </row>
    <row r="89" spans="1:29" s="2" customFormat="1" ht="40.4" customHeight="1">
      <c r="A89" s="165"/>
      <c r="B89" s="165"/>
      <c r="C89" s="763">
        <v>29</v>
      </c>
      <c r="D89" s="764"/>
      <c r="E89" s="764"/>
      <c r="F89" s="835" t="s">
        <v>572</v>
      </c>
      <c r="G89" s="815" t="s">
        <v>563</v>
      </c>
      <c r="H89" s="759"/>
      <c r="I89" s="759" t="s">
        <v>576</v>
      </c>
      <c r="J89" s="804"/>
      <c r="K89" s="391" t="s">
        <v>1501</v>
      </c>
      <c r="L89" s="31"/>
      <c r="M89" s="391" t="s">
        <v>1501</v>
      </c>
      <c r="N89" s="18"/>
      <c r="O89" s="18"/>
      <c r="P89" s="19"/>
      <c r="Q89" s="22"/>
      <c r="R89" s="23"/>
      <c r="S89" s="24"/>
      <c r="T89" s="23"/>
      <c r="U89" s="24"/>
      <c r="V89" s="22"/>
      <c r="W89" s="23"/>
      <c r="X89" s="24"/>
      <c r="Y89" s="22"/>
      <c r="Z89" s="23"/>
      <c r="AA89" s="22"/>
      <c r="AB89" s="22"/>
      <c r="AC89" s="16"/>
    </row>
    <row r="90" spans="1:29" s="2" customFormat="1" ht="40.4" customHeight="1">
      <c r="A90" s="165"/>
      <c r="B90" s="165"/>
      <c r="C90" s="764"/>
      <c r="D90" s="764"/>
      <c r="E90" s="764"/>
      <c r="F90" s="759"/>
      <c r="G90" s="804"/>
      <c r="H90" s="759"/>
      <c r="I90" s="759"/>
      <c r="J90" s="804"/>
      <c r="K90" s="17"/>
      <c r="L90" s="31"/>
      <c r="M90" s="17"/>
      <c r="N90" s="18"/>
      <c r="O90" s="18"/>
      <c r="P90" s="19"/>
      <c r="Q90" s="22"/>
      <c r="R90" s="23"/>
      <c r="S90" s="24"/>
      <c r="T90" s="23"/>
      <c r="U90" s="24"/>
      <c r="V90" s="22"/>
      <c r="W90" s="23"/>
      <c r="X90" s="24"/>
      <c r="Y90" s="22"/>
      <c r="Z90" s="23"/>
      <c r="AA90" s="22"/>
      <c r="AB90" s="22"/>
      <c r="AC90" s="16"/>
    </row>
    <row r="91" spans="1:29" s="2" customFormat="1" ht="40.4" customHeight="1">
      <c r="A91" s="165"/>
      <c r="B91" s="165"/>
      <c r="C91" s="764"/>
      <c r="D91" s="764"/>
      <c r="E91" s="764"/>
      <c r="F91" s="759"/>
      <c r="G91" s="804"/>
      <c r="H91" s="759"/>
      <c r="I91" s="759"/>
      <c r="J91" s="804"/>
      <c r="K91" s="17"/>
      <c r="L91" s="31"/>
      <c r="M91" s="17"/>
      <c r="N91" s="18"/>
      <c r="O91" s="18"/>
      <c r="P91" s="19"/>
      <c r="Q91" s="22"/>
      <c r="R91" s="23"/>
      <c r="S91" s="24"/>
      <c r="T91" s="23"/>
      <c r="U91" s="24"/>
      <c r="V91" s="22"/>
      <c r="W91" s="23"/>
      <c r="X91" s="24"/>
      <c r="Y91" s="22"/>
      <c r="Z91" s="23"/>
      <c r="AA91" s="22"/>
      <c r="AB91" s="22"/>
      <c r="AC91" s="16"/>
    </row>
    <row r="92" spans="1:29" s="2" customFormat="1" ht="40.4" customHeight="1">
      <c r="A92" s="165"/>
      <c r="B92" s="165"/>
      <c r="C92" s="763">
        <v>30</v>
      </c>
      <c r="D92" s="764"/>
      <c r="E92" s="764"/>
      <c r="F92" s="835" t="s">
        <v>573</v>
      </c>
      <c r="G92" s="815" t="s">
        <v>563</v>
      </c>
      <c r="H92" s="759"/>
      <c r="I92" s="759" t="s">
        <v>575</v>
      </c>
      <c r="J92" s="804"/>
      <c r="K92" s="391" t="s">
        <v>1501</v>
      </c>
      <c r="L92" s="31"/>
      <c r="M92" s="391" t="s">
        <v>1501</v>
      </c>
      <c r="N92" s="18"/>
      <c r="O92" s="18"/>
      <c r="P92" s="19"/>
      <c r="Q92" s="22"/>
      <c r="R92" s="23"/>
      <c r="S92" s="24"/>
      <c r="T92" s="23"/>
      <c r="U92" s="24"/>
      <c r="V92" s="22"/>
      <c r="W92" s="23"/>
      <c r="X92" s="24"/>
      <c r="Y92" s="22"/>
      <c r="Z92" s="23"/>
      <c r="AA92" s="22"/>
      <c r="AB92" s="22"/>
      <c r="AC92" s="16"/>
    </row>
    <row r="93" spans="1:29" s="2" customFormat="1" ht="40.4" customHeight="1">
      <c r="A93" s="165"/>
      <c r="B93" s="165"/>
      <c r="C93" s="764"/>
      <c r="D93" s="764"/>
      <c r="E93" s="764"/>
      <c r="F93" s="759"/>
      <c r="G93" s="804"/>
      <c r="H93" s="759"/>
      <c r="I93" s="759"/>
      <c r="J93" s="804"/>
      <c r="K93" s="17"/>
      <c r="L93" s="31"/>
      <c r="M93" s="17"/>
      <c r="N93" s="18"/>
      <c r="O93" s="18"/>
      <c r="P93" s="19"/>
      <c r="Q93" s="22"/>
      <c r="R93" s="23"/>
      <c r="S93" s="24"/>
      <c r="T93" s="23"/>
      <c r="U93" s="24"/>
      <c r="V93" s="22"/>
      <c r="W93" s="23"/>
      <c r="X93" s="24"/>
      <c r="Y93" s="22"/>
      <c r="Z93" s="23"/>
      <c r="AA93" s="22"/>
      <c r="AB93" s="22"/>
      <c r="AC93" s="16"/>
    </row>
    <row r="94" spans="1:29" s="2" customFormat="1" ht="40.4" customHeight="1">
      <c r="A94" s="165"/>
      <c r="B94" s="165"/>
      <c r="C94" s="764"/>
      <c r="D94" s="764"/>
      <c r="E94" s="764"/>
      <c r="F94" s="759"/>
      <c r="G94" s="804"/>
      <c r="H94" s="759"/>
      <c r="I94" s="759"/>
      <c r="J94" s="804"/>
      <c r="K94" s="17"/>
      <c r="L94" s="31"/>
      <c r="M94" s="17"/>
      <c r="N94" s="18"/>
      <c r="O94" s="18"/>
      <c r="P94" s="19"/>
      <c r="Q94" s="22"/>
      <c r="R94" s="23"/>
      <c r="S94" s="24"/>
      <c r="T94" s="23"/>
      <c r="U94" s="24"/>
      <c r="V94" s="22"/>
      <c r="W94" s="23"/>
      <c r="X94" s="24"/>
      <c r="Y94" s="22"/>
      <c r="Z94" s="23"/>
      <c r="AA94" s="22"/>
      <c r="AB94" s="22"/>
      <c r="AC94" s="16"/>
    </row>
    <row r="95" spans="1:29" s="2" customFormat="1" ht="40.4" customHeight="1">
      <c r="A95" s="165"/>
      <c r="B95" s="165"/>
      <c r="C95" s="763">
        <v>31</v>
      </c>
      <c r="D95" s="764"/>
      <c r="E95" s="764"/>
      <c r="F95" s="835" t="s">
        <v>574</v>
      </c>
      <c r="G95" s="815" t="s">
        <v>563</v>
      </c>
      <c r="H95" s="759"/>
      <c r="I95" s="759" t="s">
        <v>575</v>
      </c>
      <c r="J95" s="804"/>
      <c r="K95" s="391" t="s">
        <v>1501</v>
      </c>
      <c r="L95" s="31"/>
      <c r="M95" s="391" t="s">
        <v>1501</v>
      </c>
      <c r="N95" s="18"/>
      <c r="O95" s="18"/>
      <c r="P95" s="19"/>
      <c r="Q95" s="22"/>
      <c r="R95" s="23"/>
      <c r="S95" s="24"/>
      <c r="T95" s="23"/>
      <c r="U95" s="24"/>
      <c r="V95" s="22"/>
      <c r="W95" s="23"/>
      <c r="X95" s="24"/>
      <c r="Y95" s="22"/>
      <c r="Z95" s="23"/>
      <c r="AA95" s="22"/>
      <c r="AB95" s="22"/>
      <c r="AC95" s="16"/>
    </row>
    <row r="96" spans="1:29" s="2" customFormat="1" ht="40.4" customHeight="1">
      <c r="A96" s="165"/>
      <c r="B96" s="165"/>
      <c r="C96" s="764"/>
      <c r="D96" s="764"/>
      <c r="E96" s="764"/>
      <c r="F96" s="759"/>
      <c r="G96" s="804"/>
      <c r="H96" s="759"/>
      <c r="I96" s="759"/>
      <c r="J96" s="804"/>
      <c r="K96" s="17"/>
      <c r="L96" s="31"/>
      <c r="M96" s="17"/>
      <c r="N96" s="18"/>
      <c r="O96" s="18"/>
      <c r="P96" s="19"/>
      <c r="Q96" s="22"/>
      <c r="R96" s="23"/>
      <c r="S96" s="24"/>
      <c r="T96" s="23"/>
      <c r="U96" s="24"/>
      <c r="V96" s="22"/>
      <c r="W96" s="23"/>
      <c r="X96" s="24"/>
      <c r="Y96" s="22"/>
      <c r="Z96" s="23"/>
      <c r="AA96" s="22"/>
      <c r="AB96" s="22"/>
      <c r="AC96" s="16"/>
    </row>
    <row r="97" spans="1:29" s="2" customFormat="1" ht="40.4" customHeight="1">
      <c r="A97" s="165"/>
      <c r="B97" s="165"/>
      <c r="C97" s="764"/>
      <c r="D97" s="764"/>
      <c r="E97" s="764"/>
      <c r="F97" s="759"/>
      <c r="G97" s="804"/>
      <c r="H97" s="759"/>
      <c r="I97" s="759"/>
      <c r="J97" s="804"/>
      <c r="K97" s="17"/>
      <c r="L97" s="31"/>
      <c r="M97" s="17"/>
      <c r="N97" s="18"/>
      <c r="O97" s="18"/>
      <c r="P97" s="19"/>
      <c r="Q97" s="22"/>
      <c r="R97" s="23"/>
      <c r="S97" s="24"/>
      <c r="T97" s="23"/>
      <c r="U97" s="24"/>
      <c r="V97" s="22"/>
      <c r="W97" s="23"/>
      <c r="X97" s="24"/>
      <c r="Y97" s="22"/>
      <c r="Z97" s="23"/>
      <c r="AA97" s="22"/>
      <c r="AB97" s="22"/>
      <c r="AC97" s="16"/>
    </row>
    <row r="98" spans="1:29" s="2" customFormat="1" ht="40.4" customHeight="1">
      <c r="A98" s="165"/>
      <c r="B98" s="165"/>
      <c r="C98" s="763">
        <v>32</v>
      </c>
      <c r="D98" s="765"/>
      <c r="E98" s="765"/>
      <c r="F98" s="791" t="s">
        <v>614</v>
      </c>
      <c r="G98" s="822" t="s">
        <v>613</v>
      </c>
      <c r="H98" s="759"/>
      <c r="I98" s="759" t="s">
        <v>639</v>
      </c>
      <c r="J98" s="804"/>
      <c r="K98" s="391" t="s">
        <v>1502</v>
      </c>
      <c r="L98" s="31"/>
      <c r="M98" s="391" t="s">
        <v>1502</v>
      </c>
      <c r="N98" s="18"/>
      <c r="O98" s="18"/>
      <c r="P98" s="19"/>
      <c r="Q98" s="22"/>
      <c r="R98" s="20"/>
      <c r="S98" s="21"/>
      <c r="T98" s="20"/>
      <c r="U98" s="21"/>
      <c r="V98" s="22"/>
      <c r="W98" s="20"/>
      <c r="X98" s="21"/>
      <c r="Y98" s="22"/>
      <c r="Z98" s="20"/>
      <c r="AA98" s="22"/>
      <c r="AB98" s="22"/>
      <c r="AC98" s="34"/>
    </row>
    <row r="99" spans="1:29" s="2" customFormat="1" ht="40.4" customHeight="1">
      <c r="A99" s="165"/>
      <c r="B99" s="165"/>
      <c r="C99" s="764"/>
      <c r="D99" s="765"/>
      <c r="E99" s="765"/>
      <c r="F99" s="759"/>
      <c r="G99" s="804"/>
      <c r="H99" s="759"/>
      <c r="I99" s="759"/>
      <c r="J99" s="804"/>
      <c r="K99" s="17"/>
      <c r="L99" s="31"/>
      <c r="M99" s="17"/>
      <c r="N99" s="18"/>
      <c r="O99" s="18"/>
      <c r="P99" s="19"/>
      <c r="Q99" s="22"/>
      <c r="R99" s="20"/>
      <c r="S99" s="21"/>
      <c r="T99" s="20"/>
      <c r="U99" s="21"/>
      <c r="V99" s="22"/>
      <c r="W99" s="20"/>
      <c r="X99" s="21"/>
      <c r="Y99" s="22"/>
      <c r="Z99" s="20"/>
      <c r="AA99" s="22"/>
      <c r="AB99" s="22"/>
      <c r="AC99" s="34"/>
    </row>
    <row r="100" spans="1:29" s="2" customFormat="1" ht="40.4" customHeight="1">
      <c r="A100" s="165"/>
      <c r="B100" s="165"/>
      <c r="C100" s="764"/>
      <c r="D100" s="765"/>
      <c r="E100" s="765"/>
      <c r="F100" s="759"/>
      <c r="G100" s="804"/>
      <c r="H100" s="759"/>
      <c r="I100" s="759"/>
      <c r="J100" s="804"/>
      <c r="K100" s="17"/>
      <c r="L100" s="31"/>
      <c r="M100" s="17"/>
      <c r="N100" s="18"/>
      <c r="O100" s="18"/>
      <c r="P100" s="19"/>
      <c r="Q100" s="22"/>
      <c r="R100" s="20"/>
      <c r="S100" s="21"/>
      <c r="T100" s="20"/>
      <c r="U100" s="21"/>
      <c r="V100" s="22"/>
      <c r="W100" s="20"/>
      <c r="X100" s="21"/>
      <c r="Y100" s="22"/>
      <c r="Z100" s="20"/>
      <c r="AA100" s="22"/>
      <c r="AB100" s="22"/>
      <c r="AC100" s="34"/>
    </row>
    <row r="101" spans="1:29" s="2" customFormat="1" ht="40.4" customHeight="1">
      <c r="A101" s="165"/>
      <c r="B101" s="165"/>
      <c r="C101" s="763">
        <v>33</v>
      </c>
      <c r="D101" s="765"/>
      <c r="E101" s="765"/>
      <c r="F101" s="791" t="s">
        <v>617</v>
      </c>
      <c r="G101" s="822" t="s">
        <v>613</v>
      </c>
      <c r="H101" s="759"/>
      <c r="I101" s="759" t="s">
        <v>643</v>
      </c>
      <c r="J101" s="804"/>
      <c r="K101" s="391" t="s">
        <v>1502</v>
      </c>
      <c r="L101" s="31"/>
      <c r="M101" s="391" t="s">
        <v>1502</v>
      </c>
      <c r="N101" s="18"/>
      <c r="O101" s="18"/>
      <c r="P101" s="19"/>
      <c r="Q101" s="22"/>
      <c r="R101" s="20"/>
      <c r="S101" s="21"/>
      <c r="T101" s="20"/>
      <c r="U101" s="21"/>
      <c r="V101" s="22"/>
      <c r="W101" s="20"/>
      <c r="X101" s="21"/>
      <c r="Y101" s="22"/>
      <c r="Z101" s="20"/>
      <c r="AA101" s="22"/>
      <c r="AB101" s="22"/>
      <c r="AC101" s="34"/>
    </row>
    <row r="102" spans="1:29" s="2" customFormat="1" ht="40.4" customHeight="1">
      <c r="A102" s="165"/>
      <c r="B102" s="165"/>
      <c r="C102" s="764"/>
      <c r="D102" s="765"/>
      <c r="E102" s="765"/>
      <c r="F102" s="759"/>
      <c r="G102" s="804"/>
      <c r="H102" s="759"/>
      <c r="I102" s="759"/>
      <c r="J102" s="804"/>
      <c r="K102" s="17"/>
      <c r="L102" s="31"/>
      <c r="M102" s="17"/>
      <c r="N102" s="18"/>
      <c r="O102" s="18"/>
      <c r="P102" s="19"/>
      <c r="Q102" s="22"/>
      <c r="R102" s="20"/>
      <c r="S102" s="21"/>
      <c r="T102" s="20"/>
      <c r="U102" s="21"/>
      <c r="V102" s="22"/>
      <c r="W102" s="20"/>
      <c r="X102" s="21"/>
      <c r="Y102" s="22"/>
      <c r="Z102" s="20"/>
      <c r="AA102" s="22"/>
      <c r="AB102" s="22"/>
      <c r="AC102" s="34"/>
    </row>
    <row r="103" spans="1:29" s="2" customFormat="1" ht="40.4" customHeight="1">
      <c r="A103" s="165"/>
      <c r="B103" s="165"/>
      <c r="C103" s="764"/>
      <c r="D103" s="765"/>
      <c r="E103" s="765"/>
      <c r="F103" s="759"/>
      <c r="G103" s="804"/>
      <c r="H103" s="759"/>
      <c r="I103" s="759"/>
      <c r="J103" s="804"/>
      <c r="K103" s="17"/>
      <c r="L103" s="31"/>
      <c r="M103" s="17"/>
      <c r="N103" s="18"/>
      <c r="O103" s="18"/>
      <c r="P103" s="19"/>
      <c r="Q103" s="22"/>
      <c r="R103" s="20"/>
      <c r="S103" s="21"/>
      <c r="T103" s="20"/>
      <c r="U103" s="21"/>
      <c r="V103" s="22"/>
      <c r="W103" s="20"/>
      <c r="X103" s="21"/>
      <c r="Y103" s="22"/>
      <c r="Z103" s="20"/>
      <c r="AA103" s="22"/>
      <c r="AB103" s="22"/>
      <c r="AC103" s="34"/>
    </row>
    <row r="104" spans="1:29" s="2" customFormat="1" ht="40.4" customHeight="1">
      <c r="A104" s="165"/>
      <c r="B104" s="165"/>
      <c r="C104" s="763">
        <v>34</v>
      </c>
      <c r="D104" s="765"/>
      <c r="E104" s="765"/>
      <c r="F104" s="791" t="s">
        <v>619</v>
      </c>
      <c r="G104" s="822" t="s">
        <v>613</v>
      </c>
      <c r="H104" s="759"/>
      <c r="I104" s="759" t="s">
        <v>645</v>
      </c>
      <c r="J104" s="804"/>
      <c r="K104" s="391" t="s">
        <v>1502</v>
      </c>
      <c r="L104" s="31"/>
      <c r="M104" s="391" t="s">
        <v>1502</v>
      </c>
      <c r="N104" s="18"/>
      <c r="O104" s="18"/>
      <c r="P104" s="19"/>
      <c r="Q104" s="22"/>
      <c r="R104" s="20"/>
      <c r="S104" s="21"/>
      <c r="T104" s="20"/>
      <c r="U104" s="21"/>
      <c r="V104" s="22"/>
      <c r="W104" s="20"/>
      <c r="X104" s="21"/>
      <c r="Y104" s="22"/>
      <c r="Z104" s="20"/>
      <c r="AA104" s="22"/>
      <c r="AB104" s="22"/>
      <c r="AC104" s="34"/>
    </row>
    <row r="105" spans="1:29" s="2" customFormat="1" ht="40.4" customHeight="1">
      <c r="A105" s="165"/>
      <c r="B105" s="165"/>
      <c r="C105" s="764"/>
      <c r="D105" s="765"/>
      <c r="E105" s="765"/>
      <c r="F105" s="759"/>
      <c r="G105" s="804"/>
      <c r="H105" s="759"/>
      <c r="I105" s="759"/>
      <c r="J105" s="804"/>
      <c r="K105" s="17"/>
      <c r="L105" s="31"/>
      <c r="M105" s="17"/>
      <c r="N105" s="18"/>
      <c r="O105" s="18"/>
      <c r="P105" s="19"/>
      <c r="Q105" s="22"/>
      <c r="R105" s="20"/>
      <c r="S105" s="21"/>
      <c r="T105" s="20"/>
      <c r="U105" s="21"/>
      <c r="V105" s="22"/>
      <c r="W105" s="20"/>
      <c r="X105" s="21"/>
      <c r="Y105" s="22"/>
      <c r="Z105" s="20"/>
      <c r="AA105" s="22"/>
      <c r="AB105" s="22"/>
      <c r="AC105" s="34"/>
    </row>
    <row r="106" spans="1:29" s="2" customFormat="1" ht="40.4" customHeight="1">
      <c r="A106" s="165"/>
      <c r="B106" s="165"/>
      <c r="C106" s="764"/>
      <c r="D106" s="765"/>
      <c r="E106" s="765"/>
      <c r="F106" s="759"/>
      <c r="G106" s="804"/>
      <c r="H106" s="759"/>
      <c r="I106" s="759"/>
      <c r="J106" s="804"/>
      <c r="K106" s="17"/>
      <c r="L106" s="31"/>
      <c r="M106" s="17"/>
      <c r="N106" s="18"/>
      <c r="O106" s="18"/>
      <c r="P106" s="19"/>
      <c r="Q106" s="22"/>
      <c r="R106" s="20"/>
      <c r="S106" s="21"/>
      <c r="T106" s="20"/>
      <c r="U106" s="21"/>
      <c r="V106" s="22"/>
      <c r="W106" s="20"/>
      <c r="X106" s="21"/>
      <c r="Y106" s="22"/>
      <c r="Z106" s="20"/>
      <c r="AA106" s="22"/>
      <c r="AB106" s="22"/>
      <c r="AC106" s="34"/>
    </row>
    <row r="107" spans="1:29" s="2" customFormat="1" ht="40.4" customHeight="1">
      <c r="A107" s="165"/>
      <c r="B107" s="165"/>
      <c r="C107" s="763">
        <v>35</v>
      </c>
      <c r="D107" s="765"/>
      <c r="E107" s="765"/>
      <c r="F107" s="836" t="s">
        <v>623</v>
      </c>
      <c r="G107" s="834" t="s">
        <v>622</v>
      </c>
      <c r="H107" s="759"/>
      <c r="I107" s="759" t="s">
        <v>647</v>
      </c>
      <c r="J107" s="804"/>
      <c r="K107" s="391" t="s">
        <v>1502</v>
      </c>
      <c r="L107" s="31"/>
      <c r="M107" s="391" t="s">
        <v>1502</v>
      </c>
      <c r="N107" s="18"/>
      <c r="O107" s="18"/>
      <c r="P107" s="19"/>
      <c r="Q107" s="22"/>
      <c r="R107" s="20"/>
      <c r="S107" s="21"/>
      <c r="T107" s="20"/>
      <c r="U107" s="21"/>
      <c r="V107" s="22"/>
      <c r="W107" s="20"/>
      <c r="X107" s="21"/>
      <c r="Y107" s="22"/>
      <c r="Z107" s="20"/>
      <c r="AA107" s="22"/>
      <c r="AB107" s="22"/>
      <c r="AC107" s="34"/>
    </row>
    <row r="108" spans="1:29" s="2" customFormat="1" ht="40.4" customHeight="1">
      <c r="A108" s="165"/>
      <c r="B108" s="165"/>
      <c r="C108" s="764"/>
      <c r="D108" s="765"/>
      <c r="E108" s="765"/>
      <c r="F108" s="836"/>
      <c r="G108" s="834"/>
      <c r="H108" s="759"/>
      <c r="I108" s="759"/>
      <c r="J108" s="804"/>
      <c r="K108" s="17"/>
      <c r="L108" s="31"/>
      <c r="M108" s="17"/>
      <c r="N108" s="18"/>
      <c r="O108" s="18"/>
      <c r="P108" s="19"/>
      <c r="Q108" s="22"/>
      <c r="R108" s="20"/>
      <c r="S108" s="21"/>
      <c r="T108" s="20"/>
      <c r="U108" s="21"/>
      <c r="V108" s="22"/>
      <c r="W108" s="20"/>
      <c r="X108" s="21"/>
      <c r="Y108" s="22"/>
      <c r="Z108" s="20"/>
      <c r="AA108" s="22"/>
      <c r="AB108" s="22"/>
      <c r="AC108" s="34"/>
    </row>
    <row r="109" spans="1:29" s="2" customFormat="1" ht="40.4" customHeight="1">
      <c r="A109" s="165"/>
      <c r="B109" s="165"/>
      <c r="C109" s="764"/>
      <c r="D109" s="765"/>
      <c r="E109" s="765"/>
      <c r="F109" s="836"/>
      <c r="G109" s="834"/>
      <c r="H109" s="759"/>
      <c r="I109" s="759"/>
      <c r="J109" s="804"/>
      <c r="K109" s="17"/>
      <c r="L109" s="31"/>
      <c r="M109" s="17"/>
      <c r="N109" s="18"/>
      <c r="O109" s="18"/>
      <c r="P109" s="19"/>
      <c r="Q109" s="22"/>
      <c r="R109" s="20"/>
      <c r="S109" s="21"/>
      <c r="T109" s="20"/>
      <c r="U109" s="21"/>
      <c r="V109" s="22"/>
      <c r="W109" s="20"/>
      <c r="X109" s="21"/>
      <c r="Y109" s="22"/>
      <c r="Z109" s="20"/>
      <c r="AA109" s="22"/>
      <c r="AB109" s="22"/>
      <c r="AC109" s="34"/>
    </row>
    <row r="110" spans="1:29" s="2" customFormat="1" ht="40.4" customHeight="1">
      <c r="A110" s="165"/>
      <c r="B110" s="165"/>
      <c r="C110" s="763">
        <v>36</v>
      </c>
      <c r="D110" s="765"/>
      <c r="E110" s="765"/>
      <c r="F110" s="836" t="s">
        <v>624</v>
      </c>
      <c r="G110" s="834" t="s">
        <v>622</v>
      </c>
      <c r="H110" s="759"/>
      <c r="I110" s="759" t="s">
        <v>597</v>
      </c>
      <c r="J110" s="804"/>
      <c r="K110" s="391" t="s">
        <v>1502</v>
      </c>
      <c r="L110" s="31"/>
      <c r="M110" s="391" t="s">
        <v>1502</v>
      </c>
      <c r="N110" s="18"/>
      <c r="O110" s="18"/>
      <c r="P110" s="19"/>
      <c r="Q110" s="22"/>
      <c r="R110" s="20"/>
      <c r="S110" s="21"/>
      <c r="T110" s="20"/>
      <c r="U110" s="21"/>
      <c r="V110" s="22"/>
      <c r="W110" s="20"/>
      <c r="X110" s="21"/>
      <c r="Y110" s="22"/>
      <c r="Z110" s="20"/>
      <c r="AA110" s="22"/>
      <c r="AB110" s="22"/>
      <c r="AC110" s="34"/>
    </row>
    <row r="111" spans="1:29" s="2" customFormat="1" ht="40.4" customHeight="1">
      <c r="A111" s="165"/>
      <c r="B111" s="165"/>
      <c r="C111" s="764"/>
      <c r="D111" s="765"/>
      <c r="E111" s="765"/>
      <c r="F111" s="836"/>
      <c r="G111" s="834"/>
      <c r="H111" s="759"/>
      <c r="I111" s="759"/>
      <c r="J111" s="804"/>
      <c r="K111" s="17"/>
      <c r="L111" s="31"/>
      <c r="M111" s="17"/>
      <c r="N111" s="18"/>
      <c r="O111" s="18"/>
      <c r="P111" s="19"/>
      <c r="Q111" s="22"/>
      <c r="R111" s="20"/>
      <c r="S111" s="21"/>
      <c r="T111" s="20"/>
      <c r="U111" s="21"/>
      <c r="V111" s="22"/>
      <c r="W111" s="20"/>
      <c r="X111" s="21"/>
      <c r="Y111" s="22"/>
      <c r="Z111" s="20"/>
      <c r="AA111" s="22"/>
      <c r="AB111" s="22"/>
      <c r="AC111" s="34"/>
    </row>
    <row r="112" spans="1:29" s="2" customFormat="1" ht="40.4" customHeight="1">
      <c r="A112" s="165"/>
      <c r="B112" s="165"/>
      <c r="C112" s="764"/>
      <c r="D112" s="765"/>
      <c r="E112" s="765"/>
      <c r="F112" s="836"/>
      <c r="G112" s="834"/>
      <c r="H112" s="759"/>
      <c r="I112" s="759"/>
      <c r="J112" s="804"/>
      <c r="K112" s="17"/>
      <c r="L112" s="31"/>
      <c r="M112" s="17"/>
      <c r="N112" s="18"/>
      <c r="O112" s="18"/>
      <c r="P112" s="19"/>
      <c r="Q112" s="22"/>
      <c r="R112" s="20"/>
      <c r="S112" s="21"/>
      <c r="T112" s="20"/>
      <c r="U112" s="21"/>
      <c r="V112" s="22"/>
      <c r="W112" s="20"/>
      <c r="X112" s="21"/>
      <c r="Y112" s="22"/>
      <c r="Z112" s="20"/>
      <c r="AA112" s="22"/>
      <c r="AB112" s="22"/>
      <c r="AC112" s="34"/>
    </row>
    <row r="113" spans="1:29" s="2" customFormat="1" ht="40.4" customHeight="1">
      <c r="A113" s="165"/>
      <c r="B113" s="165"/>
      <c r="C113" s="763">
        <v>37</v>
      </c>
      <c r="D113" s="765"/>
      <c r="E113" s="765"/>
      <c r="F113" s="832" t="s">
        <v>631</v>
      </c>
      <c r="G113" s="833" t="s">
        <v>630</v>
      </c>
      <c r="H113" s="759"/>
      <c r="I113" s="759" t="s">
        <v>657</v>
      </c>
      <c r="J113" s="804"/>
      <c r="K113" s="391" t="s">
        <v>1502</v>
      </c>
      <c r="L113" s="31"/>
      <c r="M113" s="391" t="s">
        <v>1502</v>
      </c>
      <c r="N113" s="18"/>
      <c r="O113" s="18"/>
      <c r="P113" s="19"/>
      <c r="Q113" s="22"/>
      <c r="R113" s="20"/>
      <c r="S113" s="21"/>
      <c r="T113" s="20"/>
      <c r="U113" s="21"/>
      <c r="V113" s="22"/>
      <c r="W113" s="20"/>
      <c r="X113" s="21"/>
      <c r="Y113" s="22"/>
      <c r="Z113" s="20"/>
      <c r="AA113" s="22"/>
      <c r="AB113" s="22"/>
      <c r="AC113" s="34"/>
    </row>
    <row r="114" spans="1:29" s="2" customFormat="1" ht="40.4" customHeight="1">
      <c r="A114" s="165"/>
      <c r="B114" s="165"/>
      <c r="C114" s="764"/>
      <c r="D114" s="765"/>
      <c r="E114" s="765"/>
      <c r="F114" s="759"/>
      <c r="G114" s="804"/>
      <c r="H114" s="759"/>
      <c r="I114" s="759"/>
      <c r="J114" s="804"/>
      <c r="K114" s="17"/>
      <c r="L114" s="31"/>
      <c r="M114" s="17"/>
      <c r="N114" s="18"/>
      <c r="O114" s="18"/>
      <c r="P114" s="19"/>
      <c r="Q114" s="22"/>
      <c r="R114" s="20"/>
      <c r="S114" s="21"/>
      <c r="T114" s="20"/>
      <c r="U114" s="21"/>
      <c r="V114" s="22"/>
      <c r="W114" s="20"/>
      <c r="X114" s="21"/>
      <c r="Y114" s="22"/>
      <c r="Z114" s="20"/>
      <c r="AA114" s="22"/>
      <c r="AB114" s="22"/>
      <c r="AC114" s="34"/>
    </row>
    <row r="115" spans="1:29" s="2" customFormat="1" ht="40.4" customHeight="1">
      <c r="A115" s="165"/>
      <c r="B115" s="165"/>
      <c r="C115" s="764"/>
      <c r="D115" s="765"/>
      <c r="E115" s="765"/>
      <c r="F115" s="759"/>
      <c r="G115" s="804"/>
      <c r="H115" s="759"/>
      <c r="I115" s="759"/>
      <c r="J115" s="804"/>
      <c r="K115" s="17"/>
      <c r="L115" s="31"/>
      <c r="M115" s="17"/>
      <c r="N115" s="18"/>
      <c r="O115" s="18"/>
      <c r="P115" s="19"/>
      <c r="Q115" s="22"/>
      <c r="R115" s="20"/>
      <c r="S115" s="21"/>
      <c r="T115" s="20"/>
      <c r="U115" s="21"/>
      <c r="V115" s="22"/>
      <c r="W115" s="20"/>
      <c r="X115" s="21"/>
      <c r="Y115" s="22"/>
      <c r="Z115" s="20"/>
      <c r="AA115" s="22"/>
      <c r="AB115" s="22"/>
      <c r="AC115" s="34"/>
    </row>
    <row r="116" spans="1:29" s="2" customFormat="1" ht="40.4" customHeight="1">
      <c r="A116" s="165"/>
      <c r="B116" s="165"/>
      <c r="C116" s="763">
        <v>38</v>
      </c>
      <c r="D116" s="765"/>
      <c r="E116" s="765"/>
      <c r="F116" s="817" t="s">
        <v>632</v>
      </c>
      <c r="G116" s="818" t="s">
        <v>633</v>
      </c>
      <c r="H116" s="759"/>
      <c r="I116" s="831"/>
      <c r="J116" s="804"/>
      <c r="K116" s="391" t="s">
        <v>1500</v>
      </c>
      <c r="L116" s="31"/>
      <c r="M116" s="391" t="s">
        <v>1500</v>
      </c>
      <c r="N116" s="18"/>
      <c r="O116" s="18"/>
      <c r="P116" s="19"/>
      <c r="Q116" s="22"/>
      <c r="R116" s="20"/>
      <c r="S116" s="21"/>
      <c r="T116" s="20"/>
      <c r="U116" s="21"/>
      <c r="V116" s="22"/>
      <c r="W116" s="20"/>
      <c r="X116" s="21"/>
      <c r="Y116" s="22"/>
      <c r="Z116" s="20"/>
      <c r="AA116" s="22"/>
      <c r="AB116" s="22"/>
      <c r="AC116" s="34"/>
    </row>
    <row r="117" spans="1:29" s="2" customFormat="1" ht="40.4" customHeight="1">
      <c r="A117" s="165"/>
      <c r="B117" s="165"/>
      <c r="C117" s="764"/>
      <c r="D117" s="765"/>
      <c r="E117" s="765"/>
      <c r="F117" s="759"/>
      <c r="G117" s="804"/>
      <c r="H117" s="759"/>
      <c r="I117" s="831"/>
      <c r="J117" s="804"/>
      <c r="K117" s="17"/>
      <c r="L117" s="31"/>
      <c r="M117" s="17"/>
      <c r="N117" s="18"/>
      <c r="O117" s="18"/>
      <c r="P117" s="19"/>
      <c r="Q117" s="22"/>
      <c r="R117" s="20"/>
      <c r="S117" s="21"/>
      <c r="T117" s="20"/>
      <c r="U117" s="21"/>
      <c r="V117" s="22"/>
      <c r="W117" s="20"/>
      <c r="X117" s="21"/>
      <c r="Y117" s="22"/>
      <c r="Z117" s="20"/>
      <c r="AA117" s="22"/>
      <c r="AB117" s="22"/>
      <c r="AC117" s="34"/>
    </row>
    <row r="118" spans="1:29" s="2" customFormat="1" ht="40.4" customHeight="1">
      <c r="A118" s="165"/>
      <c r="B118" s="165"/>
      <c r="C118" s="764"/>
      <c r="D118" s="765"/>
      <c r="E118" s="765"/>
      <c r="F118" s="759"/>
      <c r="G118" s="804"/>
      <c r="H118" s="759"/>
      <c r="I118" s="831"/>
      <c r="J118" s="804"/>
      <c r="K118" s="17"/>
      <c r="L118" s="31"/>
      <c r="M118" s="17"/>
      <c r="N118" s="18"/>
      <c r="O118" s="18"/>
      <c r="P118" s="19"/>
      <c r="Q118" s="22"/>
      <c r="R118" s="20"/>
      <c r="S118" s="21"/>
      <c r="T118" s="20"/>
      <c r="U118" s="21"/>
      <c r="V118" s="22"/>
      <c r="W118" s="20"/>
      <c r="X118" s="21"/>
      <c r="Y118" s="22"/>
      <c r="Z118" s="20"/>
      <c r="AA118" s="22"/>
      <c r="AB118" s="22"/>
      <c r="AC118" s="34"/>
    </row>
    <row r="119" spans="1:29" s="2" customFormat="1" ht="40.4" customHeight="1">
      <c r="A119" s="165"/>
      <c r="B119" s="165"/>
      <c r="C119" s="763">
        <v>39</v>
      </c>
      <c r="D119" s="765"/>
      <c r="E119" s="765"/>
      <c r="F119" s="817" t="s">
        <v>634</v>
      </c>
      <c r="G119" s="818" t="s">
        <v>633</v>
      </c>
      <c r="H119" s="759"/>
      <c r="I119" s="759" t="s">
        <v>658</v>
      </c>
      <c r="J119" s="804"/>
      <c r="K119" s="391" t="s">
        <v>1500</v>
      </c>
      <c r="L119" s="31"/>
      <c r="M119" s="391" t="s">
        <v>1500</v>
      </c>
      <c r="N119" s="18"/>
      <c r="O119" s="18"/>
      <c r="P119" s="19"/>
      <c r="Q119" s="22"/>
      <c r="R119" s="20"/>
      <c r="S119" s="21"/>
      <c r="T119" s="20"/>
      <c r="U119" s="21"/>
      <c r="V119" s="22"/>
      <c r="W119" s="20"/>
      <c r="X119" s="21"/>
      <c r="Y119" s="22"/>
      <c r="Z119" s="20"/>
      <c r="AA119" s="22"/>
      <c r="AB119" s="22"/>
      <c r="AC119" s="34"/>
    </row>
    <row r="120" spans="1:29" s="2" customFormat="1" ht="40.4" customHeight="1">
      <c r="A120" s="165"/>
      <c r="B120" s="165"/>
      <c r="C120" s="764"/>
      <c r="D120" s="765"/>
      <c r="E120" s="765"/>
      <c r="F120" s="759"/>
      <c r="G120" s="804"/>
      <c r="H120" s="759"/>
      <c r="I120" s="759"/>
      <c r="J120" s="804"/>
      <c r="K120" s="17"/>
      <c r="L120" s="31"/>
      <c r="M120" s="17"/>
      <c r="N120" s="18"/>
      <c r="O120" s="18"/>
      <c r="P120" s="19"/>
      <c r="Q120" s="22"/>
      <c r="R120" s="20"/>
      <c r="S120" s="21"/>
      <c r="T120" s="20"/>
      <c r="U120" s="21"/>
      <c r="V120" s="22"/>
      <c r="W120" s="20"/>
      <c r="X120" s="21"/>
      <c r="Y120" s="22"/>
      <c r="Z120" s="20"/>
      <c r="AA120" s="22"/>
      <c r="AB120" s="22"/>
      <c r="AC120" s="34"/>
    </row>
    <row r="121" spans="1:29" s="2" customFormat="1" ht="40.4" customHeight="1">
      <c r="A121" s="165"/>
      <c r="B121" s="165"/>
      <c r="C121" s="764"/>
      <c r="D121" s="765"/>
      <c r="E121" s="765"/>
      <c r="F121" s="759"/>
      <c r="G121" s="804"/>
      <c r="H121" s="759"/>
      <c r="I121" s="759"/>
      <c r="J121" s="804"/>
      <c r="K121" s="17"/>
      <c r="L121" s="31"/>
      <c r="M121" s="17"/>
      <c r="N121" s="18"/>
      <c r="O121" s="18"/>
      <c r="P121" s="19"/>
      <c r="Q121" s="22"/>
      <c r="R121" s="20"/>
      <c r="S121" s="21"/>
      <c r="T121" s="20"/>
      <c r="U121" s="21"/>
      <c r="V121" s="22"/>
      <c r="W121" s="20"/>
      <c r="X121" s="21"/>
      <c r="Y121" s="22"/>
      <c r="Z121" s="20"/>
      <c r="AA121" s="22"/>
      <c r="AB121" s="22"/>
      <c r="AC121" s="34"/>
    </row>
    <row r="122" spans="1:29" s="2" customFormat="1" ht="40.4" customHeight="1">
      <c r="A122" s="165"/>
      <c r="B122" s="165"/>
      <c r="C122" s="763">
        <v>40</v>
      </c>
      <c r="D122" s="765"/>
      <c r="E122" s="765"/>
      <c r="F122" s="767" t="s">
        <v>1503</v>
      </c>
      <c r="G122" s="754" t="s">
        <v>1504</v>
      </c>
      <c r="H122" s="754" t="s">
        <v>1505</v>
      </c>
      <c r="I122" s="766" t="s">
        <v>606</v>
      </c>
      <c r="J122" s="301"/>
      <c r="K122" s="391" t="s">
        <v>1502</v>
      </c>
      <c r="L122" s="31"/>
      <c r="M122" s="391" t="s">
        <v>1502</v>
      </c>
      <c r="N122" s="18"/>
      <c r="O122" s="18"/>
      <c r="P122" s="19"/>
      <c r="Q122" s="22"/>
      <c r="R122" s="20"/>
      <c r="S122" s="21"/>
      <c r="T122" s="20"/>
      <c r="U122" s="21"/>
      <c r="V122" s="22"/>
      <c r="W122" s="20"/>
      <c r="X122" s="21"/>
      <c r="Y122" s="22"/>
      <c r="Z122" s="20"/>
      <c r="AA122" s="22"/>
      <c r="AB122" s="22"/>
      <c r="AC122" s="34"/>
    </row>
    <row r="123" spans="1:29" s="2" customFormat="1" ht="40.4" customHeight="1">
      <c r="A123" s="165"/>
      <c r="B123" s="165"/>
      <c r="C123" s="764"/>
      <c r="D123" s="765"/>
      <c r="E123" s="765"/>
      <c r="F123" s="767"/>
      <c r="G123" s="754"/>
      <c r="H123" s="754"/>
      <c r="I123" s="766"/>
      <c r="J123" s="301"/>
      <c r="K123" s="17"/>
      <c r="L123" s="31"/>
      <c r="M123" s="17"/>
      <c r="N123" s="18"/>
      <c r="O123" s="18"/>
      <c r="P123" s="19"/>
      <c r="Q123" s="22"/>
      <c r="R123" s="20"/>
      <c r="S123" s="21"/>
      <c r="T123" s="20"/>
      <c r="U123" s="21"/>
      <c r="V123" s="22"/>
      <c r="W123" s="20"/>
      <c r="X123" s="21"/>
      <c r="Y123" s="22"/>
      <c r="Z123" s="20"/>
      <c r="AA123" s="22"/>
      <c r="AB123" s="22"/>
      <c r="AC123" s="34"/>
    </row>
    <row r="124" spans="1:29" s="2" customFormat="1" ht="40.4" customHeight="1">
      <c r="A124" s="165"/>
      <c r="B124" s="165"/>
      <c r="C124" s="764"/>
      <c r="D124" s="765"/>
      <c r="E124" s="765"/>
      <c r="F124" s="767"/>
      <c r="G124" s="754"/>
      <c r="H124" s="754"/>
      <c r="I124" s="766"/>
      <c r="J124" s="301"/>
      <c r="K124" s="17"/>
      <c r="L124" s="31"/>
      <c r="M124" s="17"/>
      <c r="N124" s="18"/>
      <c r="O124" s="18"/>
      <c r="P124" s="19"/>
      <c r="Q124" s="22"/>
      <c r="R124" s="20"/>
      <c r="S124" s="21"/>
      <c r="T124" s="20"/>
      <c r="U124" s="21"/>
      <c r="V124" s="22"/>
      <c r="W124" s="20"/>
      <c r="X124" s="21"/>
      <c r="Y124" s="22"/>
      <c r="Z124" s="20"/>
      <c r="AA124" s="22"/>
      <c r="AB124" s="22"/>
      <c r="AC124" s="34"/>
    </row>
    <row r="125" spans="1:29" s="2" customFormat="1" ht="40.4" customHeight="1">
      <c r="A125" s="165"/>
      <c r="B125" s="165"/>
      <c r="C125" s="763">
        <v>41</v>
      </c>
      <c r="D125" s="765"/>
      <c r="E125" s="765"/>
      <c r="F125" s="767" t="s">
        <v>1506</v>
      </c>
      <c r="G125" s="754" t="s">
        <v>1504</v>
      </c>
      <c r="H125" s="759"/>
      <c r="I125" s="766" t="s">
        <v>1507</v>
      </c>
      <c r="J125" s="301"/>
      <c r="K125" s="391" t="s">
        <v>1502</v>
      </c>
      <c r="L125" s="31"/>
      <c r="M125" s="391" t="s">
        <v>1502</v>
      </c>
      <c r="N125" s="18"/>
      <c r="O125" s="18"/>
      <c r="P125" s="19"/>
      <c r="Q125" s="22"/>
      <c r="R125" s="20"/>
      <c r="S125" s="21"/>
      <c r="T125" s="20"/>
      <c r="U125" s="21"/>
      <c r="V125" s="22"/>
      <c r="W125" s="20"/>
      <c r="X125" s="21"/>
      <c r="Y125" s="22"/>
      <c r="Z125" s="20"/>
      <c r="AA125" s="22"/>
      <c r="AB125" s="22"/>
      <c r="AC125" s="34"/>
    </row>
    <row r="126" spans="1:29" s="2" customFormat="1" ht="40.4" customHeight="1">
      <c r="A126" s="165"/>
      <c r="B126" s="165"/>
      <c r="C126" s="764"/>
      <c r="D126" s="765"/>
      <c r="E126" s="765"/>
      <c r="F126" s="767"/>
      <c r="G126" s="754"/>
      <c r="H126" s="759"/>
      <c r="I126" s="766"/>
      <c r="J126" s="301"/>
      <c r="K126" s="17"/>
      <c r="L126" s="31"/>
      <c r="M126" s="17"/>
      <c r="N126" s="18"/>
      <c r="O126" s="18"/>
      <c r="P126" s="19"/>
      <c r="Q126" s="22"/>
      <c r="R126" s="20"/>
      <c r="S126" s="21"/>
      <c r="T126" s="20"/>
      <c r="U126" s="21"/>
      <c r="V126" s="22"/>
      <c r="W126" s="20"/>
      <c r="X126" s="21"/>
      <c r="Y126" s="22"/>
      <c r="Z126" s="20"/>
      <c r="AA126" s="22"/>
      <c r="AB126" s="22"/>
      <c r="AC126" s="34"/>
    </row>
    <row r="127" spans="1:29" s="2" customFormat="1" ht="40.4" customHeight="1">
      <c r="A127" s="165"/>
      <c r="B127" s="165"/>
      <c r="C127" s="764"/>
      <c r="D127" s="765"/>
      <c r="E127" s="765"/>
      <c r="F127" s="767"/>
      <c r="G127" s="754"/>
      <c r="H127" s="759"/>
      <c r="I127" s="766"/>
      <c r="J127" s="301"/>
      <c r="K127" s="17"/>
      <c r="L127" s="31"/>
      <c r="M127" s="17"/>
      <c r="N127" s="18"/>
      <c r="O127" s="18"/>
      <c r="P127" s="19"/>
      <c r="Q127" s="22"/>
      <c r="R127" s="20"/>
      <c r="S127" s="21"/>
      <c r="T127" s="20"/>
      <c r="U127" s="21"/>
      <c r="V127" s="22"/>
      <c r="W127" s="20"/>
      <c r="X127" s="21"/>
      <c r="Y127" s="22"/>
      <c r="Z127" s="20"/>
      <c r="AA127" s="22"/>
      <c r="AB127" s="22"/>
      <c r="AC127" s="34"/>
    </row>
    <row r="128" spans="1:29" s="2" customFormat="1" ht="40.4" customHeight="1">
      <c r="A128" s="165"/>
      <c r="B128" s="165"/>
      <c r="C128" s="763">
        <v>42</v>
      </c>
      <c r="D128" s="765"/>
      <c r="E128" s="765"/>
      <c r="F128" s="767" t="s">
        <v>1508</v>
      </c>
      <c r="G128" s="754" t="s">
        <v>1504</v>
      </c>
      <c r="H128" s="759"/>
      <c r="I128" s="766" t="s">
        <v>1509</v>
      </c>
      <c r="J128" s="301"/>
      <c r="K128" s="391" t="s">
        <v>1502</v>
      </c>
      <c r="L128" s="31"/>
      <c r="M128" s="391" t="s">
        <v>1502</v>
      </c>
      <c r="N128" s="18"/>
      <c r="O128" s="18"/>
      <c r="P128" s="19"/>
      <c r="Q128" s="22"/>
      <c r="R128" s="20"/>
      <c r="S128" s="21"/>
      <c r="T128" s="20"/>
      <c r="U128" s="21"/>
      <c r="V128" s="22"/>
      <c r="W128" s="20"/>
      <c r="X128" s="21"/>
      <c r="Y128" s="22"/>
      <c r="Z128" s="20"/>
      <c r="AA128" s="22"/>
      <c r="AB128" s="22"/>
      <c r="AC128" s="34"/>
    </row>
    <row r="129" spans="1:29" s="2" customFormat="1" ht="40.4" customHeight="1">
      <c r="A129" s="165"/>
      <c r="B129" s="165"/>
      <c r="C129" s="764"/>
      <c r="D129" s="765"/>
      <c r="E129" s="765"/>
      <c r="F129" s="767"/>
      <c r="G129" s="754"/>
      <c r="H129" s="759"/>
      <c r="I129" s="766"/>
      <c r="J129" s="301"/>
      <c r="K129" s="17"/>
      <c r="L129" s="31"/>
      <c r="M129" s="17"/>
      <c r="N129" s="18"/>
      <c r="O129" s="18"/>
      <c r="P129" s="19"/>
      <c r="Q129" s="22"/>
      <c r="R129" s="20"/>
      <c r="S129" s="21"/>
      <c r="T129" s="20"/>
      <c r="U129" s="21"/>
      <c r="V129" s="22"/>
      <c r="W129" s="20"/>
      <c r="X129" s="21"/>
      <c r="Y129" s="22"/>
      <c r="Z129" s="20"/>
      <c r="AA129" s="22"/>
      <c r="AB129" s="22"/>
      <c r="AC129" s="34"/>
    </row>
    <row r="130" spans="1:29" s="2" customFormat="1" ht="40.4" customHeight="1">
      <c r="A130" s="165"/>
      <c r="B130" s="165"/>
      <c r="C130" s="764"/>
      <c r="D130" s="765"/>
      <c r="E130" s="765"/>
      <c r="F130" s="767"/>
      <c r="G130" s="754"/>
      <c r="H130" s="759"/>
      <c r="I130" s="766"/>
      <c r="J130" s="301"/>
      <c r="K130" s="17"/>
      <c r="L130" s="31"/>
      <c r="M130" s="17"/>
      <c r="N130" s="18"/>
      <c r="O130" s="18"/>
      <c r="P130" s="19"/>
      <c r="Q130" s="22"/>
      <c r="R130" s="20"/>
      <c r="S130" s="21"/>
      <c r="T130" s="20"/>
      <c r="U130" s="21"/>
      <c r="V130" s="22"/>
      <c r="W130" s="20"/>
      <c r="X130" s="21"/>
      <c r="Y130" s="22"/>
      <c r="Z130" s="20"/>
      <c r="AA130" s="22"/>
      <c r="AB130" s="22"/>
      <c r="AC130" s="34"/>
    </row>
    <row r="131" spans="1:29" s="2" customFormat="1" ht="40.4" customHeight="1">
      <c r="A131" s="165"/>
      <c r="B131" s="165"/>
      <c r="C131" s="763">
        <v>43</v>
      </c>
      <c r="D131" s="765"/>
      <c r="E131" s="765"/>
      <c r="F131" s="767" t="s">
        <v>1510</v>
      </c>
      <c r="G131" s="754" t="s">
        <v>1504</v>
      </c>
      <c r="H131" s="759"/>
      <c r="I131" s="766" t="s">
        <v>1511</v>
      </c>
      <c r="J131" s="301"/>
      <c r="K131" s="391" t="s">
        <v>1502</v>
      </c>
      <c r="L131" s="31"/>
      <c r="M131" s="391" t="s">
        <v>1502</v>
      </c>
      <c r="N131" s="18"/>
      <c r="O131" s="18"/>
      <c r="P131" s="19"/>
      <c r="Q131" s="22"/>
      <c r="R131" s="20"/>
      <c r="S131" s="21"/>
      <c r="T131" s="20"/>
      <c r="U131" s="21"/>
      <c r="V131" s="22"/>
      <c r="W131" s="20"/>
      <c r="X131" s="21"/>
      <c r="Y131" s="22"/>
      <c r="Z131" s="20"/>
      <c r="AA131" s="22"/>
      <c r="AB131" s="22"/>
      <c r="AC131" s="34"/>
    </row>
    <row r="132" spans="1:29" s="2" customFormat="1" ht="40.4" customHeight="1">
      <c r="A132" s="165"/>
      <c r="B132" s="165"/>
      <c r="C132" s="764"/>
      <c r="D132" s="765"/>
      <c r="E132" s="765"/>
      <c r="F132" s="767"/>
      <c r="G132" s="754"/>
      <c r="H132" s="759"/>
      <c r="I132" s="766"/>
      <c r="J132" s="301"/>
      <c r="K132" s="17"/>
      <c r="L132" s="31"/>
      <c r="M132" s="17"/>
      <c r="N132" s="18"/>
      <c r="O132" s="18"/>
      <c r="P132" s="19"/>
      <c r="Q132" s="22"/>
      <c r="R132" s="20"/>
      <c r="S132" s="21"/>
      <c r="T132" s="20"/>
      <c r="U132" s="21"/>
      <c r="V132" s="22"/>
      <c r="W132" s="20"/>
      <c r="X132" s="21"/>
      <c r="Y132" s="22"/>
      <c r="Z132" s="20"/>
      <c r="AA132" s="22"/>
      <c r="AB132" s="22"/>
      <c r="AC132" s="34"/>
    </row>
    <row r="133" spans="1:29" s="2" customFormat="1" ht="40.4" customHeight="1">
      <c r="A133" s="165"/>
      <c r="B133" s="165"/>
      <c r="C133" s="764"/>
      <c r="D133" s="765"/>
      <c r="E133" s="765"/>
      <c r="F133" s="767"/>
      <c r="G133" s="754"/>
      <c r="H133" s="759"/>
      <c r="I133" s="766"/>
      <c r="J133" s="301"/>
      <c r="K133" s="17"/>
      <c r="L133" s="31"/>
      <c r="M133" s="17"/>
      <c r="N133" s="18"/>
      <c r="O133" s="18"/>
      <c r="P133" s="19"/>
      <c r="Q133" s="22"/>
      <c r="R133" s="20"/>
      <c r="S133" s="21"/>
      <c r="T133" s="20"/>
      <c r="U133" s="21"/>
      <c r="V133" s="22"/>
      <c r="W133" s="20"/>
      <c r="X133" s="21"/>
      <c r="Y133" s="22"/>
      <c r="Z133" s="20"/>
      <c r="AA133" s="22"/>
      <c r="AB133" s="22"/>
      <c r="AC133" s="34"/>
    </row>
    <row r="134" spans="1:29" s="2" customFormat="1" ht="40.4" customHeight="1">
      <c r="A134" s="165"/>
      <c r="B134" s="165"/>
      <c r="C134" s="763">
        <v>44</v>
      </c>
      <c r="D134" s="765"/>
      <c r="E134" s="765"/>
      <c r="F134" s="767" t="s">
        <v>1512</v>
      </c>
      <c r="G134" s="754" t="s">
        <v>1504</v>
      </c>
      <c r="H134" s="759"/>
      <c r="I134" s="766" t="s">
        <v>606</v>
      </c>
      <c r="J134" s="301"/>
      <c r="K134" s="391" t="s">
        <v>1502</v>
      </c>
      <c r="L134" s="31"/>
      <c r="M134" s="391" t="s">
        <v>1502</v>
      </c>
      <c r="N134" s="18"/>
      <c r="O134" s="18"/>
      <c r="P134" s="19"/>
      <c r="Q134" s="22"/>
      <c r="R134" s="20"/>
      <c r="S134" s="21"/>
      <c r="T134" s="20"/>
      <c r="U134" s="21"/>
      <c r="V134" s="22"/>
      <c r="W134" s="20"/>
      <c r="X134" s="21"/>
      <c r="Y134" s="22"/>
      <c r="Z134" s="20"/>
      <c r="AA134" s="22"/>
      <c r="AB134" s="22"/>
      <c r="AC134" s="34"/>
    </row>
    <row r="135" spans="1:29" s="2" customFormat="1" ht="40.4" customHeight="1">
      <c r="A135" s="165"/>
      <c r="B135" s="165"/>
      <c r="C135" s="764"/>
      <c r="D135" s="765"/>
      <c r="E135" s="765"/>
      <c r="F135" s="767"/>
      <c r="G135" s="754"/>
      <c r="H135" s="759"/>
      <c r="I135" s="766"/>
      <c r="J135" s="301"/>
      <c r="K135" s="17"/>
      <c r="L135" s="31"/>
      <c r="M135" s="17"/>
      <c r="N135" s="18"/>
      <c r="O135" s="18"/>
      <c r="P135" s="19"/>
      <c r="Q135" s="22"/>
      <c r="R135" s="20"/>
      <c r="S135" s="21"/>
      <c r="T135" s="20"/>
      <c r="U135" s="21"/>
      <c r="V135" s="22"/>
      <c r="W135" s="20"/>
      <c r="X135" s="21"/>
      <c r="Y135" s="22"/>
      <c r="Z135" s="20"/>
      <c r="AA135" s="22"/>
      <c r="AB135" s="22"/>
      <c r="AC135" s="34"/>
    </row>
    <row r="136" spans="1:29" s="2" customFormat="1" ht="40.4" customHeight="1">
      <c r="A136" s="165"/>
      <c r="B136" s="165"/>
      <c r="C136" s="764"/>
      <c r="D136" s="765"/>
      <c r="E136" s="765"/>
      <c r="F136" s="767"/>
      <c r="G136" s="754"/>
      <c r="H136" s="759"/>
      <c r="I136" s="766"/>
      <c r="J136" s="301"/>
      <c r="K136" s="17"/>
      <c r="L136" s="31"/>
      <c r="M136" s="17"/>
      <c r="N136" s="18"/>
      <c r="O136" s="18"/>
      <c r="P136" s="19"/>
      <c r="Q136" s="22"/>
      <c r="R136" s="20"/>
      <c r="S136" s="21"/>
      <c r="T136" s="20"/>
      <c r="U136" s="21"/>
      <c r="V136" s="22"/>
      <c r="W136" s="20"/>
      <c r="X136" s="21"/>
      <c r="Y136" s="22"/>
      <c r="Z136" s="20"/>
      <c r="AA136" s="22"/>
      <c r="AB136" s="22"/>
      <c r="AC136" s="34"/>
    </row>
    <row r="137" spans="1:29" s="2" customFormat="1" ht="40.4" customHeight="1">
      <c r="A137" s="165"/>
      <c r="B137" s="165"/>
      <c r="C137" s="763">
        <v>45</v>
      </c>
      <c r="D137" s="765"/>
      <c r="E137" s="765"/>
      <c r="F137" s="767" t="s">
        <v>573</v>
      </c>
      <c r="G137" s="754" t="s">
        <v>1504</v>
      </c>
      <c r="H137" s="759"/>
      <c r="I137" s="766" t="s">
        <v>1507</v>
      </c>
      <c r="J137" s="301"/>
      <c r="K137" s="391" t="s">
        <v>1502</v>
      </c>
      <c r="L137" s="31"/>
      <c r="M137" s="391" t="s">
        <v>1502</v>
      </c>
      <c r="N137" s="18"/>
      <c r="O137" s="18"/>
      <c r="P137" s="19"/>
      <c r="Q137" s="22"/>
      <c r="R137" s="20"/>
      <c r="S137" s="21"/>
      <c r="T137" s="20"/>
      <c r="U137" s="21"/>
      <c r="V137" s="22"/>
      <c r="W137" s="20"/>
      <c r="X137" s="21"/>
      <c r="Y137" s="22"/>
      <c r="Z137" s="20"/>
      <c r="AA137" s="22"/>
      <c r="AB137" s="22"/>
      <c r="AC137" s="34"/>
    </row>
    <row r="138" spans="1:29" s="2" customFormat="1" ht="40.4" customHeight="1">
      <c r="A138" s="165"/>
      <c r="B138" s="165"/>
      <c r="C138" s="764"/>
      <c r="D138" s="765"/>
      <c r="E138" s="765"/>
      <c r="F138" s="767"/>
      <c r="G138" s="754"/>
      <c r="H138" s="759"/>
      <c r="I138" s="766"/>
      <c r="J138" s="301"/>
      <c r="K138" s="17"/>
      <c r="L138" s="31"/>
      <c r="M138" s="17"/>
      <c r="N138" s="18"/>
      <c r="O138" s="18"/>
      <c r="P138" s="19"/>
      <c r="Q138" s="22"/>
      <c r="R138" s="20"/>
      <c r="S138" s="21"/>
      <c r="T138" s="20"/>
      <c r="U138" s="21"/>
      <c r="V138" s="22"/>
      <c r="W138" s="20"/>
      <c r="X138" s="21"/>
      <c r="Y138" s="22"/>
      <c r="Z138" s="20"/>
      <c r="AA138" s="22"/>
      <c r="AB138" s="22"/>
      <c r="AC138" s="34"/>
    </row>
    <row r="139" spans="1:29" s="2" customFormat="1" ht="40.4" customHeight="1">
      <c r="A139" s="165"/>
      <c r="B139" s="165"/>
      <c r="C139" s="764"/>
      <c r="D139" s="765"/>
      <c r="E139" s="765"/>
      <c r="F139" s="767"/>
      <c r="G139" s="754"/>
      <c r="H139" s="759"/>
      <c r="I139" s="766"/>
      <c r="J139" s="301"/>
      <c r="K139" s="17"/>
      <c r="L139" s="31"/>
      <c r="M139" s="17"/>
      <c r="N139" s="18"/>
      <c r="O139" s="18"/>
      <c r="P139" s="19"/>
      <c r="Q139" s="22"/>
      <c r="R139" s="20"/>
      <c r="S139" s="21"/>
      <c r="T139" s="20"/>
      <c r="U139" s="21"/>
      <c r="V139" s="22"/>
      <c r="W139" s="20"/>
      <c r="X139" s="21"/>
      <c r="Y139" s="22"/>
      <c r="Z139" s="20"/>
      <c r="AA139" s="22"/>
      <c r="AB139" s="22"/>
      <c r="AC139" s="34"/>
    </row>
    <row r="140" spans="1:29" s="2" customFormat="1" ht="40.4" customHeight="1">
      <c r="A140" s="165"/>
      <c r="B140" s="165"/>
      <c r="C140" s="763">
        <v>46</v>
      </c>
      <c r="D140" s="765"/>
      <c r="E140" s="765"/>
      <c r="F140" s="767" t="s">
        <v>574</v>
      </c>
      <c r="G140" s="754" t="s">
        <v>1504</v>
      </c>
      <c r="H140" s="759"/>
      <c r="I140" s="766" t="s">
        <v>1507</v>
      </c>
      <c r="J140" s="301"/>
      <c r="K140" s="391" t="s">
        <v>1502</v>
      </c>
      <c r="L140" s="31"/>
      <c r="M140" s="391" t="s">
        <v>1502</v>
      </c>
      <c r="N140" s="18"/>
      <c r="O140" s="18"/>
      <c r="P140" s="19"/>
      <c r="Q140" s="22"/>
      <c r="R140" s="20"/>
      <c r="S140" s="21"/>
      <c r="T140" s="20"/>
      <c r="U140" s="21"/>
      <c r="V140" s="22"/>
      <c r="W140" s="20"/>
      <c r="X140" s="21"/>
      <c r="Y140" s="22"/>
      <c r="Z140" s="20"/>
      <c r="AA140" s="22"/>
      <c r="AB140" s="22"/>
      <c r="AC140" s="34"/>
    </row>
    <row r="141" spans="1:29" s="2" customFormat="1" ht="40.4" customHeight="1">
      <c r="A141" s="165"/>
      <c r="B141" s="165"/>
      <c r="C141" s="764"/>
      <c r="D141" s="765"/>
      <c r="E141" s="765"/>
      <c r="F141" s="767"/>
      <c r="G141" s="754"/>
      <c r="H141" s="759"/>
      <c r="I141" s="766"/>
      <c r="J141" s="301"/>
      <c r="K141" s="17"/>
      <c r="L141" s="31"/>
      <c r="M141" s="17"/>
      <c r="N141" s="18"/>
      <c r="O141" s="18"/>
      <c r="P141" s="19"/>
      <c r="Q141" s="22"/>
      <c r="R141" s="20"/>
      <c r="S141" s="21"/>
      <c r="T141" s="20"/>
      <c r="U141" s="21"/>
      <c r="V141" s="22"/>
      <c r="W141" s="20"/>
      <c r="X141" s="21"/>
      <c r="Y141" s="22"/>
      <c r="Z141" s="20"/>
      <c r="AA141" s="22"/>
      <c r="AB141" s="22"/>
      <c r="AC141" s="34"/>
    </row>
    <row r="142" spans="1:29" s="2" customFormat="1" ht="40.4" customHeight="1">
      <c r="A142" s="165"/>
      <c r="B142" s="165"/>
      <c r="C142" s="764"/>
      <c r="D142" s="765"/>
      <c r="E142" s="765"/>
      <c r="F142" s="767"/>
      <c r="G142" s="754"/>
      <c r="H142" s="759"/>
      <c r="I142" s="766"/>
      <c r="J142" s="301"/>
      <c r="K142" s="17"/>
      <c r="L142" s="31"/>
      <c r="M142" s="17"/>
      <c r="N142" s="18"/>
      <c r="O142" s="18"/>
      <c r="P142" s="19"/>
      <c r="Q142" s="22"/>
      <c r="R142" s="20"/>
      <c r="S142" s="21"/>
      <c r="T142" s="20"/>
      <c r="U142" s="21"/>
      <c r="V142" s="22"/>
      <c r="W142" s="20"/>
      <c r="X142" s="21"/>
      <c r="Y142" s="22"/>
      <c r="Z142" s="20"/>
      <c r="AA142" s="22"/>
      <c r="AB142" s="22"/>
      <c r="AC142" s="34"/>
    </row>
    <row r="143" spans="1:29" s="2" customFormat="1" ht="40.4" customHeight="1">
      <c r="A143" s="165"/>
      <c r="B143" s="165"/>
      <c r="C143" s="763">
        <v>47</v>
      </c>
      <c r="D143" s="765"/>
      <c r="E143" s="765"/>
      <c r="F143" s="767" t="s">
        <v>1513</v>
      </c>
      <c r="G143" s="754" t="s">
        <v>1504</v>
      </c>
      <c r="H143" s="759"/>
      <c r="I143" s="766" t="s">
        <v>1514</v>
      </c>
      <c r="J143" s="301"/>
      <c r="K143" s="391" t="s">
        <v>1502</v>
      </c>
      <c r="L143" s="31"/>
      <c r="M143" s="391" t="s">
        <v>1502</v>
      </c>
      <c r="N143" s="18"/>
      <c r="O143" s="18"/>
      <c r="P143" s="19"/>
      <c r="Q143" s="22"/>
      <c r="R143" s="20"/>
      <c r="S143" s="21"/>
      <c r="T143" s="20"/>
      <c r="U143" s="21"/>
      <c r="V143" s="22"/>
      <c r="W143" s="20"/>
      <c r="X143" s="21"/>
      <c r="Y143" s="22"/>
      <c r="Z143" s="20"/>
      <c r="AA143" s="22"/>
      <c r="AB143" s="22"/>
      <c r="AC143" s="34"/>
    </row>
    <row r="144" spans="1:29" s="2" customFormat="1" ht="40.4" customHeight="1">
      <c r="A144" s="165"/>
      <c r="B144" s="165"/>
      <c r="C144" s="764"/>
      <c r="D144" s="765"/>
      <c r="E144" s="765"/>
      <c r="F144" s="767"/>
      <c r="G144" s="754"/>
      <c r="H144" s="759"/>
      <c r="I144" s="766"/>
      <c r="J144" s="301"/>
      <c r="K144" s="17"/>
      <c r="L144" s="31"/>
      <c r="M144" s="17"/>
      <c r="N144" s="18"/>
      <c r="O144" s="18"/>
      <c r="P144" s="19"/>
      <c r="Q144" s="22"/>
      <c r="R144" s="20"/>
      <c r="S144" s="21"/>
      <c r="T144" s="20"/>
      <c r="U144" s="21"/>
      <c r="V144" s="22"/>
      <c r="W144" s="20"/>
      <c r="X144" s="21"/>
      <c r="Y144" s="22"/>
      <c r="Z144" s="20"/>
      <c r="AA144" s="22"/>
      <c r="AB144" s="22"/>
      <c r="AC144" s="34"/>
    </row>
    <row r="145" spans="1:29" s="2" customFormat="1" ht="40.4" customHeight="1">
      <c r="A145" s="165"/>
      <c r="B145" s="165"/>
      <c r="C145" s="764"/>
      <c r="D145" s="765"/>
      <c r="E145" s="765"/>
      <c r="F145" s="767"/>
      <c r="G145" s="754"/>
      <c r="H145" s="759"/>
      <c r="I145" s="766"/>
      <c r="J145" s="301"/>
      <c r="K145" s="17"/>
      <c r="L145" s="31"/>
      <c r="M145" s="17"/>
      <c r="N145" s="18"/>
      <c r="O145" s="18"/>
      <c r="P145" s="19"/>
      <c r="Q145" s="22"/>
      <c r="R145" s="20"/>
      <c r="S145" s="21"/>
      <c r="T145" s="20"/>
      <c r="U145" s="21"/>
      <c r="V145" s="22"/>
      <c r="W145" s="20"/>
      <c r="X145" s="21"/>
      <c r="Y145" s="22"/>
      <c r="Z145" s="20"/>
      <c r="AA145" s="22"/>
      <c r="AB145" s="22"/>
      <c r="AC145" s="34"/>
    </row>
    <row r="146" spans="1:29" s="2" customFormat="1" ht="40.4" customHeight="1">
      <c r="A146" s="165"/>
      <c r="B146" s="165"/>
      <c r="C146" s="763">
        <v>48</v>
      </c>
      <c r="D146" s="765"/>
      <c r="E146" s="765"/>
      <c r="F146" s="767" t="s">
        <v>1515</v>
      </c>
      <c r="G146" s="754" t="s">
        <v>1504</v>
      </c>
      <c r="H146" s="759"/>
      <c r="I146" s="766" t="s">
        <v>1516</v>
      </c>
      <c r="J146" s="301"/>
      <c r="K146" s="391" t="s">
        <v>1502</v>
      </c>
      <c r="L146" s="31"/>
      <c r="M146" s="391" t="s">
        <v>1502</v>
      </c>
      <c r="N146" s="18"/>
      <c r="O146" s="18"/>
      <c r="P146" s="19"/>
      <c r="Q146" s="22"/>
      <c r="R146" s="20"/>
      <c r="S146" s="21"/>
      <c r="T146" s="20"/>
      <c r="U146" s="21"/>
      <c r="V146" s="22"/>
      <c r="W146" s="20"/>
      <c r="X146" s="21"/>
      <c r="Y146" s="22"/>
      <c r="Z146" s="20"/>
      <c r="AA146" s="22"/>
      <c r="AB146" s="22"/>
      <c r="AC146" s="34"/>
    </row>
    <row r="147" spans="1:29" s="2" customFormat="1" ht="40.4" customHeight="1">
      <c r="A147" s="165"/>
      <c r="B147" s="165"/>
      <c r="C147" s="764"/>
      <c r="D147" s="765"/>
      <c r="E147" s="765"/>
      <c r="F147" s="767"/>
      <c r="G147" s="754"/>
      <c r="H147" s="759"/>
      <c r="I147" s="766"/>
      <c r="J147" s="301"/>
      <c r="K147" s="17"/>
      <c r="L147" s="31"/>
      <c r="M147" s="17"/>
      <c r="N147" s="18"/>
      <c r="O147" s="18"/>
      <c r="P147" s="19"/>
      <c r="Q147" s="22"/>
      <c r="R147" s="20"/>
      <c r="S147" s="21"/>
      <c r="T147" s="20"/>
      <c r="U147" s="21"/>
      <c r="V147" s="22"/>
      <c r="W147" s="20"/>
      <c r="X147" s="21"/>
      <c r="Y147" s="22"/>
      <c r="Z147" s="20"/>
      <c r="AA147" s="22"/>
      <c r="AB147" s="22"/>
      <c r="AC147" s="34"/>
    </row>
    <row r="148" spans="1:29" s="2" customFormat="1" ht="40.4" customHeight="1">
      <c r="A148" s="165"/>
      <c r="B148" s="165"/>
      <c r="C148" s="764"/>
      <c r="D148" s="765"/>
      <c r="E148" s="765"/>
      <c r="F148" s="767"/>
      <c r="G148" s="754"/>
      <c r="H148" s="759"/>
      <c r="I148" s="766"/>
      <c r="J148" s="301"/>
      <c r="K148" s="17"/>
      <c r="L148" s="31"/>
      <c r="M148" s="17"/>
      <c r="N148" s="18"/>
      <c r="O148" s="18"/>
      <c r="P148" s="19"/>
      <c r="Q148" s="22"/>
      <c r="R148" s="20"/>
      <c r="S148" s="21"/>
      <c r="T148" s="20"/>
      <c r="U148" s="21"/>
      <c r="V148" s="22"/>
      <c r="W148" s="20"/>
      <c r="X148" s="21"/>
      <c r="Y148" s="22"/>
      <c r="Z148" s="20"/>
      <c r="AA148" s="22"/>
      <c r="AB148" s="22"/>
      <c r="AC148" s="34"/>
    </row>
    <row r="149" spans="1:29" s="2" customFormat="1" ht="40.4" customHeight="1">
      <c r="A149" s="165"/>
      <c r="B149" s="165"/>
      <c r="C149" s="763">
        <v>49</v>
      </c>
      <c r="D149" s="765"/>
      <c r="E149" s="765"/>
      <c r="F149" s="761" t="s">
        <v>1517</v>
      </c>
      <c r="G149" s="762" t="s">
        <v>1518</v>
      </c>
      <c r="H149" s="759"/>
      <c r="I149" s="760"/>
      <c r="J149" s="301"/>
      <c r="K149" s="391" t="s">
        <v>1502</v>
      </c>
      <c r="L149" s="31"/>
      <c r="M149" s="391" t="s">
        <v>1502</v>
      </c>
      <c r="N149" s="18"/>
      <c r="O149" s="18"/>
      <c r="P149" s="19"/>
      <c r="Q149" s="22"/>
      <c r="R149" s="20"/>
      <c r="S149" s="21"/>
      <c r="T149" s="20"/>
      <c r="U149" s="21"/>
      <c r="V149" s="22"/>
      <c r="W149" s="20"/>
      <c r="X149" s="21"/>
      <c r="Y149" s="22"/>
      <c r="Z149" s="20"/>
      <c r="AA149" s="22"/>
      <c r="AB149" s="22"/>
      <c r="AC149" s="34"/>
    </row>
    <row r="150" spans="1:29" s="2" customFormat="1" ht="40.4" customHeight="1">
      <c r="A150" s="165"/>
      <c r="B150" s="165"/>
      <c r="C150" s="764"/>
      <c r="D150" s="765"/>
      <c r="E150" s="765"/>
      <c r="F150" s="761"/>
      <c r="G150" s="762"/>
      <c r="H150" s="759"/>
      <c r="I150" s="760"/>
      <c r="J150" s="301"/>
      <c r="K150" s="17"/>
      <c r="L150" s="31"/>
      <c r="M150" s="17"/>
      <c r="N150" s="18"/>
      <c r="O150" s="18"/>
      <c r="P150" s="19"/>
      <c r="Q150" s="22"/>
      <c r="R150" s="20"/>
      <c r="S150" s="21"/>
      <c r="T150" s="20"/>
      <c r="U150" s="21"/>
      <c r="V150" s="22"/>
      <c r="W150" s="20"/>
      <c r="X150" s="21"/>
      <c r="Y150" s="22"/>
      <c r="Z150" s="20"/>
      <c r="AA150" s="22"/>
      <c r="AB150" s="22"/>
      <c r="AC150" s="34"/>
    </row>
    <row r="151" spans="1:29" s="2" customFormat="1" ht="40.4" customHeight="1">
      <c r="A151" s="165"/>
      <c r="B151" s="165"/>
      <c r="C151" s="764"/>
      <c r="D151" s="765"/>
      <c r="E151" s="765"/>
      <c r="F151" s="761"/>
      <c r="G151" s="762"/>
      <c r="H151" s="759"/>
      <c r="I151" s="760"/>
      <c r="J151" s="301"/>
      <c r="K151" s="17"/>
      <c r="L151" s="31"/>
      <c r="M151" s="17"/>
      <c r="N151" s="18"/>
      <c r="O151" s="18"/>
      <c r="P151" s="19"/>
      <c r="Q151" s="22"/>
      <c r="R151" s="20"/>
      <c r="S151" s="21"/>
      <c r="T151" s="20"/>
      <c r="U151" s="21"/>
      <c r="V151" s="22"/>
      <c r="W151" s="20"/>
      <c r="X151" s="21"/>
      <c r="Y151" s="22"/>
      <c r="Z151" s="20"/>
      <c r="AA151" s="22"/>
      <c r="AB151" s="22"/>
      <c r="AC151" s="34"/>
    </row>
    <row r="152" spans="1:29" s="2" customFormat="1" ht="40.4" customHeight="1">
      <c r="A152" s="165"/>
      <c r="B152" s="165"/>
      <c r="C152" s="750">
        <v>51</v>
      </c>
      <c r="D152" s="752"/>
      <c r="E152" s="752"/>
      <c r="F152" s="753" t="s">
        <v>1562</v>
      </c>
      <c r="G152" s="754" t="s">
        <v>630</v>
      </c>
      <c r="H152" s="755"/>
      <c r="I152" s="754"/>
      <c r="J152" s="463"/>
      <c r="K152" s="427" t="s">
        <v>1502</v>
      </c>
      <c r="L152" s="426"/>
      <c r="M152" s="427" t="s">
        <v>1502</v>
      </c>
      <c r="N152" s="428"/>
      <c r="O152" s="428"/>
      <c r="P152" s="419"/>
      <c r="Q152" s="429"/>
      <c r="R152" s="436"/>
      <c r="S152" s="437"/>
      <c r="T152" s="436"/>
      <c r="U152" s="437"/>
      <c r="V152" s="429"/>
      <c r="W152" s="436"/>
      <c r="X152" s="437"/>
      <c r="Y152" s="429"/>
      <c r="Z152" s="436"/>
      <c r="AA152" s="429"/>
      <c r="AB152" s="429"/>
      <c r="AC152" s="756" t="s">
        <v>1535</v>
      </c>
    </row>
    <row r="153" spans="1:29" s="2" customFormat="1" ht="40.4" customHeight="1">
      <c r="A153" s="165"/>
      <c r="B153" s="165"/>
      <c r="C153" s="751"/>
      <c r="D153" s="752"/>
      <c r="E153" s="752"/>
      <c r="F153" s="753"/>
      <c r="G153" s="754"/>
      <c r="H153" s="755"/>
      <c r="I153" s="754"/>
      <c r="J153" s="463"/>
      <c r="K153" s="427"/>
      <c r="L153" s="426"/>
      <c r="M153" s="427"/>
      <c r="N153" s="428"/>
      <c r="O153" s="428"/>
      <c r="P153" s="419"/>
      <c r="Q153" s="429"/>
      <c r="R153" s="436"/>
      <c r="S153" s="437"/>
      <c r="T153" s="436"/>
      <c r="U153" s="437"/>
      <c r="V153" s="429"/>
      <c r="W153" s="436"/>
      <c r="X153" s="437"/>
      <c r="Y153" s="429"/>
      <c r="Z153" s="436"/>
      <c r="AA153" s="429"/>
      <c r="AB153" s="429"/>
      <c r="AC153" s="757"/>
    </row>
    <row r="154" spans="1:29" s="2" customFormat="1" ht="40.4" customHeight="1">
      <c r="A154" s="165"/>
      <c r="B154" s="165"/>
      <c r="C154" s="751"/>
      <c r="D154" s="752"/>
      <c r="E154" s="752"/>
      <c r="F154" s="753"/>
      <c r="G154" s="754"/>
      <c r="H154" s="755"/>
      <c r="I154" s="754"/>
      <c r="J154" s="463"/>
      <c r="K154" s="427"/>
      <c r="L154" s="426"/>
      <c r="M154" s="427"/>
      <c r="N154" s="428"/>
      <c r="O154" s="428"/>
      <c r="P154" s="419"/>
      <c r="Q154" s="429"/>
      <c r="R154" s="436"/>
      <c r="S154" s="437"/>
      <c r="T154" s="436"/>
      <c r="U154" s="437"/>
      <c r="V154" s="429"/>
      <c r="W154" s="436"/>
      <c r="X154" s="437"/>
      <c r="Y154" s="429"/>
      <c r="Z154" s="436"/>
      <c r="AA154" s="429"/>
      <c r="AB154" s="429"/>
      <c r="AC154" s="758"/>
    </row>
    <row r="155" spans="1:29" s="2" customFormat="1" ht="40.4" customHeight="1">
      <c r="A155" s="165"/>
      <c r="B155" s="165"/>
      <c r="C155" s="750">
        <v>52</v>
      </c>
      <c r="D155" s="752"/>
      <c r="E155" s="752"/>
      <c r="F155" s="753" t="s">
        <v>1563</v>
      </c>
      <c r="G155" s="754" t="s">
        <v>1564</v>
      </c>
      <c r="H155" s="755"/>
      <c r="I155" s="754"/>
      <c r="J155" s="463"/>
      <c r="K155" s="427" t="s">
        <v>1502</v>
      </c>
      <c r="L155" s="426"/>
      <c r="M155" s="427" t="s">
        <v>1502</v>
      </c>
      <c r="N155" s="428"/>
      <c r="O155" s="428"/>
      <c r="P155" s="419"/>
      <c r="Q155" s="429"/>
      <c r="R155" s="436"/>
      <c r="S155" s="437"/>
      <c r="T155" s="436"/>
      <c r="U155" s="437"/>
      <c r="V155" s="429"/>
      <c r="W155" s="436"/>
      <c r="X155" s="437"/>
      <c r="Y155" s="429"/>
      <c r="Z155" s="436"/>
      <c r="AA155" s="429"/>
      <c r="AB155" s="429"/>
      <c r="AC155" s="756" t="s">
        <v>1535</v>
      </c>
    </row>
    <row r="156" spans="1:29" s="2" customFormat="1" ht="40.4" customHeight="1">
      <c r="A156" s="165"/>
      <c r="B156" s="165"/>
      <c r="C156" s="751"/>
      <c r="D156" s="752"/>
      <c r="E156" s="752"/>
      <c r="F156" s="753"/>
      <c r="G156" s="754"/>
      <c r="H156" s="755"/>
      <c r="I156" s="754"/>
      <c r="J156" s="463"/>
      <c r="K156" s="427"/>
      <c r="L156" s="426"/>
      <c r="M156" s="427"/>
      <c r="N156" s="428"/>
      <c r="O156" s="428"/>
      <c r="P156" s="419"/>
      <c r="Q156" s="429"/>
      <c r="R156" s="436"/>
      <c r="S156" s="437"/>
      <c r="T156" s="436"/>
      <c r="U156" s="437"/>
      <c r="V156" s="429"/>
      <c r="W156" s="436"/>
      <c r="X156" s="437"/>
      <c r="Y156" s="429"/>
      <c r="Z156" s="436"/>
      <c r="AA156" s="429"/>
      <c r="AB156" s="429"/>
      <c r="AC156" s="757"/>
    </row>
    <row r="157" spans="1:29" s="2" customFormat="1" ht="40.4" customHeight="1">
      <c r="A157" s="165"/>
      <c r="B157" s="165"/>
      <c r="C157" s="751"/>
      <c r="D157" s="752"/>
      <c r="E157" s="752"/>
      <c r="F157" s="753"/>
      <c r="G157" s="754"/>
      <c r="H157" s="755"/>
      <c r="I157" s="754"/>
      <c r="J157" s="463"/>
      <c r="K157" s="427"/>
      <c r="L157" s="426"/>
      <c r="M157" s="427"/>
      <c r="N157" s="428"/>
      <c r="O157" s="428"/>
      <c r="P157" s="419"/>
      <c r="Q157" s="429"/>
      <c r="R157" s="436"/>
      <c r="S157" s="437"/>
      <c r="T157" s="436"/>
      <c r="U157" s="437"/>
      <c r="V157" s="429"/>
      <c r="W157" s="436"/>
      <c r="X157" s="437"/>
      <c r="Y157" s="429"/>
      <c r="Z157" s="436"/>
      <c r="AA157" s="429"/>
      <c r="AB157" s="429"/>
      <c r="AC157" s="758"/>
    </row>
    <row r="158" spans="1:29" s="2" customFormat="1" ht="40.4" customHeight="1">
      <c r="A158" s="165"/>
      <c r="B158" s="165"/>
      <c r="C158" s="750">
        <v>53</v>
      </c>
      <c r="D158" s="752"/>
      <c r="E158" s="752"/>
      <c r="F158" s="753" t="s">
        <v>1565</v>
      </c>
      <c r="G158" s="754" t="s">
        <v>1564</v>
      </c>
      <c r="H158" s="755"/>
      <c r="I158" s="754"/>
      <c r="J158" s="463"/>
      <c r="K158" s="427" t="s">
        <v>1502</v>
      </c>
      <c r="L158" s="426"/>
      <c r="M158" s="427" t="s">
        <v>1502</v>
      </c>
      <c r="N158" s="428"/>
      <c r="O158" s="428"/>
      <c r="P158" s="419"/>
      <c r="Q158" s="429"/>
      <c r="R158" s="436"/>
      <c r="S158" s="437"/>
      <c r="T158" s="436"/>
      <c r="U158" s="437"/>
      <c r="V158" s="429"/>
      <c r="W158" s="436"/>
      <c r="X158" s="437"/>
      <c r="Y158" s="429"/>
      <c r="Z158" s="436"/>
      <c r="AA158" s="429"/>
      <c r="AB158" s="429"/>
      <c r="AC158" s="756" t="s">
        <v>1535</v>
      </c>
    </row>
    <row r="159" spans="1:29" s="2" customFormat="1" ht="40.4" customHeight="1">
      <c r="A159" s="165"/>
      <c r="B159" s="165"/>
      <c r="C159" s="751"/>
      <c r="D159" s="752"/>
      <c r="E159" s="752"/>
      <c r="F159" s="753"/>
      <c r="G159" s="754"/>
      <c r="H159" s="755"/>
      <c r="I159" s="754"/>
      <c r="J159" s="463"/>
      <c r="K159" s="427"/>
      <c r="L159" s="426"/>
      <c r="M159" s="427"/>
      <c r="N159" s="428"/>
      <c r="O159" s="428"/>
      <c r="P159" s="419"/>
      <c r="Q159" s="429"/>
      <c r="R159" s="436"/>
      <c r="S159" s="437"/>
      <c r="T159" s="436"/>
      <c r="U159" s="437"/>
      <c r="V159" s="429"/>
      <c r="W159" s="436"/>
      <c r="X159" s="437"/>
      <c r="Y159" s="429"/>
      <c r="Z159" s="436"/>
      <c r="AA159" s="429"/>
      <c r="AB159" s="429"/>
      <c r="AC159" s="757"/>
    </row>
    <row r="160" spans="1:29" s="2" customFormat="1" ht="40.4" customHeight="1">
      <c r="A160" s="165"/>
      <c r="B160" s="165"/>
      <c r="C160" s="751"/>
      <c r="D160" s="752"/>
      <c r="E160" s="752"/>
      <c r="F160" s="753"/>
      <c r="G160" s="754"/>
      <c r="H160" s="755"/>
      <c r="I160" s="754"/>
      <c r="J160" s="463"/>
      <c r="K160" s="427"/>
      <c r="L160" s="426"/>
      <c r="M160" s="427"/>
      <c r="N160" s="428"/>
      <c r="O160" s="428"/>
      <c r="P160" s="419"/>
      <c r="Q160" s="429"/>
      <c r="R160" s="436"/>
      <c r="S160" s="437"/>
      <c r="T160" s="436"/>
      <c r="U160" s="437"/>
      <c r="V160" s="429"/>
      <c r="W160" s="436"/>
      <c r="X160" s="437"/>
      <c r="Y160" s="429"/>
      <c r="Z160" s="436"/>
      <c r="AA160" s="429"/>
      <c r="AB160" s="429"/>
      <c r="AC160" s="758"/>
    </row>
    <row r="161" spans="1:29" s="2" customFormat="1" ht="40.4" customHeight="1">
      <c r="A161" s="165"/>
      <c r="B161" s="165"/>
      <c r="C161" s="750">
        <v>54</v>
      </c>
      <c r="D161" s="752"/>
      <c r="E161" s="752"/>
      <c r="F161" s="753" t="s">
        <v>1566</v>
      </c>
      <c r="G161" s="754" t="s">
        <v>1564</v>
      </c>
      <c r="H161" s="755"/>
      <c r="I161" s="754"/>
      <c r="J161" s="463"/>
      <c r="K161" s="427" t="s">
        <v>1502</v>
      </c>
      <c r="L161" s="426"/>
      <c r="M161" s="427" t="s">
        <v>1502</v>
      </c>
      <c r="N161" s="428"/>
      <c r="O161" s="428"/>
      <c r="P161" s="419"/>
      <c r="Q161" s="429"/>
      <c r="R161" s="436"/>
      <c r="S161" s="437"/>
      <c r="T161" s="436"/>
      <c r="U161" s="437"/>
      <c r="V161" s="429"/>
      <c r="W161" s="436"/>
      <c r="X161" s="437"/>
      <c r="Y161" s="429"/>
      <c r="Z161" s="436"/>
      <c r="AA161" s="429"/>
      <c r="AB161" s="429"/>
      <c r="AC161" s="756" t="s">
        <v>1535</v>
      </c>
    </row>
    <row r="162" spans="1:29" s="2" customFormat="1" ht="40.4" customHeight="1">
      <c r="A162" s="165"/>
      <c r="B162" s="165"/>
      <c r="C162" s="751"/>
      <c r="D162" s="752"/>
      <c r="E162" s="752"/>
      <c r="F162" s="753"/>
      <c r="G162" s="754"/>
      <c r="H162" s="755"/>
      <c r="I162" s="754"/>
      <c r="J162" s="463"/>
      <c r="K162" s="427"/>
      <c r="L162" s="426"/>
      <c r="M162" s="427"/>
      <c r="N162" s="428"/>
      <c r="O162" s="428"/>
      <c r="P162" s="419"/>
      <c r="Q162" s="429"/>
      <c r="R162" s="436"/>
      <c r="S162" s="437"/>
      <c r="T162" s="436"/>
      <c r="U162" s="437"/>
      <c r="V162" s="429"/>
      <c r="W162" s="436"/>
      <c r="X162" s="437"/>
      <c r="Y162" s="429"/>
      <c r="Z162" s="436"/>
      <c r="AA162" s="429"/>
      <c r="AB162" s="429"/>
      <c r="AC162" s="757"/>
    </row>
    <row r="163" spans="1:29" s="2" customFormat="1" ht="40.4" customHeight="1">
      <c r="A163" s="165"/>
      <c r="B163" s="165"/>
      <c r="C163" s="751"/>
      <c r="D163" s="752"/>
      <c r="E163" s="752"/>
      <c r="F163" s="753"/>
      <c r="G163" s="754"/>
      <c r="H163" s="755"/>
      <c r="I163" s="754"/>
      <c r="J163" s="463"/>
      <c r="K163" s="427"/>
      <c r="L163" s="426"/>
      <c r="M163" s="427"/>
      <c r="N163" s="428"/>
      <c r="O163" s="428"/>
      <c r="P163" s="419"/>
      <c r="Q163" s="429"/>
      <c r="R163" s="436"/>
      <c r="S163" s="437"/>
      <c r="T163" s="436"/>
      <c r="U163" s="437"/>
      <c r="V163" s="429"/>
      <c r="W163" s="436"/>
      <c r="X163" s="437"/>
      <c r="Y163" s="429"/>
      <c r="Z163" s="436"/>
      <c r="AA163" s="429"/>
      <c r="AB163" s="429"/>
      <c r="AC163" s="758"/>
    </row>
    <row r="164" spans="1:29" s="2" customFormat="1" ht="40.4" customHeight="1">
      <c r="A164" s="165"/>
      <c r="B164" s="165"/>
      <c r="C164" s="750">
        <v>55</v>
      </c>
      <c r="D164" s="752"/>
      <c r="E164" s="752"/>
      <c r="F164" s="753" t="s">
        <v>1567</v>
      </c>
      <c r="G164" s="754" t="s">
        <v>1518</v>
      </c>
      <c r="H164" s="755"/>
      <c r="I164" s="754"/>
      <c r="J164" s="463"/>
      <c r="K164" s="427" t="s">
        <v>1502</v>
      </c>
      <c r="L164" s="426"/>
      <c r="M164" s="427" t="s">
        <v>1502</v>
      </c>
      <c r="N164" s="428"/>
      <c r="O164" s="428"/>
      <c r="P164" s="419"/>
      <c r="Q164" s="429"/>
      <c r="R164" s="436"/>
      <c r="S164" s="437"/>
      <c r="T164" s="436"/>
      <c r="U164" s="437"/>
      <c r="V164" s="429"/>
      <c r="W164" s="436"/>
      <c r="X164" s="437"/>
      <c r="Y164" s="429"/>
      <c r="Z164" s="436"/>
      <c r="AA164" s="429"/>
      <c r="AB164" s="429"/>
      <c r="AC164" s="756" t="s">
        <v>1535</v>
      </c>
    </row>
    <row r="165" spans="1:29" s="2" customFormat="1" ht="40.4" customHeight="1">
      <c r="A165" s="165"/>
      <c r="B165" s="165"/>
      <c r="C165" s="751"/>
      <c r="D165" s="752"/>
      <c r="E165" s="752"/>
      <c r="F165" s="753"/>
      <c r="G165" s="754"/>
      <c r="H165" s="755"/>
      <c r="I165" s="754"/>
      <c r="J165" s="463"/>
      <c r="K165" s="427"/>
      <c r="L165" s="426"/>
      <c r="M165" s="427"/>
      <c r="N165" s="428"/>
      <c r="O165" s="428"/>
      <c r="P165" s="419"/>
      <c r="Q165" s="429"/>
      <c r="R165" s="436"/>
      <c r="S165" s="437"/>
      <c r="T165" s="436"/>
      <c r="U165" s="437"/>
      <c r="V165" s="429"/>
      <c r="W165" s="436"/>
      <c r="X165" s="437"/>
      <c r="Y165" s="429"/>
      <c r="Z165" s="436"/>
      <c r="AA165" s="429"/>
      <c r="AB165" s="429"/>
      <c r="AC165" s="757"/>
    </row>
    <row r="166" spans="1:29" s="2" customFormat="1" ht="40.4" customHeight="1">
      <c r="A166" s="165"/>
      <c r="B166" s="165"/>
      <c r="C166" s="751"/>
      <c r="D166" s="752"/>
      <c r="E166" s="752"/>
      <c r="F166" s="753"/>
      <c r="G166" s="754"/>
      <c r="H166" s="755"/>
      <c r="I166" s="754"/>
      <c r="J166" s="463"/>
      <c r="K166" s="427"/>
      <c r="L166" s="426"/>
      <c r="M166" s="427"/>
      <c r="N166" s="428"/>
      <c r="O166" s="428"/>
      <c r="P166" s="419"/>
      <c r="Q166" s="429"/>
      <c r="R166" s="436"/>
      <c r="S166" s="437"/>
      <c r="T166" s="436"/>
      <c r="U166" s="437"/>
      <c r="V166" s="429"/>
      <c r="W166" s="436"/>
      <c r="X166" s="437"/>
      <c r="Y166" s="429"/>
      <c r="Z166" s="436"/>
      <c r="AA166" s="429"/>
      <c r="AB166" s="429"/>
      <c r="AC166" s="758"/>
    </row>
    <row r="167" spans="1:29" s="25" customFormat="1" ht="40.4" customHeight="1">
      <c r="C167" s="76"/>
      <c r="D167" s="93"/>
      <c r="E167" s="93"/>
      <c r="F167" s="94"/>
      <c r="G167" s="94"/>
      <c r="H167" s="77"/>
      <c r="I167" s="94"/>
      <c r="J167" s="94"/>
      <c r="K167" s="39"/>
      <c r="L167" s="39"/>
      <c r="M167" s="39"/>
      <c r="N167" s="42"/>
      <c r="O167" s="42"/>
      <c r="P167" s="43"/>
      <c r="Q167" s="44"/>
      <c r="R167" s="79"/>
      <c r="S167" s="80"/>
      <c r="T167" s="79"/>
      <c r="U167" s="80"/>
      <c r="V167" s="78"/>
      <c r="W167" s="45"/>
      <c r="X167" s="46"/>
      <c r="Y167" s="44"/>
      <c r="Z167" s="45"/>
      <c r="AA167" s="44"/>
      <c r="AB167" s="44"/>
      <c r="AC167" s="47"/>
    </row>
    <row r="168" spans="1:29" s="2" customFormat="1" ht="40.4" customHeight="1">
      <c r="C168" s="36"/>
      <c r="D168" s="95" t="s">
        <v>378</v>
      </c>
      <c r="E168" s="95"/>
      <c r="F168" s="38"/>
      <c r="G168" s="38"/>
      <c r="H168" s="38"/>
      <c r="I168" s="38"/>
      <c r="J168" s="38"/>
      <c r="K168" s="39"/>
      <c r="L168" s="40"/>
      <c r="M168" s="41"/>
      <c r="N168" s="42"/>
      <c r="O168" s="42"/>
      <c r="P168" s="43"/>
      <c r="Q168" s="44"/>
      <c r="R168" s="45"/>
      <c r="S168" s="46"/>
      <c r="T168" s="45"/>
      <c r="U168" s="46"/>
      <c r="V168" s="44"/>
      <c r="W168" s="45"/>
      <c r="X168" s="46"/>
      <c r="Y168" s="44"/>
      <c r="Z168" s="45"/>
      <c r="AA168" s="44"/>
      <c r="AB168" s="44"/>
      <c r="AC168" s="47"/>
    </row>
    <row r="169" spans="1:29" ht="40.4" customHeight="1">
      <c r="D169" s="49" t="s">
        <v>193</v>
      </c>
      <c r="E169" s="49"/>
      <c r="F169" s="64">
        <f>COUNTA(F5:F166)</f>
        <v>54</v>
      </c>
      <c r="G169" s="83"/>
      <c r="H169" s="190"/>
      <c r="I169" s="83"/>
      <c r="J169" s="83"/>
      <c r="K169" s="50"/>
      <c r="L169" s="51"/>
      <c r="P169" s="2"/>
      <c r="AB169" s="52"/>
      <c r="AC169" s="1"/>
    </row>
    <row r="170" spans="1:29" ht="40.4" customHeight="1">
      <c r="D170" s="61" t="s">
        <v>240</v>
      </c>
      <c r="E170" s="61"/>
      <c r="F170" s="67">
        <f>F169-F171-F172-F173</f>
        <v>50</v>
      </c>
      <c r="G170" s="84"/>
      <c r="H170" s="90"/>
      <c r="I170" s="84"/>
      <c r="J170" s="84"/>
      <c r="K170" s="56"/>
      <c r="L170" s="57"/>
      <c r="P170" s="2"/>
      <c r="AB170" s="52"/>
      <c r="AC170" s="1"/>
    </row>
    <row r="171" spans="1:29" ht="45.65" customHeight="1">
      <c r="D171" s="55" t="s">
        <v>194</v>
      </c>
      <c r="E171" s="55"/>
      <c r="F171" s="65">
        <f>COUNTIF(P5:P151,"核定")</f>
        <v>4</v>
      </c>
      <c r="G171" s="57"/>
      <c r="H171" s="88"/>
      <c r="I171" s="57"/>
      <c r="J171" s="57"/>
      <c r="K171" s="59"/>
      <c r="L171" s="60"/>
      <c r="P171" s="2"/>
      <c r="AB171" s="52"/>
      <c r="AC171" s="1"/>
    </row>
    <row r="172" spans="1:29" ht="40.4" customHeight="1">
      <c r="D172" s="72" t="s">
        <v>177</v>
      </c>
      <c r="E172" s="72"/>
      <c r="F172" s="73">
        <f>COUNTIF(P5:P151,"審查")</f>
        <v>0</v>
      </c>
      <c r="G172" s="85"/>
      <c r="H172" s="192"/>
      <c r="I172" s="85"/>
      <c r="J172" s="85"/>
      <c r="K172" s="62"/>
      <c r="L172" s="63"/>
      <c r="P172" s="2"/>
      <c r="AB172" s="52"/>
      <c r="AC172" s="1"/>
    </row>
    <row r="173" spans="1:29" s="52" customFormat="1" ht="40.4" customHeight="1">
      <c r="C173" s="48"/>
      <c r="D173" s="58" t="s">
        <v>239</v>
      </c>
      <c r="E173" s="58"/>
      <c r="F173" s="66">
        <f>COUNTIF(P5:P151,"修正")</f>
        <v>0</v>
      </c>
      <c r="G173" s="86"/>
      <c r="H173" s="89"/>
      <c r="I173" s="86"/>
      <c r="J173" s="86"/>
      <c r="K173" s="53"/>
      <c r="N173" s="53"/>
      <c r="O173" s="54"/>
      <c r="P173" s="54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</sheetData>
  <autoFilter ref="C4:AC173" xr:uid="{00000000-0009-0000-0000-000007000000}"/>
  <mergeCells count="446">
    <mergeCell ref="J83:J85"/>
    <mergeCell ref="J26:J28"/>
    <mergeCell ref="H98:H100"/>
    <mergeCell ref="I98:I100"/>
    <mergeCell ref="G74:G76"/>
    <mergeCell ref="H32:H34"/>
    <mergeCell ref="I32:I34"/>
    <mergeCell ref="H23:H25"/>
    <mergeCell ref="I23:I25"/>
    <mergeCell ref="I38:I40"/>
    <mergeCell ref="H86:H88"/>
    <mergeCell ref="H89:H91"/>
    <mergeCell ref="H92:H94"/>
    <mergeCell ref="H95:H97"/>
    <mergeCell ref="H62:H64"/>
    <mergeCell ref="I77:I79"/>
    <mergeCell ref="I62:I64"/>
    <mergeCell ref="H41:H43"/>
    <mergeCell ref="G92:G94"/>
    <mergeCell ref="G95:G97"/>
    <mergeCell ref="G50:G52"/>
    <mergeCell ref="I26:I28"/>
    <mergeCell ref="I92:I94"/>
    <mergeCell ref="I95:I97"/>
    <mergeCell ref="J107:J109"/>
    <mergeCell ref="J20:J22"/>
    <mergeCell ref="J98:J100"/>
    <mergeCell ref="J32:J34"/>
    <mergeCell ref="J23:J25"/>
    <mergeCell ref="J101:J103"/>
    <mergeCell ref="J17:J19"/>
    <mergeCell ref="J104:J106"/>
    <mergeCell ref="J35:J37"/>
    <mergeCell ref="J86:J88"/>
    <mergeCell ref="J89:J91"/>
    <mergeCell ref="J92:J94"/>
    <mergeCell ref="J95:J97"/>
    <mergeCell ref="J41:J43"/>
    <mergeCell ref="J59:J61"/>
    <mergeCell ref="J56:J58"/>
    <mergeCell ref="J62:J64"/>
    <mergeCell ref="J53:J55"/>
    <mergeCell ref="J77:J79"/>
    <mergeCell ref="J50:J52"/>
    <mergeCell ref="J80:J82"/>
    <mergeCell ref="J44:J46"/>
    <mergeCell ref="J74:J76"/>
    <mergeCell ref="J38:J40"/>
    <mergeCell ref="D14:D16"/>
    <mergeCell ref="E14:E16"/>
    <mergeCell ref="C119:C121"/>
    <mergeCell ref="D119:D121"/>
    <mergeCell ref="E119:E121"/>
    <mergeCell ref="C8:C10"/>
    <mergeCell ref="D8:D10"/>
    <mergeCell ref="E8:E10"/>
    <mergeCell ref="J47:J49"/>
    <mergeCell ref="J110:J112"/>
    <mergeCell ref="J68:J70"/>
    <mergeCell ref="J71:J73"/>
    <mergeCell ref="J65:J67"/>
    <mergeCell ref="J11:J13"/>
    <mergeCell ref="C11:C13"/>
    <mergeCell ref="D11:D13"/>
    <mergeCell ref="E11:E13"/>
    <mergeCell ref="J14:J16"/>
    <mergeCell ref="J113:J115"/>
    <mergeCell ref="J116:J118"/>
    <mergeCell ref="J119:J121"/>
    <mergeCell ref="J8:J10"/>
    <mergeCell ref="I17:I19"/>
    <mergeCell ref="I20:I22"/>
    <mergeCell ref="C41:C43"/>
    <mergeCell ref="D41:D43"/>
    <mergeCell ref="C44:C46"/>
    <mergeCell ref="C68:C70"/>
    <mergeCell ref="D68:D70"/>
    <mergeCell ref="E68:E70"/>
    <mergeCell ref="C65:C67"/>
    <mergeCell ref="D53:D55"/>
    <mergeCell ref="D65:D67"/>
    <mergeCell ref="E65:E67"/>
    <mergeCell ref="E53:E55"/>
    <mergeCell ref="E71:E73"/>
    <mergeCell ref="C107:C109"/>
    <mergeCell ref="D107:D109"/>
    <mergeCell ref="E107:E109"/>
    <mergeCell ref="F92:F94"/>
    <mergeCell ref="F95:F97"/>
    <mergeCell ref="C62:C64"/>
    <mergeCell ref="D62:D64"/>
    <mergeCell ref="E62:E64"/>
    <mergeCell ref="E89:E91"/>
    <mergeCell ref="E92:E94"/>
    <mergeCell ref="E95:E97"/>
    <mergeCell ref="D89:D91"/>
    <mergeCell ref="D92:D94"/>
    <mergeCell ref="D95:D97"/>
    <mergeCell ref="F116:F118"/>
    <mergeCell ref="G116:G118"/>
    <mergeCell ref="F107:F109"/>
    <mergeCell ref="G107:G109"/>
    <mergeCell ref="F110:F112"/>
    <mergeCell ref="C110:C112"/>
    <mergeCell ref="D110:D112"/>
    <mergeCell ref="E110:E112"/>
    <mergeCell ref="C101:C103"/>
    <mergeCell ref="D101:D103"/>
    <mergeCell ref="E101:E103"/>
    <mergeCell ref="F101:F103"/>
    <mergeCell ref="G101:G103"/>
    <mergeCell ref="C104:C106"/>
    <mergeCell ref="D104:D106"/>
    <mergeCell ref="E104:E106"/>
    <mergeCell ref="C17:C19"/>
    <mergeCell ref="D17:D19"/>
    <mergeCell ref="E17:E19"/>
    <mergeCell ref="E80:E82"/>
    <mergeCell ref="E44:E46"/>
    <mergeCell ref="E74:E76"/>
    <mergeCell ref="E38:E40"/>
    <mergeCell ref="E83:E85"/>
    <mergeCell ref="E47:E49"/>
    <mergeCell ref="D47:D49"/>
    <mergeCell ref="D77:D79"/>
    <mergeCell ref="D50:D52"/>
    <mergeCell ref="D80:D82"/>
    <mergeCell ref="D44:D46"/>
    <mergeCell ref="D74:D76"/>
    <mergeCell ref="D38:D40"/>
    <mergeCell ref="D83:D85"/>
    <mergeCell ref="C56:C58"/>
    <mergeCell ref="C26:C28"/>
    <mergeCell ref="D26:D28"/>
    <mergeCell ref="E26:E28"/>
    <mergeCell ref="C35:C37"/>
    <mergeCell ref="C20:C22"/>
    <mergeCell ref="D20:D22"/>
    <mergeCell ref="C14:C16"/>
    <mergeCell ref="C113:C115"/>
    <mergeCell ref="D113:D115"/>
    <mergeCell ref="E113:E115"/>
    <mergeCell ref="C116:C118"/>
    <mergeCell ref="D116:D118"/>
    <mergeCell ref="E116:E118"/>
    <mergeCell ref="C77:C79"/>
    <mergeCell ref="C50:C52"/>
    <mergeCell ref="C80:C82"/>
    <mergeCell ref="E20:E22"/>
    <mergeCell ref="C98:C100"/>
    <mergeCell ref="D98:D100"/>
    <mergeCell ref="E98:E100"/>
    <mergeCell ref="C32:C34"/>
    <mergeCell ref="C74:C76"/>
    <mergeCell ref="C38:C40"/>
    <mergeCell ref="C83:C85"/>
    <mergeCell ref="C47:C49"/>
    <mergeCell ref="C53:C55"/>
    <mergeCell ref="E77:E79"/>
    <mergeCell ref="E50:E52"/>
    <mergeCell ref="C23:C25"/>
    <mergeCell ref="D23:D25"/>
    <mergeCell ref="H107:H109"/>
    <mergeCell ref="I107:I109"/>
    <mergeCell ref="F113:F115"/>
    <mergeCell ref="G113:G115"/>
    <mergeCell ref="G110:G112"/>
    <mergeCell ref="H38:H40"/>
    <mergeCell ref="H47:H49"/>
    <mergeCell ref="H53:H55"/>
    <mergeCell ref="F83:F85"/>
    <mergeCell ref="G47:G49"/>
    <mergeCell ref="F50:F52"/>
    <mergeCell ref="F80:F82"/>
    <mergeCell ref="F44:F46"/>
    <mergeCell ref="F86:F88"/>
    <mergeCell ref="G89:G91"/>
    <mergeCell ref="H101:H103"/>
    <mergeCell ref="I101:I103"/>
    <mergeCell ref="F98:F100"/>
    <mergeCell ref="G98:G100"/>
    <mergeCell ref="F77:F79"/>
    <mergeCell ref="F62:F64"/>
    <mergeCell ref="G62:G64"/>
    <mergeCell ref="G77:G79"/>
    <mergeCell ref="F89:F91"/>
    <mergeCell ref="H119:H121"/>
    <mergeCell ref="I119:I121"/>
    <mergeCell ref="H8:H10"/>
    <mergeCell ref="I8:I10"/>
    <mergeCell ref="I110:I112"/>
    <mergeCell ref="H68:H70"/>
    <mergeCell ref="I68:I70"/>
    <mergeCell ref="H71:H73"/>
    <mergeCell ref="I71:I73"/>
    <mergeCell ref="H65:H67"/>
    <mergeCell ref="I65:I67"/>
    <mergeCell ref="H11:H13"/>
    <mergeCell ref="I11:I13"/>
    <mergeCell ref="I14:I16"/>
    <mergeCell ref="H113:H115"/>
    <mergeCell ref="I113:I115"/>
    <mergeCell ref="H116:H118"/>
    <mergeCell ref="I116:I118"/>
    <mergeCell ref="H83:H85"/>
    <mergeCell ref="H44:H46"/>
    <mergeCell ref="H74:H76"/>
    <mergeCell ref="H104:H106"/>
    <mergeCell ref="I104:I106"/>
    <mergeCell ref="H35:H37"/>
    <mergeCell ref="F119:F121"/>
    <mergeCell ref="G119:G121"/>
    <mergeCell ref="F8:F10"/>
    <mergeCell ref="G8:G10"/>
    <mergeCell ref="H20:H22"/>
    <mergeCell ref="H17:H19"/>
    <mergeCell ref="H110:H112"/>
    <mergeCell ref="H14:H16"/>
    <mergeCell ref="G68:G70"/>
    <mergeCell ref="F71:F73"/>
    <mergeCell ref="G71:G73"/>
    <mergeCell ref="F65:F67"/>
    <mergeCell ref="G65:G67"/>
    <mergeCell ref="F11:F13"/>
    <mergeCell ref="G11:G13"/>
    <mergeCell ref="F14:F16"/>
    <mergeCell ref="G14:G16"/>
    <mergeCell ref="G17:G19"/>
    <mergeCell ref="F104:F106"/>
    <mergeCell ref="G104:G106"/>
    <mergeCell ref="F35:F37"/>
    <mergeCell ref="G35:G37"/>
    <mergeCell ref="F26:F28"/>
    <mergeCell ref="G26:G28"/>
    <mergeCell ref="E23:E25"/>
    <mergeCell ref="D32:D34"/>
    <mergeCell ref="E32:E34"/>
    <mergeCell ref="D35:D37"/>
    <mergeCell ref="E35:E37"/>
    <mergeCell ref="D56:D58"/>
    <mergeCell ref="E56:E58"/>
    <mergeCell ref="I86:I88"/>
    <mergeCell ref="I89:I91"/>
    <mergeCell ref="H59:H61"/>
    <mergeCell ref="I80:I82"/>
    <mergeCell ref="F74:F76"/>
    <mergeCell ref="F59:F61"/>
    <mergeCell ref="F53:F55"/>
    <mergeCell ref="G83:G85"/>
    <mergeCell ref="G53:G55"/>
    <mergeCell ref="G80:G82"/>
    <mergeCell ref="G86:G88"/>
    <mergeCell ref="F56:F58"/>
    <mergeCell ref="G56:G58"/>
    <mergeCell ref="I41:I43"/>
    <mergeCell ref="I44:I46"/>
    <mergeCell ref="F38:F40"/>
    <mergeCell ref="G38:G40"/>
    <mergeCell ref="F20:F22"/>
    <mergeCell ref="I74:I76"/>
    <mergeCell ref="I83:I85"/>
    <mergeCell ref="I47:I49"/>
    <mergeCell ref="I53:I55"/>
    <mergeCell ref="H77:H79"/>
    <mergeCell ref="H50:H52"/>
    <mergeCell ref="H80:H82"/>
    <mergeCell ref="G20:G22"/>
    <mergeCell ref="F41:F43"/>
    <mergeCell ref="I35:I37"/>
    <mergeCell ref="H26:H28"/>
    <mergeCell ref="C29:C31"/>
    <mergeCell ref="C92:C94"/>
    <mergeCell ref="C95:C97"/>
    <mergeCell ref="H56:H58"/>
    <mergeCell ref="G59:G61"/>
    <mergeCell ref="C59:C61"/>
    <mergeCell ref="D59:D61"/>
    <mergeCell ref="E59:E61"/>
    <mergeCell ref="C86:C88"/>
    <mergeCell ref="C89:C91"/>
    <mergeCell ref="E41:E43"/>
    <mergeCell ref="F68:F70"/>
    <mergeCell ref="G41:G43"/>
    <mergeCell ref="F29:F31"/>
    <mergeCell ref="H29:H31"/>
    <mergeCell ref="G29:G31"/>
    <mergeCell ref="F32:F34"/>
    <mergeCell ref="G32:G34"/>
    <mergeCell ref="G44:G46"/>
    <mergeCell ref="E29:E31"/>
    <mergeCell ref="E86:E88"/>
    <mergeCell ref="F47:F49"/>
    <mergeCell ref="C71:C73"/>
    <mergeCell ref="D71:D73"/>
    <mergeCell ref="W3:Y3"/>
    <mergeCell ref="Z3:AB3"/>
    <mergeCell ref="I2:I4"/>
    <mergeCell ref="A2:A4"/>
    <mergeCell ref="B2:B4"/>
    <mergeCell ref="H5:H7"/>
    <mergeCell ref="G2:G4"/>
    <mergeCell ref="D29:D31"/>
    <mergeCell ref="D86:D88"/>
    <mergeCell ref="C5:C7"/>
    <mergeCell ref="D5:D7"/>
    <mergeCell ref="F5:F7"/>
    <mergeCell ref="E5:E7"/>
    <mergeCell ref="F17:F19"/>
    <mergeCell ref="J5:J7"/>
    <mergeCell ref="I29:I31"/>
    <mergeCell ref="J29:J31"/>
    <mergeCell ref="I5:I7"/>
    <mergeCell ref="F23:F25"/>
    <mergeCell ref="G23:G25"/>
    <mergeCell ref="I50:I52"/>
    <mergeCell ref="G5:G7"/>
    <mergeCell ref="I59:I61"/>
    <mergeCell ref="I56:I58"/>
    <mergeCell ref="C122:C124"/>
    <mergeCell ref="E122:E124"/>
    <mergeCell ref="G122:G124"/>
    <mergeCell ref="H122:H124"/>
    <mergeCell ref="I122:I124"/>
    <mergeCell ref="F122:F124"/>
    <mergeCell ref="C1:AC1"/>
    <mergeCell ref="C2:C4"/>
    <mergeCell ref="D2:D4"/>
    <mergeCell ref="F2:F4"/>
    <mergeCell ref="K2:K4"/>
    <mergeCell ref="L2:L4"/>
    <mergeCell ref="M2:M4"/>
    <mergeCell ref="N2:N4"/>
    <mergeCell ref="O2:O4"/>
    <mergeCell ref="P2:P4"/>
    <mergeCell ref="H2:H4"/>
    <mergeCell ref="E2:E4"/>
    <mergeCell ref="J2:J4"/>
    <mergeCell ref="Q2:Q4"/>
    <mergeCell ref="R2:AB2"/>
    <mergeCell ref="AC2:AC4"/>
    <mergeCell ref="R3:S3"/>
    <mergeCell ref="T3:V3"/>
    <mergeCell ref="C128:C130"/>
    <mergeCell ref="E128:E130"/>
    <mergeCell ref="G128:G130"/>
    <mergeCell ref="H128:H130"/>
    <mergeCell ref="I128:I130"/>
    <mergeCell ref="F128:F130"/>
    <mergeCell ref="C125:C127"/>
    <mergeCell ref="E125:E127"/>
    <mergeCell ref="G125:G127"/>
    <mergeCell ref="H125:H127"/>
    <mergeCell ref="I125:I127"/>
    <mergeCell ref="F125:F127"/>
    <mergeCell ref="C131:C133"/>
    <mergeCell ref="E131:E133"/>
    <mergeCell ref="G131:G133"/>
    <mergeCell ref="H131:H133"/>
    <mergeCell ref="I131:I133"/>
    <mergeCell ref="C134:C136"/>
    <mergeCell ref="E134:E136"/>
    <mergeCell ref="G134:G136"/>
    <mergeCell ref="H134:H136"/>
    <mergeCell ref="I134:I136"/>
    <mergeCell ref="F131:F133"/>
    <mergeCell ref="F134:F136"/>
    <mergeCell ref="H146:H148"/>
    <mergeCell ref="I146:I148"/>
    <mergeCell ref="F143:F145"/>
    <mergeCell ref="F146:F148"/>
    <mergeCell ref="C137:C139"/>
    <mergeCell ref="E137:E139"/>
    <mergeCell ref="G137:G139"/>
    <mergeCell ref="H137:H139"/>
    <mergeCell ref="I137:I139"/>
    <mergeCell ref="C140:C142"/>
    <mergeCell ref="E140:E142"/>
    <mergeCell ref="G140:G142"/>
    <mergeCell ref="H140:H142"/>
    <mergeCell ref="I140:I142"/>
    <mergeCell ref="F137:F139"/>
    <mergeCell ref="F140:F142"/>
    <mergeCell ref="H149:H151"/>
    <mergeCell ref="I149:I151"/>
    <mergeCell ref="F149:F151"/>
    <mergeCell ref="G149:G151"/>
    <mergeCell ref="C149:C151"/>
    <mergeCell ref="D122:D124"/>
    <mergeCell ref="D125:D127"/>
    <mergeCell ref="D128:D130"/>
    <mergeCell ref="D131:D133"/>
    <mergeCell ref="D134:D136"/>
    <mergeCell ref="D137:D139"/>
    <mergeCell ref="D140:D142"/>
    <mergeCell ref="D143:D145"/>
    <mergeCell ref="D146:D148"/>
    <mergeCell ref="D149:D151"/>
    <mergeCell ref="E149:E151"/>
    <mergeCell ref="C143:C145"/>
    <mergeCell ref="E143:E145"/>
    <mergeCell ref="G143:G145"/>
    <mergeCell ref="H143:H145"/>
    <mergeCell ref="I143:I145"/>
    <mergeCell ref="C146:C148"/>
    <mergeCell ref="E146:E148"/>
    <mergeCell ref="G146:G148"/>
    <mergeCell ref="C152:C154"/>
    <mergeCell ref="D152:D154"/>
    <mergeCell ref="E152:E154"/>
    <mergeCell ref="F152:F154"/>
    <mergeCell ref="G152:G154"/>
    <mergeCell ref="H152:H154"/>
    <mergeCell ref="I152:I154"/>
    <mergeCell ref="AC152:AC154"/>
    <mergeCell ref="C155:C157"/>
    <mergeCell ref="D155:D157"/>
    <mergeCell ref="E155:E157"/>
    <mergeCell ref="F155:F157"/>
    <mergeCell ref="G155:G157"/>
    <mergeCell ref="H155:H157"/>
    <mergeCell ref="I155:I157"/>
    <mergeCell ref="AC155:AC157"/>
    <mergeCell ref="C164:C166"/>
    <mergeCell ref="D164:D166"/>
    <mergeCell ref="E164:E166"/>
    <mergeCell ref="F164:F166"/>
    <mergeCell ref="G164:G166"/>
    <mergeCell ref="H164:H166"/>
    <mergeCell ref="I164:I166"/>
    <mergeCell ref="AC164:AC166"/>
    <mergeCell ref="C158:C160"/>
    <mergeCell ref="D158:D160"/>
    <mergeCell ref="E158:E160"/>
    <mergeCell ref="F158:F160"/>
    <mergeCell ref="G158:G160"/>
    <mergeCell ref="H158:H160"/>
    <mergeCell ref="I158:I160"/>
    <mergeCell ref="AC158:AC160"/>
    <mergeCell ref="C161:C163"/>
    <mergeCell ref="D161:D163"/>
    <mergeCell ref="E161:E163"/>
    <mergeCell ref="F161:F163"/>
    <mergeCell ref="G161:G163"/>
    <mergeCell ref="H161:H163"/>
    <mergeCell ref="I161:I163"/>
    <mergeCell ref="AC161:AC163"/>
  </mergeCells>
  <phoneticPr fontId="3" type="noConversion"/>
  <conditionalFormatting sqref="N8:N28 N32:N55 N65:N85 N98:N166">
    <cfRule type="cellIs" dxfId="16" priority="12" stopIfTrue="1" operator="greaterThan">
      <formula>0</formula>
    </cfRule>
  </conditionalFormatting>
  <conditionalFormatting sqref="N8:O28 N32:O55 N65:O85 N98:O166">
    <cfRule type="cellIs" dxfId="15" priority="4" stopIfTrue="1" operator="lessThanOrEqual">
      <formula>0</formula>
    </cfRule>
  </conditionalFormatting>
  <conditionalFormatting sqref="O8:O28 O32:O55 O65:O85 O98:O166">
    <cfRule type="cellIs" dxfId="14" priority="13" stopIfTrue="1" operator="greaterThan">
      <formula>0</formula>
    </cfRule>
  </conditionalFormatting>
  <conditionalFormatting sqref="P6:P7 P29:P31 P56:P64 P86:P97">
    <cfRule type="expression" dxfId="13" priority="5">
      <formula>$P6="修正"</formula>
    </cfRule>
    <cfRule type="expression" dxfId="12" priority="6">
      <formula>$P6="核定"</formula>
    </cfRule>
    <cfRule type="expression" dxfId="11" priority="7">
      <formula>$P6="審查"</formula>
    </cfRule>
  </conditionalFormatting>
  <pageMargins left="0.31496062992125984" right="0.31496062992125984" top="0.74803149606299213" bottom="0.74803149606299213" header="0.3543307086614173" footer="0.3543307086614173"/>
  <pageSetup paperSize="8" scale="49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30D8D-BE75-4ED4-982C-BCA07DCE726C}">
  <sheetPr>
    <tabColor rgb="FFFFC000"/>
    <pageSetUpPr autoPageBreaks="0" fitToPage="1"/>
  </sheetPr>
  <dimension ref="A1:AE53"/>
  <sheetViews>
    <sheetView zoomScale="55" zoomScaleNormal="55" zoomScaleSheetLayoutView="55" zoomScalePageLayoutView="40" workbookViewId="0">
      <pane xSplit="5" ySplit="4" topLeftCell="N38" activePane="bottomRight" state="frozen"/>
      <selection activeCell="J17" sqref="J17"/>
      <selection pane="topRight" activeCell="J17" sqref="J17"/>
      <selection pane="bottomLeft" activeCell="J17" sqref="J17"/>
      <selection pane="bottomRight" activeCell="E44" sqref="E44:E46"/>
    </sheetView>
  </sheetViews>
  <sheetFormatPr defaultColWidth="8" defaultRowHeight="16"/>
  <cols>
    <col min="1" max="1" width="11.90625" style="1" customWidth="1"/>
    <col min="2" max="2" width="10.90625" style="48" customWidth="1"/>
    <col min="3" max="3" width="29.08984375" style="2" bestFit="1" customWidth="1"/>
    <col min="4" max="4" width="29.08984375" style="2" customWidth="1"/>
    <col min="5" max="5" width="29.453125" style="52" customWidth="1"/>
    <col min="6" max="6" width="12.08984375" style="52" customWidth="1"/>
    <col min="7" max="7" width="17.08984375" style="52" customWidth="1"/>
    <col min="8" max="8" width="13.453125" style="52" customWidth="1"/>
    <col min="9" max="9" width="29.453125" style="52" customWidth="1"/>
    <col min="10" max="11" width="16.36328125" style="52" customWidth="1"/>
    <col min="12" max="12" width="17.453125" style="53" bestFit="1" customWidth="1"/>
    <col min="13" max="13" width="17.453125" style="52" customWidth="1"/>
    <col min="14" max="14" width="16.453125" style="52" bestFit="1" customWidth="1"/>
    <col min="15" max="15" width="20.08984375" style="53" customWidth="1"/>
    <col min="16" max="16" width="14.08984375" style="54" customWidth="1"/>
    <col min="17" max="17" width="11.453125" style="54" customWidth="1"/>
    <col min="18" max="18" width="14.08984375" style="2" customWidth="1"/>
    <col min="19" max="19" width="16.453125" style="2" customWidth="1"/>
    <col min="20" max="20" width="24.453125" style="2" customWidth="1"/>
    <col min="21" max="21" width="16.08984375" style="2" bestFit="1" customWidth="1"/>
    <col min="22" max="22" width="24.453125" style="2" customWidth="1"/>
    <col min="23" max="23" width="24.90625" style="2" customWidth="1"/>
    <col min="24" max="24" width="16.08984375" style="2" bestFit="1" customWidth="1"/>
    <col min="25" max="25" width="20.453125" style="2" bestFit="1" customWidth="1"/>
    <col min="26" max="26" width="14.08984375" style="2" bestFit="1" customWidth="1"/>
    <col min="27" max="27" width="16.08984375" style="2" bestFit="1" customWidth="1"/>
    <col min="28" max="28" width="23" style="2" bestFit="1" customWidth="1"/>
    <col min="29" max="29" width="14.08984375" style="2" bestFit="1" customWidth="1"/>
    <col min="30" max="30" width="23.08984375" style="52" customWidth="1"/>
    <col min="31" max="16384" width="8" style="1"/>
  </cols>
  <sheetData>
    <row r="1" spans="1:30" ht="40.4" customHeight="1">
      <c r="B1" s="608" t="s">
        <v>376</v>
      </c>
      <c r="C1" s="608"/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</row>
    <row r="2" spans="1:30" s="2" customFormat="1" ht="25.4" customHeight="1">
      <c r="A2" s="693" t="s">
        <v>521</v>
      </c>
      <c r="B2" s="609" t="s">
        <v>1</v>
      </c>
      <c r="C2" s="610" t="s">
        <v>3</v>
      </c>
      <c r="D2" s="860" t="s">
        <v>491</v>
      </c>
      <c r="E2" s="860" t="s">
        <v>4</v>
      </c>
      <c r="F2" s="860" t="s">
        <v>548</v>
      </c>
      <c r="G2" s="860" t="s">
        <v>491</v>
      </c>
      <c r="H2" s="629" t="s">
        <v>230</v>
      </c>
      <c r="I2" s="632" t="s">
        <v>255</v>
      </c>
      <c r="J2" s="634" t="s">
        <v>562</v>
      </c>
      <c r="K2" s="860" t="s">
        <v>549</v>
      </c>
      <c r="L2" s="617" t="s">
        <v>5</v>
      </c>
      <c r="M2" s="614" t="s">
        <v>6</v>
      </c>
      <c r="N2" s="614" t="s">
        <v>7</v>
      </c>
      <c r="O2" s="617" t="s">
        <v>896</v>
      </c>
      <c r="P2" s="611" t="s">
        <v>9</v>
      </c>
      <c r="Q2" s="610" t="s">
        <v>10</v>
      </c>
      <c r="R2" s="610" t="s">
        <v>11</v>
      </c>
      <c r="S2" s="618" t="s">
        <v>12</v>
      </c>
      <c r="T2" s="618"/>
      <c r="U2" s="618"/>
      <c r="V2" s="618"/>
      <c r="W2" s="618"/>
      <c r="X2" s="618"/>
      <c r="Y2" s="618"/>
      <c r="Z2" s="618"/>
      <c r="AA2" s="618"/>
      <c r="AB2" s="618"/>
      <c r="AC2" s="618"/>
      <c r="AD2" s="618" t="s">
        <v>13</v>
      </c>
    </row>
    <row r="3" spans="1:30" s="2" customFormat="1" ht="25.4" customHeight="1">
      <c r="A3" s="693"/>
      <c r="B3" s="609"/>
      <c r="C3" s="610"/>
      <c r="D3" s="861"/>
      <c r="E3" s="861"/>
      <c r="F3" s="861"/>
      <c r="G3" s="861"/>
      <c r="H3" s="630"/>
      <c r="I3" s="633"/>
      <c r="J3" s="635"/>
      <c r="K3" s="861"/>
      <c r="L3" s="617"/>
      <c r="M3" s="615"/>
      <c r="N3" s="615"/>
      <c r="O3" s="617" t="s">
        <v>14</v>
      </c>
      <c r="P3" s="612"/>
      <c r="Q3" s="610"/>
      <c r="R3" s="610"/>
      <c r="S3" s="619" t="s">
        <v>15</v>
      </c>
      <c r="T3" s="619"/>
      <c r="U3" s="620" t="s">
        <v>16</v>
      </c>
      <c r="V3" s="620"/>
      <c r="W3" s="620"/>
      <c r="X3" s="621" t="s">
        <v>17</v>
      </c>
      <c r="Y3" s="621"/>
      <c r="Z3" s="621"/>
      <c r="AA3" s="622" t="s">
        <v>18</v>
      </c>
      <c r="AB3" s="622"/>
      <c r="AC3" s="622"/>
      <c r="AD3" s="618"/>
    </row>
    <row r="4" spans="1:30" s="2" customFormat="1" ht="25.4" customHeight="1">
      <c r="A4" s="693"/>
      <c r="B4" s="609"/>
      <c r="C4" s="610"/>
      <c r="D4" s="862"/>
      <c r="E4" s="862"/>
      <c r="F4" s="862"/>
      <c r="G4" s="862"/>
      <c r="H4" s="631"/>
      <c r="I4" s="633"/>
      <c r="J4" s="636"/>
      <c r="K4" s="862"/>
      <c r="L4" s="617"/>
      <c r="M4" s="616"/>
      <c r="N4" s="616"/>
      <c r="O4" s="617"/>
      <c r="P4" s="613"/>
      <c r="Q4" s="610"/>
      <c r="R4" s="610"/>
      <c r="S4" s="3" t="s">
        <v>19</v>
      </c>
      <c r="T4" s="3" t="s">
        <v>20</v>
      </c>
      <c r="U4" s="4" t="s">
        <v>19</v>
      </c>
      <c r="V4" s="4" t="s">
        <v>20</v>
      </c>
      <c r="W4" s="4" t="s">
        <v>21</v>
      </c>
      <c r="X4" s="5" t="s">
        <v>19</v>
      </c>
      <c r="Y4" s="5" t="s">
        <v>20</v>
      </c>
      <c r="Z4" s="5" t="s">
        <v>21</v>
      </c>
      <c r="AA4" s="6" t="s">
        <v>19</v>
      </c>
      <c r="AB4" s="6" t="s">
        <v>20</v>
      </c>
      <c r="AC4" s="6" t="s">
        <v>21</v>
      </c>
      <c r="AD4" s="618"/>
    </row>
    <row r="5" spans="1:30" s="203" customFormat="1" ht="45" customHeight="1">
      <c r="A5" s="864">
        <v>87</v>
      </c>
      <c r="B5" s="909">
        <v>1</v>
      </c>
      <c r="C5" s="901"/>
      <c r="D5" s="890"/>
      <c r="E5" s="887" t="s">
        <v>887</v>
      </c>
      <c r="F5" s="899"/>
      <c r="G5" s="890" t="s">
        <v>894</v>
      </c>
      <c r="H5" s="890" t="s">
        <v>886</v>
      </c>
      <c r="I5" s="900" t="s">
        <v>1027</v>
      </c>
      <c r="J5" s="899"/>
      <c r="K5" s="900" t="s">
        <v>1028</v>
      </c>
      <c r="L5" s="280">
        <v>46204</v>
      </c>
      <c r="M5" s="280">
        <v>46234</v>
      </c>
      <c r="N5" s="281">
        <v>46264</v>
      </c>
      <c r="O5" s="208">
        <f ca="1">IF(L5="","",IF(S5&lt;&gt;"","",IF(AND(S5="",L5-TODAY()&lt;=60),L5-TODAY(),"")))</f>
        <v>35</v>
      </c>
      <c r="P5" s="208" t="str">
        <f>IF(AND(ISNUMBER(L5),ISNUMBER(S5)),L5-S5,"")</f>
        <v/>
      </c>
      <c r="Q5" s="205"/>
      <c r="R5" s="209" t="s">
        <v>22</v>
      </c>
      <c r="S5" s="210"/>
      <c r="T5" s="211"/>
      <c r="U5" s="210"/>
      <c r="V5" s="211"/>
      <c r="W5" s="209"/>
      <c r="X5" s="210"/>
      <c r="Y5" s="211"/>
      <c r="Z5" s="211"/>
      <c r="AA5" s="210"/>
      <c r="AB5" s="209"/>
      <c r="AC5" s="209"/>
      <c r="AD5" s="212"/>
    </row>
    <row r="6" spans="1:30" s="203" customFormat="1" ht="45" customHeight="1">
      <c r="A6" s="864"/>
      <c r="B6" s="910"/>
      <c r="C6" s="902"/>
      <c r="D6" s="891"/>
      <c r="E6" s="888"/>
      <c r="F6" s="899"/>
      <c r="G6" s="891"/>
      <c r="H6" s="891"/>
      <c r="I6" s="900"/>
      <c r="J6" s="899"/>
      <c r="K6" s="900"/>
      <c r="L6" s="207"/>
      <c r="M6" s="207"/>
      <c r="N6" s="207"/>
      <c r="O6" s="208" t="str">
        <f ca="1">IF(L6="","",IF(S6&lt;&gt;"","",IF(AND(S6="",L6-TODAY()&lt;=60),L6-TODAY(),"")))</f>
        <v/>
      </c>
      <c r="P6" s="208" t="str">
        <f>IF(AND(ISNUMBER(L6),ISNUMBER(S6)),L6-S6,"")</f>
        <v/>
      </c>
      <c r="Q6" s="205"/>
      <c r="R6" s="209"/>
      <c r="S6" s="210"/>
      <c r="T6" s="210"/>
      <c r="U6" s="210"/>
      <c r="V6" s="211"/>
      <c r="W6" s="209"/>
      <c r="X6" s="210"/>
      <c r="Y6" s="211"/>
      <c r="Z6" s="209" t="str">
        <f t="shared" ref="Z6:Z7" si="0">IF(X6="","",IF(W6="檢退","檢退",IF(W6="審查同意","審定","檢退")))</f>
        <v/>
      </c>
      <c r="AA6" s="210"/>
      <c r="AB6" s="209"/>
      <c r="AC6" s="209"/>
      <c r="AD6" s="212"/>
    </row>
    <row r="7" spans="1:30" s="203" customFormat="1" ht="45" customHeight="1">
      <c r="A7" s="864"/>
      <c r="B7" s="911"/>
      <c r="C7" s="903"/>
      <c r="D7" s="892"/>
      <c r="E7" s="889"/>
      <c r="F7" s="899"/>
      <c r="G7" s="892"/>
      <c r="H7" s="892"/>
      <c r="I7" s="900"/>
      <c r="J7" s="899"/>
      <c r="K7" s="900"/>
      <c r="L7" s="207"/>
      <c r="M7" s="207"/>
      <c r="N7" s="207"/>
      <c r="O7" s="208" t="str">
        <f t="shared" ref="O7" ca="1" si="1">IF(L7="","",IF(S7&lt;&gt;"","",IF(AND(S7="",L7-TODAY()&lt;=60),L7-TODAY(),"")))</f>
        <v/>
      </c>
      <c r="P7" s="208" t="str">
        <f t="shared" ref="P7" si="2">IF(AND(ISNUMBER(L7),ISNUMBER(S7)),L7-S7,"")</f>
        <v/>
      </c>
      <c r="Q7" s="205"/>
      <c r="R7" s="209"/>
      <c r="S7" s="210"/>
      <c r="T7" s="211"/>
      <c r="U7" s="210"/>
      <c r="V7" s="211"/>
      <c r="W7" s="209"/>
      <c r="X7" s="210"/>
      <c r="Y7" s="211"/>
      <c r="Z7" s="209" t="str">
        <f t="shared" si="0"/>
        <v/>
      </c>
      <c r="AA7" s="210"/>
      <c r="AB7" s="209"/>
      <c r="AC7" s="209"/>
      <c r="AD7" s="212"/>
    </row>
    <row r="8" spans="1:30" s="203" customFormat="1" ht="45" customHeight="1">
      <c r="A8" s="864">
        <v>88</v>
      </c>
      <c r="B8" s="909">
        <v>2</v>
      </c>
      <c r="C8" s="901"/>
      <c r="D8" s="890"/>
      <c r="E8" s="887" t="s">
        <v>1029</v>
      </c>
      <c r="F8" s="899"/>
      <c r="G8" s="890"/>
      <c r="H8" s="890"/>
      <c r="I8" s="899"/>
      <c r="J8" s="899"/>
      <c r="K8" s="899"/>
      <c r="L8" s="280">
        <v>46204</v>
      </c>
      <c r="M8" s="280">
        <v>46234</v>
      </c>
      <c r="N8" s="281">
        <v>46264</v>
      </c>
      <c r="O8" s="208">
        <f ca="1">IF(L8="","",IF(S8&lt;&gt;"","",IF(AND(S8="",L8-TODAY()&lt;=60),L8-TODAY(),"")))</f>
        <v>35</v>
      </c>
      <c r="P8" s="208" t="str">
        <f>IF(AND(ISNUMBER(L8),ISNUMBER(S8)),L8-S8,"")</f>
        <v/>
      </c>
      <c r="Q8" s="205"/>
      <c r="R8" s="209" t="s">
        <v>22</v>
      </c>
      <c r="S8" s="210"/>
      <c r="T8" s="211"/>
      <c r="U8" s="210"/>
      <c r="V8" s="211"/>
      <c r="W8" s="209"/>
      <c r="X8" s="210"/>
      <c r="Y8" s="211"/>
      <c r="Z8" s="211"/>
      <c r="AA8" s="210"/>
      <c r="AB8" s="209"/>
      <c r="AC8" s="209"/>
      <c r="AD8" s="212"/>
    </row>
    <row r="9" spans="1:30" s="203" customFormat="1" ht="45" customHeight="1">
      <c r="A9" s="864"/>
      <c r="B9" s="910"/>
      <c r="C9" s="902"/>
      <c r="D9" s="891"/>
      <c r="E9" s="888"/>
      <c r="F9" s="899"/>
      <c r="G9" s="891"/>
      <c r="H9" s="891"/>
      <c r="I9" s="899"/>
      <c r="J9" s="899"/>
      <c r="K9" s="899"/>
      <c r="L9" s="207"/>
      <c r="M9" s="207"/>
      <c r="N9" s="207"/>
      <c r="O9" s="208"/>
      <c r="P9" s="208"/>
      <c r="Q9" s="205"/>
      <c r="R9" s="209"/>
      <c r="S9" s="210"/>
      <c r="T9" s="210"/>
      <c r="U9" s="210"/>
      <c r="V9" s="211"/>
      <c r="W9" s="209"/>
      <c r="X9" s="210"/>
      <c r="Y9" s="211"/>
      <c r="Z9" s="209"/>
      <c r="AA9" s="210"/>
      <c r="AB9" s="209"/>
      <c r="AC9" s="209"/>
      <c r="AD9" s="212"/>
    </row>
    <row r="10" spans="1:30" s="203" customFormat="1" ht="45" customHeight="1">
      <c r="A10" s="864"/>
      <c r="B10" s="911"/>
      <c r="C10" s="903"/>
      <c r="D10" s="892"/>
      <c r="E10" s="889"/>
      <c r="F10" s="899"/>
      <c r="G10" s="892"/>
      <c r="H10" s="892"/>
      <c r="I10" s="899"/>
      <c r="J10" s="899"/>
      <c r="K10" s="899"/>
      <c r="L10" s="207"/>
      <c r="M10" s="207"/>
      <c r="N10" s="207"/>
      <c r="O10" s="208"/>
      <c r="P10" s="208"/>
      <c r="Q10" s="205"/>
      <c r="R10" s="209"/>
      <c r="S10" s="210"/>
      <c r="T10" s="211"/>
      <c r="U10" s="210"/>
      <c r="V10" s="211"/>
      <c r="W10" s="209"/>
      <c r="X10" s="210"/>
      <c r="Y10" s="211"/>
      <c r="Z10" s="209"/>
      <c r="AA10" s="210"/>
      <c r="AB10" s="209"/>
      <c r="AC10" s="209"/>
      <c r="AD10" s="212"/>
    </row>
    <row r="11" spans="1:30" s="203" customFormat="1" ht="45" customHeight="1">
      <c r="A11" s="864">
        <v>89</v>
      </c>
      <c r="B11" s="909">
        <v>3</v>
      </c>
      <c r="C11" s="901"/>
      <c r="D11" s="890"/>
      <c r="E11" s="887" t="s">
        <v>547</v>
      </c>
      <c r="F11" s="899"/>
      <c r="G11" s="890"/>
      <c r="H11" s="890"/>
      <c r="I11" s="899"/>
      <c r="J11" s="899"/>
      <c r="K11" s="899"/>
      <c r="L11" s="280">
        <v>46204</v>
      </c>
      <c r="M11" s="280">
        <v>46234</v>
      </c>
      <c r="N11" s="281">
        <v>46264</v>
      </c>
      <c r="O11" s="208">
        <f ca="1">IF(L11="","",IF(S11&lt;&gt;"","",IF(AND(S11="",L11-TODAY()&lt;=60),L11-TODAY(),"")))</f>
        <v>35</v>
      </c>
      <c r="P11" s="208" t="str">
        <f>IF(AND(ISNUMBER(L11),ISNUMBER(S11)),L11-S11,"")</f>
        <v/>
      </c>
      <c r="Q11" s="205"/>
      <c r="R11" s="209" t="s">
        <v>22</v>
      </c>
      <c r="S11" s="210"/>
      <c r="T11" s="211"/>
      <c r="U11" s="210"/>
      <c r="V11" s="211"/>
      <c r="W11" s="209"/>
      <c r="X11" s="210"/>
      <c r="Y11" s="211"/>
      <c r="Z11" s="211"/>
      <c r="AA11" s="210"/>
      <c r="AB11" s="209"/>
      <c r="AC11" s="209"/>
      <c r="AD11" s="212"/>
    </row>
    <row r="12" spans="1:30" s="203" customFormat="1" ht="45" customHeight="1">
      <c r="A12" s="864"/>
      <c r="B12" s="910"/>
      <c r="C12" s="902"/>
      <c r="D12" s="891"/>
      <c r="E12" s="888"/>
      <c r="F12" s="899"/>
      <c r="G12" s="891"/>
      <c r="H12" s="891"/>
      <c r="I12" s="899"/>
      <c r="J12" s="899"/>
      <c r="K12" s="899"/>
      <c r="L12" s="207"/>
      <c r="M12" s="207"/>
      <c r="N12" s="207"/>
      <c r="O12" s="208"/>
      <c r="P12" s="208"/>
      <c r="Q12" s="205"/>
      <c r="R12" s="209"/>
      <c r="S12" s="210"/>
      <c r="T12" s="210"/>
      <c r="U12" s="210"/>
      <c r="V12" s="211"/>
      <c r="W12" s="209"/>
      <c r="X12" s="210"/>
      <c r="Y12" s="211"/>
      <c r="Z12" s="209"/>
      <c r="AA12" s="210"/>
      <c r="AB12" s="209"/>
      <c r="AC12" s="209"/>
      <c r="AD12" s="212"/>
    </row>
    <row r="13" spans="1:30" s="203" customFormat="1" ht="45" customHeight="1">
      <c r="A13" s="864"/>
      <c r="B13" s="911"/>
      <c r="C13" s="903"/>
      <c r="D13" s="892"/>
      <c r="E13" s="889"/>
      <c r="F13" s="899"/>
      <c r="G13" s="892"/>
      <c r="H13" s="892"/>
      <c r="I13" s="899"/>
      <c r="J13" s="899"/>
      <c r="K13" s="899"/>
      <c r="L13" s="207"/>
      <c r="M13" s="207"/>
      <c r="N13" s="207"/>
      <c r="O13" s="208"/>
      <c r="P13" s="208"/>
      <c r="Q13" s="205"/>
      <c r="R13" s="209"/>
      <c r="S13" s="210"/>
      <c r="T13" s="211"/>
      <c r="U13" s="210"/>
      <c r="V13" s="211"/>
      <c r="W13" s="209"/>
      <c r="X13" s="210"/>
      <c r="Y13" s="211"/>
      <c r="Z13" s="209"/>
      <c r="AA13" s="210"/>
      <c r="AB13" s="209"/>
      <c r="AC13" s="209"/>
      <c r="AD13" s="212"/>
    </row>
    <row r="14" spans="1:30" s="203" customFormat="1" ht="45" customHeight="1">
      <c r="A14" s="864">
        <v>111</v>
      </c>
      <c r="B14" s="909">
        <v>4</v>
      </c>
      <c r="C14" s="901"/>
      <c r="D14" s="890"/>
      <c r="E14" s="887" t="s">
        <v>1030</v>
      </c>
      <c r="F14" s="899"/>
      <c r="G14" s="890"/>
      <c r="H14" s="890"/>
      <c r="I14" s="899"/>
      <c r="J14" s="899"/>
      <c r="K14" s="899"/>
      <c r="L14" s="280">
        <v>46204</v>
      </c>
      <c r="M14" s="280">
        <v>46234</v>
      </c>
      <c r="N14" s="281">
        <v>46264</v>
      </c>
      <c r="O14" s="208">
        <f ca="1">IF(L14="","",IF(S14&lt;&gt;"","",IF(AND(S14="",L14-TODAY()&lt;=60),L14-TODAY(),"")))</f>
        <v>35</v>
      </c>
      <c r="P14" s="208" t="str">
        <f>IF(AND(ISNUMBER(L14),ISNUMBER(S14)),L14-S14,"")</f>
        <v/>
      </c>
      <c r="Q14" s="205"/>
      <c r="R14" s="209" t="s">
        <v>22</v>
      </c>
      <c r="S14" s="210"/>
      <c r="T14" s="211"/>
      <c r="U14" s="210"/>
      <c r="V14" s="211"/>
      <c r="W14" s="209"/>
      <c r="X14" s="210"/>
      <c r="Y14" s="211"/>
      <c r="Z14" s="211"/>
      <c r="AA14" s="210"/>
      <c r="AB14" s="209"/>
      <c r="AC14" s="209"/>
      <c r="AD14" s="212"/>
    </row>
    <row r="15" spans="1:30" s="203" customFormat="1" ht="45" customHeight="1">
      <c r="A15" s="864"/>
      <c r="B15" s="910"/>
      <c r="C15" s="902"/>
      <c r="D15" s="891"/>
      <c r="E15" s="888"/>
      <c r="F15" s="899"/>
      <c r="G15" s="891"/>
      <c r="H15" s="891"/>
      <c r="I15" s="899"/>
      <c r="J15" s="899"/>
      <c r="K15" s="899"/>
      <c r="L15" s="207"/>
      <c r="M15" s="207"/>
      <c r="N15" s="207"/>
      <c r="O15" s="208"/>
      <c r="P15" s="208"/>
      <c r="Q15" s="205"/>
      <c r="R15" s="209"/>
      <c r="S15" s="210"/>
      <c r="T15" s="210"/>
      <c r="U15" s="210"/>
      <c r="V15" s="211"/>
      <c r="W15" s="209"/>
      <c r="X15" s="210"/>
      <c r="Y15" s="211"/>
      <c r="Z15" s="209"/>
      <c r="AA15" s="210"/>
      <c r="AB15" s="209"/>
      <c r="AC15" s="209"/>
      <c r="AD15" s="212"/>
    </row>
    <row r="16" spans="1:30" s="203" customFormat="1" ht="45" customHeight="1">
      <c r="A16" s="864"/>
      <c r="B16" s="911"/>
      <c r="C16" s="903"/>
      <c r="D16" s="892"/>
      <c r="E16" s="889"/>
      <c r="F16" s="899"/>
      <c r="G16" s="892"/>
      <c r="H16" s="892"/>
      <c r="I16" s="899"/>
      <c r="J16" s="899"/>
      <c r="K16" s="899"/>
      <c r="L16" s="207"/>
      <c r="M16" s="207"/>
      <c r="N16" s="207"/>
      <c r="O16" s="208"/>
      <c r="P16" s="208"/>
      <c r="Q16" s="205"/>
      <c r="R16" s="209"/>
      <c r="S16" s="210"/>
      <c r="T16" s="211"/>
      <c r="U16" s="210"/>
      <c r="V16" s="211"/>
      <c r="W16" s="209"/>
      <c r="X16" s="210"/>
      <c r="Y16" s="211"/>
      <c r="Z16" s="209"/>
      <c r="AA16" s="210"/>
      <c r="AB16" s="209"/>
      <c r="AC16" s="209"/>
      <c r="AD16" s="212"/>
    </row>
    <row r="17" spans="1:31" s="277" customFormat="1" ht="45" customHeight="1">
      <c r="A17" s="863">
        <v>112</v>
      </c>
      <c r="B17" s="872">
        <v>5</v>
      </c>
      <c r="C17" s="875"/>
      <c r="D17" s="278"/>
      <c r="E17" s="878" t="s">
        <v>888</v>
      </c>
      <c r="F17" s="897"/>
      <c r="G17" s="857" t="s">
        <v>894</v>
      </c>
      <c r="H17" s="857" t="s">
        <v>886</v>
      </c>
      <c r="I17" s="896" t="s">
        <v>1031</v>
      </c>
      <c r="J17" s="897"/>
      <c r="K17" s="898" t="s">
        <v>1028</v>
      </c>
      <c r="L17" s="280">
        <v>46204</v>
      </c>
      <c r="M17" s="280">
        <v>46234</v>
      </c>
      <c r="N17" s="281">
        <v>46264</v>
      </c>
      <c r="O17" s="282">
        <f t="shared" ref="O17" ca="1" si="3">IF(L17="","",IF(S17&lt;&gt;"","",IF(AND(S17="",L17-TODAY()&lt;=60),L17-TODAY(),"")))</f>
        <v>35</v>
      </c>
      <c r="P17" s="282" t="str">
        <f t="shared" ref="P17" si="4">IF(AND(ISNUMBER(L17),ISNUMBER(S17)),L17-S17,"")</f>
        <v/>
      </c>
      <c r="Q17" s="283"/>
      <c r="R17" s="284" t="s">
        <v>22</v>
      </c>
      <c r="S17" s="285"/>
      <c r="T17" s="285"/>
      <c r="U17" s="285"/>
      <c r="V17" s="284"/>
      <c r="W17" s="284"/>
      <c r="X17" s="286"/>
      <c r="Y17" s="287"/>
      <c r="Z17" s="284" t="str">
        <f>IF(X17="","",IF(W17="檢退","檢退",IF(W17="審查同意","審定","檢退")))</f>
        <v/>
      </c>
      <c r="AA17" s="286"/>
      <c r="AB17" s="284"/>
      <c r="AC17" s="284"/>
      <c r="AD17" s="288"/>
    </row>
    <row r="18" spans="1:31" s="277" customFormat="1" ht="45" customHeight="1">
      <c r="A18" s="863"/>
      <c r="B18" s="873"/>
      <c r="C18" s="876"/>
      <c r="D18" s="289"/>
      <c r="E18" s="879"/>
      <c r="F18" s="897"/>
      <c r="G18" s="858"/>
      <c r="H18" s="858"/>
      <c r="I18" s="896"/>
      <c r="J18" s="897"/>
      <c r="K18" s="898"/>
      <c r="L18" s="279"/>
      <c r="M18" s="280"/>
      <c r="N18" s="281"/>
      <c r="O18" s="282" t="str">
        <f ca="1">IF(L18="","",IF(S18&lt;&gt;"","",IF(AND(S18="",L18-TODAY()&lt;=60),L18-TODAY(),"")))</f>
        <v/>
      </c>
      <c r="P18" s="282" t="str">
        <f>IF(AND(ISNUMBER(L18),ISNUMBER(S18)),L18-S18,"")</f>
        <v/>
      </c>
      <c r="Q18" s="283"/>
      <c r="R18" s="284" t="s">
        <v>27</v>
      </c>
      <c r="S18" s="286"/>
      <c r="T18" s="287"/>
      <c r="U18" s="286"/>
      <c r="V18" s="290"/>
      <c r="W18" s="284"/>
      <c r="X18" s="286"/>
      <c r="Y18" s="287"/>
      <c r="Z18" s="284" t="str">
        <f>IF(X18="","",IF(W18="檢退","檢退",IF(W18="審查同意","審定","檢退")))</f>
        <v/>
      </c>
      <c r="AA18" s="286"/>
      <c r="AB18" s="284"/>
      <c r="AC18" s="284"/>
      <c r="AD18" s="291"/>
    </row>
    <row r="19" spans="1:31" s="277" customFormat="1" ht="45" customHeight="1">
      <c r="A19" s="863"/>
      <c r="B19" s="874"/>
      <c r="C19" s="877"/>
      <c r="D19" s="292"/>
      <c r="E19" s="880"/>
      <c r="F19" s="897"/>
      <c r="G19" s="859"/>
      <c r="H19" s="859"/>
      <c r="I19" s="896"/>
      <c r="J19" s="897"/>
      <c r="K19" s="898"/>
      <c r="L19" s="279"/>
      <c r="M19" s="280"/>
      <c r="N19" s="281"/>
      <c r="O19" s="282" t="str">
        <f ca="1">IF(L19="","",IF(S19&lt;&gt;"","",IF(AND(S19="",L19-TODAY()&lt;=60),L19-TODAY(),"")))</f>
        <v/>
      </c>
      <c r="P19" s="282" t="str">
        <f>IF(AND(ISNUMBER(L19),ISNUMBER(S19)),L19-S19,"")</f>
        <v/>
      </c>
      <c r="Q19" s="283"/>
      <c r="R19" s="284" t="s">
        <v>36</v>
      </c>
      <c r="S19" s="286"/>
      <c r="T19" s="287"/>
      <c r="U19" s="286"/>
      <c r="V19" s="287"/>
      <c r="W19" s="284"/>
      <c r="X19" s="286"/>
      <c r="Y19" s="287"/>
      <c r="Z19" s="284" t="str">
        <f>IF(X19="","",IF(W19="檢退","檢退",IF(W19="審查同意","審定","檢退")))</f>
        <v/>
      </c>
      <c r="AA19" s="286"/>
      <c r="AB19" s="284"/>
      <c r="AC19" s="284"/>
      <c r="AD19" s="291"/>
    </row>
    <row r="20" spans="1:31" s="244" customFormat="1" ht="45" customHeight="1">
      <c r="A20" s="277"/>
      <c r="B20" s="850">
        <f t="shared" ref="B20" si="5">B17+1</f>
        <v>6</v>
      </c>
      <c r="C20" s="866" t="s">
        <v>1032</v>
      </c>
      <c r="D20" s="248"/>
      <c r="E20" s="869" t="s">
        <v>254</v>
      </c>
      <c r="F20" s="839"/>
      <c r="G20" s="844" t="s">
        <v>857</v>
      </c>
      <c r="H20" s="840" t="s">
        <v>856</v>
      </c>
      <c r="I20" s="843" t="s">
        <v>889</v>
      </c>
      <c r="J20" s="839"/>
      <c r="K20" s="898" t="s">
        <v>1028</v>
      </c>
      <c r="L20" s="280">
        <v>46204</v>
      </c>
      <c r="M20" s="280">
        <v>46234</v>
      </c>
      <c r="N20" s="281">
        <v>46264</v>
      </c>
      <c r="O20" s="282">
        <f t="shared" ref="O20" ca="1" si="6">IF(L20="","",IF(S20&lt;&gt;"","",IF(AND(S20="",L20-TODAY()&lt;=60),L20-TODAY(),"")))</f>
        <v>35</v>
      </c>
      <c r="P20" s="282" t="str">
        <f t="shared" ref="P20" si="7">IF(AND(ISNUMBER(L20),ISNUMBER(S20)),L20-S20,"")</f>
        <v/>
      </c>
      <c r="Q20" s="283"/>
      <c r="R20" s="230" t="s">
        <v>50</v>
      </c>
      <c r="S20" s="237"/>
      <c r="T20" s="237"/>
      <c r="U20" s="237"/>
      <c r="V20" s="230"/>
      <c r="W20" s="230"/>
      <c r="X20" s="234"/>
      <c r="Y20" s="239"/>
      <c r="Z20" s="230" t="str">
        <f t="shared" ref="Z20:Z22" si="8">IF(X20="","",IF(W20="檢退","檢退",IF(W20="審查同意","審定","檢退")))</f>
        <v/>
      </c>
      <c r="AA20" s="234"/>
      <c r="AB20" s="230"/>
      <c r="AC20" s="230"/>
      <c r="AD20" s="235"/>
    </row>
    <row r="21" spans="1:31" s="244" customFormat="1" ht="45" customHeight="1">
      <c r="B21" s="851"/>
      <c r="C21" s="867"/>
      <c r="D21" s="249"/>
      <c r="E21" s="870"/>
      <c r="F21" s="839"/>
      <c r="G21" s="845"/>
      <c r="H21" s="841"/>
      <c r="I21" s="843"/>
      <c r="J21" s="839"/>
      <c r="K21" s="898"/>
      <c r="L21" s="227"/>
      <c r="M21" s="245"/>
      <c r="N21" s="246"/>
      <c r="O21" s="228" t="str">
        <f t="shared" ref="O21:O23" ca="1" si="9">IF(L21="","",IF(S21&lt;&gt;"","",IF(AND(S21="",L21-TODAY()&lt;=60),L21-TODAY(),"")))</f>
        <v/>
      </c>
      <c r="P21" s="228" t="str">
        <f t="shared" ref="P21:P23" si="10">IF(AND(ISNUMBER(L21),ISNUMBER(S21)),L21-S21,"")</f>
        <v/>
      </c>
      <c r="Q21" s="229"/>
      <c r="R21" s="230" t="s">
        <v>27</v>
      </c>
      <c r="S21" s="234"/>
      <c r="T21" s="239"/>
      <c r="U21" s="234"/>
      <c r="V21" s="250"/>
      <c r="W21" s="230"/>
      <c r="X21" s="234"/>
      <c r="Y21" s="239"/>
      <c r="Z21" s="230" t="str">
        <f t="shared" si="8"/>
        <v/>
      </c>
      <c r="AA21" s="234"/>
      <c r="AB21" s="230"/>
      <c r="AC21" s="230"/>
      <c r="AD21" s="247"/>
    </row>
    <row r="22" spans="1:31" s="244" customFormat="1" ht="45" customHeight="1">
      <c r="B22" s="852"/>
      <c r="C22" s="868"/>
      <c r="D22" s="251"/>
      <c r="E22" s="871"/>
      <c r="F22" s="839"/>
      <c r="G22" s="846"/>
      <c r="H22" s="842"/>
      <c r="I22" s="843"/>
      <c r="J22" s="839"/>
      <c r="K22" s="898"/>
      <c r="L22" s="227"/>
      <c r="M22" s="245"/>
      <c r="N22" s="246"/>
      <c r="O22" s="228" t="str">
        <f t="shared" ca="1" si="9"/>
        <v/>
      </c>
      <c r="P22" s="228" t="str">
        <f t="shared" si="10"/>
        <v/>
      </c>
      <c r="Q22" s="229"/>
      <c r="R22" s="230" t="s">
        <v>36</v>
      </c>
      <c r="S22" s="234"/>
      <c r="T22" s="239"/>
      <c r="U22" s="234"/>
      <c r="V22" s="239"/>
      <c r="W22" s="230"/>
      <c r="X22" s="234"/>
      <c r="Y22" s="239"/>
      <c r="Z22" s="230" t="str">
        <f t="shared" si="8"/>
        <v/>
      </c>
      <c r="AA22" s="234"/>
      <c r="AB22" s="230"/>
      <c r="AC22" s="230"/>
      <c r="AD22" s="247"/>
    </row>
    <row r="23" spans="1:31" s="252" customFormat="1" ht="45" customHeight="1">
      <c r="B23" s="893">
        <f t="shared" ref="B23" si="11">B20+1</f>
        <v>7</v>
      </c>
      <c r="C23" s="881" t="s">
        <v>137</v>
      </c>
      <c r="D23" s="844"/>
      <c r="E23" s="884" t="s">
        <v>1035</v>
      </c>
      <c r="F23" s="843"/>
      <c r="G23" s="844" t="s">
        <v>857</v>
      </c>
      <c r="H23" s="840" t="s">
        <v>856</v>
      </c>
      <c r="I23" s="843" t="s">
        <v>895</v>
      </c>
      <c r="J23" s="843"/>
      <c r="K23" s="898" t="s">
        <v>1028</v>
      </c>
      <c r="L23" s="280">
        <v>46204</v>
      </c>
      <c r="M23" s="280">
        <v>46234</v>
      </c>
      <c r="N23" s="281">
        <v>46264</v>
      </c>
      <c r="O23" s="228" t="str">
        <f t="shared" ca="1" si="9"/>
        <v/>
      </c>
      <c r="P23" s="282">
        <f t="shared" si="10"/>
        <v>223</v>
      </c>
      <c r="Q23" s="293" t="s">
        <v>253</v>
      </c>
      <c r="R23" s="294" t="s">
        <v>22</v>
      </c>
      <c r="S23" s="295">
        <v>45981</v>
      </c>
      <c r="T23" s="295" t="s">
        <v>138</v>
      </c>
      <c r="U23" s="295">
        <v>45999</v>
      </c>
      <c r="V23" s="294" t="s">
        <v>139</v>
      </c>
      <c r="W23" s="294" t="s">
        <v>1644</v>
      </c>
      <c r="X23" s="234"/>
      <c r="Y23" s="239"/>
      <c r="Z23" s="247"/>
      <c r="AA23" s="234"/>
      <c r="AB23" s="247"/>
      <c r="AC23" s="247"/>
      <c r="AD23" s="247"/>
      <c r="AE23" s="912"/>
    </row>
    <row r="24" spans="1:31" s="252" customFormat="1" ht="45" customHeight="1">
      <c r="B24" s="894"/>
      <c r="C24" s="882"/>
      <c r="D24" s="845"/>
      <c r="E24" s="885"/>
      <c r="F24" s="843"/>
      <c r="G24" s="845"/>
      <c r="H24" s="841"/>
      <c r="I24" s="843"/>
      <c r="J24" s="843"/>
      <c r="K24" s="898"/>
      <c r="L24" s="256"/>
      <c r="M24" s="253"/>
      <c r="N24" s="254"/>
      <c r="O24" s="255"/>
      <c r="P24" s="255"/>
      <c r="Q24" s="243"/>
      <c r="R24" s="247" t="s">
        <v>27</v>
      </c>
      <c r="S24" s="234"/>
      <c r="T24" s="239"/>
      <c r="U24" s="234"/>
      <c r="V24" s="239"/>
      <c r="W24" s="247"/>
      <c r="X24" s="234"/>
      <c r="Y24" s="239"/>
      <c r="Z24" s="247"/>
      <c r="AA24" s="234"/>
      <c r="AB24" s="247"/>
      <c r="AC24" s="247"/>
      <c r="AD24" s="247"/>
      <c r="AE24" s="912"/>
    </row>
    <row r="25" spans="1:31" s="252" customFormat="1" ht="45" customHeight="1">
      <c r="B25" s="895"/>
      <c r="C25" s="883"/>
      <c r="D25" s="846"/>
      <c r="E25" s="886"/>
      <c r="F25" s="843"/>
      <c r="G25" s="846"/>
      <c r="H25" s="842"/>
      <c r="I25" s="843"/>
      <c r="J25" s="843"/>
      <c r="K25" s="898"/>
      <c r="L25" s="256"/>
      <c r="M25" s="253"/>
      <c r="N25" s="254"/>
      <c r="O25" s="255"/>
      <c r="P25" s="255"/>
      <c r="Q25" s="243"/>
      <c r="R25" s="247" t="s">
        <v>36</v>
      </c>
      <c r="S25" s="234"/>
      <c r="T25" s="239"/>
      <c r="U25" s="234"/>
      <c r="V25" s="239"/>
      <c r="W25" s="247"/>
      <c r="X25" s="234"/>
      <c r="Y25" s="239"/>
      <c r="Z25" s="247"/>
      <c r="AA25" s="234"/>
      <c r="AB25" s="247"/>
      <c r="AC25" s="247"/>
      <c r="AD25" s="247"/>
      <c r="AE25" s="912"/>
    </row>
    <row r="26" spans="1:31" s="236" customFormat="1" ht="45" customHeight="1">
      <c r="B26" s="893">
        <f t="shared" ref="B26" si="12">B23+1</f>
        <v>8</v>
      </c>
      <c r="C26" s="853"/>
      <c r="D26" s="904"/>
      <c r="E26" s="847" t="s">
        <v>897</v>
      </c>
      <c r="F26" s="839"/>
      <c r="G26" s="844" t="s">
        <v>857</v>
      </c>
      <c r="H26" s="844" t="s">
        <v>856</v>
      </c>
      <c r="I26" s="843" t="s">
        <v>879</v>
      </c>
      <c r="J26" s="839"/>
      <c r="K26" s="839"/>
      <c r="L26" s="280">
        <v>46204</v>
      </c>
      <c r="M26" s="280">
        <v>46234</v>
      </c>
      <c r="N26" s="281">
        <v>46264</v>
      </c>
      <c r="O26" s="228">
        <f ca="1">IF(L26="","",IF(S26&lt;&gt;"","",IF(AND(S26="",L26-TODAY()&lt;=60),L26-TODAY(),"")))</f>
        <v>35</v>
      </c>
      <c r="P26" s="228" t="str">
        <f>IF(AND(ISNUMBER(L26),ISNUMBER(S26)),L26-S26,"")</f>
        <v/>
      </c>
      <c r="Q26" s="229"/>
      <c r="R26" s="230" t="s">
        <v>22</v>
      </c>
      <c r="S26" s="231"/>
      <c r="T26" s="232"/>
      <c r="U26" s="231"/>
      <c r="V26" s="232"/>
      <c r="W26" s="233"/>
      <c r="X26" s="231"/>
      <c r="Y26" s="232"/>
      <c r="Z26" s="232"/>
      <c r="AA26" s="234"/>
      <c r="AB26" s="230"/>
      <c r="AC26" s="230"/>
      <c r="AD26" s="235"/>
    </row>
    <row r="27" spans="1:31" s="236" customFormat="1" ht="45" customHeight="1">
      <c r="B27" s="894"/>
      <c r="C27" s="854"/>
      <c r="D27" s="905"/>
      <c r="E27" s="848"/>
      <c r="F27" s="839"/>
      <c r="G27" s="845"/>
      <c r="H27" s="845"/>
      <c r="I27" s="843"/>
      <c r="J27" s="839"/>
      <c r="K27" s="839"/>
      <c r="L27" s="227"/>
      <c r="M27" s="227"/>
      <c r="N27" s="227"/>
      <c r="O27" s="228" t="str">
        <f ca="1">IF(L27="","",IF(S27&lt;&gt;"","",IF(AND(S27="",L27-TODAY()&lt;=60),L27-TODAY(),"")))</f>
        <v/>
      </c>
      <c r="P27" s="228" t="str">
        <f>IF(AND(ISNUMBER(L27),ISNUMBER(S27)),L27-S27,"")</f>
        <v/>
      </c>
      <c r="Q27" s="229"/>
      <c r="R27" s="230" t="s">
        <v>27</v>
      </c>
      <c r="S27" s="237"/>
      <c r="T27" s="237"/>
      <c r="U27" s="237"/>
      <c r="V27" s="238"/>
      <c r="W27" s="230"/>
      <c r="X27" s="234"/>
      <c r="Y27" s="239"/>
      <c r="Z27" s="230" t="str">
        <f t="shared" ref="Z27:Z28" si="13">IF(X27="","",IF(W27="檢退","檢退",IF(W27="審查同意","審定","檢退")))</f>
        <v/>
      </c>
      <c r="AA27" s="234"/>
      <c r="AB27" s="230"/>
      <c r="AC27" s="230"/>
      <c r="AD27" s="235"/>
    </row>
    <row r="28" spans="1:31" s="236" customFormat="1" ht="45" customHeight="1">
      <c r="B28" s="895"/>
      <c r="C28" s="855"/>
      <c r="D28" s="906"/>
      <c r="E28" s="849"/>
      <c r="F28" s="839"/>
      <c r="G28" s="846"/>
      <c r="H28" s="846"/>
      <c r="I28" s="843"/>
      <c r="J28" s="839"/>
      <c r="K28" s="839"/>
      <c r="L28" s="227"/>
      <c r="M28" s="227"/>
      <c r="N28" s="227"/>
      <c r="O28" s="228" t="str">
        <f t="shared" ref="O28" ca="1" si="14">IF(L28="","",IF(S28&lt;&gt;"","",IF(AND(S28="",L28-TODAY()&lt;=60),L28-TODAY(),"")))</f>
        <v/>
      </c>
      <c r="P28" s="228" t="str">
        <f t="shared" ref="P28" si="15">IF(AND(ISNUMBER(L28),ISNUMBER(S28)),L28-S28,"")</f>
        <v/>
      </c>
      <c r="Q28" s="229"/>
      <c r="R28" s="230" t="s">
        <v>36</v>
      </c>
      <c r="S28" s="231"/>
      <c r="T28" s="232"/>
      <c r="U28" s="231"/>
      <c r="V28" s="232"/>
      <c r="W28" s="233"/>
      <c r="X28" s="234"/>
      <c r="Y28" s="239"/>
      <c r="Z28" s="230" t="str">
        <f t="shared" si="13"/>
        <v/>
      </c>
      <c r="AA28" s="234"/>
      <c r="AB28" s="230"/>
      <c r="AC28" s="230"/>
      <c r="AD28" s="235"/>
    </row>
    <row r="29" spans="1:31" s="236" customFormat="1" ht="45" customHeight="1">
      <c r="B29" s="850">
        <f>B26+1</f>
        <v>9</v>
      </c>
      <c r="C29" s="853"/>
      <c r="D29" s="904"/>
      <c r="E29" s="847" t="s">
        <v>880</v>
      </c>
      <c r="F29" s="839"/>
      <c r="G29" s="844" t="s">
        <v>857</v>
      </c>
      <c r="H29" s="844" t="s">
        <v>856</v>
      </c>
      <c r="I29" s="843" t="s">
        <v>881</v>
      </c>
      <c r="J29" s="839"/>
      <c r="K29" s="839"/>
      <c r="L29" s="280">
        <v>46204</v>
      </c>
      <c r="M29" s="280">
        <v>46234</v>
      </c>
      <c r="N29" s="281">
        <v>46264</v>
      </c>
      <c r="O29" s="228">
        <f ca="1">IF(L29="","",IF(S29&lt;&gt;"","",IF(AND(S29="",L29-TODAY()&lt;=60),L29-TODAY(),"")))</f>
        <v>35</v>
      </c>
      <c r="P29" s="228" t="str">
        <f>IF(AND(ISNUMBER(L29),ISNUMBER(S29)),L29-S29,"")</f>
        <v/>
      </c>
      <c r="Q29" s="229"/>
      <c r="R29" s="230" t="s">
        <v>22</v>
      </c>
      <c r="S29" s="231"/>
      <c r="T29" s="232"/>
      <c r="U29" s="231"/>
      <c r="V29" s="232"/>
      <c r="W29" s="233"/>
      <c r="X29" s="231"/>
      <c r="Y29" s="232"/>
      <c r="Z29" s="232"/>
      <c r="AA29" s="234"/>
      <c r="AB29" s="230"/>
      <c r="AC29" s="230"/>
      <c r="AD29" s="235"/>
    </row>
    <row r="30" spans="1:31" s="236" customFormat="1" ht="45" customHeight="1">
      <c r="B30" s="851"/>
      <c r="C30" s="854"/>
      <c r="D30" s="905"/>
      <c r="E30" s="848"/>
      <c r="F30" s="839"/>
      <c r="G30" s="845"/>
      <c r="H30" s="845"/>
      <c r="I30" s="843"/>
      <c r="J30" s="839"/>
      <c r="K30" s="839"/>
      <c r="L30" s="227"/>
      <c r="M30" s="227"/>
      <c r="N30" s="227"/>
      <c r="O30" s="228" t="str">
        <f ca="1">IF(L30="","",IF(S30&lt;&gt;"","",IF(AND(S30="",L30-TODAY()&lt;=60),L30-TODAY(),"")))</f>
        <v/>
      </c>
      <c r="P30" s="228" t="str">
        <f>IF(AND(ISNUMBER(L30),ISNUMBER(S30)),L30-S30,"")</f>
        <v/>
      </c>
      <c r="Q30" s="229"/>
      <c r="R30" s="230" t="s">
        <v>27</v>
      </c>
      <c r="S30" s="237"/>
      <c r="T30" s="237"/>
      <c r="U30" s="237"/>
      <c r="V30" s="238"/>
      <c r="W30" s="230"/>
      <c r="X30" s="234"/>
      <c r="Y30" s="239"/>
      <c r="Z30" s="230" t="str">
        <f t="shared" ref="Z30:Z31" si="16">IF(X30="","",IF(W30="檢退","檢退",IF(W30="審查同意","審定","檢退")))</f>
        <v/>
      </c>
      <c r="AA30" s="234"/>
      <c r="AB30" s="230"/>
      <c r="AC30" s="230"/>
      <c r="AD30" s="235"/>
    </row>
    <row r="31" spans="1:31" s="236" customFormat="1" ht="45" customHeight="1">
      <c r="B31" s="852"/>
      <c r="C31" s="855"/>
      <c r="D31" s="906"/>
      <c r="E31" s="849"/>
      <c r="F31" s="839"/>
      <c r="G31" s="846"/>
      <c r="H31" s="846"/>
      <c r="I31" s="843"/>
      <c r="J31" s="839"/>
      <c r="K31" s="839"/>
      <c r="L31" s="227"/>
      <c r="M31" s="227"/>
      <c r="N31" s="227"/>
      <c r="O31" s="228" t="str">
        <f t="shared" ref="O31" ca="1" si="17">IF(L31="","",IF(S31&lt;&gt;"","",IF(AND(S31="",L31-TODAY()&lt;=60),L31-TODAY(),"")))</f>
        <v/>
      </c>
      <c r="P31" s="228" t="str">
        <f t="shared" ref="P31" si="18">IF(AND(ISNUMBER(L31),ISNUMBER(S31)),L31-S31,"")</f>
        <v/>
      </c>
      <c r="Q31" s="229"/>
      <c r="R31" s="230" t="s">
        <v>36</v>
      </c>
      <c r="S31" s="231"/>
      <c r="T31" s="232"/>
      <c r="U31" s="231"/>
      <c r="V31" s="232"/>
      <c r="W31" s="233"/>
      <c r="X31" s="234"/>
      <c r="Y31" s="239"/>
      <c r="Z31" s="230" t="str">
        <f t="shared" si="16"/>
        <v/>
      </c>
      <c r="AA31" s="234"/>
      <c r="AB31" s="230"/>
      <c r="AC31" s="230"/>
      <c r="AD31" s="235"/>
    </row>
    <row r="32" spans="1:31" s="236" customFormat="1" ht="45" customHeight="1">
      <c r="A32" s="865"/>
      <c r="B32" s="850">
        <f>B29+1</f>
        <v>10</v>
      </c>
      <c r="C32" s="839"/>
      <c r="D32" s="904"/>
      <c r="E32" s="856" t="s">
        <v>882</v>
      </c>
      <c r="F32" s="839"/>
      <c r="G32" s="844" t="s">
        <v>857</v>
      </c>
      <c r="H32" s="844" t="s">
        <v>856</v>
      </c>
      <c r="I32" s="843" t="s">
        <v>883</v>
      </c>
      <c r="J32" s="839"/>
      <c r="K32" s="839"/>
      <c r="L32" s="280">
        <v>46204</v>
      </c>
      <c r="M32" s="280">
        <v>46234</v>
      </c>
      <c r="N32" s="281">
        <v>46264</v>
      </c>
      <c r="O32" s="282">
        <f ca="1">IF(L32="","",IF(S32&lt;&gt;"","",IF(AND(S32="",L32-TODAY()&lt;=60),L32-TODAY(),"")))</f>
        <v>35</v>
      </c>
      <c r="P32" s="282" t="str">
        <f>IF(AND(ISNUMBER(L32),ISNUMBER(S32)),L32-S32,"")</f>
        <v/>
      </c>
      <c r="Q32" s="283"/>
      <c r="R32" s="284" t="s">
        <v>22</v>
      </c>
      <c r="S32" s="231"/>
      <c r="T32" s="232"/>
      <c r="U32" s="231"/>
      <c r="V32" s="232"/>
      <c r="W32" s="233"/>
      <c r="X32" s="231"/>
      <c r="Y32" s="232"/>
      <c r="Z32" s="232"/>
      <c r="AA32" s="234"/>
      <c r="AB32" s="230"/>
      <c r="AC32" s="230"/>
      <c r="AD32" s="235"/>
    </row>
    <row r="33" spans="1:30" s="236" customFormat="1" ht="45" customHeight="1">
      <c r="A33" s="865"/>
      <c r="B33" s="851"/>
      <c r="C33" s="839"/>
      <c r="D33" s="905"/>
      <c r="E33" s="856"/>
      <c r="F33" s="839"/>
      <c r="G33" s="845"/>
      <c r="H33" s="845"/>
      <c r="I33" s="843"/>
      <c r="J33" s="839"/>
      <c r="K33" s="839"/>
      <c r="L33" s="279"/>
      <c r="M33" s="279"/>
      <c r="N33" s="279"/>
      <c r="O33" s="282" t="str">
        <f ca="1">IF(L33="","",IF(S33&lt;&gt;"","",IF(AND(S33="",L33-TODAY()&lt;=60),L33-TODAY(),"")))</f>
        <v/>
      </c>
      <c r="P33" s="282" t="str">
        <f>IF(AND(ISNUMBER(L33),ISNUMBER(S33)),L33-S33,"")</f>
        <v/>
      </c>
      <c r="Q33" s="283"/>
      <c r="R33" s="284" t="s">
        <v>27</v>
      </c>
      <c r="S33" s="237"/>
      <c r="T33" s="237"/>
      <c r="U33" s="237"/>
      <c r="V33" s="238"/>
      <c r="W33" s="230"/>
      <c r="X33" s="234"/>
      <c r="Y33" s="239"/>
      <c r="Z33" s="230" t="str">
        <f t="shared" ref="Z33:Z34" si="19">IF(X33="","",IF(W33="檢退","檢退",IF(W33="審查同意","審定","檢退")))</f>
        <v/>
      </c>
      <c r="AA33" s="234"/>
      <c r="AB33" s="230"/>
      <c r="AC33" s="230"/>
      <c r="AD33" s="235"/>
    </row>
    <row r="34" spans="1:30" s="236" customFormat="1" ht="45" customHeight="1">
      <c r="A34" s="865"/>
      <c r="B34" s="852"/>
      <c r="C34" s="839"/>
      <c r="D34" s="906"/>
      <c r="E34" s="856"/>
      <c r="F34" s="839"/>
      <c r="G34" s="846"/>
      <c r="H34" s="846"/>
      <c r="I34" s="843"/>
      <c r="J34" s="839"/>
      <c r="K34" s="839"/>
      <c r="L34" s="279"/>
      <c r="M34" s="279"/>
      <c r="N34" s="279"/>
      <c r="O34" s="282" t="str">
        <f t="shared" ref="O34" ca="1" si="20">IF(L34="","",IF(S34&lt;&gt;"","",IF(AND(S34="",L34-TODAY()&lt;=60),L34-TODAY(),"")))</f>
        <v/>
      </c>
      <c r="P34" s="282" t="str">
        <f t="shared" ref="P34" si="21">IF(AND(ISNUMBER(L34),ISNUMBER(S34)),L34-S34,"")</f>
        <v/>
      </c>
      <c r="Q34" s="283"/>
      <c r="R34" s="284" t="s">
        <v>36</v>
      </c>
      <c r="S34" s="231"/>
      <c r="T34" s="232"/>
      <c r="U34" s="231"/>
      <c r="V34" s="232"/>
      <c r="W34" s="233"/>
      <c r="X34" s="234"/>
      <c r="Y34" s="239"/>
      <c r="Z34" s="230" t="str">
        <f t="shared" si="19"/>
        <v/>
      </c>
      <c r="AA34" s="234"/>
      <c r="AB34" s="230"/>
      <c r="AC34" s="230"/>
      <c r="AD34" s="235"/>
    </row>
    <row r="35" spans="1:30" s="236" customFormat="1" ht="45" customHeight="1">
      <c r="A35" s="865">
        <v>100</v>
      </c>
      <c r="B35" s="850">
        <f>B32+1</f>
        <v>11</v>
      </c>
      <c r="C35" s="839"/>
      <c r="D35" s="844"/>
      <c r="E35" s="856" t="s">
        <v>884</v>
      </c>
      <c r="F35" s="839"/>
      <c r="G35" s="844" t="s">
        <v>857</v>
      </c>
      <c r="H35" s="844" t="s">
        <v>856</v>
      </c>
      <c r="I35" s="843" t="s">
        <v>1038</v>
      </c>
      <c r="J35" s="839"/>
      <c r="K35" s="839"/>
      <c r="L35" s="280">
        <v>46204</v>
      </c>
      <c r="M35" s="280">
        <v>46234</v>
      </c>
      <c r="N35" s="281">
        <v>46264</v>
      </c>
      <c r="O35" s="228">
        <v>16</v>
      </c>
      <c r="P35" s="228" t="s">
        <v>1033</v>
      </c>
      <c r="Q35" s="229"/>
      <c r="R35" s="230" t="s">
        <v>50</v>
      </c>
      <c r="S35" s="231"/>
      <c r="T35" s="232"/>
      <c r="U35" s="231"/>
      <c r="V35" s="232"/>
      <c r="W35" s="233"/>
      <c r="X35" s="231"/>
      <c r="Y35" s="232"/>
      <c r="Z35" s="232"/>
      <c r="AA35" s="234"/>
      <c r="AB35" s="230"/>
      <c r="AC35" s="230"/>
      <c r="AD35" s="235"/>
    </row>
    <row r="36" spans="1:30" s="236" customFormat="1" ht="45" customHeight="1">
      <c r="A36" s="865"/>
      <c r="B36" s="851"/>
      <c r="C36" s="839"/>
      <c r="D36" s="907"/>
      <c r="E36" s="856"/>
      <c r="F36" s="839"/>
      <c r="G36" s="845"/>
      <c r="H36" s="845"/>
      <c r="I36" s="843"/>
      <c r="J36" s="839"/>
      <c r="K36" s="839"/>
      <c r="L36" s="227"/>
      <c r="M36" s="227"/>
      <c r="N36" s="227"/>
      <c r="O36" s="228" t="s">
        <v>1033</v>
      </c>
      <c r="P36" s="228" t="s">
        <v>1033</v>
      </c>
      <c r="Q36" s="229"/>
      <c r="R36" s="230" t="s">
        <v>54</v>
      </c>
      <c r="S36" s="237"/>
      <c r="T36" s="237"/>
      <c r="U36" s="237"/>
      <c r="V36" s="238"/>
      <c r="W36" s="230"/>
      <c r="X36" s="234"/>
      <c r="Y36" s="239"/>
      <c r="Z36" s="230" t="str">
        <f t="shared" ref="Z36:Z37" si="22">IF(X36="","",IF(W36="檢退","檢退",IF(W36="審查同意","審定","檢退")))</f>
        <v/>
      </c>
      <c r="AA36" s="234"/>
      <c r="AB36" s="230"/>
      <c r="AC36" s="230"/>
      <c r="AD36" s="235"/>
    </row>
    <row r="37" spans="1:30" s="236" customFormat="1" ht="45" customHeight="1">
      <c r="A37" s="865"/>
      <c r="B37" s="852"/>
      <c r="C37" s="839"/>
      <c r="D37" s="908"/>
      <c r="E37" s="856"/>
      <c r="F37" s="839"/>
      <c r="G37" s="846"/>
      <c r="H37" s="846"/>
      <c r="I37" s="843"/>
      <c r="J37" s="839"/>
      <c r="K37" s="839"/>
      <c r="L37" s="227"/>
      <c r="M37" s="227"/>
      <c r="N37" s="227"/>
      <c r="O37" s="228" t="s">
        <v>1033</v>
      </c>
      <c r="P37" s="228" t="s">
        <v>1033</v>
      </c>
      <c r="Q37" s="229"/>
      <c r="R37" s="230" t="s">
        <v>1011</v>
      </c>
      <c r="S37" s="231"/>
      <c r="T37" s="232"/>
      <c r="U37" s="231"/>
      <c r="V37" s="232"/>
      <c r="W37" s="233"/>
      <c r="X37" s="234"/>
      <c r="Y37" s="239"/>
      <c r="Z37" s="230" t="str">
        <f t="shared" si="22"/>
        <v/>
      </c>
      <c r="AA37" s="234"/>
      <c r="AB37" s="230"/>
      <c r="AC37" s="230"/>
      <c r="AD37" s="235"/>
    </row>
    <row r="38" spans="1:30" s="236" customFormat="1" ht="45" customHeight="1">
      <c r="A38" s="865">
        <v>101</v>
      </c>
      <c r="B38" s="850">
        <f t="shared" ref="B38" si="23">B35+1</f>
        <v>12</v>
      </c>
      <c r="C38" s="853"/>
      <c r="D38" s="844"/>
      <c r="E38" s="847" t="s">
        <v>885</v>
      </c>
      <c r="F38" s="839"/>
      <c r="G38" s="844" t="s">
        <v>857</v>
      </c>
      <c r="H38" s="840" t="s">
        <v>856</v>
      </c>
      <c r="I38" s="843" t="s">
        <v>1037</v>
      </c>
      <c r="J38" s="839"/>
      <c r="K38" s="839"/>
      <c r="L38" s="280">
        <v>46204</v>
      </c>
      <c r="M38" s="280">
        <v>46234</v>
      </c>
      <c r="N38" s="281">
        <v>46264</v>
      </c>
      <c r="O38" s="228">
        <v>16</v>
      </c>
      <c r="P38" s="228" t="s">
        <v>1033</v>
      </c>
      <c r="Q38" s="229"/>
      <c r="R38" s="230" t="s">
        <v>50</v>
      </c>
      <c r="S38" s="231"/>
      <c r="T38" s="232"/>
      <c r="U38" s="231"/>
      <c r="V38" s="232"/>
      <c r="W38" s="233"/>
      <c r="X38" s="231"/>
      <c r="Y38" s="232"/>
      <c r="Z38" s="232"/>
      <c r="AA38" s="234"/>
      <c r="AB38" s="230"/>
      <c r="AC38" s="230"/>
      <c r="AD38" s="235"/>
    </row>
    <row r="39" spans="1:30" s="236" customFormat="1" ht="45" customHeight="1">
      <c r="A39" s="865"/>
      <c r="B39" s="851"/>
      <c r="C39" s="854"/>
      <c r="D39" s="907"/>
      <c r="E39" s="848"/>
      <c r="F39" s="839"/>
      <c r="G39" s="845"/>
      <c r="H39" s="841"/>
      <c r="I39" s="843"/>
      <c r="J39" s="839"/>
      <c r="K39" s="839"/>
      <c r="L39" s="227"/>
      <c r="M39" s="227"/>
      <c r="N39" s="227"/>
      <c r="O39" s="228" t="s">
        <v>1033</v>
      </c>
      <c r="P39" s="228" t="s">
        <v>1033</v>
      </c>
      <c r="Q39" s="229"/>
      <c r="R39" s="230" t="s">
        <v>54</v>
      </c>
      <c r="S39" s="237"/>
      <c r="T39" s="237"/>
      <c r="U39" s="237"/>
      <c r="V39" s="238"/>
      <c r="W39" s="230"/>
      <c r="X39" s="234"/>
      <c r="Y39" s="239"/>
      <c r="Z39" s="230" t="str">
        <f t="shared" ref="Z39:Z40" si="24">IF(X39="","",IF(W39="檢退","檢退",IF(W39="審查同意","審定","檢退")))</f>
        <v/>
      </c>
      <c r="AA39" s="234"/>
      <c r="AB39" s="230"/>
      <c r="AC39" s="230"/>
      <c r="AD39" s="235"/>
    </row>
    <row r="40" spans="1:30" s="236" customFormat="1" ht="45" customHeight="1">
      <c r="A40" s="865"/>
      <c r="B40" s="852"/>
      <c r="C40" s="855"/>
      <c r="D40" s="908"/>
      <c r="E40" s="849"/>
      <c r="F40" s="839"/>
      <c r="G40" s="846"/>
      <c r="H40" s="842"/>
      <c r="I40" s="843"/>
      <c r="J40" s="839"/>
      <c r="K40" s="839"/>
      <c r="L40" s="227"/>
      <c r="M40" s="227"/>
      <c r="N40" s="227"/>
      <c r="O40" s="228" t="s">
        <v>1033</v>
      </c>
      <c r="P40" s="228" t="s">
        <v>1033</v>
      </c>
      <c r="Q40" s="229"/>
      <c r="R40" s="230" t="s">
        <v>1011</v>
      </c>
      <c r="S40" s="231"/>
      <c r="T40" s="232"/>
      <c r="U40" s="231"/>
      <c r="V40" s="232"/>
      <c r="W40" s="233"/>
      <c r="X40" s="234"/>
      <c r="Y40" s="239"/>
      <c r="Z40" s="230" t="str">
        <f t="shared" si="24"/>
        <v/>
      </c>
      <c r="AA40" s="234"/>
      <c r="AB40" s="230"/>
      <c r="AC40" s="230"/>
      <c r="AD40" s="235"/>
    </row>
    <row r="41" spans="1:30" s="236" customFormat="1" ht="45" customHeight="1">
      <c r="B41" s="850">
        <f>B38+1</f>
        <v>13</v>
      </c>
      <c r="C41" s="853"/>
      <c r="D41" s="240"/>
      <c r="E41" s="847" t="s">
        <v>898</v>
      </c>
      <c r="F41" s="839"/>
      <c r="G41" s="844" t="s">
        <v>857</v>
      </c>
      <c r="H41" s="840" t="s">
        <v>856</v>
      </c>
      <c r="I41" s="843" t="s">
        <v>1036</v>
      </c>
      <c r="J41" s="839"/>
      <c r="K41" s="839"/>
      <c r="L41" s="280">
        <v>46204</v>
      </c>
      <c r="M41" s="280">
        <v>46234</v>
      </c>
      <c r="N41" s="281">
        <v>46264</v>
      </c>
      <c r="O41" s="228">
        <v>16</v>
      </c>
      <c r="P41" s="228" t="s">
        <v>1033</v>
      </c>
      <c r="Q41" s="229"/>
      <c r="R41" s="230" t="s">
        <v>50</v>
      </c>
      <c r="S41" s="231"/>
      <c r="T41" s="232"/>
      <c r="U41" s="231"/>
      <c r="V41" s="232"/>
      <c r="W41" s="233"/>
      <c r="X41" s="231"/>
      <c r="Y41" s="232"/>
      <c r="Z41" s="232"/>
      <c r="AA41" s="234"/>
      <c r="AB41" s="230"/>
      <c r="AC41" s="230"/>
      <c r="AD41" s="235"/>
    </row>
    <row r="42" spans="1:30" s="236" customFormat="1" ht="45" customHeight="1">
      <c r="B42" s="851"/>
      <c r="C42" s="854"/>
      <c r="D42" s="241"/>
      <c r="E42" s="848"/>
      <c r="F42" s="839"/>
      <c r="G42" s="845"/>
      <c r="H42" s="841"/>
      <c r="I42" s="843"/>
      <c r="J42" s="839"/>
      <c r="K42" s="839"/>
      <c r="L42" s="227"/>
      <c r="M42" s="227"/>
      <c r="N42" s="227"/>
      <c r="O42" s="228" t="s">
        <v>1033</v>
      </c>
      <c r="P42" s="228" t="s">
        <v>1033</v>
      </c>
      <c r="Q42" s="229"/>
      <c r="R42" s="230" t="s">
        <v>54</v>
      </c>
      <c r="S42" s="237"/>
      <c r="T42" s="237"/>
      <c r="U42" s="237"/>
      <c r="V42" s="238"/>
      <c r="W42" s="230"/>
      <c r="X42" s="234"/>
      <c r="Y42" s="239"/>
      <c r="Z42" s="230" t="str">
        <f t="shared" ref="Z42:Z43" si="25">IF(X42="","",IF(W42="檢退","檢退",IF(W42="審查同意","審定","檢退")))</f>
        <v/>
      </c>
      <c r="AA42" s="234"/>
      <c r="AB42" s="230"/>
      <c r="AC42" s="230"/>
      <c r="AD42" s="235"/>
    </row>
    <row r="43" spans="1:30" s="236" customFormat="1" ht="45" customHeight="1">
      <c r="B43" s="852"/>
      <c r="C43" s="855"/>
      <c r="D43" s="242"/>
      <c r="E43" s="849"/>
      <c r="F43" s="839"/>
      <c r="G43" s="846"/>
      <c r="H43" s="842"/>
      <c r="I43" s="843"/>
      <c r="J43" s="839"/>
      <c r="K43" s="839"/>
      <c r="L43" s="227"/>
      <c r="M43" s="227"/>
      <c r="N43" s="227"/>
      <c r="O43" s="228" t="s">
        <v>1033</v>
      </c>
      <c r="P43" s="228" t="s">
        <v>1033</v>
      </c>
      <c r="Q43" s="229"/>
      <c r="R43" s="230" t="s">
        <v>1011</v>
      </c>
      <c r="S43" s="231"/>
      <c r="T43" s="232"/>
      <c r="U43" s="231"/>
      <c r="V43" s="232"/>
      <c r="W43" s="233"/>
      <c r="X43" s="234"/>
      <c r="Y43" s="239"/>
      <c r="Z43" s="230" t="str">
        <f t="shared" si="25"/>
        <v/>
      </c>
      <c r="AA43" s="234"/>
      <c r="AB43" s="230"/>
      <c r="AC43" s="230"/>
      <c r="AD43" s="235"/>
    </row>
    <row r="44" spans="1:30" s="236" customFormat="1" ht="45" customHeight="1">
      <c r="B44" s="850">
        <f>B41+1</f>
        <v>14</v>
      </c>
      <c r="C44" s="853"/>
      <c r="D44" s="240"/>
      <c r="E44" s="847" t="s">
        <v>1039</v>
      </c>
      <c r="F44" s="839"/>
      <c r="G44" s="844" t="s">
        <v>857</v>
      </c>
      <c r="H44" s="840" t="s">
        <v>856</v>
      </c>
      <c r="I44" s="843" t="s">
        <v>1040</v>
      </c>
      <c r="J44" s="839"/>
      <c r="K44" s="839"/>
      <c r="L44" s="280">
        <v>46204</v>
      </c>
      <c r="M44" s="280">
        <v>46234</v>
      </c>
      <c r="N44" s="281">
        <v>46264</v>
      </c>
      <c r="O44" s="228">
        <v>16</v>
      </c>
      <c r="P44" s="228" t="s">
        <v>1033</v>
      </c>
      <c r="Q44" s="229"/>
      <c r="R44" s="230" t="s">
        <v>50</v>
      </c>
      <c r="S44" s="231"/>
      <c r="T44" s="232"/>
      <c r="U44" s="231"/>
      <c r="V44" s="232"/>
      <c r="W44" s="233"/>
      <c r="X44" s="231"/>
      <c r="Y44" s="232"/>
      <c r="Z44" s="232"/>
      <c r="AA44" s="234"/>
      <c r="AB44" s="230"/>
      <c r="AC44" s="230"/>
      <c r="AD44" s="235"/>
    </row>
    <row r="45" spans="1:30" s="236" customFormat="1" ht="45" customHeight="1">
      <c r="B45" s="851"/>
      <c r="C45" s="854"/>
      <c r="D45" s="241"/>
      <c r="E45" s="848"/>
      <c r="F45" s="839"/>
      <c r="G45" s="845"/>
      <c r="H45" s="841"/>
      <c r="I45" s="843"/>
      <c r="J45" s="839"/>
      <c r="K45" s="839"/>
      <c r="L45" s="227"/>
      <c r="M45" s="227"/>
      <c r="N45" s="227"/>
      <c r="O45" s="228" t="s">
        <v>1033</v>
      </c>
      <c r="P45" s="228" t="s">
        <v>1033</v>
      </c>
      <c r="Q45" s="229"/>
      <c r="R45" s="230" t="s">
        <v>54</v>
      </c>
      <c r="S45" s="237"/>
      <c r="T45" s="237"/>
      <c r="U45" s="237"/>
      <c r="V45" s="238"/>
      <c r="W45" s="230"/>
      <c r="X45" s="234"/>
      <c r="Y45" s="239"/>
      <c r="Z45" s="230" t="str">
        <f t="shared" ref="Z45:Z46" si="26">IF(X45="","",IF(W45="檢退","檢退",IF(W45="審查同意","審定","檢退")))</f>
        <v/>
      </c>
      <c r="AA45" s="234"/>
      <c r="AB45" s="230"/>
      <c r="AC45" s="230"/>
      <c r="AD45" s="235"/>
    </row>
    <row r="46" spans="1:30" s="236" customFormat="1" ht="45" customHeight="1">
      <c r="B46" s="852"/>
      <c r="C46" s="855"/>
      <c r="D46" s="242"/>
      <c r="E46" s="849"/>
      <c r="F46" s="839"/>
      <c r="G46" s="846"/>
      <c r="H46" s="842"/>
      <c r="I46" s="843"/>
      <c r="J46" s="839"/>
      <c r="K46" s="839"/>
      <c r="L46" s="227"/>
      <c r="M46" s="227"/>
      <c r="N46" s="227"/>
      <c r="O46" s="228" t="s">
        <v>1033</v>
      </c>
      <c r="P46" s="228" t="s">
        <v>1033</v>
      </c>
      <c r="Q46" s="229"/>
      <c r="R46" s="230" t="s">
        <v>1011</v>
      </c>
      <c r="S46" s="231"/>
      <c r="T46" s="232"/>
      <c r="U46" s="231"/>
      <c r="V46" s="232"/>
      <c r="W46" s="233"/>
      <c r="X46" s="234"/>
      <c r="Y46" s="239"/>
      <c r="Z46" s="230" t="str">
        <f t="shared" si="26"/>
        <v/>
      </c>
      <c r="AA46" s="234"/>
      <c r="AB46" s="230"/>
      <c r="AC46" s="230"/>
      <c r="AD46" s="235"/>
    </row>
    <row r="47" spans="1:30" s="25" customFormat="1" ht="40.4" customHeight="1">
      <c r="B47" s="76"/>
      <c r="C47" s="93"/>
      <c r="D47" s="93"/>
      <c r="E47" s="94"/>
      <c r="F47" s="94"/>
      <c r="G47" s="94"/>
      <c r="H47" s="94"/>
      <c r="I47" s="94"/>
      <c r="J47" s="94"/>
      <c r="K47" s="94"/>
      <c r="L47" s="39"/>
      <c r="M47" s="39"/>
      <c r="N47" s="39"/>
      <c r="O47" s="42"/>
      <c r="P47" s="42"/>
      <c r="Q47" s="43"/>
      <c r="R47" s="44"/>
      <c r="S47" s="79"/>
      <c r="T47" s="80"/>
      <c r="U47" s="79"/>
      <c r="V47" s="80"/>
      <c r="W47" s="78"/>
      <c r="X47" s="45"/>
      <c r="Y47" s="46"/>
      <c r="Z47" s="44"/>
      <c r="AA47" s="45"/>
      <c r="AB47" s="44"/>
      <c r="AC47" s="44"/>
      <c r="AD47" s="47"/>
    </row>
    <row r="48" spans="1:30" s="2" customFormat="1" ht="40.4" customHeight="1">
      <c r="B48" s="36"/>
      <c r="D48" s="95" t="s">
        <v>377</v>
      </c>
      <c r="E48" s="38"/>
      <c r="F48" s="38"/>
      <c r="G48" s="38"/>
      <c r="H48" s="38"/>
      <c r="I48" s="38"/>
      <c r="J48" s="38"/>
      <c r="K48" s="38"/>
      <c r="L48" s="39"/>
      <c r="M48" s="40"/>
      <c r="N48" s="41"/>
      <c r="O48" s="42"/>
      <c r="P48" s="42"/>
      <c r="Q48" s="43"/>
      <c r="R48" s="44"/>
      <c r="S48" s="45"/>
      <c r="T48" s="46"/>
      <c r="U48" s="45"/>
      <c r="V48" s="46"/>
      <c r="W48" s="44"/>
      <c r="X48" s="45"/>
      <c r="Y48" s="46"/>
      <c r="Z48" s="44"/>
      <c r="AA48" s="45"/>
      <c r="AB48" s="44"/>
      <c r="AC48" s="44"/>
      <c r="AD48" s="47"/>
    </row>
    <row r="49" spans="2:30" ht="40.4" customHeight="1">
      <c r="D49" s="49" t="s">
        <v>193</v>
      </c>
      <c r="E49" s="64">
        <f>COUNTA(E5:E46)</f>
        <v>14</v>
      </c>
      <c r="F49" s="83"/>
      <c r="G49" s="83"/>
      <c r="H49" s="83"/>
      <c r="I49" s="83"/>
      <c r="J49" s="83"/>
      <c r="K49" s="83"/>
      <c r="L49" s="50"/>
      <c r="M49" s="51"/>
      <c r="Q49" s="2"/>
      <c r="AC49" s="52"/>
      <c r="AD49" s="1"/>
    </row>
    <row r="50" spans="2:30" ht="40.4" customHeight="1">
      <c r="D50" s="61" t="s">
        <v>240</v>
      </c>
      <c r="E50" s="67">
        <f>E49-E51-E52-E53</f>
        <v>13</v>
      </c>
      <c r="F50" s="84"/>
      <c r="G50" s="84"/>
      <c r="H50" s="84"/>
      <c r="I50" s="84"/>
      <c r="J50" s="84"/>
      <c r="K50" s="84"/>
      <c r="L50" s="56"/>
      <c r="M50" s="57"/>
      <c r="Q50" s="2"/>
      <c r="AC50" s="52"/>
      <c r="AD50" s="1"/>
    </row>
    <row r="51" spans="2:30" ht="45.65" customHeight="1">
      <c r="D51" s="55" t="s">
        <v>194</v>
      </c>
      <c r="E51" s="65">
        <f>COUNTIF(Q5:Q46,"核定")</f>
        <v>0</v>
      </c>
      <c r="F51" s="57"/>
      <c r="G51" s="57"/>
      <c r="H51" s="57"/>
      <c r="I51" s="57"/>
      <c r="J51" s="57"/>
      <c r="K51" s="57"/>
      <c r="L51" s="59"/>
      <c r="M51" s="60"/>
      <c r="Q51" s="2"/>
      <c r="AC51" s="52"/>
      <c r="AD51" s="1"/>
    </row>
    <row r="52" spans="2:30" ht="40.4" customHeight="1">
      <c r="D52" s="72" t="s">
        <v>177</v>
      </c>
      <c r="E52" s="73">
        <f>COUNTIF(Q5:Q46,"審查")</f>
        <v>0</v>
      </c>
      <c r="F52" s="85"/>
      <c r="G52" s="85"/>
      <c r="H52" s="85"/>
      <c r="I52" s="85"/>
      <c r="J52" s="85"/>
      <c r="K52" s="85"/>
      <c r="L52" s="62"/>
      <c r="M52" s="63"/>
      <c r="Q52" s="2"/>
      <c r="AC52" s="52"/>
      <c r="AD52" s="1"/>
    </row>
    <row r="53" spans="2:30" s="52" customFormat="1" ht="40.4" customHeight="1">
      <c r="B53" s="48"/>
      <c r="D53" s="58" t="s">
        <v>239</v>
      </c>
      <c r="E53" s="73">
        <f>COUNTIF(Q5:Q46,"修正")</f>
        <v>1</v>
      </c>
      <c r="F53" s="86"/>
      <c r="G53" s="86"/>
      <c r="H53" s="86"/>
      <c r="I53" s="86"/>
      <c r="J53" s="86"/>
      <c r="K53" s="86"/>
      <c r="L53" s="53"/>
      <c r="O53" s="53"/>
      <c r="P53" s="54"/>
      <c r="Q53" s="54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</sheetData>
  <autoFilter ref="B4:AD53" xr:uid="{00000000-0009-0000-0000-000007000000}"/>
  <mergeCells count="170">
    <mergeCell ref="AE23:AE25"/>
    <mergeCell ref="B5:B7"/>
    <mergeCell ref="A8:A10"/>
    <mergeCell ref="B8:B10"/>
    <mergeCell ref="C8:C10"/>
    <mergeCell ref="D8:D10"/>
    <mergeCell ref="E8:E10"/>
    <mergeCell ref="F8:F10"/>
    <mergeCell ref="G8:G10"/>
    <mergeCell ref="H8:H10"/>
    <mergeCell ref="I8:I10"/>
    <mergeCell ref="J8:J10"/>
    <mergeCell ref="K8:K10"/>
    <mergeCell ref="A14:A16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K14:K16"/>
    <mergeCell ref="B26:B28"/>
    <mergeCell ref="K20:K22"/>
    <mergeCell ref="F17:F19"/>
    <mergeCell ref="F26:F28"/>
    <mergeCell ref="H26:H28"/>
    <mergeCell ref="A11:A13"/>
    <mergeCell ref="B11:B13"/>
    <mergeCell ref="C11:C13"/>
    <mergeCell ref="D11:D13"/>
    <mergeCell ref="E11:E13"/>
    <mergeCell ref="F11:F13"/>
    <mergeCell ref="G11:G13"/>
    <mergeCell ref="H11:H13"/>
    <mergeCell ref="F23:F25"/>
    <mergeCell ref="F20:F22"/>
    <mergeCell ref="K26:K28"/>
    <mergeCell ref="J23:J25"/>
    <mergeCell ref="J20:J22"/>
    <mergeCell ref="K23:K25"/>
    <mergeCell ref="H23:H25"/>
    <mergeCell ref="I23:I25"/>
    <mergeCell ref="H20:H22"/>
    <mergeCell ref="I20:I22"/>
    <mergeCell ref="J29:J31"/>
    <mergeCell ref="K29:K31"/>
    <mergeCell ref="G35:G37"/>
    <mergeCell ref="G38:G40"/>
    <mergeCell ref="F5:F7"/>
    <mergeCell ref="H5:H7"/>
    <mergeCell ref="I5:I7"/>
    <mergeCell ref="C5:C7"/>
    <mergeCell ref="J11:J13"/>
    <mergeCell ref="K11:K13"/>
    <mergeCell ref="D32:D34"/>
    <mergeCell ref="D26:D28"/>
    <mergeCell ref="D29:D31"/>
    <mergeCell ref="D38:D40"/>
    <mergeCell ref="D35:D37"/>
    <mergeCell ref="F32:F34"/>
    <mergeCell ref="H32:H34"/>
    <mergeCell ref="I32:I34"/>
    <mergeCell ref="J32:J34"/>
    <mergeCell ref="F29:F31"/>
    <mergeCell ref="H29:H31"/>
    <mergeCell ref="I29:I31"/>
    <mergeCell ref="I26:I28"/>
    <mergeCell ref="J26:J28"/>
    <mergeCell ref="G5:G7"/>
    <mergeCell ref="G23:G25"/>
    <mergeCell ref="G20:G22"/>
    <mergeCell ref="H17:H19"/>
    <mergeCell ref="I17:I19"/>
    <mergeCell ref="J17:J19"/>
    <mergeCell ref="K17:K19"/>
    <mergeCell ref="I11:I13"/>
    <mergeCell ref="J5:J7"/>
    <mergeCell ref="K5:K7"/>
    <mergeCell ref="B44:B46"/>
    <mergeCell ref="C44:C46"/>
    <mergeCell ref="E44:E46"/>
    <mergeCell ref="B41:B43"/>
    <mergeCell ref="C41:C43"/>
    <mergeCell ref="A17:A19"/>
    <mergeCell ref="D23:D25"/>
    <mergeCell ref="A5:A7"/>
    <mergeCell ref="A38:A40"/>
    <mergeCell ref="A35:A37"/>
    <mergeCell ref="A32:A34"/>
    <mergeCell ref="B20:B22"/>
    <mergeCell ref="C20:C22"/>
    <mergeCell ref="E20:E22"/>
    <mergeCell ref="B17:B19"/>
    <mergeCell ref="C17:C19"/>
    <mergeCell ref="E17:E19"/>
    <mergeCell ref="C26:C28"/>
    <mergeCell ref="E26:E28"/>
    <mergeCell ref="C23:C25"/>
    <mergeCell ref="E23:E25"/>
    <mergeCell ref="E5:E7"/>
    <mergeCell ref="D5:D7"/>
    <mergeCell ref="B23:B25"/>
    <mergeCell ref="B1:AD1"/>
    <mergeCell ref="B2:B4"/>
    <mergeCell ref="C2:C4"/>
    <mergeCell ref="E2:E4"/>
    <mergeCell ref="L2:L4"/>
    <mergeCell ref="M2:M4"/>
    <mergeCell ref="N2:N4"/>
    <mergeCell ref="O2:O4"/>
    <mergeCell ref="P2:P4"/>
    <mergeCell ref="Q2:Q4"/>
    <mergeCell ref="R2:R4"/>
    <mergeCell ref="S2:AC2"/>
    <mergeCell ref="AD2:AD4"/>
    <mergeCell ref="S3:T3"/>
    <mergeCell ref="U3:W3"/>
    <mergeCell ref="D2:D4"/>
    <mergeCell ref="F2:F4"/>
    <mergeCell ref="K2:K4"/>
    <mergeCell ref="H2:H4"/>
    <mergeCell ref="I2:I4"/>
    <mergeCell ref="AA3:AC3"/>
    <mergeCell ref="J2:J4"/>
    <mergeCell ref="X3:Z3"/>
    <mergeCell ref="G2:G4"/>
    <mergeCell ref="F35:F37"/>
    <mergeCell ref="H35:H37"/>
    <mergeCell ref="I35:I37"/>
    <mergeCell ref="J35:J37"/>
    <mergeCell ref="K35:K37"/>
    <mergeCell ref="A2:A4"/>
    <mergeCell ref="E41:E43"/>
    <mergeCell ref="B38:B40"/>
    <mergeCell ref="C38:C40"/>
    <mergeCell ref="E38:E40"/>
    <mergeCell ref="B35:B37"/>
    <mergeCell ref="C35:C37"/>
    <mergeCell ref="E35:E37"/>
    <mergeCell ref="B29:B31"/>
    <mergeCell ref="C29:C31"/>
    <mergeCell ref="E29:E31"/>
    <mergeCell ref="B32:B34"/>
    <mergeCell ref="C32:C34"/>
    <mergeCell ref="E32:E34"/>
    <mergeCell ref="K32:K34"/>
    <mergeCell ref="G26:G28"/>
    <mergeCell ref="G29:G31"/>
    <mergeCell ref="G32:G34"/>
    <mergeCell ref="G17:G19"/>
    <mergeCell ref="F38:F40"/>
    <mergeCell ref="H38:H40"/>
    <mergeCell ref="I38:I40"/>
    <mergeCell ref="F44:F46"/>
    <mergeCell ref="H44:H46"/>
    <mergeCell ref="I44:I46"/>
    <mergeCell ref="J44:J46"/>
    <mergeCell ref="K44:K46"/>
    <mergeCell ref="F41:F43"/>
    <mergeCell ref="H41:H43"/>
    <mergeCell ref="I41:I43"/>
    <mergeCell ref="J41:J43"/>
    <mergeCell ref="K41:K43"/>
    <mergeCell ref="G41:G43"/>
    <mergeCell ref="G44:G46"/>
    <mergeCell ref="J38:J40"/>
    <mergeCell ref="K38:K40"/>
  </mergeCells>
  <phoneticPr fontId="6" type="noConversion"/>
  <pageMargins left="0.31496062992125984" right="0.31496062992125984" top="0.74803149606299213" bottom="0.74803149606299213" header="0.3543307086614173" footer="0.3543307086614173"/>
  <pageSetup paperSize="8" scale="49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4B46-B348-4BD1-AFB9-7A316AA400E1}">
  <sheetPr>
    <tabColor rgb="FFFFC000"/>
    <pageSetUpPr autoPageBreaks="0" fitToPage="1"/>
  </sheetPr>
  <dimension ref="A1:AO215"/>
  <sheetViews>
    <sheetView tabSelected="1" zoomScale="55" zoomScaleNormal="55" zoomScaleSheetLayoutView="55" zoomScalePageLayoutView="40" workbookViewId="0">
      <pane xSplit="7" ySplit="4" topLeftCell="H5" activePane="bottomRight" state="frozen"/>
      <selection activeCell="D1" sqref="D1:AD1"/>
      <selection pane="topRight" activeCell="D1" sqref="D1:AD1"/>
      <selection pane="bottomLeft" activeCell="D1" sqref="D1:AD1"/>
      <selection pane="bottomRight" activeCell="O17" sqref="O17"/>
    </sheetView>
  </sheetViews>
  <sheetFormatPr defaultColWidth="8" defaultRowHeight="16"/>
  <cols>
    <col min="1" max="1" width="10.6328125" style="1" customWidth="1"/>
    <col min="2" max="2" width="9.08984375" style="1" customWidth="1"/>
    <col min="3" max="3" width="8.54296875" style="48" customWidth="1"/>
    <col min="4" max="4" width="13.1796875" style="48" customWidth="1"/>
    <col min="5" max="5" width="29.1796875" style="2" bestFit="1" customWidth="1"/>
    <col min="6" max="6" width="50.1796875" style="52" customWidth="1"/>
    <col min="7" max="7" width="56.6328125" style="313" customWidth="1"/>
    <col min="8" max="8" width="29.453125" style="52" customWidth="1"/>
    <col min="9" max="9" width="17.453125" style="53" bestFit="1" customWidth="1"/>
    <col min="10" max="10" width="17.453125" style="52" customWidth="1"/>
    <col min="11" max="11" width="16.453125" style="52" bestFit="1" customWidth="1"/>
    <col min="12" max="12" width="19.453125" style="53" customWidth="1"/>
    <col min="13" max="13" width="14.08984375" style="54" customWidth="1"/>
    <col min="14" max="14" width="11.453125" style="54" customWidth="1"/>
    <col min="15" max="15" width="14.1796875" style="2" customWidth="1"/>
    <col min="16" max="16" width="16.453125" style="115" customWidth="1"/>
    <col min="17" max="17" width="24.453125" style="115" customWidth="1"/>
    <col min="18" max="18" width="16.08984375" style="115" bestFit="1" customWidth="1"/>
    <col min="19" max="19" width="24.453125" style="115" customWidth="1"/>
    <col min="20" max="20" width="24.90625" style="115" customWidth="1"/>
    <col min="21" max="21" width="16.08984375" style="115" bestFit="1" customWidth="1"/>
    <col min="22" max="22" width="20.90625" style="115" customWidth="1"/>
    <col min="23" max="23" width="14.08984375" style="115" bestFit="1" customWidth="1"/>
    <col min="24" max="24" width="16.08984375" style="115" bestFit="1" customWidth="1"/>
    <col min="25" max="25" width="23" style="115" bestFit="1" customWidth="1"/>
    <col min="26" max="26" width="14.08984375" style="115" bestFit="1" customWidth="1"/>
    <col min="27" max="27" width="23.08984375" style="162" customWidth="1"/>
    <col min="28" max="28" width="23.08984375" style="52" customWidth="1"/>
    <col min="29" max="29" width="23.08984375" style="162" customWidth="1"/>
    <col min="30" max="30" width="17.453125" style="127" customWidth="1"/>
    <col min="31" max="31" width="22.08984375" style="127" customWidth="1"/>
    <col min="32" max="32" width="17.453125" style="127" customWidth="1"/>
    <col min="33" max="33" width="21" style="127" customWidth="1"/>
    <col min="34" max="35" width="17.453125" style="127" customWidth="1"/>
    <col min="36" max="36" width="22.81640625" style="127" customWidth="1"/>
    <col min="37" max="41" width="17.453125" style="127" customWidth="1"/>
    <col min="42" max="16384" width="8" style="1"/>
  </cols>
  <sheetData>
    <row r="1" spans="1:41" ht="40.25" customHeight="1">
      <c r="C1" s="608" t="s">
        <v>375</v>
      </c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104"/>
      <c r="AC1" s="389"/>
    </row>
    <row r="2" spans="1:41" s="2" customFormat="1" ht="25.25" customHeight="1">
      <c r="A2" s="690" t="s">
        <v>522</v>
      </c>
      <c r="B2" s="693" t="s">
        <v>521</v>
      </c>
      <c r="C2" s="950" t="s">
        <v>1</v>
      </c>
      <c r="D2" s="951" t="s">
        <v>2</v>
      </c>
      <c r="E2" s="953" t="s">
        <v>1404</v>
      </c>
      <c r="F2" s="954" t="s">
        <v>1403</v>
      </c>
      <c r="G2" s="954" t="s">
        <v>1402</v>
      </c>
      <c r="H2" s="951" t="s">
        <v>255</v>
      </c>
      <c r="I2" s="617" t="s">
        <v>5</v>
      </c>
      <c r="J2" s="614" t="s">
        <v>6</v>
      </c>
      <c r="K2" s="614" t="s">
        <v>7</v>
      </c>
      <c r="L2" s="617" t="s">
        <v>256</v>
      </c>
      <c r="M2" s="611" t="s">
        <v>9</v>
      </c>
      <c r="N2" s="610" t="s">
        <v>10</v>
      </c>
      <c r="O2" s="610" t="s">
        <v>11</v>
      </c>
      <c r="P2" s="610" t="s">
        <v>1401</v>
      </c>
      <c r="Q2" s="610"/>
      <c r="R2" s="610"/>
      <c r="S2" s="610"/>
      <c r="T2" s="610"/>
      <c r="U2" s="610"/>
      <c r="V2" s="610"/>
      <c r="W2" s="610"/>
      <c r="X2" s="610"/>
      <c r="Y2" s="610"/>
      <c r="Z2" s="610"/>
      <c r="AA2" s="610" t="s">
        <v>13</v>
      </c>
      <c r="AB2" s="988" t="s">
        <v>3</v>
      </c>
      <c r="AC2" s="988" t="s">
        <v>838</v>
      </c>
      <c r="AD2" s="998" t="s">
        <v>1400</v>
      </c>
      <c r="AE2" s="999"/>
      <c r="AF2" s="999"/>
      <c r="AG2" s="999"/>
      <c r="AH2" s="999"/>
      <c r="AI2" s="999"/>
      <c r="AJ2" s="999"/>
      <c r="AK2" s="999"/>
      <c r="AL2" s="999"/>
      <c r="AM2" s="999"/>
      <c r="AN2" s="1000"/>
      <c r="AO2" s="997" t="s">
        <v>13</v>
      </c>
    </row>
    <row r="3" spans="1:41" s="2" customFormat="1" ht="25.25" customHeight="1">
      <c r="A3" s="690"/>
      <c r="B3" s="693"/>
      <c r="C3" s="950"/>
      <c r="D3" s="952"/>
      <c r="E3" s="953"/>
      <c r="F3" s="955"/>
      <c r="G3" s="955"/>
      <c r="H3" s="952"/>
      <c r="I3" s="617"/>
      <c r="J3" s="615"/>
      <c r="K3" s="615"/>
      <c r="L3" s="617" t="s">
        <v>14</v>
      </c>
      <c r="M3" s="612"/>
      <c r="N3" s="610"/>
      <c r="O3" s="610"/>
      <c r="P3" s="995" t="s">
        <v>15</v>
      </c>
      <c r="Q3" s="995"/>
      <c r="R3" s="959" t="s">
        <v>16</v>
      </c>
      <c r="S3" s="959"/>
      <c r="T3" s="959"/>
      <c r="U3" s="996" t="s">
        <v>17</v>
      </c>
      <c r="V3" s="996"/>
      <c r="W3" s="996"/>
      <c r="X3" s="994" t="s">
        <v>18</v>
      </c>
      <c r="Y3" s="994"/>
      <c r="Z3" s="994"/>
      <c r="AA3" s="610"/>
      <c r="AB3" s="989"/>
      <c r="AC3" s="989"/>
      <c r="AD3" s="995" t="s">
        <v>15</v>
      </c>
      <c r="AE3" s="995"/>
      <c r="AF3" s="959" t="s">
        <v>16</v>
      </c>
      <c r="AG3" s="959"/>
      <c r="AH3" s="959"/>
      <c r="AI3" s="996" t="s">
        <v>17</v>
      </c>
      <c r="AJ3" s="996"/>
      <c r="AK3" s="996"/>
      <c r="AL3" s="994" t="s">
        <v>18</v>
      </c>
      <c r="AM3" s="994"/>
      <c r="AN3" s="994"/>
      <c r="AO3" s="997"/>
    </row>
    <row r="4" spans="1:41" s="2" customFormat="1" ht="25.25" customHeight="1">
      <c r="A4" s="690"/>
      <c r="B4" s="693"/>
      <c r="C4" s="951"/>
      <c r="D4" s="952"/>
      <c r="E4" s="954"/>
      <c r="F4" s="956"/>
      <c r="G4" s="956"/>
      <c r="H4" s="952"/>
      <c r="I4" s="611"/>
      <c r="J4" s="615"/>
      <c r="K4" s="615"/>
      <c r="L4" s="611"/>
      <c r="M4" s="612"/>
      <c r="N4" s="860"/>
      <c r="O4" s="860"/>
      <c r="P4" s="409" t="s">
        <v>19</v>
      </c>
      <c r="Q4" s="409" t="s">
        <v>20</v>
      </c>
      <c r="R4" s="408" t="s">
        <v>19</v>
      </c>
      <c r="S4" s="408" t="s">
        <v>20</v>
      </c>
      <c r="T4" s="408" t="s">
        <v>21</v>
      </c>
      <c r="U4" s="407" t="s">
        <v>19</v>
      </c>
      <c r="V4" s="407" t="s">
        <v>20</v>
      </c>
      <c r="W4" s="407" t="s">
        <v>21</v>
      </c>
      <c r="X4" s="406" t="s">
        <v>19</v>
      </c>
      <c r="Y4" s="406" t="s">
        <v>20</v>
      </c>
      <c r="Z4" s="406" t="s">
        <v>21</v>
      </c>
      <c r="AA4" s="860"/>
      <c r="AB4" s="990"/>
      <c r="AC4" s="990"/>
      <c r="AD4" s="409" t="s">
        <v>19</v>
      </c>
      <c r="AE4" s="409" t="s">
        <v>20</v>
      </c>
      <c r="AF4" s="408" t="s">
        <v>19</v>
      </c>
      <c r="AG4" s="408" t="s">
        <v>20</v>
      </c>
      <c r="AH4" s="408" t="s">
        <v>21</v>
      </c>
      <c r="AI4" s="407" t="s">
        <v>19</v>
      </c>
      <c r="AJ4" s="407" t="s">
        <v>20</v>
      </c>
      <c r="AK4" s="407" t="s">
        <v>21</v>
      </c>
      <c r="AL4" s="406" t="s">
        <v>19</v>
      </c>
      <c r="AM4" s="406" t="s">
        <v>20</v>
      </c>
      <c r="AN4" s="406" t="s">
        <v>21</v>
      </c>
      <c r="AO4" s="988"/>
    </row>
    <row r="5" spans="1:41" s="165" customFormat="1" ht="40.25" customHeight="1">
      <c r="B5" s="777">
        <v>82</v>
      </c>
      <c r="C5" s="960">
        <v>1</v>
      </c>
      <c r="D5" s="765" t="s">
        <v>1399</v>
      </c>
      <c r="E5" s="958" t="s">
        <v>1398</v>
      </c>
      <c r="F5" s="925" t="s">
        <v>520</v>
      </c>
      <c r="G5" s="928" t="s">
        <v>1397</v>
      </c>
      <c r="H5" s="957" t="s">
        <v>274</v>
      </c>
      <c r="I5" s="297">
        <f>IF(K5="","",K5-60)</f>
        <v>45950</v>
      </c>
      <c r="J5" s="297">
        <f>IF(K5="","",K5-30)</f>
        <v>45980</v>
      </c>
      <c r="K5" s="309">
        <v>46010</v>
      </c>
      <c r="L5" s="299" t="str">
        <f t="shared" ref="L5:L30" ca="1" si="0">IF(I5="","",IF(P5&lt;&gt;"","",IF(AND(P5="",I5-TODAY()&lt;=60),I5-TODAY(),"")))</f>
        <v/>
      </c>
      <c r="M5" s="300">
        <f t="shared" ref="M5:M30" si="1">IF(COUNT(I5, P5)=2, I5-P5, "")</f>
        <v>41</v>
      </c>
      <c r="O5" s="163" t="s">
        <v>22</v>
      </c>
      <c r="P5" s="23">
        <v>45909</v>
      </c>
      <c r="Q5" s="23" t="s">
        <v>1070</v>
      </c>
      <c r="R5" s="23">
        <v>45919</v>
      </c>
      <c r="S5" s="15" t="s">
        <v>1071</v>
      </c>
      <c r="T5" s="15" t="s">
        <v>136</v>
      </c>
      <c r="U5" s="23"/>
      <c r="V5" s="24"/>
      <c r="W5" s="15"/>
      <c r="X5" s="23"/>
      <c r="Y5" s="15"/>
      <c r="Z5" s="15"/>
      <c r="AA5" s="16"/>
      <c r="AB5" s="678" t="s">
        <v>839</v>
      </c>
      <c r="AC5" s="15" t="s">
        <v>50</v>
      </c>
      <c r="AD5" s="396">
        <v>46064</v>
      </c>
      <c r="AE5" s="395" t="s">
        <v>840</v>
      </c>
      <c r="AF5" s="396">
        <v>46090</v>
      </c>
      <c r="AG5" s="395" t="s">
        <v>841</v>
      </c>
      <c r="AH5" s="395" t="s">
        <v>208</v>
      </c>
      <c r="AI5" s="396">
        <v>46090</v>
      </c>
      <c r="AJ5" s="395" t="s">
        <v>841</v>
      </c>
      <c r="AK5" s="15" t="s">
        <v>201</v>
      </c>
      <c r="AL5" s="396"/>
      <c r="AM5" s="395"/>
      <c r="AN5" s="395"/>
      <c r="AO5" s="394"/>
    </row>
    <row r="6" spans="1:41" s="165" customFormat="1" ht="40.25" customHeight="1">
      <c r="B6" s="777"/>
      <c r="C6" s="960"/>
      <c r="D6" s="765"/>
      <c r="E6" s="958"/>
      <c r="F6" s="926"/>
      <c r="G6" s="929"/>
      <c r="H6" s="957"/>
      <c r="I6" s="298"/>
      <c r="J6" s="297"/>
      <c r="K6" s="309"/>
      <c r="L6" s="299" t="str">
        <f t="shared" ca="1" si="0"/>
        <v/>
      </c>
      <c r="M6" s="300" t="str">
        <f t="shared" si="1"/>
        <v/>
      </c>
      <c r="N6" s="301"/>
      <c r="O6" s="163" t="s">
        <v>27</v>
      </c>
      <c r="P6" s="23">
        <v>46062</v>
      </c>
      <c r="Q6" s="24" t="s">
        <v>412</v>
      </c>
      <c r="R6" s="23">
        <v>46097</v>
      </c>
      <c r="S6" s="126" t="s">
        <v>960</v>
      </c>
      <c r="T6" s="15" t="s">
        <v>38</v>
      </c>
      <c r="U6" s="23">
        <v>46097</v>
      </c>
      <c r="V6" s="126" t="s">
        <v>960</v>
      </c>
      <c r="W6" s="24" t="s">
        <v>200</v>
      </c>
      <c r="X6" s="23">
        <v>46121</v>
      </c>
      <c r="Y6" s="15" t="s">
        <v>961</v>
      </c>
      <c r="Z6" s="15" t="s">
        <v>925</v>
      </c>
      <c r="AA6" s="16"/>
      <c r="AB6" s="679"/>
      <c r="AC6" s="26" t="s">
        <v>54</v>
      </c>
      <c r="AD6" s="400">
        <v>46134</v>
      </c>
      <c r="AE6" s="399" t="s">
        <v>1200</v>
      </c>
      <c r="AF6" s="396"/>
      <c r="AG6" s="395"/>
      <c r="AH6" s="395"/>
      <c r="AI6" s="396"/>
      <c r="AJ6" s="395"/>
      <c r="AK6" s="395"/>
      <c r="AL6" s="396"/>
      <c r="AM6" s="395"/>
      <c r="AN6" s="395"/>
      <c r="AO6" s="394"/>
    </row>
    <row r="7" spans="1:41" s="165" customFormat="1" ht="40.25" customHeight="1">
      <c r="B7" s="777"/>
      <c r="C7" s="960"/>
      <c r="D7" s="765"/>
      <c r="E7" s="958"/>
      <c r="F7" s="927"/>
      <c r="G7" s="930"/>
      <c r="H7" s="957"/>
      <c r="I7" s="298"/>
      <c r="J7" s="297"/>
      <c r="K7" s="309"/>
      <c r="L7" s="299" t="str">
        <f t="shared" ca="1" si="0"/>
        <v/>
      </c>
      <c r="M7" s="300" t="str">
        <f t="shared" si="1"/>
        <v/>
      </c>
      <c r="N7" s="301" t="s">
        <v>1532</v>
      </c>
      <c r="O7" s="163" t="s">
        <v>734</v>
      </c>
      <c r="P7" s="459">
        <v>46149</v>
      </c>
      <c r="Q7" s="460" t="s">
        <v>1396</v>
      </c>
      <c r="R7" s="23"/>
      <c r="S7" s="24"/>
      <c r="T7" s="15"/>
      <c r="U7" s="23"/>
      <c r="V7" s="24"/>
      <c r="W7" s="15"/>
      <c r="X7" s="23"/>
      <c r="Y7" s="15"/>
      <c r="Z7" s="15"/>
      <c r="AA7" s="16"/>
      <c r="AB7" s="680"/>
      <c r="AC7" s="16"/>
      <c r="AD7" s="396"/>
      <c r="AE7" s="395"/>
      <c r="AF7" s="396"/>
      <c r="AG7" s="395"/>
      <c r="AH7" s="395"/>
      <c r="AI7" s="396"/>
      <c r="AJ7" s="395"/>
      <c r="AK7" s="395"/>
      <c r="AL7" s="396"/>
      <c r="AM7" s="395"/>
      <c r="AN7" s="395"/>
      <c r="AO7" s="394"/>
    </row>
    <row r="8" spans="1:41" s="164" customFormat="1" ht="40.25" customHeight="1">
      <c r="B8" s="164">
        <v>67</v>
      </c>
      <c r="C8" s="960">
        <v>2</v>
      </c>
      <c r="D8" s="765">
        <v>9</v>
      </c>
      <c r="E8" s="837" t="s">
        <v>1393</v>
      </c>
      <c r="F8" s="938" t="s">
        <v>496</v>
      </c>
      <c r="G8" s="928" t="s">
        <v>1395</v>
      </c>
      <c r="H8" s="957" t="s">
        <v>1391</v>
      </c>
      <c r="I8" s="297">
        <f>IF(J8="","",J8-30)</f>
        <v>46143</v>
      </c>
      <c r="J8" s="297">
        <f>IF(K8="","",K8-30)</f>
        <v>46173</v>
      </c>
      <c r="K8" s="309">
        <v>46203</v>
      </c>
      <c r="L8" s="299" t="str">
        <f t="shared" ca="1" si="0"/>
        <v/>
      </c>
      <c r="M8" s="300">
        <f t="shared" si="1"/>
        <v>157</v>
      </c>
      <c r="N8" s="301"/>
      <c r="O8" s="163" t="s">
        <v>22</v>
      </c>
      <c r="P8" s="23">
        <v>45986</v>
      </c>
      <c r="Q8" s="24" t="s">
        <v>1390</v>
      </c>
      <c r="R8" s="23">
        <v>46007</v>
      </c>
      <c r="S8" s="24" t="s">
        <v>1389</v>
      </c>
      <c r="T8" s="15" t="s">
        <v>100</v>
      </c>
      <c r="U8" s="23"/>
      <c r="V8" s="24"/>
      <c r="W8" s="24"/>
      <c r="X8" s="23"/>
      <c r="Y8" s="15"/>
      <c r="Z8" s="15"/>
      <c r="AA8" s="16"/>
      <c r="AB8" s="678" t="s">
        <v>1388</v>
      </c>
      <c r="AC8" s="15" t="s">
        <v>50</v>
      </c>
      <c r="AD8" s="396">
        <v>46119</v>
      </c>
      <c r="AE8" s="398" t="s">
        <v>963</v>
      </c>
      <c r="AF8" s="400">
        <v>46134</v>
      </c>
      <c r="AG8" s="402" t="s">
        <v>1155</v>
      </c>
      <c r="AH8" s="399" t="s">
        <v>208</v>
      </c>
      <c r="AI8" s="400">
        <v>46134</v>
      </c>
      <c r="AJ8" s="402" t="s">
        <v>1155</v>
      </c>
      <c r="AK8" s="26" t="s">
        <v>201</v>
      </c>
      <c r="AL8" s="400">
        <v>46148</v>
      </c>
      <c r="AM8" s="402" t="s">
        <v>1394</v>
      </c>
      <c r="AN8" s="26" t="s">
        <v>196</v>
      </c>
      <c r="AO8" s="397"/>
    </row>
    <row r="9" spans="1:41" s="164" customFormat="1" ht="40.25" customHeight="1">
      <c r="B9" s="164">
        <v>113</v>
      </c>
      <c r="C9" s="960"/>
      <c r="D9" s="765"/>
      <c r="E9" s="837"/>
      <c r="F9" s="939"/>
      <c r="G9" s="929"/>
      <c r="H9" s="957"/>
      <c r="I9" s="298"/>
      <c r="J9" s="298"/>
      <c r="K9" s="298"/>
      <c r="L9" s="299" t="str">
        <f t="shared" ca="1" si="0"/>
        <v/>
      </c>
      <c r="M9" s="300" t="str">
        <f t="shared" si="1"/>
        <v/>
      </c>
      <c r="N9" s="15" t="s">
        <v>925</v>
      </c>
      <c r="O9" s="163" t="s">
        <v>27</v>
      </c>
      <c r="P9" s="23">
        <v>46066</v>
      </c>
      <c r="Q9" s="23" t="s">
        <v>436</v>
      </c>
      <c r="R9" s="23">
        <v>46105</v>
      </c>
      <c r="S9" s="24" t="s">
        <v>962</v>
      </c>
      <c r="T9" s="15" t="s">
        <v>208</v>
      </c>
      <c r="U9" s="23">
        <v>46105</v>
      </c>
      <c r="V9" s="24" t="s">
        <v>962</v>
      </c>
      <c r="W9" s="24" t="s">
        <v>200</v>
      </c>
      <c r="X9" s="23">
        <v>46133</v>
      </c>
      <c r="Y9" s="15" t="s">
        <v>1387</v>
      </c>
      <c r="Z9" s="15" t="s">
        <v>925</v>
      </c>
      <c r="AA9" s="16"/>
      <c r="AB9" s="679"/>
      <c r="AC9" s="16"/>
      <c r="AD9" s="396"/>
      <c r="AE9" s="398"/>
      <c r="AF9" s="396"/>
      <c r="AG9" s="398"/>
      <c r="AH9" s="398"/>
      <c r="AI9" s="396"/>
      <c r="AJ9" s="398"/>
      <c r="AK9" s="398"/>
      <c r="AL9" s="396"/>
      <c r="AM9" s="398"/>
      <c r="AN9" s="398"/>
      <c r="AO9" s="397"/>
    </row>
    <row r="10" spans="1:41" s="164" customFormat="1" ht="40.25" customHeight="1">
      <c r="C10" s="960"/>
      <c r="D10" s="765"/>
      <c r="E10" s="837"/>
      <c r="F10" s="940"/>
      <c r="G10" s="930"/>
      <c r="H10" s="957"/>
      <c r="I10" s="298"/>
      <c r="J10" s="298"/>
      <c r="K10" s="298"/>
      <c r="L10" s="299" t="str">
        <f t="shared" ca="1" si="0"/>
        <v/>
      </c>
      <c r="M10" s="300" t="str">
        <f t="shared" si="1"/>
        <v/>
      </c>
      <c r="N10" s="301"/>
      <c r="O10" s="163" t="s">
        <v>36</v>
      </c>
      <c r="P10" s="23"/>
      <c r="Q10" s="24"/>
      <c r="R10" s="23"/>
      <c r="S10" s="24"/>
      <c r="T10" s="15"/>
      <c r="U10" s="23"/>
      <c r="V10" s="24"/>
      <c r="W10" s="15"/>
      <c r="X10" s="23"/>
      <c r="Y10" s="15"/>
      <c r="Z10" s="15"/>
      <c r="AA10" s="16"/>
      <c r="AB10" s="680"/>
      <c r="AC10" s="16"/>
      <c r="AD10" s="396"/>
      <c r="AE10" s="398"/>
      <c r="AF10" s="396"/>
      <c r="AG10" s="398"/>
      <c r="AH10" s="398"/>
      <c r="AI10" s="396"/>
      <c r="AJ10" s="398"/>
      <c r="AK10" s="398"/>
      <c r="AL10" s="396"/>
      <c r="AM10" s="398"/>
      <c r="AN10" s="398"/>
      <c r="AO10" s="397"/>
    </row>
    <row r="11" spans="1:41" s="164" customFormat="1" ht="40.25" customHeight="1">
      <c r="B11" s="947">
        <v>115</v>
      </c>
      <c r="C11" s="960">
        <v>3</v>
      </c>
      <c r="D11" s="788">
        <v>63</v>
      </c>
      <c r="E11" s="837" t="s">
        <v>1393</v>
      </c>
      <c r="F11" s="938" t="s">
        <v>497</v>
      </c>
      <c r="G11" s="928" t="s">
        <v>1392</v>
      </c>
      <c r="H11" s="957" t="s">
        <v>1391</v>
      </c>
      <c r="I11" s="297">
        <f>IF(J11="","",J11-30)</f>
        <v>46016</v>
      </c>
      <c r="J11" s="297">
        <f>IF(K11="","",K11-30)</f>
        <v>46046</v>
      </c>
      <c r="K11" s="298">
        <v>46076</v>
      </c>
      <c r="L11" s="299" t="str">
        <f t="shared" ca="1" si="0"/>
        <v/>
      </c>
      <c r="M11" s="300">
        <f t="shared" si="1"/>
        <v>30</v>
      </c>
      <c r="N11" s="301"/>
      <c r="O11" s="163" t="s">
        <v>22</v>
      </c>
      <c r="P11" s="23">
        <v>45986</v>
      </c>
      <c r="Q11" s="24" t="s">
        <v>1390</v>
      </c>
      <c r="R11" s="23">
        <v>46007</v>
      </c>
      <c r="S11" s="24" t="s">
        <v>1389</v>
      </c>
      <c r="T11" s="15" t="s">
        <v>100</v>
      </c>
      <c r="U11" s="23"/>
      <c r="V11" s="24"/>
      <c r="W11" s="24"/>
      <c r="X11" s="23"/>
      <c r="Y11" s="15"/>
      <c r="Z11" s="15"/>
      <c r="AA11" s="16"/>
      <c r="AB11" s="678" t="s">
        <v>1388</v>
      </c>
      <c r="AC11" s="15" t="s">
        <v>50</v>
      </c>
      <c r="AD11" s="396">
        <v>46119</v>
      </c>
      <c r="AE11" s="398" t="s">
        <v>963</v>
      </c>
      <c r="AF11" s="400">
        <v>46134</v>
      </c>
      <c r="AG11" s="402" t="s">
        <v>1155</v>
      </c>
      <c r="AH11" s="399" t="s">
        <v>208</v>
      </c>
      <c r="AI11" s="400">
        <v>46134</v>
      </c>
      <c r="AJ11" s="402" t="s">
        <v>1155</v>
      </c>
      <c r="AK11" s="26" t="s">
        <v>201</v>
      </c>
      <c r="AL11" s="396"/>
      <c r="AM11" s="398"/>
      <c r="AN11" s="398"/>
      <c r="AO11" s="397"/>
    </row>
    <row r="12" spans="1:41" s="164" customFormat="1" ht="40.25" customHeight="1">
      <c r="B12" s="947"/>
      <c r="C12" s="960"/>
      <c r="D12" s="789"/>
      <c r="E12" s="837"/>
      <c r="F12" s="939"/>
      <c r="G12" s="929"/>
      <c r="H12" s="957"/>
      <c r="I12" s="298"/>
      <c r="J12" s="298"/>
      <c r="K12" s="298"/>
      <c r="L12" s="299" t="str">
        <f t="shared" ca="1" si="0"/>
        <v/>
      </c>
      <c r="M12" s="300" t="str">
        <f t="shared" si="1"/>
        <v/>
      </c>
      <c r="N12" s="15" t="s">
        <v>925</v>
      </c>
      <c r="O12" s="163" t="s">
        <v>27</v>
      </c>
      <c r="P12" s="23">
        <v>46066</v>
      </c>
      <c r="Q12" s="23" t="s">
        <v>436</v>
      </c>
      <c r="R12" s="23">
        <v>46105</v>
      </c>
      <c r="S12" s="24" t="s">
        <v>962</v>
      </c>
      <c r="T12" s="15" t="s">
        <v>208</v>
      </c>
      <c r="U12" s="23">
        <v>46105</v>
      </c>
      <c r="V12" s="24" t="s">
        <v>962</v>
      </c>
      <c r="W12" s="24" t="s">
        <v>200</v>
      </c>
      <c r="X12" s="23">
        <v>46133</v>
      </c>
      <c r="Y12" s="15" t="s">
        <v>1387</v>
      </c>
      <c r="Z12" s="15" t="s">
        <v>925</v>
      </c>
      <c r="AA12" s="16"/>
      <c r="AB12" s="679"/>
      <c r="AC12" s="16"/>
      <c r="AD12" s="396"/>
      <c r="AE12" s="398"/>
      <c r="AF12" s="396"/>
      <c r="AG12" s="398"/>
      <c r="AH12" s="398"/>
      <c r="AI12" s="396"/>
      <c r="AJ12" s="398"/>
      <c r="AK12" s="398"/>
      <c r="AL12" s="396"/>
      <c r="AM12" s="398"/>
      <c r="AN12" s="398"/>
      <c r="AO12" s="397"/>
    </row>
    <row r="13" spans="1:41" s="164" customFormat="1" ht="40.25" customHeight="1">
      <c r="B13" s="947"/>
      <c r="C13" s="960"/>
      <c r="D13" s="790"/>
      <c r="E13" s="837"/>
      <c r="F13" s="940"/>
      <c r="G13" s="930"/>
      <c r="H13" s="957"/>
      <c r="I13" s="298"/>
      <c r="J13" s="298"/>
      <c r="K13" s="298"/>
      <c r="L13" s="299" t="str">
        <f t="shared" ca="1" si="0"/>
        <v/>
      </c>
      <c r="M13" s="300" t="str">
        <f t="shared" si="1"/>
        <v/>
      </c>
      <c r="N13" s="301"/>
      <c r="O13" s="163" t="s">
        <v>36</v>
      </c>
      <c r="P13" s="23"/>
      <c r="Q13" s="24"/>
      <c r="R13" s="23"/>
      <c r="S13" s="24"/>
      <c r="T13" s="15"/>
      <c r="U13" s="23"/>
      <c r="V13" s="24"/>
      <c r="W13" s="15"/>
      <c r="X13" s="23"/>
      <c r="Y13" s="15"/>
      <c r="Z13" s="15"/>
      <c r="AA13" s="16"/>
      <c r="AB13" s="680"/>
      <c r="AC13" s="16"/>
      <c r="AD13" s="396"/>
      <c r="AE13" s="398"/>
      <c r="AF13" s="396"/>
      <c r="AG13" s="398"/>
      <c r="AH13" s="398"/>
      <c r="AI13" s="396"/>
      <c r="AJ13" s="398"/>
      <c r="AK13" s="398"/>
      <c r="AL13" s="396"/>
      <c r="AM13" s="398"/>
      <c r="AN13" s="398"/>
      <c r="AO13" s="397"/>
    </row>
    <row r="14" spans="1:41" s="164" customFormat="1" ht="40.25" customHeight="1">
      <c r="B14" s="947">
        <v>69</v>
      </c>
      <c r="C14" s="960">
        <v>4</v>
      </c>
      <c r="D14" s="765">
        <v>89</v>
      </c>
      <c r="E14" s="837"/>
      <c r="F14" s="925" t="s">
        <v>498</v>
      </c>
      <c r="G14" s="928" t="s">
        <v>101</v>
      </c>
      <c r="H14" s="804" t="s">
        <v>275</v>
      </c>
      <c r="I14" s="297">
        <f>IF(K14="","",K14-60)</f>
        <v>46173</v>
      </c>
      <c r="J14" s="297">
        <f>IF(K14="","",K14-30)</f>
        <v>46203</v>
      </c>
      <c r="K14" s="298">
        <v>46233</v>
      </c>
      <c r="L14" s="299">
        <f t="shared" ca="1" si="0"/>
        <v>4</v>
      </c>
      <c r="M14" s="300" t="str">
        <f t="shared" si="1"/>
        <v/>
      </c>
      <c r="N14" s="301"/>
      <c r="O14" s="163" t="s">
        <v>22</v>
      </c>
      <c r="P14" s="23"/>
      <c r="Q14" s="24"/>
      <c r="R14" s="23"/>
      <c r="S14" s="24"/>
      <c r="T14" s="15"/>
      <c r="U14" s="23"/>
      <c r="V14" s="24"/>
      <c r="W14" s="24"/>
      <c r="X14" s="23"/>
      <c r="Y14" s="15"/>
      <c r="Z14" s="15"/>
      <c r="AA14" s="16"/>
      <c r="AB14" s="16"/>
      <c r="AC14" s="16"/>
      <c r="AD14" s="396"/>
      <c r="AE14" s="398"/>
      <c r="AF14" s="396"/>
      <c r="AG14" s="398"/>
      <c r="AH14" s="398"/>
      <c r="AI14" s="396"/>
      <c r="AJ14" s="398"/>
      <c r="AK14" s="398"/>
      <c r="AL14" s="396"/>
      <c r="AM14" s="398"/>
      <c r="AN14" s="398"/>
      <c r="AO14" s="397"/>
    </row>
    <row r="15" spans="1:41" s="164" customFormat="1" ht="40.25" customHeight="1">
      <c r="B15" s="947"/>
      <c r="C15" s="960"/>
      <c r="D15" s="765"/>
      <c r="E15" s="837"/>
      <c r="F15" s="926"/>
      <c r="G15" s="929"/>
      <c r="H15" s="804"/>
      <c r="I15" s="298"/>
      <c r="J15" s="298"/>
      <c r="K15" s="298"/>
      <c r="L15" s="299" t="str">
        <f t="shared" ca="1" si="0"/>
        <v/>
      </c>
      <c r="M15" s="300" t="str">
        <f t="shared" si="1"/>
        <v/>
      </c>
      <c r="N15" s="301"/>
      <c r="O15" s="163" t="s">
        <v>27</v>
      </c>
      <c r="P15" s="23"/>
      <c r="Q15" s="23"/>
      <c r="R15" s="23"/>
      <c r="S15" s="24"/>
      <c r="T15" s="15"/>
      <c r="U15" s="23"/>
      <c r="V15" s="24"/>
      <c r="W15" s="15"/>
      <c r="X15" s="23"/>
      <c r="Y15" s="15"/>
      <c r="Z15" s="15"/>
      <c r="AA15" s="16"/>
      <c r="AB15" s="16"/>
      <c r="AC15" s="16"/>
      <c r="AD15" s="396"/>
      <c r="AE15" s="398"/>
      <c r="AF15" s="396"/>
      <c r="AG15" s="398"/>
      <c r="AH15" s="398"/>
      <c r="AI15" s="396"/>
      <c r="AJ15" s="398"/>
      <c r="AK15" s="398"/>
      <c r="AL15" s="396"/>
      <c r="AM15" s="398"/>
      <c r="AN15" s="398"/>
      <c r="AO15" s="397"/>
    </row>
    <row r="16" spans="1:41" s="164" customFormat="1" ht="40.25" customHeight="1">
      <c r="B16" s="947"/>
      <c r="C16" s="960"/>
      <c r="D16" s="765"/>
      <c r="E16" s="837"/>
      <c r="F16" s="927"/>
      <c r="G16" s="930"/>
      <c r="H16" s="804"/>
      <c r="I16" s="298"/>
      <c r="J16" s="298"/>
      <c r="K16" s="298"/>
      <c r="L16" s="299" t="str">
        <f t="shared" ca="1" si="0"/>
        <v/>
      </c>
      <c r="M16" s="300" t="str">
        <f t="shared" si="1"/>
        <v/>
      </c>
      <c r="N16" s="301"/>
      <c r="O16" s="163" t="s">
        <v>36</v>
      </c>
      <c r="P16" s="23"/>
      <c r="Q16" s="24"/>
      <c r="R16" s="23"/>
      <c r="S16" s="24"/>
      <c r="T16" s="15"/>
      <c r="U16" s="23"/>
      <c r="V16" s="24"/>
      <c r="W16" s="15"/>
      <c r="X16" s="23"/>
      <c r="Y16" s="15"/>
      <c r="Z16" s="15"/>
      <c r="AA16" s="16"/>
      <c r="AB16" s="16"/>
      <c r="AC16" s="16"/>
      <c r="AD16" s="396"/>
      <c r="AE16" s="398"/>
      <c r="AF16" s="396"/>
      <c r="AG16" s="398"/>
      <c r="AH16" s="398"/>
      <c r="AI16" s="396"/>
      <c r="AJ16" s="398"/>
      <c r="AK16" s="398"/>
      <c r="AL16" s="396"/>
      <c r="AM16" s="398"/>
      <c r="AN16" s="398"/>
      <c r="AO16" s="397"/>
    </row>
    <row r="17" spans="2:41" s="164" customFormat="1" ht="85" customHeight="1">
      <c r="B17" s="947">
        <v>167</v>
      </c>
      <c r="C17" s="960">
        <v>5</v>
      </c>
      <c r="D17" s="765">
        <v>88</v>
      </c>
      <c r="E17" s="837" t="s">
        <v>1383</v>
      </c>
      <c r="F17" s="925" t="s">
        <v>1386</v>
      </c>
      <c r="G17" s="928" t="s">
        <v>1385</v>
      </c>
      <c r="H17" s="804" t="s">
        <v>276</v>
      </c>
      <c r="I17" s="297">
        <f>IF(K17="","",K17-60)</f>
        <v>46125</v>
      </c>
      <c r="J17" s="297">
        <f>IF(K17="","",K17-30)</f>
        <v>46155</v>
      </c>
      <c r="K17" s="298">
        <v>46185</v>
      </c>
      <c r="L17" s="299" t="str">
        <f t="shared" ca="1" si="0"/>
        <v/>
      </c>
      <c r="M17" s="300">
        <f t="shared" si="1"/>
        <v>47</v>
      </c>
      <c r="N17" s="15" t="s">
        <v>925</v>
      </c>
      <c r="O17" s="163" t="s">
        <v>22</v>
      </c>
      <c r="P17" s="23">
        <v>46078</v>
      </c>
      <c r="Q17" s="24" t="s">
        <v>452</v>
      </c>
      <c r="R17" s="23">
        <v>46105</v>
      </c>
      <c r="S17" s="24" t="s">
        <v>975</v>
      </c>
      <c r="T17" s="15" t="s">
        <v>208</v>
      </c>
      <c r="U17" s="23">
        <v>46105</v>
      </c>
      <c r="V17" s="24" t="s">
        <v>975</v>
      </c>
      <c r="W17" s="24" t="s">
        <v>200</v>
      </c>
      <c r="X17" s="23">
        <v>46114</v>
      </c>
      <c r="Y17" s="15" t="s">
        <v>976</v>
      </c>
      <c r="Z17" s="15" t="s">
        <v>925</v>
      </c>
      <c r="AA17" s="16"/>
      <c r="AB17" s="16"/>
      <c r="AC17" s="16"/>
      <c r="AD17" s="396"/>
      <c r="AE17" s="398"/>
      <c r="AF17" s="396"/>
      <c r="AG17" s="398"/>
      <c r="AH17" s="398"/>
      <c r="AI17" s="396"/>
      <c r="AJ17" s="398"/>
      <c r="AK17" s="398"/>
      <c r="AL17" s="396"/>
      <c r="AM17" s="398"/>
      <c r="AN17" s="398"/>
      <c r="AO17" s="397"/>
    </row>
    <row r="18" spans="2:41" s="164" customFormat="1" ht="85" customHeight="1">
      <c r="B18" s="947"/>
      <c r="C18" s="960"/>
      <c r="D18" s="765"/>
      <c r="E18" s="837"/>
      <c r="F18" s="926"/>
      <c r="G18" s="929"/>
      <c r="H18" s="804"/>
      <c r="I18" s="298"/>
      <c r="J18" s="298"/>
      <c r="K18" s="298"/>
      <c r="L18" s="299" t="str">
        <f t="shared" ca="1" si="0"/>
        <v/>
      </c>
      <c r="M18" s="300" t="str">
        <f t="shared" si="1"/>
        <v/>
      </c>
      <c r="N18" s="301"/>
      <c r="O18" s="163"/>
      <c r="P18" s="23"/>
      <c r="Q18" s="23"/>
      <c r="R18" s="23"/>
      <c r="S18" s="24"/>
      <c r="T18" s="15"/>
      <c r="U18" s="23"/>
      <c r="V18" s="24"/>
      <c r="W18" s="15"/>
      <c r="X18" s="23"/>
      <c r="Y18" s="15"/>
      <c r="Z18" s="15"/>
      <c r="AA18" s="16"/>
      <c r="AB18" s="16"/>
      <c r="AC18" s="16"/>
      <c r="AD18" s="396"/>
      <c r="AE18" s="398"/>
      <c r="AF18" s="396"/>
      <c r="AG18" s="398"/>
      <c r="AH18" s="398"/>
      <c r="AI18" s="396"/>
      <c r="AJ18" s="398"/>
      <c r="AK18" s="398"/>
      <c r="AL18" s="396"/>
      <c r="AM18" s="398"/>
      <c r="AN18" s="398"/>
      <c r="AO18" s="397"/>
    </row>
    <row r="19" spans="2:41" s="164" customFormat="1" ht="85" customHeight="1">
      <c r="B19" s="947"/>
      <c r="C19" s="960"/>
      <c r="D19" s="765"/>
      <c r="E19" s="837"/>
      <c r="F19" s="927"/>
      <c r="G19" s="930"/>
      <c r="H19" s="804"/>
      <c r="I19" s="298"/>
      <c r="J19" s="298"/>
      <c r="K19" s="298"/>
      <c r="L19" s="299" t="str">
        <f t="shared" ca="1" si="0"/>
        <v/>
      </c>
      <c r="M19" s="300" t="str">
        <f t="shared" si="1"/>
        <v/>
      </c>
      <c r="N19" s="301"/>
      <c r="O19" s="163"/>
      <c r="P19" s="23"/>
      <c r="Q19" s="24"/>
      <c r="R19" s="23"/>
      <c r="S19" s="24"/>
      <c r="T19" s="15"/>
      <c r="U19" s="23"/>
      <c r="V19" s="24"/>
      <c r="W19" s="15"/>
      <c r="X19" s="23"/>
      <c r="Y19" s="15"/>
      <c r="Z19" s="15"/>
      <c r="AA19" s="16"/>
      <c r="AB19" s="16"/>
      <c r="AC19" s="16"/>
      <c r="AD19" s="396"/>
      <c r="AE19" s="398"/>
      <c r="AF19" s="396"/>
      <c r="AG19" s="398"/>
      <c r="AH19" s="398"/>
      <c r="AI19" s="396"/>
      <c r="AJ19" s="398"/>
      <c r="AK19" s="398"/>
      <c r="AL19" s="396"/>
      <c r="AM19" s="398"/>
      <c r="AN19" s="398"/>
      <c r="AO19" s="397"/>
    </row>
    <row r="20" spans="2:41" s="164" customFormat="1" ht="40.25" customHeight="1">
      <c r="B20" s="947">
        <v>164</v>
      </c>
      <c r="C20" s="960">
        <v>6</v>
      </c>
      <c r="D20" s="788">
        <v>88</v>
      </c>
      <c r="E20" s="837" t="s">
        <v>1383</v>
      </c>
      <c r="F20" s="925" t="s">
        <v>1384</v>
      </c>
      <c r="G20" s="928" t="s">
        <v>454</v>
      </c>
      <c r="H20" s="804" t="s">
        <v>276</v>
      </c>
      <c r="I20" s="297">
        <f>IF(J20="","",J20-30)</f>
        <v>46125</v>
      </c>
      <c r="J20" s="297">
        <f>IF(K20="","",K20-30)</f>
        <v>46155</v>
      </c>
      <c r="K20" s="298">
        <v>46185</v>
      </c>
      <c r="L20" s="299" t="str">
        <f t="shared" ca="1" si="0"/>
        <v/>
      </c>
      <c r="M20" s="300">
        <f t="shared" si="1"/>
        <v>47</v>
      </c>
      <c r="N20" s="15" t="s">
        <v>925</v>
      </c>
      <c r="O20" s="163" t="s">
        <v>22</v>
      </c>
      <c r="P20" s="23">
        <v>46078</v>
      </c>
      <c r="Q20" s="24" t="s">
        <v>452</v>
      </c>
      <c r="R20" s="23">
        <v>46105</v>
      </c>
      <c r="S20" s="24" t="s">
        <v>975</v>
      </c>
      <c r="T20" s="15" t="s">
        <v>208</v>
      </c>
      <c r="U20" s="23">
        <v>46105</v>
      </c>
      <c r="V20" s="24" t="s">
        <v>975</v>
      </c>
      <c r="W20" s="24" t="s">
        <v>200</v>
      </c>
      <c r="X20" s="23">
        <v>46114</v>
      </c>
      <c r="Y20" s="15" t="s">
        <v>976</v>
      </c>
      <c r="Z20" s="15" t="s">
        <v>925</v>
      </c>
      <c r="AA20" s="16"/>
      <c r="AB20" s="16"/>
      <c r="AC20" s="16"/>
      <c r="AD20" s="396"/>
      <c r="AE20" s="398"/>
      <c r="AF20" s="396"/>
      <c r="AG20" s="398"/>
      <c r="AH20" s="398"/>
      <c r="AI20" s="396"/>
      <c r="AJ20" s="398"/>
      <c r="AK20" s="398"/>
      <c r="AL20" s="396"/>
      <c r="AM20" s="398"/>
      <c r="AN20" s="398"/>
      <c r="AO20" s="397"/>
    </row>
    <row r="21" spans="2:41" s="164" customFormat="1" ht="39.65" customHeight="1">
      <c r="B21" s="947"/>
      <c r="C21" s="960"/>
      <c r="D21" s="789"/>
      <c r="E21" s="837"/>
      <c r="F21" s="926"/>
      <c r="G21" s="929"/>
      <c r="H21" s="804"/>
      <c r="I21" s="298"/>
      <c r="J21" s="298"/>
      <c r="K21" s="298"/>
      <c r="L21" s="299" t="str">
        <f t="shared" ca="1" si="0"/>
        <v/>
      </c>
      <c r="M21" s="300" t="str">
        <f t="shared" si="1"/>
        <v/>
      </c>
      <c r="N21" s="301"/>
      <c r="O21" s="163"/>
      <c r="P21" s="23"/>
      <c r="Q21" s="23"/>
      <c r="R21" s="23"/>
      <c r="S21" s="24"/>
      <c r="T21" s="15"/>
      <c r="U21" s="23"/>
      <c r="V21" s="24"/>
      <c r="W21" s="15"/>
      <c r="X21" s="23"/>
      <c r="Y21" s="15"/>
      <c r="Z21" s="15"/>
      <c r="AA21" s="16"/>
      <c r="AB21" s="16"/>
      <c r="AC21" s="16"/>
      <c r="AD21" s="396"/>
      <c r="AE21" s="398"/>
      <c r="AF21" s="396"/>
      <c r="AG21" s="398"/>
      <c r="AH21" s="398"/>
      <c r="AI21" s="396"/>
      <c r="AJ21" s="398"/>
      <c r="AK21" s="398"/>
      <c r="AL21" s="396"/>
      <c r="AM21" s="398"/>
      <c r="AN21" s="398"/>
      <c r="AO21" s="397"/>
    </row>
    <row r="22" spans="2:41" s="164" customFormat="1" ht="40.25" customHeight="1">
      <c r="B22" s="947"/>
      <c r="C22" s="960"/>
      <c r="D22" s="790"/>
      <c r="E22" s="837"/>
      <c r="F22" s="927"/>
      <c r="G22" s="930"/>
      <c r="H22" s="804"/>
      <c r="I22" s="298"/>
      <c r="J22" s="298"/>
      <c r="K22" s="298"/>
      <c r="L22" s="299" t="str">
        <f t="shared" ca="1" si="0"/>
        <v/>
      </c>
      <c r="M22" s="300" t="str">
        <f t="shared" si="1"/>
        <v/>
      </c>
      <c r="N22" s="301"/>
      <c r="O22" s="163"/>
      <c r="P22" s="23"/>
      <c r="Q22" s="24"/>
      <c r="R22" s="23"/>
      <c r="S22" s="24"/>
      <c r="T22" s="15"/>
      <c r="U22" s="23"/>
      <c r="V22" s="24"/>
      <c r="W22" s="15"/>
      <c r="X22" s="23"/>
      <c r="Y22" s="15"/>
      <c r="Z22" s="15"/>
      <c r="AA22" s="16"/>
      <c r="AB22" s="16"/>
      <c r="AC22" s="16"/>
      <c r="AD22" s="396"/>
      <c r="AE22" s="398"/>
      <c r="AF22" s="396"/>
      <c r="AG22" s="398"/>
      <c r="AH22" s="398"/>
      <c r="AI22" s="396"/>
      <c r="AJ22" s="398"/>
      <c r="AK22" s="398"/>
      <c r="AL22" s="396"/>
      <c r="AM22" s="398"/>
      <c r="AN22" s="398"/>
      <c r="AO22" s="397"/>
    </row>
    <row r="23" spans="2:41" s="164" customFormat="1" ht="40.25" customHeight="1">
      <c r="B23" s="947">
        <v>165</v>
      </c>
      <c r="C23" s="960">
        <v>7</v>
      </c>
      <c r="D23" s="788">
        <v>88</v>
      </c>
      <c r="E23" s="837" t="s">
        <v>1383</v>
      </c>
      <c r="F23" s="925" t="s">
        <v>1382</v>
      </c>
      <c r="G23" s="928" t="s">
        <v>453</v>
      </c>
      <c r="H23" s="804" t="s">
        <v>276</v>
      </c>
      <c r="I23" s="297">
        <f>IF(J23="","",J23-30)</f>
        <v>46125</v>
      </c>
      <c r="J23" s="297">
        <f>IF(K23="","",K23-30)</f>
        <v>46155</v>
      </c>
      <c r="K23" s="298">
        <v>46185</v>
      </c>
      <c r="L23" s="299" t="str">
        <f t="shared" ca="1" si="0"/>
        <v/>
      </c>
      <c r="M23" s="300">
        <f t="shared" si="1"/>
        <v>47</v>
      </c>
      <c r="N23" s="15" t="s">
        <v>925</v>
      </c>
      <c r="O23" s="163" t="s">
        <v>22</v>
      </c>
      <c r="P23" s="23">
        <v>46078</v>
      </c>
      <c r="Q23" s="24" t="s">
        <v>452</v>
      </c>
      <c r="R23" s="23">
        <v>46105</v>
      </c>
      <c r="S23" s="24" t="s">
        <v>975</v>
      </c>
      <c r="T23" s="15" t="s">
        <v>208</v>
      </c>
      <c r="U23" s="23">
        <v>46105</v>
      </c>
      <c r="V23" s="24" t="s">
        <v>975</v>
      </c>
      <c r="W23" s="24" t="s">
        <v>200</v>
      </c>
      <c r="X23" s="23">
        <v>46114</v>
      </c>
      <c r="Y23" s="15" t="s">
        <v>976</v>
      </c>
      <c r="Z23" s="15" t="s">
        <v>925</v>
      </c>
      <c r="AA23" s="16"/>
      <c r="AB23" s="16"/>
      <c r="AC23" s="16"/>
      <c r="AD23" s="396"/>
      <c r="AE23" s="398"/>
      <c r="AF23" s="396"/>
      <c r="AG23" s="398"/>
      <c r="AH23" s="398"/>
      <c r="AI23" s="396"/>
      <c r="AJ23" s="398"/>
      <c r="AK23" s="398"/>
      <c r="AL23" s="396"/>
      <c r="AM23" s="398"/>
      <c r="AN23" s="398"/>
      <c r="AO23" s="397"/>
    </row>
    <row r="24" spans="2:41" s="164" customFormat="1" ht="39.65" customHeight="1">
      <c r="B24" s="947"/>
      <c r="C24" s="960"/>
      <c r="D24" s="789"/>
      <c r="E24" s="837"/>
      <c r="F24" s="926"/>
      <c r="G24" s="929"/>
      <c r="H24" s="804"/>
      <c r="I24" s="298"/>
      <c r="J24" s="298"/>
      <c r="K24" s="298"/>
      <c r="L24" s="299" t="str">
        <f t="shared" ca="1" si="0"/>
        <v/>
      </c>
      <c r="M24" s="300" t="str">
        <f t="shared" si="1"/>
        <v/>
      </c>
      <c r="N24" s="301"/>
      <c r="O24" s="163"/>
      <c r="P24" s="23"/>
      <c r="Q24" s="23"/>
      <c r="R24" s="23"/>
      <c r="S24" s="24"/>
      <c r="T24" s="15"/>
      <c r="U24" s="23"/>
      <c r="V24" s="24"/>
      <c r="W24" s="15"/>
      <c r="X24" s="23"/>
      <c r="Y24" s="15"/>
      <c r="Z24" s="15"/>
      <c r="AA24" s="16"/>
      <c r="AB24" s="16"/>
      <c r="AC24" s="16"/>
      <c r="AD24" s="396"/>
      <c r="AE24" s="398"/>
      <c r="AF24" s="396"/>
      <c r="AG24" s="398"/>
      <c r="AH24" s="398"/>
      <c r="AI24" s="396"/>
      <c r="AJ24" s="398"/>
      <c r="AK24" s="398"/>
      <c r="AL24" s="396"/>
      <c r="AM24" s="398"/>
      <c r="AN24" s="398"/>
      <c r="AO24" s="397"/>
    </row>
    <row r="25" spans="2:41" s="164" customFormat="1" ht="40.25" customHeight="1">
      <c r="B25" s="947"/>
      <c r="C25" s="960"/>
      <c r="D25" s="790"/>
      <c r="E25" s="837"/>
      <c r="F25" s="927"/>
      <c r="G25" s="930"/>
      <c r="H25" s="804"/>
      <c r="I25" s="298"/>
      <c r="J25" s="298"/>
      <c r="K25" s="298"/>
      <c r="L25" s="299" t="str">
        <f t="shared" ca="1" si="0"/>
        <v/>
      </c>
      <c r="M25" s="300" t="str">
        <f t="shared" si="1"/>
        <v/>
      </c>
      <c r="N25" s="301"/>
      <c r="O25" s="163"/>
      <c r="P25" s="23"/>
      <c r="Q25" s="24"/>
      <c r="R25" s="23"/>
      <c r="S25" s="24"/>
      <c r="T25" s="15"/>
      <c r="U25" s="23"/>
      <c r="V25" s="24"/>
      <c r="W25" s="15"/>
      <c r="X25" s="23"/>
      <c r="Y25" s="15"/>
      <c r="Z25" s="15"/>
      <c r="AA25" s="16"/>
      <c r="AB25" s="16"/>
      <c r="AC25" s="16"/>
      <c r="AD25" s="396"/>
      <c r="AE25" s="398"/>
      <c r="AF25" s="396"/>
      <c r="AG25" s="398"/>
      <c r="AH25" s="398"/>
      <c r="AI25" s="396"/>
      <c r="AJ25" s="398"/>
      <c r="AK25" s="398"/>
      <c r="AL25" s="396"/>
      <c r="AM25" s="398"/>
      <c r="AN25" s="398"/>
      <c r="AO25" s="397"/>
    </row>
    <row r="26" spans="2:41" s="164" customFormat="1" ht="72" customHeight="1">
      <c r="B26" s="947" t="s">
        <v>461</v>
      </c>
      <c r="C26" s="960">
        <v>8</v>
      </c>
      <c r="D26" s="765">
        <v>77</v>
      </c>
      <c r="E26" s="837" t="s">
        <v>1381</v>
      </c>
      <c r="F26" s="925" t="s">
        <v>499</v>
      </c>
      <c r="G26" s="928" t="s">
        <v>1380</v>
      </c>
      <c r="H26" s="804" t="s">
        <v>277</v>
      </c>
      <c r="I26" s="297">
        <f>IF(K26="","",K26-60)</f>
        <v>46055</v>
      </c>
      <c r="J26" s="297">
        <f>IF(K26="","",K26-30)</f>
        <v>46085</v>
      </c>
      <c r="K26" s="298">
        <v>46115</v>
      </c>
      <c r="L26" s="299" t="str">
        <f t="shared" ca="1" si="0"/>
        <v/>
      </c>
      <c r="M26" s="300">
        <f t="shared" si="1"/>
        <v>-9</v>
      </c>
      <c r="N26" s="15" t="s">
        <v>925</v>
      </c>
      <c r="O26" s="163" t="s">
        <v>22</v>
      </c>
      <c r="P26" s="23">
        <v>46064</v>
      </c>
      <c r="Q26" s="24" t="s">
        <v>431</v>
      </c>
      <c r="R26" s="23">
        <v>46111</v>
      </c>
      <c r="S26" s="24" t="s">
        <v>977</v>
      </c>
      <c r="T26" s="15" t="s">
        <v>208</v>
      </c>
      <c r="U26" s="23">
        <v>46111</v>
      </c>
      <c r="V26" s="24" t="s">
        <v>977</v>
      </c>
      <c r="W26" s="24" t="s">
        <v>200</v>
      </c>
      <c r="X26" s="23">
        <v>46125</v>
      </c>
      <c r="Y26" s="15" t="s">
        <v>978</v>
      </c>
      <c r="Z26" s="15" t="s">
        <v>925</v>
      </c>
      <c r="AA26" s="16"/>
      <c r="AB26" s="16"/>
      <c r="AC26" s="16"/>
      <c r="AD26" s="396"/>
      <c r="AE26" s="398"/>
      <c r="AF26" s="396"/>
      <c r="AG26" s="398"/>
      <c r="AH26" s="398"/>
      <c r="AI26" s="396"/>
      <c r="AJ26" s="398"/>
      <c r="AK26" s="398"/>
      <c r="AL26" s="396"/>
      <c r="AM26" s="398"/>
      <c r="AN26" s="398"/>
      <c r="AO26" s="397"/>
    </row>
    <row r="27" spans="2:41" s="164" customFormat="1" ht="72" customHeight="1">
      <c r="B27" s="947"/>
      <c r="C27" s="960"/>
      <c r="D27" s="765"/>
      <c r="E27" s="837"/>
      <c r="F27" s="926"/>
      <c r="G27" s="929"/>
      <c r="H27" s="804"/>
      <c r="I27" s="298"/>
      <c r="J27" s="298"/>
      <c r="K27" s="298"/>
      <c r="L27" s="299" t="str">
        <f t="shared" ca="1" si="0"/>
        <v/>
      </c>
      <c r="M27" s="300" t="str">
        <f t="shared" si="1"/>
        <v/>
      </c>
      <c r="N27" s="301"/>
      <c r="O27" s="163"/>
      <c r="P27" s="23"/>
      <c r="Q27" s="23"/>
      <c r="R27" s="23"/>
      <c r="S27" s="24"/>
      <c r="T27" s="15"/>
      <c r="U27" s="23"/>
      <c r="V27" s="24"/>
      <c r="W27" s="15"/>
      <c r="X27" s="23"/>
      <c r="Y27" s="15"/>
      <c r="Z27" s="15"/>
      <c r="AA27" s="16"/>
      <c r="AB27" s="16"/>
      <c r="AC27" s="16"/>
      <c r="AD27" s="396"/>
      <c r="AE27" s="398"/>
      <c r="AF27" s="396"/>
      <c r="AG27" s="398"/>
      <c r="AH27" s="398"/>
      <c r="AI27" s="396"/>
      <c r="AJ27" s="398"/>
      <c r="AK27" s="398"/>
      <c r="AL27" s="396"/>
      <c r="AM27" s="398"/>
      <c r="AN27" s="398"/>
      <c r="AO27" s="397"/>
    </row>
    <row r="28" spans="2:41" s="164" customFormat="1" ht="72" customHeight="1">
      <c r="B28" s="947"/>
      <c r="C28" s="960"/>
      <c r="D28" s="765"/>
      <c r="E28" s="837"/>
      <c r="F28" s="927"/>
      <c r="G28" s="930"/>
      <c r="H28" s="804"/>
      <c r="I28" s="298"/>
      <c r="J28" s="298"/>
      <c r="K28" s="298"/>
      <c r="L28" s="299" t="str">
        <f t="shared" ca="1" si="0"/>
        <v/>
      </c>
      <c r="M28" s="300" t="str">
        <f t="shared" si="1"/>
        <v/>
      </c>
      <c r="N28" s="301"/>
      <c r="O28" s="163"/>
      <c r="P28" s="23"/>
      <c r="Q28" s="24"/>
      <c r="R28" s="23"/>
      <c r="S28" s="24"/>
      <c r="T28" s="15"/>
      <c r="U28" s="23"/>
      <c r="V28" s="24"/>
      <c r="W28" s="15"/>
      <c r="X28" s="23"/>
      <c r="Y28" s="15"/>
      <c r="Z28" s="15"/>
      <c r="AA28" s="16"/>
      <c r="AB28" s="16"/>
      <c r="AC28" s="16"/>
      <c r="AD28" s="396"/>
      <c r="AE28" s="398"/>
      <c r="AF28" s="396"/>
      <c r="AG28" s="398"/>
      <c r="AH28" s="398"/>
      <c r="AI28" s="396"/>
      <c r="AJ28" s="398"/>
      <c r="AK28" s="398"/>
      <c r="AL28" s="396"/>
      <c r="AM28" s="398"/>
      <c r="AN28" s="398"/>
      <c r="AO28" s="397"/>
    </row>
    <row r="29" spans="2:41" s="164" customFormat="1" ht="40.25" customHeight="1">
      <c r="B29" s="947">
        <v>173</v>
      </c>
      <c r="C29" s="960">
        <v>9</v>
      </c>
      <c r="D29" s="765">
        <v>78</v>
      </c>
      <c r="E29" s="837"/>
      <c r="F29" s="925" t="s">
        <v>1379</v>
      </c>
      <c r="G29" s="928" t="s">
        <v>163</v>
      </c>
      <c r="H29" s="804" t="s">
        <v>277</v>
      </c>
      <c r="I29" s="297">
        <f>IF(K29="","",K29-60)</f>
        <v>46204</v>
      </c>
      <c r="J29" s="297">
        <f>IF(K29="","",K29-30)</f>
        <v>46234</v>
      </c>
      <c r="K29" s="298">
        <v>46264</v>
      </c>
      <c r="L29" s="299">
        <f t="shared" ca="1" si="0"/>
        <v>35</v>
      </c>
      <c r="M29" s="300" t="str">
        <f t="shared" si="1"/>
        <v/>
      </c>
      <c r="N29" s="301"/>
      <c r="O29" s="163" t="s">
        <v>22</v>
      </c>
      <c r="P29" s="23"/>
      <c r="Q29" s="24"/>
      <c r="R29" s="23"/>
      <c r="S29" s="24"/>
      <c r="T29" s="15"/>
      <c r="U29" s="23"/>
      <c r="V29" s="24"/>
      <c r="W29" s="24"/>
      <c r="X29" s="23"/>
      <c r="Y29" s="15"/>
      <c r="Z29" s="15"/>
      <c r="AA29" s="16"/>
      <c r="AB29" s="16"/>
      <c r="AC29" s="16"/>
      <c r="AD29" s="396"/>
      <c r="AE29" s="398"/>
      <c r="AF29" s="396"/>
      <c r="AG29" s="398"/>
      <c r="AH29" s="398"/>
      <c r="AI29" s="396"/>
      <c r="AJ29" s="398"/>
      <c r="AK29" s="398"/>
      <c r="AL29" s="396"/>
      <c r="AM29" s="398"/>
      <c r="AN29" s="398"/>
      <c r="AO29" s="397"/>
    </row>
    <row r="30" spans="2:41" s="164" customFormat="1" ht="39.65" customHeight="1">
      <c r="B30" s="947"/>
      <c r="C30" s="960"/>
      <c r="D30" s="765"/>
      <c r="E30" s="837"/>
      <c r="F30" s="926"/>
      <c r="G30" s="929"/>
      <c r="H30" s="804"/>
      <c r="I30" s="298"/>
      <c r="J30" s="298"/>
      <c r="K30" s="298"/>
      <c r="L30" s="299" t="str">
        <f t="shared" ca="1" si="0"/>
        <v/>
      </c>
      <c r="M30" s="300" t="str">
        <f t="shared" si="1"/>
        <v/>
      </c>
      <c r="N30" s="301"/>
      <c r="O30" s="163"/>
      <c r="P30" s="23"/>
      <c r="Q30" s="23"/>
      <c r="R30" s="23"/>
      <c r="S30" s="24"/>
      <c r="T30" s="15"/>
      <c r="U30" s="23"/>
      <c r="V30" s="24"/>
      <c r="W30" s="15"/>
      <c r="X30" s="23"/>
      <c r="Y30" s="15"/>
      <c r="Z30" s="15"/>
      <c r="AA30" s="16"/>
      <c r="AB30" s="16"/>
      <c r="AC30" s="16"/>
      <c r="AD30" s="396"/>
      <c r="AE30" s="398"/>
      <c r="AF30" s="396"/>
      <c r="AG30" s="398"/>
      <c r="AH30" s="398"/>
      <c r="AI30" s="396"/>
      <c r="AJ30" s="398"/>
      <c r="AK30" s="398"/>
      <c r="AL30" s="396"/>
      <c r="AM30" s="398"/>
      <c r="AN30" s="398"/>
      <c r="AO30" s="397"/>
    </row>
    <row r="31" spans="2:41" s="164" customFormat="1" ht="40.25" customHeight="1">
      <c r="B31" s="947"/>
      <c r="C31" s="960"/>
      <c r="D31" s="765"/>
      <c r="E31" s="837"/>
      <c r="F31" s="927"/>
      <c r="G31" s="930"/>
      <c r="H31" s="804"/>
      <c r="I31" s="298"/>
      <c r="J31" s="298"/>
      <c r="K31" s="298"/>
      <c r="L31" s="299" t="str">
        <f t="shared" ref="L31:L47" ca="1" si="2">IF(I31="","",IF(P31&lt;&gt;"","",IF(AND(P31="",I31-TODAY()&lt;=60),I31-TODAY(),"")))</f>
        <v/>
      </c>
      <c r="M31" s="300" t="str">
        <f t="shared" ref="M31:M47" si="3">IF(COUNT(I31, P31)=2, I31-P31, "")</f>
        <v/>
      </c>
      <c r="N31" s="301"/>
      <c r="O31" s="163"/>
      <c r="P31" s="23"/>
      <c r="Q31" s="24"/>
      <c r="R31" s="23"/>
      <c r="S31" s="24"/>
      <c r="T31" s="15"/>
      <c r="U31" s="23"/>
      <c r="V31" s="24"/>
      <c r="W31" s="15"/>
      <c r="X31" s="23"/>
      <c r="Y31" s="15"/>
      <c r="Z31" s="15"/>
      <c r="AA31" s="16"/>
      <c r="AB31" s="16"/>
      <c r="AC31" s="16"/>
      <c r="AD31" s="396"/>
      <c r="AE31" s="398"/>
      <c r="AF31" s="396"/>
      <c r="AG31" s="398"/>
      <c r="AH31" s="398"/>
      <c r="AI31" s="396"/>
      <c r="AJ31" s="398"/>
      <c r="AK31" s="398"/>
      <c r="AL31" s="396"/>
      <c r="AM31" s="398"/>
      <c r="AN31" s="398"/>
      <c r="AO31" s="397"/>
    </row>
    <row r="32" spans="2:41" s="164" customFormat="1" ht="40.25" customHeight="1">
      <c r="B32" s="947"/>
      <c r="C32" s="960">
        <v>10</v>
      </c>
      <c r="D32" s="765">
        <v>14</v>
      </c>
      <c r="E32" s="949" t="s">
        <v>1378</v>
      </c>
      <c r="F32" s="925" t="s">
        <v>964</v>
      </c>
      <c r="G32" s="928" t="s">
        <v>965</v>
      </c>
      <c r="H32" s="804" t="s">
        <v>278</v>
      </c>
      <c r="I32" s="297">
        <f>IF(K32="","",K32-60)</f>
        <v>46073</v>
      </c>
      <c r="J32" s="297">
        <f>IF(K32="","",K32-30)</f>
        <v>46103</v>
      </c>
      <c r="K32" s="298">
        <v>46133</v>
      </c>
      <c r="L32" s="299" t="str">
        <f t="shared" ca="1" si="2"/>
        <v/>
      </c>
      <c r="M32" s="300">
        <f t="shared" si="3"/>
        <v>11</v>
      </c>
      <c r="N32" s="15" t="s">
        <v>925</v>
      </c>
      <c r="O32" s="163" t="s">
        <v>22</v>
      </c>
      <c r="P32" s="23">
        <v>46062</v>
      </c>
      <c r="Q32" s="24" t="s">
        <v>413</v>
      </c>
      <c r="R32" s="23">
        <v>46097</v>
      </c>
      <c r="S32" s="15" t="s">
        <v>980</v>
      </c>
      <c r="T32" s="15" t="s">
        <v>38</v>
      </c>
      <c r="U32" s="23">
        <v>46097</v>
      </c>
      <c r="V32" s="15" t="s">
        <v>980</v>
      </c>
      <c r="W32" s="15" t="s">
        <v>44</v>
      </c>
      <c r="X32" s="23">
        <v>46106</v>
      </c>
      <c r="Y32" s="15" t="s">
        <v>981</v>
      </c>
      <c r="Z32" s="15" t="s">
        <v>196</v>
      </c>
      <c r="AA32" s="16"/>
      <c r="AB32" s="678" t="s">
        <v>1078</v>
      </c>
      <c r="AC32" s="15" t="s">
        <v>22</v>
      </c>
      <c r="AD32" s="396">
        <v>46119</v>
      </c>
      <c r="AE32" s="398" t="s">
        <v>1079</v>
      </c>
      <c r="AF32" s="400">
        <v>46134</v>
      </c>
      <c r="AG32" s="402" t="s">
        <v>1156</v>
      </c>
      <c r="AH32" s="399" t="s">
        <v>208</v>
      </c>
      <c r="AI32" s="400">
        <v>46134</v>
      </c>
      <c r="AJ32" s="402" t="s">
        <v>1156</v>
      </c>
      <c r="AK32" s="26" t="s">
        <v>201</v>
      </c>
      <c r="AL32" s="400">
        <v>46147</v>
      </c>
      <c r="AM32" s="402" t="s">
        <v>1377</v>
      </c>
      <c r="AN32" s="26" t="s">
        <v>196</v>
      </c>
      <c r="AO32" s="397"/>
    </row>
    <row r="33" spans="2:41" s="164" customFormat="1" ht="40.25" customHeight="1">
      <c r="B33" s="947"/>
      <c r="C33" s="960"/>
      <c r="D33" s="765"/>
      <c r="E33" s="949"/>
      <c r="F33" s="926"/>
      <c r="G33" s="929"/>
      <c r="H33" s="804"/>
      <c r="I33" s="298"/>
      <c r="J33" s="298"/>
      <c r="K33" s="298"/>
      <c r="L33" s="299" t="str">
        <f t="shared" ca="1" si="2"/>
        <v/>
      </c>
      <c r="M33" s="300" t="str">
        <f t="shared" si="3"/>
        <v/>
      </c>
      <c r="N33" s="301"/>
      <c r="O33" s="163" t="s">
        <v>27</v>
      </c>
      <c r="P33" s="23"/>
      <c r="Q33" s="23"/>
      <c r="R33" s="23"/>
      <c r="S33" s="24"/>
      <c r="T33" s="15"/>
      <c r="U33" s="23"/>
      <c r="V33" s="24"/>
      <c r="W33" s="15"/>
      <c r="X33" s="23"/>
      <c r="Y33" s="15"/>
      <c r="Z33" s="15"/>
      <c r="AA33" s="16"/>
      <c r="AB33" s="679"/>
      <c r="AC33" s="16"/>
      <c r="AD33" s="396"/>
      <c r="AE33" s="398"/>
      <c r="AF33" s="396"/>
      <c r="AG33" s="398"/>
      <c r="AH33" s="398"/>
      <c r="AI33" s="396"/>
      <c r="AJ33" s="398"/>
      <c r="AK33" s="398"/>
      <c r="AL33" s="396"/>
      <c r="AM33" s="398"/>
      <c r="AN33" s="398"/>
      <c r="AO33" s="397"/>
    </row>
    <row r="34" spans="2:41" s="164" customFormat="1" ht="40.25" customHeight="1">
      <c r="B34" s="947"/>
      <c r="C34" s="960"/>
      <c r="D34" s="765"/>
      <c r="E34" s="949"/>
      <c r="F34" s="927"/>
      <c r="G34" s="930"/>
      <c r="H34" s="804"/>
      <c r="I34" s="298"/>
      <c r="J34" s="298"/>
      <c r="K34" s="298"/>
      <c r="L34" s="299" t="str">
        <f t="shared" ca="1" si="2"/>
        <v/>
      </c>
      <c r="M34" s="300" t="str">
        <f t="shared" si="3"/>
        <v/>
      </c>
      <c r="N34" s="301"/>
      <c r="O34" s="163" t="s">
        <v>36</v>
      </c>
      <c r="P34" s="23"/>
      <c r="Q34" s="24"/>
      <c r="R34" s="23"/>
      <c r="S34" s="24"/>
      <c r="T34" s="15"/>
      <c r="U34" s="23"/>
      <c r="V34" s="24"/>
      <c r="W34" s="15"/>
      <c r="X34" s="23"/>
      <c r="Y34" s="15"/>
      <c r="Z34" s="15"/>
      <c r="AA34" s="16"/>
      <c r="AB34" s="680"/>
      <c r="AC34" s="16"/>
      <c r="AD34" s="396"/>
      <c r="AE34" s="398"/>
      <c r="AF34" s="396"/>
      <c r="AG34" s="398"/>
      <c r="AH34" s="398"/>
      <c r="AI34" s="396"/>
      <c r="AJ34" s="398"/>
      <c r="AK34" s="398"/>
      <c r="AL34" s="396"/>
      <c r="AM34" s="398"/>
      <c r="AN34" s="398"/>
      <c r="AO34" s="397"/>
    </row>
    <row r="35" spans="2:41" s="164" customFormat="1" ht="40.25" customHeight="1">
      <c r="B35" s="947">
        <v>175</v>
      </c>
      <c r="C35" s="960">
        <v>11</v>
      </c>
      <c r="D35" s="765">
        <v>15</v>
      </c>
      <c r="E35" s="626" t="s">
        <v>1329</v>
      </c>
      <c r="F35" s="925" t="s">
        <v>1376</v>
      </c>
      <c r="G35" s="928" t="s">
        <v>1072</v>
      </c>
      <c r="H35" s="792" t="s">
        <v>1201</v>
      </c>
      <c r="I35" s="297">
        <f>IF(K35="","",K35-60)</f>
        <v>46051</v>
      </c>
      <c r="J35" s="297">
        <f>IF(K35="","",K35-30)</f>
        <v>46081</v>
      </c>
      <c r="K35" s="298">
        <v>46111</v>
      </c>
      <c r="L35" s="299" t="str">
        <f t="shared" ca="1" si="2"/>
        <v/>
      </c>
      <c r="M35" s="300">
        <f t="shared" si="3"/>
        <v>157</v>
      </c>
      <c r="N35" s="301"/>
      <c r="O35" s="163" t="s">
        <v>22</v>
      </c>
      <c r="P35" s="23">
        <v>45894</v>
      </c>
      <c r="Q35" s="24" t="s">
        <v>167</v>
      </c>
      <c r="R35" s="23">
        <v>45898</v>
      </c>
      <c r="S35" s="24" t="s">
        <v>168</v>
      </c>
      <c r="T35" s="15" t="s">
        <v>25</v>
      </c>
      <c r="U35" s="23"/>
      <c r="V35" s="24"/>
      <c r="W35" s="15"/>
      <c r="X35" s="23"/>
      <c r="Y35" s="15"/>
      <c r="Z35" s="15"/>
      <c r="AA35" s="16"/>
      <c r="AB35" s="678" t="s">
        <v>842</v>
      </c>
      <c r="AC35" s="15" t="s">
        <v>22</v>
      </c>
      <c r="AD35" s="396">
        <v>46051</v>
      </c>
      <c r="AE35" s="395" t="s">
        <v>843</v>
      </c>
      <c r="AF35" s="396">
        <v>46085</v>
      </c>
      <c r="AG35" s="398" t="s">
        <v>844</v>
      </c>
      <c r="AH35" s="395" t="s">
        <v>208</v>
      </c>
      <c r="AI35" s="396">
        <v>46085</v>
      </c>
      <c r="AJ35" s="398" t="s">
        <v>844</v>
      </c>
      <c r="AK35" s="15" t="s">
        <v>201</v>
      </c>
      <c r="AL35" s="396"/>
      <c r="AM35" s="398"/>
      <c r="AN35" s="398"/>
      <c r="AO35" s="397"/>
    </row>
    <row r="36" spans="2:41" s="164" customFormat="1" ht="40.25" customHeight="1">
      <c r="B36" s="947"/>
      <c r="C36" s="960"/>
      <c r="D36" s="765"/>
      <c r="E36" s="627"/>
      <c r="F36" s="926"/>
      <c r="G36" s="929"/>
      <c r="H36" s="793"/>
      <c r="I36" s="298"/>
      <c r="J36" s="298"/>
      <c r="K36" s="298"/>
      <c r="L36" s="299" t="str">
        <f t="shared" ca="1" si="2"/>
        <v/>
      </c>
      <c r="M36" s="300" t="str">
        <f t="shared" si="3"/>
        <v/>
      </c>
      <c r="N36" s="301"/>
      <c r="O36" s="163" t="s">
        <v>27</v>
      </c>
      <c r="P36" s="23">
        <v>45972</v>
      </c>
      <c r="Q36" s="24" t="s">
        <v>169</v>
      </c>
      <c r="R36" s="23">
        <v>46001</v>
      </c>
      <c r="S36" s="24" t="s">
        <v>170</v>
      </c>
      <c r="T36" s="15" t="s">
        <v>171</v>
      </c>
      <c r="U36" s="23">
        <v>46003</v>
      </c>
      <c r="V36" s="24" t="s">
        <v>172</v>
      </c>
      <c r="W36" s="15" t="s">
        <v>44</v>
      </c>
      <c r="X36" s="23"/>
      <c r="Y36" s="15"/>
      <c r="Z36" s="15"/>
      <c r="AA36" s="16"/>
      <c r="AB36" s="679"/>
      <c r="AC36" s="26" t="s">
        <v>54</v>
      </c>
      <c r="AD36" s="400">
        <v>46134</v>
      </c>
      <c r="AE36" s="399" t="s">
        <v>1200</v>
      </c>
      <c r="AF36" s="396"/>
      <c r="AG36" s="398"/>
      <c r="AH36" s="398"/>
      <c r="AI36" s="396"/>
      <c r="AJ36" s="398"/>
      <c r="AK36" s="398"/>
      <c r="AL36" s="396"/>
      <c r="AM36" s="398"/>
      <c r="AN36" s="398"/>
      <c r="AO36" s="397"/>
    </row>
    <row r="37" spans="2:41" s="164" customFormat="1" ht="40.25" customHeight="1">
      <c r="B37" s="947"/>
      <c r="C37" s="960"/>
      <c r="D37" s="765"/>
      <c r="E37" s="628"/>
      <c r="F37" s="927"/>
      <c r="G37" s="930"/>
      <c r="H37" s="794"/>
      <c r="I37" s="298"/>
      <c r="J37" s="298"/>
      <c r="K37" s="298"/>
      <c r="L37" s="299" t="str">
        <f t="shared" ca="1" si="2"/>
        <v/>
      </c>
      <c r="M37" s="300" t="str">
        <f t="shared" si="3"/>
        <v/>
      </c>
      <c r="N37" s="15" t="s">
        <v>925</v>
      </c>
      <c r="O37" s="163" t="s">
        <v>36</v>
      </c>
      <c r="P37" s="23">
        <v>46049</v>
      </c>
      <c r="Q37" s="24" t="s">
        <v>261</v>
      </c>
      <c r="R37" s="23">
        <v>46084</v>
      </c>
      <c r="S37" s="24" t="s">
        <v>1067</v>
      </c>
      <c r="T37" s="15" t="s">
        <v>38</v>
      </c>
      <c r="U37" s="23">
        <v>46084</v>
      </c>
      <c r="V37" s="24" t="s">
        <v>1067</v>
      </c>
      <c r="W37" s="15" t="s">
        <v>44</v>
      </c>
      <c r="X37" s="23">
        <v>46100</v>
      </c>
      <c r="Y37" s="15" t="s">
        <v>979</v>
      </c>
      <c r="Z37" s="15" t="s">
        <v>196</v>
      </c>
      <c r="AA37" s="16"/>
      <c r="AB37" s="680"/>
      <c r="AC37" s="16"/>
      <c r="AD37" s="396"/>
      <c r="AE37" s="395"/>
      <c r="AF37" s="396"/>
      <c r="AG37" s="398"/>
      <c r="AH37" s="398"/>
      <c r="AI37" s="396"/>
      <c r="AJ37" s="398"/>
      <c r="AK37" s="398"/>
      <c r="AL37" s="396"/>
      <c r="AM37" s="398"/>
      <c r="AN37" s="398"/>
      <c r="AO37" s="397"/>
    </row>
    <row r="38" spans="2:41" s="164" customFormat="1" ht="40.25" customHeight="1">
      <c r="B38" s="947">
        <v>188</v>
      </c>
      <c r="C38" s="960">
        <v>12</v>
      </c>
      <c r="D38" s="788">
        <v>19</v>
      </c>
      <c r="E38" s="626" t="s">
        <v>1329</v>
      </c>
      <c r="F38" s="925" t="s">
        <v>1375</v>
      </c>
      <c r="G38" s="928" t="s">
        <v>1072</v>
      </c>
      <c r="H38" s="792" t="s">
        <v>1201</v>
      </c>
      <c r="I38" s="297">
        <f>IF(K38="","",K38-60)</f>
        <v>46051</v>
      </c>
      <c r="J38" s="297">
        <f>IF(K38="","",K38-30)</f>
        <v>46081</v>
      </c>
      <c r="K38" s="298">
        <v>46111</v>
      </c>
      <c r="L38" s="299" t="str">
        <f t="shared" ca="1" si="2"/>
        <v/>
      </c>
      <c r="M38" s="300">
        <f t="shared" si="3"/>
        <v>157</v>
      </c>
      <c r="N38" s="301"/>
      <c r="O38" s="163" t="s">
        <v>22</v>
      </c>
      <c r="P38" s="23">
        <v>45894</v>
      </c>
      <c r="Q38" s="24" t="s">
        <v>167</v>
      </c>
      <c r="R38" s="23">
        <v>45898</v>
      </c>
      <c r="S38" s="24" t="s">
        <v>168</v>
      </c>
      <c r="T38" s="15" t="s">
        <v>25</v>
      </c>
      <c r="U38" s="23"/>
      <c r="V38" s="24"/>
      <c r="W38" s="15"/>
      <c r="X38" s="23"/>
      <c r="Y38" s="15"/>
      <c r="Z38" s="15"/>
      <c r="AA38" s="16"/>
      <c r="AB38" s="678" t="s">
        <v>842</v>
      </c>
      <c r="AC38" s="15" t="s">
        <v>22</v>
      </c>
      <c r="AD38" s="396">
        <v>46051</v>
      </c>
      <c r="AE38" s="395" t="s">
        <v>843</v>
      </c>
      <c r="AF38" s="396">
        <v>46085</v>
      </c>
      <c r="AG38" s="398" t="s">
        <v>844</v>
      </c>
      <c r="AH38" s="395" t="s">
        <v>208</v>
      </c>
      <c r="AI38" s="396">
        <v>46085</v>
      </c>
      <c r="AJ38" s="398" t="s">
        <v>844</v>
      </c>
      <c r="AK38" s="15" t="s">
        <v>201</v>
      </c>
      <c r="AL38" s="396"/>
      <c r="AM38" s="398"/>
      <c r="AN38" s="398"/>
      <c r="AO38" s="397"/>
    </row>
    <row r="39" spans="2:41" s="164" customFormat="1" ht="40.25" customHeight="1">
      <c r="B39" s="947"/>
      <c r="C39" s="960"/>
      <c r="D39" s="789"/>
      <c r="E39" s="627"/>
      <c r="F39" s="926"/>
      <c r="G39" s="929"/>
      <c r="H39" s="793"/>
      <c r="I39" s="298"/>
      <c r="J39" s="298"/>
      <c r="K39" s="298"/>
      <c r="L39" s="299" t="str">
        <f t="shared" ca="1" si="2"/>
        <v/>
      </c>
      <c r="M39" s="300" t="str">
        <f t="shared" si="3"/>
        <v/>
      </c>
      <c r="N39" s="301"/>
      <c r="O39" s="163" t="s">
        <v>27</v>
      </c>
      <c r="P39" s="23">
        <v>45972</v>
      </c>
      <c r="Q39" s="24" t="s">
        <v>169</v>
      </c>
      <c r="R39" s="23">
        <v>46001</v>
      </c>
      <c r="S39" s="24" t="s">
        <v>170</v>
      </c>
      <c r="T39" s="15" t="s">
        <v>171</v>
      </c>
      <c r="U39" s="23">
        <v>46003</v>
      </c>
      <c r="V39" s="24" t="s">
        <v>172</v>
      </c>
      <c r="W39" s="15" t="s">
        <v>44</v>
      </c>
      <c r="X39" s="23"/>
      <c r="Y39" s="15"/>
      <c r="Z39" s="15"/>
      <c r="AA39" s="16"/>
      <c r="AB39" s="679"/>
      <c r="AC39" s="26" t="s">
        <v>54</v>
      </c>
      <c r="AD39" s="400">
        <v>46134</v>
      </c>
      <c r="AE39" s="399" t="s">
        <v>1200</v>
      </c>
      <c r="AF39" s="396"/>
      <c r="AG39" s="398"/>
      <c r="AH39" s="398"/>
      <c r="AI39" s="396"/>
      <c r="AJ39" s="398"/>
      <c r="AK39" s="398"/>
      <c r="AL39" s="396"/>
      <c r="AM39" s="398"/>
      <c r="AN39" s="398"/>
      <c r="AO39" s="397"/>
    </row>
    <row r="40" spans="2:41" s="164" customFormat="1" ht="40.25" customHeight="1">
      <c r="B40" s="947"/>
      <c r="C40" s="960"/>
      <c r="D40" s="790"/>
      <c r="E40" s="628"/>
      <c r="F40" s="927"/>
      <c r="G40" s="930"/>
      <c r="H40" s="794"/>
      <c r="I40" s="298"/>
      <c r="J40" s="298"/>
      <c r="K40" s="298"/>
      <c r="L40" s="299" t="str">
        <f t="shared" ca="1" si="2"/>
        <v/>
      </c>
      <c r="M40" s="300" t="str">
        <f t="shared" si="3"/>
        <v/>
      </c>
      <c r="N40" s="15" t="s">
        <v>925</v>
      </c>
      <c r="O40" s="163" t="s">
        <v>36</v>
      </c>
      <c r="P40" s="23">
        <v>46049</v>
      </c>
      <c r="Q40" s="24" t="s">
        <v>261</v>
      </c>
      <c r="R40" s="23">
        <v>46084</v>
      </c>
      <c r="S40" s="24" t="s">
        <v>1067</v>
      </c>
      <c r="T40" s="15" t="s">
        <v>38</v>
      </c>
      <c r="U40" s="23">
        <v>46084</v>
      </c>
      <c r="V40" s="24" t="s">
        <v>1067</v>
      </c>
      <c r="W40" s="15" t="s">
        <v>44</v>
      </c>
      <c r="X40" s="23">
        <v>46100</v>
      </c>
      <c r="Y40" s="15" t="s">
        <v>979</v>
      </c>
      <c r="Z40" s="15" t="s">
        <v>196</v>
      </c>
      <c r="AA40" s="16"/>
      <c r="AB40" s="680"/>
      <c r="AC40" s="16"/>
      <c r="AD40" s="396"/>
      <c r="AE40" s="395"/>
      <c r="AF40" s="396"/>
      <c r="AG40" s="398"/>
      <c r="AH40" s="398"/>
      <c r="AI40" s="396"/>
      <c r="AJ40" s="398"/>
      <c r="AK40" s="398"/>
      <c r="AL40" s="396"/>
      <c r="AM40" s="398"/>
      <c r="AN40" s="398"/>
      <c r="AO40" s="397"/>
    </row>
    <row r="41" spans="2:41" s="164" customFormat="1" ht="40.25" customHeight="1">
      <c r="B41" s="947">
        <v>9</v>
      </c>
      <c r="C41" s="960">
        <v>13</v>
      </c>
      <c r="D41" s="765">
        <v>24</v>
      </c>
      <c r="E41" s="837" t="s">
        <v>1374</v>
      </c>
      <c r="F41" s="925" t="s">
        <v>500</v>
      </c>
      <c r="G41" s="928" t="s">
        <v>1373</v>
      </c>
      <c r="H41" s="804" t="s">
        <v>279</v>
      </c>
      <c r="I41" s="298">
        <f>IF(K41="","",K41-60)</f>
        <v>45975</v>
      </c>
      <c r="J41" s="298">
        <f>IF(K41="","",K41-30)</f>
        <v>46005</v>
      </c>
      <c r="K41" s="298">
        <v>46035</v>
      </c>
      <c r="L41" s="299" t="str">
        <f t="shared" ca="1" si="2"/>
        <v/>
      </c>
      <c r="M41" s="300">
        <f t="shared" si="3"/>
        <v>-21</v>
      </c>
      <c r="N41" s="301"/>
      <c r="O41" s="163" t="s">
        <v>22</v>
      </c>
      <c r="P41" s="23">
        <v>45996</v>
      </c>
      <c r="Q41" s="24" t="s">
        <v>1372</v>
      </c>
      <c r="R41" s="23">
        <v>46017</v>
      </c>
      <c r="S41" s="24" t="s">
        <v>1371</v>
      </c>
      <c r="T41" s="24" t="s">
        <v>30</v>
      </c>
      <c r="U41" s="23">
        <v>46028</v>
      </c>
      <c r="V41" s="24" t="s">
        <v>1370</v>
      </c>
      <c r="W41" s="24" t="s">
        <v>44</v>
      </c>
      <c r="X41" s="23"/>
      <c r="Y41" s="15"/>
      <c r="Z41" s="15"/>
      <c r="AA41" s="16"/>
      <c r="AB41" s="678" t="s">
        <v>984</v>
      </c>
      <c r="AC41" s="15" t="s">
        <v>22</v>
      </c>
      <c r="AD41" s="396">
        <v>46113</v>
      </c>
      <c r="AE41" s="398" t="s">
        <v>985</v>
      </c>
      <c r="AF41" s="396">
        <v>46133</v>
      </c>
      <c r="AG41" s="398" t="s">
        <v>1369</v>
      </c>
      <c r="AH41" s="395" t="s">
        <v>208</v>
      </c>
      <c r="AI41" s="396">
        <v>46133</v>
      </c>
      <c r="AJ41" s="398" t="s">
        <v>1369</v>
      </c>
      <c r="AK41" s="15" t="s">
        <v>201</v>
      </c>
      <c r="AL41" s="400">
        <v>46147</v>
      </c>
      <c r="AM41" s="402" t="s">
        <v>1235</v>
      </c>
      <c r="AN41" s="26" t="s">
        <v>196</v>
      </c>
      <c r="AO41" s="397"/>
    </row>
    <row r="42" spans="2:41" s="164" customFormat="1" ht="40.25" customHeight="1">
      <c r="B42" s="947"/>
      <c r="C42" s="960"/>
      <c r="D42" s="765"/>
      <c r="E42" s="837"/>
      <c r="F42" s="926"/>
      <c r="G42" s="929"/>
      <c r="H42" s="804"/>
      <c r="I42" s="298"/>
      <c r="J42" s="298"/>
      <c r="K42" s="298"/>
      <c r="L42" s="299" t="str">
        <f t="shared" ca="1" si="2"/>
        <v/>
      </c>
      <c r="M42" s="300" t="str">
        <f t="shared" si="3"/>
        <v/>
      </c>
      <c r="N42" s="15" t="s">
        <v>925</v>
      </c>
      <c r="O42" s="163" t="s">
        <v>40</v>
      </c>
      <c r="P42" s="23">
        <v>46064</v>
      </c>
      <c r="Q42" s="23" t="s">
        <v>432</v>
      </c>
      <c r="R42" s="23">
        <v>46092</v>
      </c>
      <c r="S42" s="24" t="s">
        <v>982</v>
      </c>
      <c r="T42" s="15" t="s">
        <v>38</v>
      </c>
      <c r="U42" s="23">
        <v>46092</v>
      </c>
      <c r="V42" s="24" t="s">
        <v>982</v>
      </c>
      <c r="W42" s="24" t="s">
        <v>44</v>
      </c>
      <c r="X42" s="23">
        <v>46106</v>
      </c>
      <c r="Y42" s="15" t="s">
        <v>983</v>
      </c>
      <c r="Z42" s="15" t="s">
        <v>196</v>
      </c>
      <c r="AA42" s="16"/>
      <c r="AB42" s="679"/>
      <c r="AC42" s="16"/>
      <c r="AD42" s="396"/>
      <c r="AE42" s="398"/>
      <c r="AF42" s="396"/>
      <c r="AG42" s="398"/>
      <c r="AH42" s="398"/>
      <c r="AI42" s="396"/>
      <c r="AJ42" s="398"/>
      <c r="AK42" s="398"/>
      <c r="AL42" s="396"/>
      <c r="AM42" s="398"/>
      <c r="AN42" s="398"/>
      <c r="AO42" s="397"/>
    </row>
    <row r="43" spans="2:41" s="164" customFormat="1" ht="40.25" customHeight="1">
      <c r="B43" s="947"/>
      <c r="C43" s="960"/>
      <c r="D43" s="765"/>
      <c r="E43" s="837"/>
      <c r="F43" s="927"/>
      <c r="G43" s="930"/>
      <c r="H43" s="804"/>
      <c r="I43" s="298"/>
      <c r="J43" s="298"/>
      <c r="K43" s="298"/>
      <c r="L43" s="299" t="str">
        <f t="shared" ca="1" si="2"/>
        <v/>
      </c>
      <c r="M43" s="300" t="str">
        <f t="shared" si="3"/>
        <v/>
      </c>
      <c r="N43" s="301"/>
      <c r="O43" s="163"/>
      <c r="P43" s="23"/>
      <c r="Q43" s="24"/>
      <c r="R43" s="23"/>
      <c r="S43" s="24"/>
      <c r="T43" s="15"/>
      <c r="U43" s="23"/>
      <c r="V43" s="24"/>
      <c r="W43" s="15"/>
      <c r="X43" s="23"/>
      <c r="Y43" s="15"/>
      <c r="Z43" s="15"/>
      <c r="AA43" s="16"/>
      <c r="AB43" s="680"/>
      <c r="AC43" s="16"/>
      <c r="AD43" s="396"/>
      <c r="AE43" s="398"/>
      <c r="AF43" s="396"/>
      <c r="AG43" s="398"/>
      <c r="AH43" s="398"/>
      <c r="AI43" s="396"/>
      <c r="AJ43" s="398"/>
      <c r="AK43" s="398"/>
      <c r="AL43" s="396"/>
      <c r="AM43" s="398"/>
      <c r="AN43" s="398"/>
      <c r="AO43" s="397"/>
    </row>
    <row r="44" spans="2:41" s="164" customFormat="1" ht="40.25" customHeight="1">
      <c r="B44" s="947" t="s">
        <v>966</v>
      </c>
      <c r="C44" s="960">
        <v>14</v>
      </c>
      <c r="D44" s="765">
        <v>1</v>
      </c>
      <c r="E44" s="837" t="s">
        <v>1368</v>
      </c>
      <c r="F44" s="925" t="s">
        <v>501</v>
      </c>
      <c r="G44" s="928" t="s">
        <v>1367</v>
      </c>
      <c r="H44" s="804" t="s">
        <v>280</v>
      </c>
      <c r="I44" s="297">
        <f>IF(J44="","",J44-30)</f>
        <v>46160</v>
      </c>
      <c r="J44" s="297">
        <f>IF(K44="","",K44-30)</f>
        <v>46190</v>
      </c>
      <c r="K44" s="298">
        <v>46220</v>
      </c>
      <c r="L44" s="299" t="str">
        <f t="shared" ca="1" si="2"/>
        <v/>
      </c>
      <c r="M44" s="300">
        <f t="shared" si="3"/>
        <v>82</v>
      </c>
      <c r="N44" s="15" t="s">
        <v>925</v>
      </c>
      <c r="O44" s="163" t="s">
        <v>22</v>
      </c>
      <c r="P44" s="23">
        <v>46078</v>
      </c>
      <c r="Q44" s="24" t="s">
        <v>450</v>
      </c>
      <c r="R44" s="23">
        <v>46106</v>
      </c>
      <c r="S44" s="24" t="s">
        <v>986</v>
      </c>
      <c r="T44" s="15" t="s">
        <v>38</v>
      </c>
      <c r="U44" s="23">
        <v>46106</v>
      </c>
      <c r="V44" s="24" t="s">
        <v>986</v>
      </c>
      <c r="W44" s="24" t="s">
        <v>44</v>
      </c>
      <c r="X44" s="27">
        <v>46146</v>
      </c>
      <c r="Y44" s="26" t="s">
        <v>1366</v>
      </c>
      <c r="Z44" s="26" t="s">
        <v>196</v>
      </c>
      <c r="AA44" s="16"/>
      <c r="AB44" s="16"/>
      <c r="AC44" s="16"/>
      <c r="AD44" s="396"/>
      <c r="AE44" s="398"/>
      <c r="AF44" s="396"/>
      <c r="AG44" s="398"/>
      <c r="AH44" s="398"/>
      <c r="AI44" s="396"/>
      <c r="AJ44" s="398"/>
      <c r="AK44" s="398"/>
      <c r="AL44" s="396"/>
      <c r="AM44" s="398"/>
      <c r="AN44" s="398"/>
      <c r="AO44" s="397"/>
    </row>
    <row r="45" spans="2:41" s="164" customFormat="1" ht="39.65" customHeight="1">
      <c r="B45" s="947"/>
      <c r="C45" s="960"/>
      <c r="D45" s="765"/>
      <c r="E45" s="837"/>
      <c r="F45" s="926"/>
      <c r="G45" s="929"/>
      <c r="H45" s="804"/>
      <c r="I45" s="298"/>
      <c r="J45" s="298"/>
      <c r="K45" s="298"/>
      <c r="L45" s="299" t="str">
        <f t="shared" ca="1" si="2"/>
        <v/>
      </c>
      <c r="M45" s="300" t="str">
        <f t="shared" si="3"/>
        <v/>
      </c>
      <c r="N45" s="301"/>
      <c r="O45" s="163"/>
      <c r="P45" s="23"/>
      <c r="Q45" s="23"/>
      <c r="R45" s="23"/>
      <c r="S45" s="24"/>
      <c r="T45" s="15"/>
      <c r="U45" s="23"/>
      <c r="V45" s="24"/>
      <c r="W45" s="15"/>
      <c r="X45" s="23"/>
      <c r="Y45" s="15"/>
      <c r="Z45" s="15"/>
      <c r="AA45" s="16"/>
      <c r="AB45" s="16"/>
      <c r="AC45" s="16"/>
      <c r="AD45" s="396"/>
      <c r="AE45" s="398"/>
      <c r="AF45" s="396"/>
      <c r="AG45" s="398"/>
      <c r="AH45" s="398"/>
      <c r="AI45" s="396"/>
      <c r="AJ45" s="398"/>
      <c r="AK45" s="398"/>
      <c r="AL45" s="396"/>
      <c r="AM45" s="398"/>
      <c r="AN45" s="398"/>
      <c r="AO45" s="397"/>
    </row>
    <row r="46" spans="2:41" s="164" customFormat="1" ht="40.25" customHeight="1">
      <c r="B46" s="947"/>
      <c r="C46" s="960"/>
      <c r="D46" s="765"/>
      <c r="E46" s="837"/>
      <c r="F46" s="927"/>
      <c r="G46" s="930"/>
      <c r="H46" s="804"/>
      <c r="I46" s="298"/>
      <c r="J46" s="298"/>
      <c r="K46" s="298"/>
      <c r="L46" s="299" t="str">
        <f t="shared" ca="1" si="2"/>
        <v/>
      </c>
      <c r="M46" s="300" t="str">
        <f t="shared" si="3"/>
        <v/>
      </c>
      <c r="N46" s="301"/>
      <c r="O46" s="163"/>
      <c r="P46" s="23"/>
      <c r="Q46" s="24"/>
      <c r="R46" s="23"/>
      <c r="S46" s="24"/>
      <c r="T46" s="15"/>
      <c r="U46" s="23"/>
      <c r="V46" s="24"/>
      <c r="W46" s="15"/>
      <c r="X46" s="23"/>
      <c r="Y46" s="15"/>
      <c r="Z46" s="15"/>
      <c r="AA46" s="16"/>
      <c r="AB46" s="16"/>
      <c r="AC46" s="16"/>
      <c r="AD46" s="396"/>
      <c r="AE46" s="398"/>
      <c r="AF46" s="396"/>
      <c r="AG46" s="398"/>
      <c r="AH46" s="398"/>
      <c r="AI46" s="396"/>
      <c r="AJ46" s="398"/>
      <c r="AK46" s="398"/>
      <c r="AL46" s="396"/>
      <c r="AM46" s="398"/>
      <c r="AN46" s="398"/>
      <c r="AO46" s="397"/>
    </row>
    <row r="47" spans="2:41" s="164" customFormat="1" ht="40.25" customHeight="1">
      <c r="B47" s="947"/>
      <c r="C47" s="960">
        <v>15</v>
      </c>
      <c r="D47" s="765">
        <v>90</v>
      </c>
      <c r="E47" s="837" t="s">
        <v>1365</v>
      </c>
      <c r="F47" s="925" t="s">
        <v>515</v>
      </c>
      <c r="G47" s="928" t="s">
        <v>967</v>
      </c>
      <c r="H47" s="804" t="s">
        <v>283</v>
      </c>
      <c r="I47" s="297">
        <f>IF(K47="","",K47-60)</f>
        <v>46173</v>
      </c>
      <c r="J47" s="297">
        <f>IF(K47="","",K47-30)</f>
        <v>46203</v>
      </c>
      <c r="K47" s="298">
        <v>46233</v>
      </c>
      <c r="L47" s="299" t="str">
        <f t="shared" ca="1" si="2"/>
        <v/>
      </c>
      <c r="M47" s="300">
        <f t="shared" si="3"/>
        <v>109</v>
      </c>
      <c r="N47" s="15" t="s">
        <v>925</v>
      </c>
      <c r="O47" s="163" t="s">
        <v>22</v>
      </c>
      <c r="P47" s="23">
        <v>46064</v>
      </c>
      <c r="Q47" s="24" t="s">
        <v>1364</v>
      </c>
      <c r="R47" s="23">
        <v>46087</v>
      </c>
      <c r="S47" s="24" t="s">
        <v>1073</v>
      </c>
      <c r="T47" s="15" t="s">
        <v>38</v>
      </c>
      <c r="U47" s="23">
        <v>46087</v>
      </c>
      <c r="V47" s="24" t="s">
        <v>1073</v>
      </c>
      <c r="W47" s="24" t="s">
        <v>44</v>
      </c>
      <c r="X47" s="23">
        <v>46105</v>
      </c>
      <c r="Y47" s="15" t="s">
        <v>987</v>
      </c>
      <c r="Z47" s="15" t="s">
        <v>196</v>
      </c>
      <c r="AA47" s="16"/>
      <c r="AB47" s="16"/>
      <c r="AC47" s="16"/>
      <c r="AD47" s="396"/>
      <c r="AE47" s="398"/>
      <c r="AF47" s="396"/>
      <c r="AG47" s="398"/>
      <c r="AH47" s="398"/>
      <c r="AI47" s="396"/>
      <c r="AJ47" s="398"/>
      <c r="AK47" s="398"/>
      <c r="AL47" s="396"/>
      <c r="AM47" s="398"/>
      <c r="AN47" s="398"/>
      <c r="AO47" s="397"/>
    </row>
    <row r="48" spans="2:41" s="164" customFormat="1" ht="39.65" customHeight="1">
      <c r="B48" s="947"/>
      <c r="C48" s="960"/>
      <c r="D48" s="765"/>
      <c r="E48" s="837"/>
      <c r="F48" s="926"/>
      <c r="G48" s="929"/>
      <c r="H48" s="804"/>
      <c r="I48" s="298"/>
      <c r="J48" s="298"/>
      <c r="K48" s="298"/>
      <c r="L48" s="299" t="str">
        <f t="shared" ref="L48:L79" ca="1" si="4">IF(I48="","",IF(P48&lt;&gt;"","",IF(AND(P48="",I48-TODAY()&lt;=60),I48-TODAY(),"")))</f>
        <v/>
      </c>
      <c r="M48" s="300" t="str">
        <f t="shared" ref="M48:M79" si="5">IF(COUNT(I48, P48)=2, I48-P48, "")</f>
        <v/>
      </c>
      <c r="N48" s="301"/>
      <c r="O48" s="163"/>
      <c r="P48" s="23"/>
      <c r="Q48" s="23"/>
      <c r="R48" s="23"/>
      <c r="S48" s="24"/>
      <c r="T48" s="15"/>
      <c r="U48" s="23"/>
      <c r="V48" s="24"/>
      <c r="W48" s="15"/>
      <c r="X48" s="23"/>
      <c r="Y48" s="15"/>
      <c r="Z48" s="15"/>
      <c r="AA48" s="16"/>
      <c r="AB48" s="16"/>
      <c r="AC48" s="16"/>
      <c r="AD48" s="396"/>
      <c r="AE48" s="398"/>
      <c r="AF48" s="396"/>
      <c r="AG48" s="398"/>
      <c r="AH48" s="398"/>
      <c r="AI48" s="396"/>
      <c r="AJ48" s="398"/>
      <c r="AK48" s="398"/>
      <c r="AL48" s="396"/>
      <c r="AM48" s="398"/>
      <c r="AN48" s="398"/>
      <c r="AO48" s="397"/>
    </row>
    <row r="49" spans="2:41" s="164" customFormat="1" ht="40.25" customHeight="1">
      <c r="B49" s="947"/>
      <c r="C49" s="960"/>
      <c r="D49" s="765"/>
      <c r="E49" s="837"/>
      <c r="F49" s="927"/>
      <c r="G49" s="930"/>
      <c r="H49" s="804"/>
      <c r="I49" s="298"/>
      <c r="J49" s="298"/>
      <c r="K49" s="298"/>
      <c r="L49" s="299" t="str">
        <f t="shared" ca="1" si="4"/>
        <v/>
      </c>
      <c r="M49" s="300" t="str">
        <f t="shared" si="5"/>
        <v/>
      </c>
      <c r="N49" s="301"/>
      <c r="O49" s="163"/>
      <c r="P49" s="23"/>
      <c r="Q49" s="24"/>
      <c r="R49" s="23"/>
      <c r="S49" s="24"/>
      <c r="T49" s="15"/>
      <c r="U49" s="23"/>
      <c r="V49" s="24"/>
      <c r="W49" s="15"/>
      <c r="X49" s="23"/>
      <c r="Y49" s="15"/>
      <c r="Z49" s="15"/>
      <c r="AA49" s="16"/>
      <c r="AB49" s="16"/>
      <c r="AC49" s="16"/>
      <c r="AD49" s="396"/>
      <c r="AE49" s="398"/>
      <c r="AF49" s="396"/>
      <c r="AG49" s="398"/>
      <c r="AH49" s="398"/>
      <c r="AI49" s="396"/>
      <c r="AJ49" s="398"/>
      <c r="AK49" s="398"/>
      <c r="AL49" s="396"/>
      <c r="AM49" s="398"/>
      <c r="AN49" s="398"/>
      <c r="AO49" s="397"/>
    </row>
    <row r="50" spans="2:41" s="164" customFormat="1" ht="40.25" customHeight="1">
      <c r="B50" s="323">
        <v>64</v>
      </c>
      <c r="C50" s="960">
        <v>16</v>
      </c>
      <c r="D50" s="765" t="s">
        <v>1363</v>
      </c>
      <c r="E50" s="837" t="s">
        <v>1362</v>
      </c>
      <c r="F50" s="925" t="s">
        <v>1361</v>
      </c>
      <c r="G50" s="928" t="s">
        <v>1360</v>
      </c>
      <c r="H50" s="804" t="s">
        <v>281</v>
      </c>
      <c r="I50" s="297">
        <f>IF(K50="","",K50-60)</f>
        <v>46177</v>
      </c>
      <c r="J50" s="297">
        <f>IF(K50="","",K50-30)</f>
        <v>46207</v>
      </c>
      <c r="K50" s="298">
        <v>46237</v>
      </c>
      <c r="L50" s="299" t="str">
        <f t="shared" ca="1" si="4"/>
        <v/>
      </c>
      <c r="M50" s="300">
        <f t="shared" si="5"/>
        <v>113</v>
      </c>
      <c r="N50" s="15" t="s">
        <v>925</v>
      </c>
      <c r="O50" s="163" t="s">
        <v>50</v>
      </c>
      <c r="P50" s="23">
        <v>46064</v>
      </c>
      <c r="Q50" s="24" t="s">
        <v>429</v>
      </c>
      <c r="R50" s="23">
        <v>46100</v>
      </c>
      <c r="S50" s="24" t="s">
        <v>988</v>
      </c>
      <c r="T50" s="15" t="s">
        <v>38</v>
      </c>
      <c r="U50" s="23">
        <v>46100</v>
      </c>
      <c r="V50" s="24" t="s">
        <v>988</v>
      </c>
      <c r="W50" s="15" t="s">
        <v>44</v>
      </c>
      <c r="X50" s="23">
        <v>46112</v>
      </c>
      <c r="Y50" s="15" t="s">
        <v>989</v>
      </c>
      <c r="Z50" s="15" t="s">
        <v>196</v>
      </c>
      <c r="AA50" s="16"/>
      <c r="AB50" s="16"/>
      <c r="AC50" s="16"/>
      <c r="AD50" s="396"/>
      <c r="AE50" s="398"/>
      <c r="AF50" s="396"/>
      <c r="AG50" s="398"/>
      <c r="AH50" s="398"/>
      <c r="AI50" s="396"/>
      <c r="AJ50" s="398"/>
      <c r="AK50" s="398"/>
      <c r="AL50" s="396"/>
      <c r="AM50" s="398"/>
      <c r="AN50" s="398"/>
      <c r="AO50" s="397"/>
    </row>
    <row r="51" spans="2:41" s="164" customFormat="1" ht="39.65" customHeight="1">
      <c r="B51" s="164">
        <v>65</v>
      </c>
      <c r="C51" s="960"/>
      <c r="D51" s="765"/>
      <c r="E51" s="837"/>
      <c r="F51" s="926"/>
      <c r="G51" s="929"/>
      <c r="H51" s="804"/>
      <c r="I51" s="298"/>
      <c r="J51" s="298"/>
      <c r="K51" s="298"/>
      <c r="L51" s="299" t="str">
        <f t="shared" ca="1" si="4"/>
        <v/>
      </c>
      <c r="M51" s="300" t="str">
        <f t="shared" si="5"/>
        <v/>
      </c>
      <c r="N51" s="301"/>
      <c r="O51" s="163"/>
      <c r="P51" s="23"/>
      <c r="Q51" s="23"/>
      <c r="R51" s="23"/>
      <c r="S51" s="24"/>
      <c r="T51" s="15"/>
      <c r="U51" s="23"/>
      <c r="V51" s="24"/>
      <c r="W51" s="15"/>
      <c r="X51" s="23"/>
      <c r="Y51" s="15"/>
      <c r="Z51" s="15"/>
      <c r="AA51" s="16"/>
      <c r="AB51" s="16"/>
      <c r="AC51" s="16"/>
      <c r="AD51" s="396"/>
      <c r="AE51" s="398"/>
      <c r="AF51" s="396"/>
      <c r="AG51" s="398"/>
      <c r="AH51" s="398"/>
      <c r="AI51" s="396"/>
      <c r="AJ51" s="398"/>
      <c r="AK51" s="398"/>
      <c r="AL51" s="396"/>
      <c r="AM51" s="398"/>
      <c r="AN51" s="398"/>
      <c r="AO51" s="397"/>
    </row>
    <row r="52" spans="2:41" s="164" customFormat="1" ht="40.25" customHeight="1">
      <c r="C52" s="960"/>
      <c r="D52" s="765"/>
      <c r="E52" s="837"/>
      <c r="F52" s="927"/>
      <c r="G52" s="930"/>
      <c r="H52" s="804"/>
      <c r="I52" s="298"/>
      <c r="J52" s="298"/>
      <c r="K52" s="298"/>
      <c r="L52" s="299" t="str">
        <f t="shared" ca="1" si="4"/>
        <v/>
      </c>
      <c r="M52" s="300" t="str">
        <f t="shared" si="5"/>
        <v/>
      </c>
      <c r="N52" s="301"/>
      <c r="O52" s="163"/>
      <c r="P52" s="23"/>
      <c r="Q52" s="24"/>
      <c r="R52" s="23"/>
      <c r="S52" s="24"/>
      <c r="T52" s="15"/>
      <c r="U52" s="23"/>
      <c r="V52" s="24"/>
      <c r="W52" s="15"/>
      <c r="X52" s="23"/>
      <c r="Y52" s="15"/>
      <c r="Z52" s="15"/>
      <c r="AA52" s="16"/>
      <c r="AB52" s="16"/>
      <c r="AC52" s="16"/>
      <c r="AD52" s="396"/>
      <c r="AE52" s="398"/>
      <c r="AF52" s="396"/>
      <c r="AG52" s="398"/>
      <c r="AH52" s="398"/>
      <c r="AI52" s="396"/>
      <c r="AJ52" s="398"/>
      <c r="AK52" s="398"/>
      <c r="AL52" s="396"/>
      <c r="AM52" s="398"/>
      <c r="AN52" s="398"/>
      <c r="AO52" s="397"/>
    </row>
    <row r="53" spans="2:41" s="164" customFormat="1" ht="40.25" customHeight="1">
      <c r="B53" s="947">
        <v>123</v>
      </c>
      <c r="C53" s="960">
        <v>17</v>
      </c>
      <c r="D53" s="765">
        <v>7</v>
      </c>
      <c r="E53" s="837" t="s">
        <v>1359</v>
      </c>
      <c r="F53" s="925" t="s">
        <v>502</v>
      </c>
      <c r="G53" s="928" t="s">
        <v>460</v>
      </c>
      <c r="H53" s="804" t="s">
        <v>282</v>
      </c>
      <c r="I53" s="297">
        <f>IF(J53="","",J53-30)</f>
        <v>46014</v>
      </c>
      <c r="J53" s="297">
        <f>IF(K53="","",K53-30)</f>
        <v>46044</v>
      </c>
      <c r="K53" s="298">
        <v>46074</v>
      </c>
      <c r="L53" s="299" t="str">
        <f t="shared" ca="1" si="4"/>
        <v/>
      </c>
      <c r="M53" s="300" t="str">
        <f t="shared" si="5"/>
        <v/>
      </c>
      <c r="N53" s="301"/>
      <c r="O53" s="163" t="s">
        <v>50</v>
      </c>
      <c r="P53" s="23" t="s">
        <v>158</v>
      </c>
      <c r="Q53" s="23" t="s">
        <v>159</v>
      </c>
      <c r="R53" s="23">
        <v>45999</v>
      </c>
      <c r="S53" s="24" t="s">
        <v>160</v>
      </c>
      <c r="T53" s="15" t="s">
        <v>100</v>
      </c>
      <c r="U53" s="23"/>
      <c r="V53" s="24"/>
      <c r="W53" s="24"/>
      <c r="X53" s="23"/>
      <c r="Y53" s="15"/>
      <c r="Z53" s="15"/>
      <c r="AA53" s="16"/>
      <c r="AB53" s="678" t="s">
        <v>990</v>
      </c>
      <c r="AC53" s="15" t="s">
        <v>50</v>
      </c>
      <c r="AD53" s="396">
        <v>46119</v>
      </c>
      <c r="AE53" s="398" t="s">
        <v>991</v>
      </c>
      <c r="AF53" s="400">
        <v>46134</v>
      </c>
      <c r="AG53" s="402" t="s">
        <v>1159</v>
      </c>
      <c r="AH53" s="399" t="s">
        <v>208</v>
      </c>
      <c r="AI53" s="400">
        <v>46134</v>
      </c>
      <c r="AJ53" s="402" t="s">
        <v>1159</v>
      </c>
      <c r="AK53" s="26" t="s">
        <v>201</v>
      </c>
      <c r="AL53" s="400">
        <v>46148</v>
      </c>
      <c r="AM53" s="402" t="s">
        <v>1358</v>
      </c>
      <c r="AN53" s="402" t="s">
        <v>925</v>
      </c>
      <c r="AO53" s="397"/>
    </row>
    <row r="54" spans="2:41" s="164" customFormat="1" ht="40.25" customHeight="1">
      <c r="B54" s="947"/>
      <c r="C54" s="960"/>
      <c r="D54" s="765"/>
      <c r="E54" s="837"/>
      <c r="F54" s="926"/>
      <c r="G54" s="929"/>
      <c r="H54" s="804"/>
      <c r="I54" s="298"/>
      <c r="J54" s="298"/>
      <c r="K54" s="298"/>
      <c r="L54" s="299" t="str">
        <f t="shared" ca="1" si="4"/>
        <v/>
      </c>
      <c r="M54" s="300" t="str">
        <f t="shared" si="5"/>
        <v/>
      </c>
      <c r="N54" s="301"/>
      <c r="O54" s="163" t="s">
        <v>27</v>
      </c>
      <c r="P54" s="23">
        <v>46006</v>
      </c>
      <c r="Q54" s="24" t="s">
        <v>1357</v>
      </c>
      <c r="R54" s="23">
        <v>46038</v>
      </c>
      <c r="S54" s="24" t="s">
        <v>1356</v>
      </c>
      <c r="T54" s="24" t="s">
        <v>30</v>
      </c>
      <c r="U54" s="23">
        <v>46041</v>
      </c>
      <c r="V54" s="24" t="s">
        <v>1355</v>
      </c>
      <c r="W54" s="15" t="s">
        <v>44</v>
      </c>
      <c r="X54" s="23"/>
      <c r="Y54" s="15"/>
      <c r="Z54" s="15"/>
      <c r="AA54" s="16"/>
      <c r="AB54" s="679"/>
      <c r="AC54" s="16"/>
      <c r="AD54" s="396"/>
      <c r="AE54" s="398"/>
      <c r="AF54" s="400"/>
      <c r="AG54" s="402"/>
      <c r="AH54" s="399"/>
      <c r="AI54" s="400"/>
      <c r="AJ54" s="402"/>
      <c r="AK54" s="26"/>
      <c r="AL54" s="396"/>
      <c r="AM54" s="398"/>
      <c r="AN54" s="398"/>
      <c r="AO54" s="397"/>
    </row>
    <row r="55" spans="2:41" s="164" customFormat="1" ht="40.25" customHeight="1">
      <c r="B55" s="947"/>
      <c r="C55" s="960"/>
      <c r="D55" s="765"/>
      <c r="E55" s="837"/>
      <c r="F55" s="927"/>
      <c r="G55" s="930"/>
      <c r="H55" s="804"/>
      <c r="I55" s="298"/>
      <c r="J55" s="298"/>
      <c r="K55" s="298"/>
      <c r="L55" s="299" t="str">
        <f t="shared" ca="1" si="4"/>
        <v/>
      </c>
      <c r="M55" s="300" t="str">
        <f t="shared" si="5"/>
        <v/>
      </c>
      <c r="N55" s="15" t="s">
        <v>925</v>
      </c>
      <c r="O55" s="163" t="s">
        <v>87</v>
      </c>
      <c r="P55" s="23">
        <v>46065</v>
      </c>
      <c r="Q55" s="24" t="s">
        <v>433</v>
      </c>
      <c r="R55" s="23">
        <v>46087</v>
      </c>
      <c r="S55" s="24" t="s">
        <v>992</v>
      </c>
      <c r="T55" s="15" t="s">
        <v>38</v>
      </c>
      <c r="U55" s="23">
        <v>46087</v>
      </c>
      <c r="V55" s="24" t="s">
        <v>992</v>
      </c>
      <c r="W55" s="15" t="s">
        <v>44</v>
      </c>
      <c r="X55" s="23">
        <v>46100</v>
      </c>
      <c r="Y55" s="15" t="s">
        <v>993</v>
      </c>
      <c r="Z55" s="15" t="s">
        <v>196</v>
      </c>
      <c r="AA55" s="16"/>
      <c r="AB55" s="680"/>
      <c r="AC55" s="16"/>
      <c r="AD55" s="396"/>
      <c r="AE55" s="398"/>
      <c r="AF55" s="396"/>
      <c r="AG55" s="398"/>
      <c r="AH55" s="398"/>
      <c r="AI55" s="396"/>
      <c r="AJ55" s="398"/>
      <c r="AK55" s="398"/>
      <c r="AL55" s="396"/>
      <c r="AM55" s="398"/>
      <c r="AN55" s="398"/>
      <c r="AO55" s="397"/>
    </row>
    <row r="56" spans="2:41" s="115" customFormat="1" ht="40.25" customHeight="1">
      <c r="C56" s="960">
        <v>18</v>
      </c>
      <c r="D56" s="684" t="s">
        <v>1354</v>
      </c>
      <c r="E56" s="979" t="s">
        <v>1353</v>
      </c>
      <c r="F56" s="963" t="s">
        <v>1352</v>
      </c>
      <c r="G56" s="941" t="s">
        <v>1521</v>
      </c>
      <c r="H56" s="932" t="s">
        <v>1351</v>
      </c>
      <c r="I56" s="116">
        <f>IF(J56="","",J56-30)</f>
        <v>46143</v>
      </c>
      <c r="J56" s="116">
        <f>IF(K56="","",K56-30)</f>
        <v>46173</v>
      </c>
      <c r="K56" s="125">
        <v>46203</v>
      </c>
      <c r="L56" s="403" t="str">
        <f t="shared" ca="1" si="4"/>
        <v/>
      </c>
      <c r="M56" s="390">
        <f t="shared" si="5"/>
        <v>94</v>
      </c>
      <c r="N56" s="15" t="s">
        <v>925</v>
      </c>
      <c r="O56" s="15" t="s">
        <v>22</v>
      </c>
      <c r="P56" s="23">
        <v>46049</v>
      </c>
      <c r="Q56" s="24" t="s">
        <v>259</v>
      </c>
      <c r="R56" s="23">
        <v>46056</v>
      </c>
      <c r="S56" s="24" t="s">
        <v>1350</v>
      </c>
      <c r="T56" s="24" t="s">
        <v>30</v>
      </c>
      <c r="U56" s="23">
        <v>46058</v>
      </c>
      <c r="V56" s="24" t="s">
        <v>1349</v>
      </c>
      <c r="W56" s="15" t="s">
        <v>44</v>
      </c>
      <c r="X56" s="23">
        <v>46100</v>
      </c>
      <c r="Y56" s="15" t="s">
        <v>979</v>
      </c>
      <c r="Z56" s="15" t="s">
        <v>196</v>
      </c>
      <c r="AA56" s="16"/>
      <c r="AB56" s="944" t="s">
        <v>1348</v>
      </c>
      <c r="AC56" s="26" t="s">
        <v>50</v>
      </c>
      <c r="AD56" s="400">
        <v>46149</v>
      </c>
      <c r="AE56" s="399" t="s">
        <v>1347</v>
      </c>
      <c r="AF56" s="396"/>
      <c r="AG56" s="395"/>
      <c r="AH56" s="395"/>
      <c r="AI56" s="396"/>
      <c r="AJ56" s="395"/>
      <c r="AK56" s="395"/>
      <c r="AL56" s="396"/>
      <c r="AM56" s="395"/>
      <c r="AN56" s="395"/>
      <c r="AO56" s="394"/>
    </row>
    <row r="57" spans="2:41" s="115" customFormat="1" ht="40.25" customHeight="1">
      <c r="C57" s="960"/>
      <c r="D57" s="684"/>
      <c r="E57" s="980"/>
      <c r="F57" s="964"/>
      <c r="G57" s="942"/>
      <c r="H57" s="933"/>
      <c r="I57" s="112"/>
      <c r="J57" s="116"/>
      <c r="K57" s="125"/>
      <c r="L57" s="403" t="str">
        <f t="shared" ca="1" si="4"/>
        <v/>
      </c>
      <c r="M57" s="390" t="str">
        <f t="shared" si="5"/>
        <v/>
      </c>
      <c r="N57" s="114"/>
      <c r="O57" s="15"/>
      <c r="P57" s="23"/>
      <c r="Q57" s="24"/>
      <c r="R57" s="23"/>
      <c r="S57" s="24"/>
      <c r="T57" s="15"/>
      <c r="U57" s="23"/>
      <c r="V57" s="24"/>
      <c r="W57" s="15"/>
      <c r="X57" s="23"/>
      <c r="Y57" s="15"/>
      <c r="Z57" s="15"/>
      <c r="AA57" s="16"/>
      <c r="AB57" s="945"/>
      <c r="AC57" s="324"/>
      <c r="AD57" s="396"/>
      <c r="AE57" s="395"/>
      <c r="AF57" s="396"/>
      <c r="AG57" s="395"/>
      <c r="AH57" s="395"/>
      <c r="AI57" s="396"/>
      <c r="AJ57" s="395"/>
      <c r="AK57" s="395"/>
      <c r="AL57" s="396"/>
      <c r="AM57" s="395"/>
      <c r="AN57" s="395"/>
      <c r="AO57" s="394"/>
    </row>
    <row r="58" spans="2:41" s="115" customFormat="1" ht="40.25" customHeight="1">
      <c r="C58" s="960"/>
      <c r="D58" s="684"/>
      <c r="E58" s="981"/>
      <c r="F58" s="965"/>
      <c r="G58" s="943"/>
      <c r="H58" s="934"/>
      <c r="I58" s="112"/>
      <c r="J58" s="116"/>
      <c r="K58" s="125"/>
      <c r="L58" s="403" t="str">
        <f t="shared" ca="1" si="4"/>
        <v/>
      </c>
      <c r="M58" s="390" t="str">
        <f t="shared" si="5"/>
        <v/>
      </c>
      <c r="N58" s="114"/>
      <c r="O58" s="15"/>
      <c r="P58" s="23"/>
      <c r="Q58" s="24"/>
      <c r="R58" s="23"/>
      <c r="S58" s="24"/>
      <c r="T58" s="15"/>
      <c r="U58" s="23"/>
      <c r="V58" s="24"/>
      <c r="W58" s="15"/>
      <c r="X58" s="23"/>
      <c r="Y58" s="15"/>
      <c r="Z58" s="15"/>
      <c r="AA58" s="16"/>
      <c r="AB58" s="946"/>
      <c r="AC58" s="324"/>
      <c r="AD58" s="396"/>
      <c r="AE58" s="395"/>
      <c r="AF58" s="396"/>
      <c r="AG58" s="395"/>
      <c r="AH58" s="395"/>
      <c r="AI58" s="396"/>
      <c r="AJ58" s="395"/>
      <c r="AK58" s="395"/>
      <c r="AL58" s="396"/>
      <c r="AM58" s="395"/>
      <c r="AN58" s="395"/>
      <c r="AO58" s="394"/>
    </row>
    <row r="59" spans="2:41" s="115" customFormat="1" ht="40.25" customHeight="1">
      <c r="C59" s="960">
        <v>19</v>
      </c>
      <c r="D59" s="684" t="s">
        <v>1346</v>
      </c>
      <c r="E59" s="979" t="s">
        <v>1345</v>
      </c>
      <c r="F59" s="963" t="s">
        <v>1344</v>
      </c>
      <c r="G59" s="941" t="s">
        <v>420</v>
      </c>
      <c r="H59" s="932" t="s">
        <v>257</v>
      </c>
      <c r="I59" s="116">
        <f>IF(J59="","",J59-30)</f>
        <v>46143</v>
      </c>
      <c r="J59" s="116">
        <f>IF(K59="","",K59-30)</f>
        <v>46173</v>
      </c>
      <c r="K59" s="125">
        <v>46203</v>
      </c>
      <c r="L59" s="403" t="str">
        <f t="shared" ca="1" si="4"/>
        <v/>
      </c>
      <c r="M59" s="390">
        <f t="shared" si="5"/>
        <v>79</v>
      </c>
      <c r="N59" s="15" t="s">
        <v>925</v>
      </c>
      <c r="O59" s="15" t="s">
        <v>22</v>
      </c>
      <c r="P59" s="23">
        <v>46064</v>
      </c>
      <c r="Q59" s="24" t="s">
        <v>421</v>
      </c>
      <c r="R59" s="23">
        <v>46097</v>
      </c>
      <c r="S59" s="24" t="s">
        <v>994</v>
      </c>
      <c r="T59" s="24" t="s">
        <v>30</v>
      </c>
      <c r="U59" s="23">
        <v>46097</v>
      </c>
      <c r="V59" s="24" t="s">
        <v>994</v>
      </c>
      <c r="W59" s="15" t="s">
        <v>44</v>
      </c>
      <c r="X59" s="23">
        <v>46106</v>
      </c>
      <c r="Y59" s="15" t="s">
        <v>981</v>
      </c>
      <c r="Z59" s="15" t="s">
        <v>196</v>
      </c>
      <c r="AA59" s="16"/>
      <c r="AB59" s="401"/>
      <c r="AC59" s="16"/>
      <c r="AD59" s="396"/>
      <c r="AE59" s="395"/>
      <c r="AF59" s="396"/>
      <c r="AG59" s="395"/>
      <c r="AH59" s="395"/>
      <c r="AI59" s="396"/>
      <c r="AJ59" s="395"/>
      <c r="AK59" s="395"/>
      <c r="AL59" s="396"/>
      <c r="AM59" s="395"/>
      <c r="AN59" s="395"/>
      <c r="AO59" s="394"/>
    </row>
    <row r="60" spans="2:41" s="115" customFormat="1" ht="40.25" customHeight="1">
      <c r="C60" s="960"/>
      <c r="D60" s="684"/>
      <c r="E60" s="980"/>
      <c r="F60" s="964"/>
      <c r="G60" s="942"/>
      <c r="H60" s="933"/>
      <c r="I60" s="112"/>
      <c r="J60" s="116"/>
      <c r="K60" s="125"/>
      <c r="L60" s="403" t="str">
        <f t="shared" ca="1" si="4"/>
        <v/>
      </c>
      <c r="M60" s="390" t="str">
        <f t="shared" si="5"/>
        <v/>
      </c>
      <c r="N60" s="114"/>
      <c r="O60" s="15"/>
      <c r="P60" s="23"/>
      <c r="Q60" s="24"/>
      <c r="R60" s="23"/>
      <c r="S60" s="24"/>
      <c r="T60" s="15"/>
      <c r="U60" s="23"/>
      <c r="V60" s="24"/>
      <c r="W60" s="15"/>
      <c r="X60" s="23"/>
      <c r="Y60" s="15"/>
      <c r="Z60" s="15"/>
      <c r="AA60" s="16"/>
      <c r="AB60" s="16"/>
      <c r="AC60" s="16"/>
      <c r="AD60" s="396"/>
      <c r="AE60" s="395"/>
      <c r="AF60" s="396"/>
      <c r="AG60" s="395"/>
      <c r="AH60" s="395"/>
      <c r="AI60" s="396"/>
      <c r="AJ60" s="395"/>
      <c r="AK60" s="395"/>
      <c r="AL60" s="396"/>
      <c r="AM60" s="395"/>
      <c r="AN60" s="395"/>
      <c r="AO60" s="394"/>
    </row>
    <row r="61" spans="2:41" s="115" customFormat="1" ht="40.25" customHeight="1">
      <c r="C61" s="960"/>
      <c r="D61" s="684"/>
      <c r="E61" s="981"/>
      <c r="F61" s="965"/>
      <c r="G61" s="943"/>
      <c r="H61" s="934"/>
      <c r="I61" s="112"/>
      <c r="J61" s="116"/>
      <c r="K61" s="125"/>
      <c r="L61" s="403" t="str">
        <f t="shared" ca="1" si="4"/>
        <v/>
      </c>
      <c r="M61" s="390" t="str">
        <f t="shared" si="5"/>
        <v/>
      </c>
      <c r="N61" s="114"/>
      <c r="O61" s="15"/>
      <c r="P61" s="23"/>
      <c r="Q61" s="24"/>
      <c r="R61" s="23"/>
      <c r="S61" s="24"/>
      <c r="T61" s="15"/>
      <c r="U61" s="23"/>
      <c r="V61" s="24"/>
      <c r="W61" s="15"/>
      <c r="X61" s="23"/>
      <c r="Y61" s="15"/>
      <c r="Z61" s="15"/>
      <c r="AA61" s="16"/>
      <c r="AB61" s="16"/>
      <c r="AC61" s="16"/>
      <c r="AD61" s="396"/>
      <c r="AE61" s="395"/>
      <c r="AF61" s="396"/>
      <c r="AG61" s="395"/>
      <c r="AH61" s="395"/>
      <c r="AI61" s="396"/>
      <c r="AJ61" s="395"/>
      <c r="AK61" s="395"/>
      <c r="AL61" s="396"/>
      <c r="AM61" s="395"/>
      <c r="AN61" s="395"/>
      <c r="AO61" s="394"/>
    </row>
    <row r="62" spans="2:41" s="115" customFormat="1" ht="40.25" customHeight="1">
      <c r="C62" s="960">
        <v>20</v>
      </c>
      <c r="D62" s="684">
        <v>71</v>
      </c>
      <c r="E62" s="979" t="s">
        <v>1343</v>
      </c>
      <c r="F62" s="963" t="s">
        <v>1520</v>
      </c>
      <c r="G62" s="941" t="s">
        <v>423</v>
      </c>
      <c r="H62" s="932" t="s">
        <v>257</v>
      </c>
      <c r="I62" s="116">
        <f>IF(J62="","",J62-30)</f>
        <v>46177</v>
      </c>
      <c r="J62" s="116">
        <f>IF(K62="","",K62-30)</f>
        <v>46207</v>
      </c>
      <c r="K62" s="125">
        <v>46237</v>
      </c>
      <c r="L62" s="403" t="str">
        <f t="shared" ca="1" si="4"/>
        <v/>
      </c>
      <c r="M62" s="390">
        <f t="shared" si="5"/>
        <v>113</v>
      </c>
      <c r="N62" s="15" t="s">
        <v>925</v>
      </c>
      <c r="O62" s="15" t="s">
        <v>22</v>
      </c>
      <c r="P62" s="23">
        <v>46064</v>
      </c>
      <c r="Q62" s="24" t="s">
        <v>424</v>
      </c>
      <c r="R62" s="23">
        <v>46100</v>
      </c>
      <c r="S62" s="24" t="s">
        <v>995</v>
      </c>
      <c r="T62" s="24" t="s">
        <v>30</v>
      </c>
      <c r="U62" s="23">
        <v>46100</v>
      </c>
      <c r="V62" s="24" t="s">
        <v>995</v>
      </c>
      <c r="W62" s="15" t="s">
        <v>44</v>
      </c>
      <c r="X62" s="23">
        <v>46112</v>
      </c>
      <c r="Y62" s="15" t="s">
        <v>989</v>
      </c>
      <c r="Z62" s="15" t="s">
        <v>196</v>
      </c>
      <c r="AA62" s="16"/>
      <c r="AB62" s="16" t="s">
        <v>1342</v>
      </c>
      <c r="AC62" s="16"/>
      <c r="AD62" s="396"/>
      <c r="AE62" s="395"/>
      <c r="AF62" s="396"/>
      <c r="AG62" s="395"/>
      <c r="AH62" s="395"/>
      <c r="AI62" s="396"/>
      <c r="AJ62" s="395"/>
      <c r="AK62" s="395"/>
      <c r="AL62" s="396"/>
      <c r="AM62" s="395"/>
      <c r="AN62" s="395"/>
      <c r="AO62" s="394"/>
    </row>
    <row r="63" spans="2:41" s="115" customFormat="1" ht="40.25" customHeight="1">
      <c r="C63" s="960"/>
      <c r="D63" s="684"/>
      <c r="E63" s="980"/>
      <c r="F63" s="964"/>
      <c r="G63" s="942"/>
      <c r="H63" s="933"/>
      <c r="I63" s="112"/>
      <c r="J63" s="116"/>
      <c r="K63" s="125"/>
      <c r="L63" s="403" t="str">
        <f t="shared" ca="1" si="4"/>
        <v/>
      </c>
      <c r="M63" s="390" t="str">
        <f t="shared" si="5"/>
        <v/>
      </c>
      <c r="N63" s="114"/>
      <c r="O63" s="15"/>
      <c r="P63" s="23"/>
      <c r="Q63" s="24"/>
      <c r="R63" s="23"/>
      <c r="S63" s="24"/>
      <c r="T63" s="15"/>
      <c r="U63" s="23"/>
      <c r="V63" s="24"/>
      <c r="W63" s="15"/>
      <c r="X63" s="23"/>
      <c r="Y63" s="15"/>
      <c r="Z63" s="15"/>
      <c r="AA63" s="16"/>
      <c r="AB63" s="16"/>
      <c r="AC63" s="16"/>
      <c r="AD63" s="396"/>
      <c r="AE63" s="395"/>
      <c r="AF63" s="396"/>
      <c r="AG63" s="395"/>
      <c r="AH63" s="395"/>
      <c r="AI63" s="396"/>
      <c r="AJ63" s="395"/>
      <c r="AK63" s="395"/>
      <c r="AL63" s="396"/>
      <c r="AM63" s="395"/>
      <c r="AN63" s="395"/>
      <c r="AO63" s="394"/>
    </row>
    <row r="64" spans="2:41" s="115" customFormat="1" ht="40.25" customHeight="1">
      <c r="C64" s="960"/>
      <c r="D64" s="684"/>
      <c r="E64" s="981"/>
      <c r="F64" s="965"/>
      <c r="G64" s="943"/>
      <c r="H64" s="934"/>
      <c r="I64" s="112"/>
      <c r="J64" s="116"/>
      <c r="K64" s="125"/>
      <c r="L64" s="403" t="str">
        <f t="shared" ca="1" si="4"/>
        <v/>
      </c>
      <c r="M64" s="390" t="str">
        <f t="shared" si="5"/>
        <v/>
      </c>
      <c r="N64" s="114"/>
      <c r="O64" s="15"/>
      <c r="P64" s="23"/>
      <c r="Q64" s="24"/>
      <c r="R64" s="23"/>
      <c r="S64" s="24"/>
      <c r="T64" s="15"/>
      <c r="U64" s="23"/>
      <c r="V64" s="24"/>
      <c r="W64" s="15"/>
      <c r="X64" s="23"/>
      <c r="Y64" s="15"/>
      <c r="Z64" s="15"/>
      <c r="AA64" s="16"/>
      <c r="AB64" s="16"/>
      <c r="AC64" s="16"/>
      <c r="AD64" s="396"/>
      <c r="AE64" s="395"/>
      <c r="AF64" s="396"/>
      <c r="AG64" s="395"/>
      <c r="AH64" s="395"/>
      <c r="AI64" s="396"/>
      <c r="AJ64" s="395"/>
      <c r="AK64" s="395"/>
      <c r="AL64" s="396"/>
      <c r="AM64" s="395"/>
      <c r="AN64" s="395"/>
      <c r="AO64" s="394"/>
    </row>
    <row r="65" spans="2:41" s="115" customFormat="1" ht="40.25" customHeight="1">
      <c r="C65" s="960">
        <v>21</v>
      </c>
      <c r="D65" s="684">
        <v>133</v>
      </c>
      <c r="E65" s="979" t="s">
        <v>1341</v>
      </c>
      <c r="F65" s="963" t="s">
        <v>1340</v>
      </c>
      <c r="G65" s="941" t="s">
        <v>425</v>
      </c>
      <c r="H65" s="932" t="s">
        <v>257</v>
      </c>
      <c r="I65" s="116">
        <f>IF(J65="","",J65-30)</f>
        <v>46143</v>
      </c>
      <c r="J65" s="116">
        <f>IF(K65="","",K65-30)</f>
        <v>46173</v>
      </c>
      <c r="K65" s="125">
        <v>46203</v>
      </c>
      <c r="L65" s="403" t="str">
        <f t="shared" ca="1" si="4"/>
        <v/>
      </c>
      <c r="M65" s="390">
        <f t="shared" si="5"/>
        <v>79</v>
      </c>
      <c r="N65" s="15" t="s">
        <v>925</v>
      </c>
      <c r="O65" s="15" t="s">
        <v>22</v>
      </c>
      <c r="P65" s="23">
        <v>46064</v>
      </c>
      <c r="Q65" s="24" t="s">
        <v>426</v>
      </c>
      <c r="R65" s="23">
        <v>46100</v>
      </c>
      <c r="S65" s="24" t="s">
        <v>996</v>
      </c>
      <c r="T65" s="24" t="s">
        <v>30</v>
      </c>
      <c r="U65" s="23">
        <v>46100</v>
      </c>
      <c r="V65" s="24" t="s">
        <v>996</v>
      </c>
      <c r="W65" s="15" t="s">
        <v>44</v>
      </c>
      <c r="X65" s="23">
        <v>46112</v>
      </c>
      <c r="Y65" s="15" t="s">
        <v>989</v>
      </c>
      <c r="Z65" s="15" t="s">
        <v>196</v>
      </c>
      <c r="AA65" s="16"/>
      <c r="AB65" s="16"/>
      <c r="AC65" s="16"/>
      <c r="AD65" s="396"/>
      <c r="AE65" s="395"/>
      <c r="AF65" s="396"/>
      <c r="AG65" s="395"/>
      <c r="AH65" s="395"/>
      <c r="AI65" s="396"/>
      <c r="AJ65" s="395"/>
      <c r="AK65" s="395"/>
      <c r="AL65" s="396"/>
      <c r="AM65" s="395"/>
      <c r="AN65" s="395"/>
      <c r="AO65" s="394"/>
    </row>
    <row r="66" spans="2:41" s="115" customFormat="1" ht="40.25" customHeight="1">
      <c r="C66" s="960"/>
      <c r="D66" s="684"/>
      <c r="E66" s="980"/>
      <c r="F66" s="964"/>
      <c r="G66" s="942"/>
      <c r="H66" s="933"/>
      <c r="I66" s="112"/>
      <c r="J66" s="116"/>
      <c r="K66" s="125"/>
      <c r="L66" s="403" t="str">
        <f t="shared" ca="1" si="4"/>
        <v/>
      </c>
      <c r="M66" s="390" t="str">
        <f t="shared" si="5"/>
        <v/>
      </c>
      <c r="N66" s="114"/>
      <c r="O66" s="15"/>
      <c r="P66" s="23"/>
      <c r="Q66" s="24"/>
      <c r="R66" s="23"/>
      <c r="S66" s="24"/>
      <c r="T66" s="15"/>
      <c r="U66" s="23"/>
      <c r="V66" s="24"/>
      <c r="W66" s="15"/>
      <c r="X66" s="23"/>
      <c r="Y66" s="15"/>
      <c r="Z66" s="15"/>
      <c r="AA66" s="16"/>
      <c r="AB66" s="16"/>
      <c r="AC66" s="16"/>
      <c r="AD66" s="396"/>
      <c r="AE66" s="395"/>
      <c r="AF66" s="396"/>
      <c r="AG66" s="395"/>
      <c r="AH66" s="395"/>
      <c r="AI66" s="396"/>
      <c r="AJ66" s="395"/>
      <c r="AK66" s="395"/>
      <c r="AL66" s="396"/>
      <c r="AM66" s="395"/>
      <c r="AN66" s="395"/>
      <c r="AO66" s="394"/>
    </row>
    <row r="67" spans="2:41" s="115" customFormat="1" ht="40.25" customHeight="1">
      <c r="C67" s="960"/>
      <c r="D67" s="684"/>
      <c r="E67" s="981"/>
      <c r="F67" s="965"/>
      <c r="G67" s="943"/>
      <c r="H67" s="934"/>
      <c r="I67" s="112"/>
      <c r="J67" s="116"/>
      <c r="K67" s="125"/>
      <c r="L67" s="403" t="str">
        <f t="shared" ca="1" si="4"/>
        <v/>
      </c>
      <c r="M67" s="390" t="str">
        <f t="shared" si="5"/>
        <v/>
      </c>
      <c r="N67" s="114"/>
      <c r="O67" s="15"/>
      <c r="P67" s="23"/>
      <c r="Q67" s="24"/>
      <c r="R67" s="23"/>
      <c r="S67" s="24"/>
      <c r="T67" s="15"/>
      <c r="U67" s="23"/>
      <c r="V67" s="24"/>
      <c r="W67" s="15"/>
      <c r="X67" s="23"/>
      <c r="Y67" s="15"/>
      <c r="Z67" s="15"/>
      <c r="AA67" s="16"/>
      <c r="AB67" s="16"/>
      <c r="AC67" s="16"/>
      <c r="AD67" s="396"/>
      <c r="AE67" s="395"/>
      <c r="AF67" s="396"/>
      <c r="AG67" s="395"/>
      <c r="AH67" s="395"/>
      <c r="AI67" s="396"/>
      <c r="AJ67" s="395"/>
      <c r="AK67" s="395"/>
      <c r="AL67" s="396"/>
      <c r="AM67" s="395"/>
      <c r="AN67" s="395"/>
      <c r="AO67" s="394"/>
    </row>
    <row r="68" spans="2:41" s="165" customFormat="1" ht="40.25" customHeight="1">
      <c r="C68" s="960">
        <v>22</v>
      </c>
      <c r="D68" s="765">
        <v>5</v>
      </c>
      <c r="E68" s="626" t="s">
        <v>1339</v>
      </c>
      <c r="F68" s="925" t="s">
        <v>1338</v>
      </c>
      <c r="G68" s="928" t="s">
        <v>415</v>
      </c>
      <c r="H68" s="792" t="s">
        <v>1337</v>
      </c>
      <c r="I68" s="297">
        <f>IF(J68="","",J68-30)</f>
        <v>46143</v>
      </c>
      <c r="J68" s="297">
        <f>IF(K68="","",K68-30)</f>
        <v>46173</v>
      </c>
      <c r="K68" s="309">
        <v>46203</v>
      </c>
      <c r="L68" s="299" t="str">
        <f t="shared" ca="1" si="4"/>
        <v/>
      </c>
      <c r="M68" s="300">
        <f t="shared" si="5"/>
        <v>81</v>
      </c>
      <c r="N68" s="15" t="s">
        <v>925</v>
      </c>
      <c r="O68" s="163" t="s">
        <v>22</v>
      </c>
      <c r="P68" s="23">
        <v>46062</v>
      </c>
      <c r="Q68" s="24" t="s">
        <v>414</v>
      </c>
      <c r="R68" s="23">
        <v>46097</v>
      </c>
      <c r="S68" s="24" t="s">
        <v>997</v>
      </c>
      <c r="T68" s="15" t="s">
        <v>38</v>
      </c>
      <c r="U68" s="23">
        <v>46097</v>
      </c>
      <c r="V68" s="24" t="s">
        <v>997</v>
      </c>
      <c r="W68" s="15" t="s">
        <v>44</v>
      </c>
      <c r="X68" s="23">
        <v>46112</v>
      </c>
      <c r="Y68" s="15" t="s">
        <v>998</v>
      </c>
      <c r="Z68" s="15" t="s">
        <v>196</v>
      </c>
      <c r="AA68" s="16"/>
      <c r="AB68" s="678" t="s">
        <v>845</v>
      </c>
      <c r="AC68" s="15" t="s">
        <v>22</v>
      </c>
      <c r="AD68" s="396">
        <v>46065</v>
      </c>
      <c r="AE68" s="395" t="s">
        <v>846</v>
      </c>
      <c r="AF68" s="396">
        <v>46105</v>
      </c>
      <c r="AG68" s="395" t="s">
        <v>999</v>
      </c>
      <c r="AH68" s="395" t="s">
        <v>208</v>
      </c>
      <c r="AI68" s="396">
        <v>46105</v>
      </c>
      <c r="AJ68" s="395" t="s">
        <v>999</v>
      </c>
      <c r="AK68" s="15" t="s">
        <v>201</v>
      </c>
      <c r="AL68" s="396"/>
      <c r="AM68" s="395"/>
      <c r="AN68" s="395"/>
      <c r="AO68" s="394"/>
    </row>
    <row r="69" spans="2:41" s="165" customFormat="1" ht="40.25" customHeight="1">
      <c r="C69" s="960"/>
      <c r="D69" s="765"/>
      <c r="E69" s="627"/>
      <c r="F69" s="926"/>
      <c r="G69" s="929"/>
      <c r="H69" s="793"/>
      <c r="I69" s="298"/>
      <c r="J69" s="297"/>
      <c r="K69" s="309"/>
      <c r="L69" s="299" t="str">
        <f t="shared" ca="1" si="4"/>
        <v/>
      </c>
      <c r="M69" s="300" t="str">
        <f t="shared" si="5"/>
        <v/>
      </c>
      <c r="N69" s="301"/>
      <c r="O69" s="163"/>
      <c r="P69" s="23"/>
      <c r="Q69" s="24"/>
      <c r="R69" s="23"/>
      <c r="S69" s="24"/>
      <c r="T69" s="15"/>
      <c r="U69" s="23"/>
      <c r="V69" s="24"/>
      <c r="W69" s="15"/>
      <c r="X69" s="23"/>
      <c r="Y69" s="15"/>
      <c r="Z69" s="15"/>
      <c r="AA69" s="16"/>
      <c r="AB69" s="679"/>
      <c r="AC69" s="26" t="s">
        <v>54</v>
      </c>
      <c r="AD69" s="400">
        <v>46134</v>
      </c>
      <c r="AE69" s="399" t="s">
        <v>1200</v>
      </c>
      <c r="AF69" s="396"/>
      <c r="AG69" s="395"/>
      <c r="AH69" s="395"/>
      <c r="AI69" s="396"/>
      <c r="AJ69" s="395"/>
      <c r="AK69" s="395"/>
      <c r="AL69" s="396"/>
      <c r="AM69" s="395"/>
      <c r="AN69" s="395"/>
      <c r="AO69" s="394"/>
    </row>
    <row r="70" spans="2:41" s="165" customFormat="1" ht="40.25" customHeight="1">
      <c r="C70" s="960"/>
      <c r="D70" s="765"/>
      <c r="E70" s="628"/>
      <c r="F70" s="927"/>
      <c r="G70" s="930"/>
      <c r="H70" s="794"/>
      <c r="I70" s="298"/>
      <c r="J70" s="297"/>
      <c r="K70" s="309"/>
      <c r="L70" s="299" t="str">
        <f t="shared" ca="1" si="4"/>
        <v/>
      </c>
      <c r="M70" s="300" t="str">
        <f t="shared" si="5"/>
        <v/>
      </c>
      <c r="N70" s="301"/>
      <c r="O70" s="163"/>
      <c r="P70" s="23"/>
      <c r="Q70" s="24"/>
      <c r="R70" s="23"/>
      <c r="S70" s="24"/>
      <c r="T70" s="15"/>
      <c r="U70" s="23"/>
      <c r="V70" s="24"/>
      <c r="W70" s="15"/>
      <c r="X70" s="23"/>
      <c r="Y70" s="15"/>
      <c r="Z70" s="15"/>
      <c r="AA70" s="16"/>
      <c r="AB70" s="680"/>
      <c r="AC70" s="16"/>
      <c r="AD70" s="396"/>
      <c r="AE70" s="395"/>
      <c r="AF70" s="396"/>
      <c r="AG70" s="395"/>
      <c r="AH70" s="395"/>
      <c r="AI70" s="396"/>
      <c r="AJ70" s="395"/>
      <c r="AK70" s="395"/>
      <c r="AL70" s="396"/>
      <c r="AM70" s="395"/>
      <c r="AN70" s="395"/>
      <c r="AO70" s="394"/>
    </row>
    <row r="71" spans="2:41" s="164" customFormat="1" ht="40.25" customHeight="1">
      <c r="B71" s="947">
        <v>163</v>
      </c>
      <c r="C71" s="960">
        <v>23</v>
      </c>
      <c r="D71" s="788">
        <v>25</v>
      </c>
      <c r="E71" s="938" t="s">
        <v>1336</v>
      </c>
      <c r="F71" s="925" t="s">
        <v>503</v>
      </c>
      <c r="G71" s="928" t="s">
        <v>1335</v>
      </c>
      <c r="H71" s="792" t="s">
        <v>1334</v>
      </c>
      <c r="I71" s="297">
        <f>IF(J71="","",J71-30)</f>
        <v>46058</v>
      </c>
      <c r="J71" s="297">
        <f>IF(K71="","",K71-30)</f>
        <v>46088</v>
      </c>
      <c r="K71" s="298">
        <v>46118</v>
      </c>
      <c r="L71" s="299" t="str">
        <f t="shared" ca="1" si="4"/>
        <v/>
      </c>
      <c r="M71" s="300">
        <f t="shared" si="5"/>
        <v>9</v>
      </c>
      <c r="N71" s="301" t="s">
        <v>241</v>
      </c>
      <c r="O71" s="163" t="s">
        <v>22</v>
      </c>
      <c r="P71" s="23">
        <v>46049</v>
      </c>
      <c r="Q71" s="24" t="s">
        <v>1074</v>
      </c>
      <c r="R71" s="23">
        <v>46085</v>
      </c>
      <c r="S71" s="24" t="s">
        <v>1333</v>
      </c>
      <c r="T71" s="15" t="s">
        <v>38</v>
      </c>
      <c r="U71" s="23">
        <v>46085</v>
      </c>
      <c r="V71" s="24" t="s">
        <v>1333</v>
      </c>
      <c r="W71" s="15" t="s">
        <v>44</v>
      </c>
      <c r="X71" s="27"/>
      <c r="Y71" s="28"/>
      <c r="Z71" s="26"/>
      <c r="AA71" s="16"/>
      <c r="AB71" s="678" t="s">
        <v>847</v>
      </c>
      <c r="AC71" s="15" t="s">
        <v>22</v>
      </c>
      <c r="AD71" s="396">
        <v>46065</v>
      </c>
      <c r="AE71" s="398" t="s">
        <v>848</v>
      </c>
      <c r="AF71" s="396">
        <v>46105</v>
      </c>
      <c r="AG71" s="398" t="s">
        <v>1000</v>
      </c>
      <c r="AH71" s="395" t="s">
        <v>208</v>
      </c>
      <c r="AI71" s="396">
        <v>46105</v>
      </c>
      <c r="AJ71" s="398" t="s">
        <v>1000</v>
      </c>
      <c r="AK71" s="15" t="s">
        <v>201</v>
      </c>
      <c r="AL71" s="396"/>
      <c r="AM71" s="398"/>
      <c r="AN71" s="398"/>
      <c r="AO71" s="397"/>
    </row>
    <row r="72" spans="2:41" s="164" customFormat="1" ht="39.65" customHeight="1">
      <c r="B72" s="947"/>
      <c r="C72" s="960"/>
      <c r="D72" s="789"/>
      <c r="E72" s="939"/>
      <c r="F72" s="926"/>
      <c r="G72" s="929"/>
      <c r="H72" s="793"/>
      <c r="I72" s="298"/>
      <c r="J72" s="298"/>
      <c r="K72" s="298"/>
      <c r="L72" s="299" t="str">
        <f t="shared" ca="1" si="4"/>
        <v/>
      </c>
      <c r="M72" s="300" t="str">
        <f t="shared" si="5"/>
        <v/>
      </c>
      <c r="N72" s="301"/>
      <c r="O72" s="163"/>
      <c r="P72" s="23"/>
      <c r="Q72" s="23"/>
      <c r="R72" s="23"/>
      <c r="S72" s="24"/>
      <c r="T72" s="15"/>
      <c r="U72" s="23"/>
      <c r="V72" s="24"/>
      <c r="W72" s="15"/>
      <c r="X72" s="23"/>
      <c r="Y72" s="15"/>
      <c r="Z72" s="15"/>
      <c r="AA72" s="16"/>
      <c r="AB72" s="679"/>
      <c r="AC72" s="16"/>
      <c r="AD72" s="396"/>
      <c r="AE72" s="398"/>
      <c r="AF72" s="396"/>
      <c r="AG72" s="398"/>
      <c r="AH72" s="398"/>
      <c r="AI72" s="396"/>
      <c r="AJ72" s="398"/>
      <c r="AK72" s="398"/>
      <c r="AL72" s="396"/>
      <c r="AM72" s="398"/>
      <c r="AN72" s="398"/>
      <c r="AO72" s="397"/>
    </row>
    <row r="73" spans="2:41" s="164" customFormat="1" ht="40.25" customHeight="1">
      <c r="B73" s="947"/>
      <c r="C73" s="960"/>
      <c r="D73" s="790"/>
      <c r="E73" s="940"/>
      <c r="F73" s="927"/>
      <c r="G73" s="930"/>
      <c r="H73" s="794"/>
      <c r="I73" s="298"/>
      <c r="J73" s="298"/>
      <c r="K73" s="298"/>
      <c r="L73" s="299" t="str">
        <f t="shared" ca="1" si="4"/>
        <v/>
      </c>
      <c r="M73" s="300" t="str">
        <f t="shared" si="5"/>
        <v/>
      </c>
      <c r="N73" s="301"/>
      <c r="O73" s="163"/>
      <c r="P73" s="23"/>
      <c r="Q73" s="24"/>
      <c r="R73" s="23"/>
      <c r="S73" s="24"/>
      <c r="T73" s="15"/>
      <c r="U73" s="23"/>
      <c r="V73" s="24"/>
      <c r="W73" s="15"/>
      <c r="X73" s="23"/>
      <c r="Y73" s="15"/>
      <c r="Z73" s="15"/>
      <c r="AA73" s="16"/>
      <c r="AB73" s="680"/>
      <c r="AC73" s="16"/>
      <c r="AD73" s="396"/>
      <c r="AE73" s="398"/>
      <c r="AF73" s="396"/>
      <c r="AG73" s="398"/>
      <c r="AH73" s="398"/>
      <c r="AI73" s="396"/>
      <c r="AJ73" s="398"/>
      <c r="AK73" s="398"/>
      <c r="AL73" s="396"/>
      <c r="AM73" s="398"/>
      <c r="AN73" s="398"/>
      <c r="AO73" s="397"/>
    </row>
    <row r="74" spans="2:41" s="165" customFormat="1" ht="40.25" customHeight="1">
      <c r="C74" s="960">
        <v>24</v>
      </c>
      <c r="D74" s="765" t="s">
        <v>1332</v>
      </c>
      <c r="E74" s="626" t="s">
        <v>1331</v>
      </c>
      <c r="F74" s="925" t="s">
        <v>1330</v>
      </c>
      <c r="G74" s="928" t="s">
        <v>958</v>
      </c>
      <c r="H74" s="792" t="s">
        <v>258</v>
      </c>
      <c r="I74" s="297">
        <f>IF(J74="","",J74-30)</f>
        <v>46143</v>
      </c>
      <c r="J74" s="297">
        <f>IF(K74="","",K74-30)</f>
        <v>46173</v>
      </c>
      <c r="K74" s="309">
        <v>46203</v>
      </c>
      <c r="L74" s="299" t="str">
        <f t="shared" ca="1" si="4"/>
        <v/>
      </c>
      <c r="M74" s="300">
        <f t="shared" si="5"/>
        <v>79</v>
      </c>
      <c r="N74" s="15" t="s">
        <v>925</v>
      </c>
      <c r="O74" s="163" t="s">
        <v>22</v>
      </c>
      <c r="P74" s="23">
        <v>46064</v>
      </c>
      <c r="Q74" s="24" t="s">
        <v>422</v>
      </c>
      <c r="R74" s="23">
        <v>46087</v>
      </c>
      <c r="S74" s="24" t="s">
        <v>1075</v>
      </c>
      <c r="T74" s="15" t="s">
        <v>38</v>
      </c>
      <c r="U74" s="23">
        <v>46087</v>
      </c>
      <c r="V74" s="24" t="s">
        <v>1075</v>
      </c>
      <c r="W74" s="15" t="s">
        <v>44</v>
      </c>
      <c r="X74" s="23">
        <v>46105</v>
      </c>
      <c r="Y74" s="15" t="s">
        <v>1001</v>
      </c>
      <c r="Z74" s="15" t="s">
        <v>196</v>
      </c>
      <c r="AA74" s="16"/>
      <c r="AB74" s="16"/>
      <c r="AC74" s="16"/>
      <c r="AD74" s="396"/>
      <c r="AE74" s="395"/>
      <c r="AF74" s="396"/>
      <c r="AG74" s="395"/>
      <c r="AH74" s="395"/>
      <c r="AI74" s="396"/>
      <c r="AJ74" s="395"/>
      <c r="AK74" s="395"/>
      <c r="AL74" s="396"/>
      <c r="AM74" s="395"/>
      <c r="AN74" s="395"/>
      <c r="AO74" s="394"/>
    </row>
    <row r="75" spans="2:41" s="165" customFormat="1" ht="40.25" customHeight="1">
      <c r="C75" s="960"/>
      <c r="D75" s="765"/>
      <c r="E75" s="627"/>
      <c r="F75" s="926"/>
      <c r="G75" s="929"/>
      <c r="H75" s="793"/>
      <c r="I75" s="298"/>
      <c r="J75" s="297"/>
      <c r="K75" s="309"/>
      <c r="L75" s="299" t="str">
        <f t="shared" ca="1" si="4"/>
        <v/>
      </c>
      <c r="M75" s="300" t="str">
        <f t="shared" si="5"/>
        <v/>
      </c>
      <c r="N75" s="301"/>
      <c r="O75" s="163"/>
      <c r="P75" s="23"/>
      <c r="Q75" s="24"/>
      <c r="R75" s="23"/>
      <c r="S75" s="24"/>
      <c r="T75" s="15"/>
      <c r="U75" s="23"/>
      <c r="V75" s="24"/>
      <c r="W75" s="15"/>
      <c r="X75" s="23"/>
      <c r="Y75" s="15"/>
      <c r="Z75" s="15"/>
      <c r="AA75" s="16"/>
      <c r="AB75" s="16"/>
      <c r="AC75" s="16"/>
      <c r="AD75" s="396"/>
      <c r="AE75" s="395"/>
      <c r="AF75" s="396"/>
      <c r="AG75" s="395"/>
      <c r="AH75" s="395"/>
      <c r="AI75" s="396"/>
      <c r="AJ75" s="395"/>
      <c r="AK75" s="395"/>
      <c r="AL75" s="396"/>
      <c r="AM75" s="395"/>
      <c r="AN75" s="395"/>
      <c r="AO75" s="394"/>
    </row>
    <row r="76" spans="2:41" s="165" customFormat="1" ht="40.25" customHeight="1">
      <c r="C76" s="960"/>
      <c r="D76" s="765"/>
      <c r="E76" s="628"/>
      <c r="F76" s="927"/>
      <c r="G76" s="930"/>
      <c r="H76" s="794"/>
      <c r="I76" s="298"/>
      <c r="J76" s="297"/>
      <c r="K76" s="309"/>
      <c r="L76" s="299" t="str">
        <f t="shared" ca="1" si="4"/>
        <v/>
      </c>
      <c r="M76" s="300" t="str">
        <f t="shared" si="5"/>
        <v/>
      </c>
      <c r="N76" s="301"/>
      <c r="O76" s="163"/>
      <c r="P76" s="23"/>
      <c r="Q76" s="24"/>
      <c r="R76" s="23"/>
      <c r="S76" s="24"/>
      <c r="T76" s="15"/>
      <c r="U76" s="23"/>
      <c r="V76" s="24"/>
      <c r="W76" s="15"/>
      <c r="X76" s="23"/>
      <c r="Y76" s="15"/>
      <c r="Z76" s="15"/>
      <c r="AA76" s="16"/>
      <c r="AB76" s="16"/>
      <c r="AC76" s="16"/>
      <c r="AD76" s="396"/>
      <c r="AE76" s="395"/>
      <c r="AF76" s="396"/>
      <c r="AG76" s="395"/>
      <c r="AH76" s="395"/>
      <c r="AI76" s="396"/>
      <c r="AJ76" s="395"/>
      <c r="AK76" s="395"/>
      <c r="AL76" s="396"/>
      <c r="AM76" s="395"/>
      <c r="AN76" s="395"/>
      <c r="AO76" s="394"/>
    </row>
    <row r="77" spans="2:41" s="165" customFormat="1" ht="40.25" customHeight="1">
      <c r="B77" s="777">
        <v>187</v>
      </c>
      <c r="C77" s="960">
        <v>25</v>
      </c>
      <c r="D77" s="765">
        <v>13</v>
      </c>
      <c r="E77" s="626" t="s">
        <v>1329</v>
      </c>
      <c r="F77" s="925" t="s">
        <v>1328</v>
      </c>
      <c r="G77" s="928" t="s">
        <v>1072</v>
      </c>
      <c r="H77" s="792" t="s">
        <v>1201</v>
      </c>
      <c r="I77" s="297">
        <f>IF(J77="","",J77-30)</f>
        <v>45912</v>
      </c>
      <c r="J77" s="297">
        <f>IF(K77="","",K77-30)</f>
        <v>45942</v>
      </c>
      <c r="K77" s="309">
        <v>45972</v>
      </c>
      <c r="L77" s="299" t="str">
        <f t="shared" ca="1" si="4"/>
        <v/>
      </c>
      <c r="M77" s="300">
        <f t="shared" si="5"/>
        <v>18</v>
      </c>
      <c r="N77" s="301"/>
      <c r="O77" s="163" t="s">
        <v>22</v>
      </c>
      <c r="P77" s="23">
        <v>45894</v>
      </c>
      <c r="Q77" s="24" t="s">
        <v>167</v>
      </c>
      <c r="R77" s="23">
        <v>45898</v>
      </c>
      <c r="S77" s="24" t="s">
        <v>168</v>
      </c>
      <c r="T77" s="15" t="s">
        <v>25</v>
      </c>
      <c r="U77" s="23"/>
      <c r="V77" s="24"/>
      <c r="W77" s="15"/>
      <c r="X77" s="23"/>
      <c r="Y77" s="15"/>
      <c r="Z77" s="15"/>
      <c r="AA77" s="16"/>
      <c r="AB77" s="678" t="s">
        <v>842</v>
      </c>
      <c r="AC77" s="15" t="s">
        <v>22</v>
      </c>
      <c r="AD77" s="396">
        <v>46051</v>
      </c>
      <c r="AE77" s="395" t="s">
        <v>843</v>
      </c>
      <c r="AF77" s="396">
        <v>46085</v>
      </c>
      <c r="AG77" s="398" t="s">
        <v>844</v>
      </c>
      <c r="AH77" s="395" t="s">
        <v>208</v>
      </c>
      <c r="AI77" s="396">
        <v>46085</v>
      </c>
      <c r="AJ77" s="398" t="s">
        <v>844</v>
      </c>
      <c r="AK77" s="15" t="s">
        <v>201</v>
      </c>
      <c r="AL77" s="396"/>
      <c r="AM77" s="395"/>
      <c r="AN77" s="395"/>
      <c r="AO77" s="394"/>
    </row>
    <row r="78" spans="2:41" s="165" customFormat="1" ht="40.25" customHeight="1">
      <c r="B78" s="777"/>
      <c r="C78" s="960"/>
      <c r="D78" s="765"/>
      <c r="E78" s="627"/>
      <c r="F78" s="926"/>
      <c r="G78" s="929"/>
      <c r="H78" s="793"/>
      <c r="I78" s="298"/>
      <c r="J78" s="297"/>
      <c r="K78" s="309"/>
      <c r="L78" s="299" t="str">
        <f t="shared" ca="1" si="4"/>
        <v/>
      </c>
      <c r="M78" s="300" t="str">
        <f t="shared" si="5"/>
        <v/>
      </c>
      <c r="N78" s="301"/>
      <c r="O78" s="163" t="s">
        <v>45</v>
      </c>
      <c r="P78" s="23">
        <v>45972</v>
      </c>
      <c r="Q78" s="24" t="s">
        <v>169</v>
      </c>
      <c r="R78" s="23">
        <v>46001</v>
      </c>
      <c r="S78" s="24" t="s">
        <v>170</v>
      </c>
      <c r="T78" s="15" t="s">
        <v>171</v>
      </c>
      <c r="U78" s="23">
        <v>46003</v>
      </c>
      <c r="V78" s="24" t="s">
        <v>172</v>
      </c>
      <c r="W78" s="15" t="s">
        <v>44</v>
      </c>
      <c r="X78" s="23"/>
      <c r="Y78" s="15"/>
      <c r="Z78" s="15"/>
      <c r="AA78" s="16"/>
      <c r="AB78" s="679"/>
      <c r="AC78" s="26" t="s">
        <v>54</v>
      </c>
      <c r="AD78" s="400">
        <v>46134</v>
      </c>
      <c r="AE78" s="399" t="s">
        <v>1200</v>
      </c>
      <c r="AF78" s="396"/>
      <c r="AG78" s="395"/>
      <c r="AH78" s="395"/>
      <c r="AI78" s="396"/>
      <c r="AJ78" s="395"/>
      <c r="AK78" s="395"/>
      <c r="AL78" s="396"/>
      <c r="AM78" s="395"/>
      <c r="AN78" s="395"/>
      <c r="AO78" s="394"/>
    </row>
    <row r="79" spans="2:41" s="165" customFormat="1" ht="39.65" customHeight="1">
      <c r="B79" s="777"/>
      <c r="C79" s="960"/>
      <c r="D79" s="765"/>
      <c r="E79" s="628"/>
      <c r="F79" s="927"/>
      <c r="G79" s="930"/>
      <c r="H79" s="794"/>
      <c r="I79" s="298"/>
      <c r="J79" s="297"/>
      <c r="K79" s="309"/>
      <c r="L79" s="299" t="str">
        <f t="shared" ca="1" si="4"/>
        <v/>
      </c>
      <c r="M79" s="300" t="str">
        <f t="shared" si="5"/>
        <v/>
      </c>
      <c r="N79" s="15" t="s">
        <v>925</v>
      </c>
      <c r="O79" s="163" t="s">
        <v>260</v>
      </c>
      <c r="P79" s="23">
        <v>46049</v>
      </c>
      <c r="Q79" s="24" t="s">
        <v>261</v>
      </c>
      <c r="R79" s="23">
        <v>46084</v>
      </c>
      <c r="S79" s="24" t="s">
        <v>1067</v>
      </c>
      <c r="T79" s="15" t="s">
        <v>38</v>
      </c>
      <c r="U79" s="23">
        <v>46084</v>
      </c>
      <c r="V79" s="24" t="s">
        <v>1067</v>
      </c>
      <c r="W79" s="15" t="s">
        <v>44</v>
      </c>
      <c r="X79" s="23">
        <v>46100</v>
      </c>
      <c r="Y79" s="15" t="s">
        <v>979</v>
      </c>
      <c r="Z79" s="15" t="s">
        <v>196</v>
      </c>
      <c r="AA79" s="16"/>
      <c r="AB79" s="680"/>
      <c r="AC79" s="16"/>
      <c r="AD79" s="396"/>
      <c r="AE79" s="395"/>
      <c r="AF79" s="396"/>
      <c r="AG79" s="395"/>
      <c r="AH79" s="395"/>
      <c r="AI79" s="396"/>
      <c r="AJ79" s="395"/>
      <c r="AK79" s="395"/>
      <c r="AL79" s="396"/>
      <c r="AM79" s="395"/>
      <c r="AN79" s="395"/>
      <c r="AO79" s="394"/>
    </row>
    <row r="80" spans="2:41" s="164" customFormat="1" ht="40.25" customHeight="1">
      <c r="B80" s="947">
        <v>156</v>
      </c>
      <c r="C80" s="960">
        <v>26</v>
      </c>
      <c r="D80" s="765">
        <v>61</v>
      </c>
      <c r="E80" s="837" t="s">
        <v>1327</v>
      </c>
      <c r="F80" s="925" t="s">
        <v>1326</v>
      </c>
      <c r="G80" s="928" t="s">
        <v>1325</v>
      </c>
      <c r="H80" s="804" t="s">
        <v>262</v>
      </c>
      <c r="I80" s="297">
        <f>IF(J80="","",J80-30)</f>
        <v>46116</v>
      </c>
      <c r="J80" s="297">
        <f>IF(K80="","",K80-30)</f>
        <v>46146</v>
      </c>
      <c r="K80" s="298">
        <v>46176</v>
      </c>
      <c r="L80" s="299" t="str">
        <f t="shared" ref="L80:L85" ca="1" si="6">IF(I80="","",IF(P80&lt;&gt;"","",IF(AND(P80="",I80-TODAY()&lt;=60),I80-TODAY(),"")))</f>
        <v/>
      </c>
      <c r="M80" s="300">
        <f t="shared" ref="M80:M85" si="7">IF(COUNT(I80, P80)=2, I80-P80, "")</f>
        <v>52</v>
      </c>
      <c r="N80" s="15" t="s">
        <v>925</v>
      </c>
      <c r="O80" s="163" t="s">
        <v>22</v>
      </c>
      <c r="P80" s="23">
        <v>46064</v>
      </c>
      <c r="Q80" s="24" t="s">
        <v>1076</v>
      </c>
      <c r="R80" s="23">
        <v>46087</v>
      </c>
      <c r="S80" s="24" t="s">
        <v>1002</v>
      </c>
      <c r="T80" s="15" t="s">
        <v>38</v>
      </c>
      <c r="U80" s="23">
        <v>46087</v>
      </c>
      <c r="V80" s="24" t="s">
        <v>1002</v>
      </c>
      <c r="W80" s="15" t="s">
        <v>44</v>
      </c>
      <c r="X80" s="23">
        <v>46111</v>
      </c>
      <c r="Y80" s="15" t="s">
        <v>1003</v>
      </c>
      <c r="Z80" s="15" t="s">
        <v>196</v>
      </c>
      <c r="AA80" s="16"/>
      <c r="AB80" s="16"/>
      <c r="AC80" s="16"/>
      <c r="AD80" s="396"/>
      <c r="AE80" s="398"/>
      <c r="AF80" s="396"/>
      <c r="AG80" s="398"/>
      <c r="AH80" s="398"/>
      <c r="AI80" s="396"/>
      <c r="AJ80" s="398"/>
      <c r="AK80" s="398"/>
      <c r="AL80" s="396"/>
      <c r="AM80" s="398"/>
      <c r="AN80" s="398"/>
      <c r="AO80" s="397"/>
    </row>
    <row r="81" spans="1:41" s="164" customFormat="1" ht="39.65" customHeight="1">
      <c r="B81" s="947"/>
      <c r="C81" s="960"/>
      <c r="D81" s="765"/>
      <c r="E81" s="837"/>
      <c r="F81" s="926"/>
      <c r="G81" s="929"/>
      <c r="H81" s="804"/>
      <c r="I81" s="298"/>
      <c r="J81" s="298"/>
      <c r="K81" s="298"/>
      <c r="L81" s="299" t="str">
        <f t="shared" ca="1" si="6"/>
        <v/>
      </c>
      <c r="M81" s="300" t="str">
        <f t="shared" si="7"/>
        <v/>
      </c>
      <c r="N81" s="301"/>
      <c r="O81" s="163"/>
      <c r="P81" s="23"/>
      <c r="Q81" s="23"/>
      <c r="R81" s="23"/>
      <c r="S81" s="24"/>
      <c r="T81" s="15"/>
      <c r="U81" s="23"/>
      <c r="V81" s="24"/>
      <c r="W81" s="15"/>
      <c r="X81" s="23"/>
      <c r="Y81" s="15"/>
      <c r="Z81" s="15"/>
      <c r="AA81" s="16"/>
      <c r="AB81" s="16"/>
      <c r="AC81" s="16"/>
      <c r="AD81" s="396"/>
      <c r="AE81" s="398"/>
      <c r="AF81" s="396"/>
      <c r="AG81" s="398"/>
      <c r="AH81" s="398"/>
      <c r="AI81" s="396"/>
      <c r="AJ81" s="398"/>
      <c r="AK81" s="398"/>
      <c r="AL81" s="396"/>
      <c r="AM81" s="398"/>
      <c r="AN81" s="398"/>
      <c r="AO81" s="397"/>
    </row>
    <row r="82" spans="1:41" s="164" customFormat="1" ht="40.25" customHeight="1">
      <c r="B82" s="947"/>
      <c r="C82" s="960"/>
      <c r="D82" s="765"/>
      <c r="E82" s="837"/>
      <c r="F82" s="927"/>
      <c r="G82" s="930"/>
      <c r="H82" s="804"/>
      <c r="I82" s="298"/>
      <c r="J82" s="298"/>
      <c r="K82" s="298"/>
      <c r="L82" s="299" t="str">
        <f t="shared" ca="1" si="6"/>
        <v/>
      </c>
      <c r="M82" s="300" t="str">
        <f t="shared" si="7"/>
        <v/>
      </c>
      <c r="N82" s="301"/>
      <c r="O82" s="163"/>
      <c r="P82" s="23"/>
      <c r="Q82" s="24"/>
      <c r="R82" s="23"/>
      <c r="S82" s="24"/>
      <c r="T82" s="15"/>
      <c r="U82" s="23"/>
      <c r="V82" s="24"/>
      <c r="W82" s="15"/>
      <c r="X82" s="23"/>
      <c r="Y82" s="15"/>
      <c r="Z82" s="15"/>
      <c r="AA82" s="16"/>
      <c r="AB82" s="16"/>
      <c r="AC82" s="16"/>
      <c r="AD82" s="396"/>
      <c r="AE82" s="398"/>
      <c r="AF82" s="396"/>
      <c r="AG82" s="398"/>
      <c r="AH82" s="398"/>
      <c r="AI82" s="396"/>
      <c r="AJ82" s="398"/>
      <c r="AK82" s="398"/>
      <c r="AL82" s="396"/>
      <c r="AM82" s="398"/>
      <c r="AN82" s="398"/>
      <c r="AO82" s="397"/>
    </row>
    <row r="83" spans="1:41" s="165" customFormat="1" ht="40.25" customHeight="1">
      <c r="B83" s="777">
        <v>210</v>
      </c>
      <c r="C83" s="960">
        <v>27</v>
      </c>
      <c r="D83" s="765">
        <v>60</v>
      </c>
      <c r="E83" s="626" t="s">
        <v>1324</v>
      </c>
      <c r="F83" s="925" t="s">
        <v>1323</v>
      </c>
      <c r="G83" s="928" t="s">
        <v>428</v>
      </c>
      <c r="H83" s="792" t="s">
        <v>262</v>
      </c>
      <c r="I83" s="297">
        <f>IF(J83="","",J83-30)</f>
        <v>45778</v>
      </c>
      <c r="J83" s="297">
        <f>IF(K83="","",K83-30)</f>
        <v>45808</v>
      </c>
      <c r="K83" s="309">
        <v>45838</v>
      </c>
      <c r="L83" s="299" t="str">
        <f t="shared" ca="1" si="6"/>
        <v/>
      </c>
      <c r="M83" s="300">
        <f t="shared" si="7"/>
        <v>-288</v>
      </c>
      <c r="N83" s="15" t="s">
        <v>925</v>
      </c>
      <c r="O83" s="163" t="s">
        <v>22</v>
      </c>
      <c r="P83" s="23">
        <v>46066</v>
      </c>
      <c r="Q83" s="24" t="s">
        <v>1322</v>
      </c>
      <c r="R83" s="23">
        <v>46105</v>
      </c>
      <c r="S83" s="24" t="s">
        <v>1004</v>
      </c>
      <c r="T83" s="15" t="s">
        <v>38</v>
      </c>
      <c r="U83" s="23">
        <v>46105</v>
      </c>
      <c r="V83" s="24" t="s">
        <v>1004</v>
      </c>
      <c r="W83" s="15" t="s">
        <v>44</v>
      </c>
      <c r="X83" s="23">
        <v>46141</v>
      </c>
      <c r="Y83" s="15" t="s">
        <v>1165</v>
      </c>
      <c r="Z83" s="15" t="s">
        <v>196</v>
      </c>
      <c r="AA83" s="16"/>
      <c r="AB83" s="16"/>
      <c r="AC83" s="16"/>
      <c r="AD83" s="396"/>
      <c r="AE83" s="395"/>
      <c r="AF83" s="396"/>
      <c r="AG83" s="395"/>
      <c r="AH83" s="395"/>
      <c r="AI83" s="396"/>
      <c r="AJ83" s="395"/>
      <c r="AK83" s="395"/>
      <c r="AL83" s="396"/>
      <c r="AM83" s="395"/>
      <c r="AN83" s="395"/>
      <c r="AO83" s="394"/>
    </row>
    <row r="84" spans="1:41" s="165" customFormat="1" ht="40.25" customHeight="1">
      <c r="B84" s="777"/>
      <c r="C84" s="960"/>
      <c r="D84" s="765"/>
      <c r="E84" s="627"/>
      <c r="F84" s="926"/>
      <c r="G84" s="929"/>
      <c r="H84" s="793"/>
      <c r="I84" s="298"/>
      <c r="J84" s="297"/>
      <c r="K84" s="309"/>
      <c r="L84" s="299" t="str">
        <f t="shared" ca="1" si="6"/>
        <v/>
      </c>
      <c r="M84" s="300" t="str">
        <f t="shared" si="7"/>
        <v/>
      </c>
      <c r="N84" s="301"/>
      <c r="O84" s="163"/>
      <c r="P84" s="23"/>
      <c r="Q84" s="24"/>
      <c r="R84" s="23"/>
      <c r="S84" s="24"/>
      <c r="T84" s="15"/>
      <c r="U84" s="23"/>
      <c r="V84" s="24"/>
      <c r="W84" s="15"/>
      <c r="X84" s="23"/>
      <c r="Y84" s="15"/>
      <c r="Z84" s="15"/>
      <c r="AA84" s="16"/>
      <c r="AB84" s="16"/>
      <c r="AC84" s="16"/>
      <c r="AD84" s="396"/>
      <c r="AE84" s="395"/>
      <c r="AF84" s="396"/>
      <c r="AG84" s="395"/>
      <c r="AH84" s="395"/>
      <c r="AI84" s="396"/>
      <c r="AJ84" s="395"/>
      <c r="AK84" s="395"/>
      <c r="AL84" s="396"/>
      <c r="AM84" s="395"/>
      <c r="AN84" s="395"/>
      <c r="AO84" s="394"/>
    </row>
    <row r="85" spans="1:41" s="165" customFormat="1" ht="39.65" customHeight="1">
      <c r="B85" s="777"/>
      <c r="C85" s="960"/>
      <c r="D85" s="765"/>
      <c r="E85" s="628"/>
      <c r="F85" s="927"/>
      <c r="G85" s="930"/>
      <c r="H85" s="794"/>
      <c r="I85" s="298"/>
      <c r="J85" s="297"/>
      <c r="K85" s="309"/>
      <c r="L85" s="299" t="str">
        <f t="shared" ca="1" si="6"/>
        <v/>
      </c>
      <c r="M85" s="300" t="str">
        <f t="shared" si="7"/>
        <v/>
      </c>
      <c r="N85" s="301"/>
      <c r="O85" s="163"/>
      <c r="P85" s="23"/>
      <c r="Q85" s="24"/>
      <c r="R85" s="23"/>
      <c r="S85" s="24"/>
      <c r="T85" s="15"/>
      <c r="U85" s="23"/>
      <c r="V85" s="24"/>
      <c r="W85" s="15"/>
      <c r="X85" s="23"/>
      <c r="Y85" s="15"/>
      <c r="Z85" s="15"/>
      <c r="AA85" s="16"/>
      <c r="AB85" s="16"/>
      <c r="AC85" s="16"/>
      <c r="AD85" s="396"/>
      <c r="AE85" s="395"/>
      <c r="AF85" s="396"/>
      <c r="AG85" s="395"/>
      <c r="AH85" s="395"/>
      <c r="AI85" s="396"/>
      <c r="AJ85" s="395"/>
      <c r="AK85" s="395"/>
      <c r="AL85" s="396"/>
      <c r="AM85" s="395"/>
      <c r="AN85" s="395"/>
      <c r="AO85" s="394"/>
    </row>
    <row r="86" spans="1:41" s="165" customFormat="1" ht="40.25" customHeight="1">
      <c r="B86" s="777"/>
      <c r="C86" s="960">
        <v>28</v>
      </c>
      <c r="D86" s="765">
        <v>55</v>
      </c>
      <c r="E86" s="626" t="s">
        <v>1198</v>
      </c>
      <c r="F86" s="925" t="s">
        <v>1321</v>
      </c>
      <c r="G86" s="928" t="s">
        <v>416</v>
      </c>
      <c r="H86" s="792" t="s">
        <v>284</v>
      </c>
      <c r="I86" s="297">
        <f>IF(J86="","",J86-30)</f>
        <v>46143</v>
      </c>
      <c r="J86" s="297">
        <f>IF(K86="","",K86-30)</f>
        <v>46173</v>
      </c>
      <c r="K86" s="298">
        <v>46203</v>
      </c>
      <c r="L86" s="299"/>
      <c r="M86" s="299"/>
      <c r="N86" s="301"/>
      <c r="O86" s="163" t="s">
        <v>22</v>
      </c>
      <c r="P86" s="23">
        <v>45996</v>
      </c>
      <c r="Q86" s="24" t="s">
        <v>1196</v>
      </c>
      <c r="R86" s="23">
        <v>46010</v>
      </c>
      <c r="S86" s="24" t="s">
        <v>1195</v>
      </c>
      <c r="T86" s="15" t="s">
        <v>25</v>
      </c>
      <c r="U86" s="23"/>
      <c r="V86" s="24"/>
      <c r="W86" s="24"/>
      <c r="X86" s="23"/>
      <c r="Y86" s="15"/>
      <c r="Z86" s="15"/>
      <c r="AA86" s="16"/>
      <c r="AB86" s="16"/>
      <c r="AC86" s="16"/>
      <c r="AD86" s="396"/>
      <c r="AE86" s="395"/>
      <c r="AF86" s="396"/>
      <c r="AG86" s="395"/>
      <c r="AH86" s="395"/>
      <c r="AI86" s="396"/>
      <c r="AJ86" s="395"/>
      <c r="AK86" s="395"/>
      <c r="AL86" s="396"/>
      <c r="AM86" s="395"/>
      <c r="AN86" s="395"/>
      <c r="AO86" s="394"/>
    </row>
    <row r="87" spans="1:41" s="165" customFormat="1" ht="40.25" customHeight="1">
      <c r="B87" s="777"/>
      <c r="C87" s="960"/>
      <c r="D87" s="765"/>
      <c r="E87" s="627"/>
      <c r="F87" s="926"/>
      <c r="G87" s="929"/>
      <c r="H87" s="793"/>
      <c r="I87" s="298"/>
      <c r="J87" s="297"/>
      <c r="K87" s="309"/>
      <c r="L87" s="299"/>
      <c r="M87" s="299"/>
      <c r="N87" s="301"/>
      <c r="O87" s="163" t="s">
        <v>27</v>
      </c>
      <c r="P87" s="23">
        <v>46028</v>
      </c>
      <c r="Q87" s="24" t="s">
        <v>1194</v>
      </c>
      <c r="R87" s="23">
        <v>46034</v>
      </c>
      <c r="S87" s="24" t="s">
        <v>1068</v>
      </c>
      <c r="T87" s="24" t="s">
        <v>30</v>
      </c>
      <c r="U87" s="23">
        <v>46035</v>
      </c>
      <c r="V87" s="24" t="s">
        <v>1193</v>
      </c>
      <c r="W87" s="15" t="s">
        <v>44</v>
      </c>
      <c r="X87" s="23"/>
      <c r="Y87" s="15"/>
      <c r="Z87" s="15"/>
      <c r="AA87" s="16"/>
      <c r="AB87" s="16"/>
      <c r="AC87" s="16"/>
      <c r="AD87" s="396"/>
      <c r="AE87" s="395"/>
      <c r="AF87" s="396"/>
      <c r="AG87" s="395"/>
      <c r="AH87" s="395"/>
      <c r="AI87" s="396"/>
      <c r="AJ87" s="395"/>
      <c r="AK87" s="395"/>
      <c r="AL87" s="396"/>
      <c r="AM87" s="395"/>
      <c r="AN87" s="395"/>
      <c r="AO87" s="394"/>
    </row>
    <row r="88" spans="1:41" s="165" customFormat="1" ht="39.65" customHeight="1">
      <c r="B88" s="777"/>
      <c r="C88" s="960"/>
      <c r="D88" s="765"/>
      <c r="E88" s="628"/>
      <c r="F88" s="927"/>
      <c r="G88" s="930"/>
      <c r="H88" s="794"/>
      <c r="I88" s="298"/>
      <c r="J88" s="297"/>
      <c r="K88" s="309"/>
      <c r="L88" s="299"/>
      <c r="M88" s="299"/>
      <c r="N88" s="15" t="s">
        <v>925</v>
      </c>
      <c r="O88" s="163" t="s">
        <v>260</v>
      </c>
      <c r="P88" s="23">
        <v>46062</v>
      </c>
      <c r="Q88" s="24" t="s">
        <v>1192</v>
      </c>
      <c r="R88" s="23">
        <v>46100</v>
      </c>
      <c r="S88" s="24" t="s">
        <v>1069</v>
      </c>
      <c r="T88" s="24" t="s">
        <v>30</v>
      </c>
      <c r="U88" s="23">
        <v>46100</v>
      </c>
      <c r="V88" s="24" t="s">
        <v>1069</v>
      </c>
      <c r="W88" s="15" t="s">
        <v>44</v>
      </c>
      <c r="X88" s="23">
        <v>46112</v>
      </c>
      <c r="Y88" s="15" t="s">
        <v>989</v>
      </c>
      <c r="Z88" s="15" t="s">
        <v>196</v>
      </c>
      <c r="AA88" s="16"/>
      <c r="AB88" s="16"/>
      <c r="AC88" s="16"/>
      <c r="AD88" s="396"/>
      <c r="AE88" s="395"/>
      <c r="AF88" s="396"/>
      <c r="AG88" s="395"/>
      <c r="AH88" s="395"/>
      <c r="AI88" s="396"/>
      <c r="AJ88" s="395"/>
      <c r="AK88" s="395"/>
      <c r="AL88" s="396"/>
      <c r="AM88" s="395"/>
      <c r="AN88" s="395"/>
      <c r="AO88" s="394"/>
    </row>
    <row r="89" spans="1:41" s="164" customFormat="1" ht="40.25" customHeight="1">
      <c r="B89" s="947">
        <v>61</v>
      </c>
      <c r="C89" s="960">
        <v>29</v>
      </c>
      <c r="D89" s="788">
        <v>6</v>
      </c>
      <c r="E89" s="837" t="s">
        <v>1320</v>
      </c>
      <c r="F89" s="925" t="s">
        <v>1319</v>
      </c>
      <c r="G89" s="928" t="s">
        <v>1318</v>
      </c>
      <c r="H89" s="792" t="s">
        <v>285</v>
      </c>
      <c r="I89" s="297">
        <f>IF(J89="","",J89-30)</f>
        <v>46150</v>
      </c>
      <c r="J89" s="297">
        <f>IF(K89="","",K89-30)</f>
        <v>46180</v>
      </c>
      <c r="K89" s="298">
        <v>46210</v>
      </c>
      <c r="L89" s="299" t="str">
        <f t="shared" ref="L89:L114" ca="1" si="8">IF(I89="","",IF(P89&lt;&gt;"","",IF(AND(P89="",I89-TODAY()&lt;=60),I89-TODAY(),"")))</f>
        <v/>
      </c>
      <c r="M89" s="299">
        <f t="shared" ref="M89:M114" si="9">IF(AND(ISNUMBER(I89),ISNUMBER(P89)),I89-P89,"")</f>
        <v>164</v>
      </c>
      <c r="N89" s="301"/>
      <c r="O89" s="163" t="s">
        <v>22</v>
      </c>
      <c r="P89" s="23">
        <v>45986</v>
      </c>
      <c r="Q89" s="24" t="s">
        <v>1317</v>
      </c>
      <c r="R89" s="23">
        <v>46007</v>
      </c>
      <c r="S89" s="24" t="s">
        <v>1316</v>
      </c>
      <c r="T89" s="15" t="s">
        <v>100</v>
      </c>
      <c r="U89" s="23"/>
      <c r="V89" s="24"/>
      <c r="W89" s="24"/>
      <c r="X89" s="23"/>
      <c r="Y89" s="15"/>
      <c r="Z89" s="15"/>
      <c r="AA89" s="16"/>
      <c r="AB89" s="678" t="s">
        <v>1009</v>
      </c>
      <c r="AC89" s="15" t="s">
        <v>50</v>
      </c>
      <c r="AD89" s="396">
        <v>46108</v>
      </c>
      <c r="AE89" s="398" t="s">
        <v>1010</v>
      </c>
      <c r="AF89" s="396">
        <v>46133</v>
      </c>
      <c r="AG89" s="398" t="s">
        <v>1315</v>
      </c>
      <c r="AH89" s="395" t="s">
        <v>208</v>
      </c>
      <c r="AI89" s="396">
        <v>46133</v>
      </c>
      <c r="AJ89" s="398" t="s">
        <v>1315</v>
      </c>
      <c r="AK89" s="15" t="s">
        <v>201</v>
      </c>
      <c r="AL89" s="396">
        <v>46141</v>
      </c>
      <c r="AM89" s="398" t="s">
        <v>1314</v>
      </c>
      <c r="AN89" s="15" t="s">
        <v>196</v>
      </c>
      <c r="AO89" s="397"/>
    </row>
    <row r="90" spans="1:41" s="164" customFormat="1" ht="40.25" customHeight="1">
      <c r="B90" s="947"/>
      <c r="C90" s="960"/>
      <c r="D90" s="789"/>
      <c r="E90" s="939"/>
      <c r="F90" s="926"/>
      <c r="G90" s="929"/>
      <c r="H90" s="793"/>
      <c r="I90" s="298"/>
      <c r="J90" s="298"/>
      <c r="K90" s="298"/>
      <c r="L90" s="299" t="str">
        <f t="shared" ca="1" si="8"/>
        <v/>
      </c>
      <c r="M90" s="299" t="str">
        <f t="shared" si="9"/>
        <v/>
      </c>
      <c r="N90" s="301"/>
      <c r="O90" s="312" t="s">
        <v>27</v>
      </c>
      <c r="P90" s="405">
        <v>46013</v>
      </c>
      <c r="Q90" s="404" t="s">
        <v>1313</v>
      </c>
      <c r="R90" s="405">
        <v>46031</v>
      </c>
      <c r="S90" s="404" t="s">
        <v>1312</v>
      </c>
      <c r="T90" s="404" t="s">
        <v>30</v>
      </c>
      <c r="U90" s="23">
        <v>46034</v>
      </c>
      <c r="V90" s="24" t="s">
        <v>1311</v>
      </c>
      <c r="W90" s="15" t="s">
        <v>201</v>
      </c>
      <c r="X90" s="23">
        <v>46057</v>
      </c>
      <c r="Y90" s="15" t="s">
        <v>1310</v>
      </c>
      <c r="Z90" s="15" t="s">
        <v>196</v>
      </c>
      <c r="AA90" s="16"/>
      <c r="AB90" s="679"/>
      <c r="AC90" s="16"/>
      <c r="AD90" s="396"/>
      <c r="AE90" s="398"/>
      <c r="AF90" s="396"/>
      <c r="AG90" s="398"/>
      <c r="AH90" s="398"/>
      <c r="AI90" s="396"/>
      <c r="AJ90" s="398"/>
      <c r="AK90" s="398"/>
      <c r="AL90" s="396"/>
      <c r="AM90" s="398"/>
      <c r="AN90" s="398"/>
      <c r="AO90" s="397"/>
    </row>
    <row r="91" spans="1:41" s="164" customFormat="1" ht="40.25" customHeight="1">
      <c r="B91" s="947"/>
      <c r="C91" s="960"/>
      <c r="D91" s="790"/>
      <c r="E91" s="940"/>
      <c r="F91" s="927"/>
      <c r="G91" s="930"/>
      <c r="H91" s="794"/>
      <c r="I91" s="298"/>
      <c r="J91" s="298"/>
      <c r="K91" s="298"/>
      <c r="L91" s="299" t="str">
        <f t="shared" ca="1" si="8"/>
        <v/>
      </c>
      <c r="M91" s="299" t="str">
        <f t="shared" si="9"/>
        <v/>
      </c>
      <c r="N91" s="15" t="s">
        <v>925</v>
      </c>
      <c r="O91" s="163" t="s">
        <v>40</v>
      </c>
      <c r="P91" s="23">
        <v>46064</v>
      </c>
      <c r="Q91" s="24" t="s">
        <v>1309</v>
      </c>
      <c r="R91" s="23">
        <v>46105</v>
      </c>
      <c r="S91" s="24" t="s">
        <v>1005</v>
      </c>
      <c r="T91" s="404" t="s">
        <v>30</v>
      </c>
      <c r="U91" s="23">
        <v>46105</v>
      </c>
      <c r="V91" s="24" t="s">
        <v>1005</v>
      </c>
      <c r="W91" s="15" t="s">
        <v>201</v>
      </c>
      <c r="X91" s="23">
        <v>46112</v>
      </c>
      <c r="Y91" s="15" t="s">
        <v>1006</v>
      </c>
      <c r="Z91" s="15" t="s">
        <v>196</v>
      </c>
      <c r="AA91" s="16"/>
      <c r="AB91" s="680"/>
      <c r="AC91" s="16"/>
      <c r="AD91" s="396"/>
      <c r="AE91" s="398"/>
      <c r="AF91" s="396"/>
      <c r="AG91" s="398"/>
      <c r="AH91" s="398"/>
      <c r="AI91" s="396"/>
      <c r="AJ91" s="398"/>
      <c r="AK91" s="398"/>
      <c r="AL91" s="396"/>
      <c r="AM91" s="398"/>
      <c r="AN91" s="398"/>
      <c r="AO91" s="397"/>
    </row>
    <row r="92" spans="1:41" s="164" customFormat="1" ht="40.25" customHeight="1">
      <c r="B92" s="947">
        <v>117</v>
      </c>
      <c r="C92" s="960">
        <v>30</v>
      </c>
      <c r="D92" s="788">
        <v>10</v>
      </c>
      <c r="E92" s="938" t="s">
        <v>1308</v>
      </c>
      <c r="F92" s="925" t="s">
        <v>1307</v>
      </c>
      <c r="G92" s="928" t="s">
        <v>1306</v>
      </c>
      <c r="H92" s="792" t="s">
        <v>286</v>
      </c>
      <c r="I92" s="297">
        <f>IF(J92="","",J92-30)</f>
        <v>46170</v>
      </c>
      <c r="J92" s="297">
        <f>IF(K92="","",K92-30)</f>
        <v>46200</v>
      </c>
      <c r="K92" s="298">
        <v>46230</v>
      </c>
      <c r="L92" s="299" t="str">
        <f t="shared" ca="1" si="8"/>
        <v/>
      </c>
      <c r="M92" s="299">
        <f t="shared" si="9"/>
        <v>106</v>
      </c>
      <c r="N92" s="15" t="s">
        <v>925</v>
      </c>
      <c r="O92" s="163" t="s">
        <v>22</v>
      </c>
      <c r="P92" s="23">
        <v>46064</v>
      </c>
      <c r="Q92" s="24" t="s">
        <v>1305</v>
      </c>
      <c r="R92" s="23">
        <v>46100</v>
      </c>
      <c r="S92" s="24" t="s">
        <v>1007</v>
      </c>
      <c r="T92" s="24" t="s">
        <v>30</v>
      </c>
      <c r="U92" s="23">
        <v>46100</v>
      </c>
      <c r="V92" s="24" t="s">
        <v>1007</v>
      </c>
      <c r="W92" s="15" t="s">
        <v>44</v>
      </c>
      <c r="X92" s="23">
        <v>46108</v>
      </c>
      <c r="Y92" s="15" t="s">
        <v>1008</v>
      </c>
      <c r="Z92" s="15" t="s">
        <v>196</v>
      </c>
      <c r="AA92" s="16"/>
      <c r="AB92" s="16"/>
      <c r="AC92" s="16"/>
      <c r="AD92" s="396"/>
      <c r="AE92" s="398"/>
      <c r="AF92" s="396"/>
      <c r="AG92" s="398"/>
      <c r="AH92" s="398"/>
      <c r="AI92" s="396"/>
      <c r="AJ92" s="398"/>
      <c r="AK92" s="398"/>
      <c r="AL92" s="396"/>
      <c r="AM92" s="398"/>
      <c r="AN92" s="398"/>
      <c r="AO92" s="397"/>
    </row>
    <row r="93" spans="1:41" s="164" customFormat="1" ht="40.25" customHeight="1">
      <c r="B93" s="947"/>
      <c r="C93" s="960"/>
      <c r="D93" s="789"/>
      <c r="E93" s="939"/>
      <c r="F93" s="926"/>
      <c r="G93" s="929"/>
      <c r="H93" s="793"/>
      <c r="I93" s="298"/>
      <c r="J93" s="298"/>
      <c r="K93" s="298"/>
      <c r="L93" s="299" t="str">
        <f t="shared" ca="1" si="8"/>
        <v/>
      </c>
      <c r="M93" s="299" t="str">
        <f t="shared" si="9"/>
        <v/>
      </c>
      <c r="N93" s="301"/>
      <c r="O93" s="163"/>
      <c r="P93" s="23"/>
      <c r="Q93" s="23"/>
      <c r="R93" s="23"/>
      <c r="S93" s="24"/>
      <c r="T93" s="15"/>
      <c r="U93" s="23"/>
      <c r="V93" s="24"/>
      <c r="W93" s="15"/>
      <c r="X93" s="23"/>
      <c r="Y93" s="15"/>
      <c r="Z93" s="15"/>
      <c r="AA93" s="16"/>
      <c r="AB93" s="16"/>
      <c r="AC93" s="16"/>
      <c r="AD93" s="396"/>
      <c r="AE93" s="398"/>
      <c r="AF93" s="396"/>
      <c r="AG93" s="398"/>
      <c r="AH93" s="398"/>
      <c r="AI93" s="396"/>
      <c r="AJ93" s="398"/>
      <c r="AK93" s="398"/>
      <c r="AL93" s="396"/>
      <c r="AM93" s="398"/>
      <c r="AN93" s="398"/>
      <c r="AO93" s="397"/>
    </row>
    <row r="94" spans="1:41" s="164" customFormat="1" ht="40.25" customHeight="1">
      <c r="B94" s="947"/>
      <c r="C94" s="960"/>
      <c r="D94" s="790"/>
      <c r="E94" s="940"/>
      <c r="F94" s="927"/>
      <c r="G94" s="930"/>
      <c r="H94" s="794"/>
      <c r="I94" s="298"/>
      <c r="J94" s="298"/>
      <c r="K94" s="298"/>
      <c r="L94" s="299" t="str">
        <f t="shared" ca="1" si="8"/>
        <v/>
      </c>
      <c r="M94" s="299" t="str">
        <f t="shared" si="9"/>
        <v/>
      </c>
      <c r="N94" s="301"/>
      <c r="O94" s="163"/>
      <c r="P94" s="23"/>
      <c r="Q94" s="24"/>
      <c r="R94" s="23"/>
      <c r="S94" s="24"/>
      <c r="T94" s="15"/>
      <c r="U94" s="23"/>
      <c r="V94" s="24"/>
      <c r="W94" s="15"/>
      <c r="X94" s="23"/>
      <c r="Y94" s="15"/>
      <c r="Z94" s="15"/>
      <c r="AA94" s="16"/>
      <c r="AB94" s="16"/>
      <c r="AC94" s="16"/>
      <c r="AD94" s="396"/>
      <c r="AE94" s="398"/>
      <c r="AF94" s="396"/>
      <c r="AG94" s="398"/>
      <c r="AH94" s="398"/>
      <c r="AI94" s="396"/>
      <c r="AJ94" s="398"/>
      <c r="AK94" s="398"/>
      <c r="AL94" s="396"/>
      <c r="AM94" s="398"/>
      <c r="AN94" s="398"/>
      <c r="AO94" s="397"/>
    </row>
    <row r="95" spans="1:41" s="164" customFormat="1" ht="40.25" customHeight="1">
      <c r="A95" s="986"/>
      <c r="B95" s="931"/>
      <c r="C95" s="960">
        <v>31</v>
      </c>
      <c r="D95" s="788" t="s">
        <v>1304</v>
      </c>
      <c r="E95" s="938" t="s">
        <v>1303</v>
      </c>
      <c r="F95" s="925" t="s">
        <v>854</v>
      </c>
      <c r="G95" s="928" t="s">
        <v>1302</v>
      </c>
      <c r="H95" s="792" t="s">
        <v>1301</v>
      </c>
      <c r="I95" s="297">
        <f>IF(J95="","",J95-30)</f>
        <v>46143</v>
      </c>
      <c r="J95" s="297">
        <f>IF(K95="","",K95-30)</f>
        <v>46173</v>
      </c>
      <c r="K95" s="298">
        <v>46203</v>
      </c>
      <c r="L95" s="299" t="str">
        <f t="shared" ca="1" si="8"/>
        <v/>
      </c>
      <c r="M95" s="299">
        <f t="shared" si="9"/>
        <v>65</v>
      </c>
      <c r="N95" s="15" t="s">
        <v>925</v>
      </c>
      <c r="O95" s="163" t="s">
        <v>22</v>
      </c>
      <c r="P95" s="23">
        <v>46078</v>
      </c>
      <c r="Q95" s="24" t="s">
        <v>451</v>
      </c>
      <c r="R95" s="23">
        <v>46125</v>
      </c>
      <c r="S95" s="24" t="s">
        <v>1300</v>
      </c>
      <c r="T95" s="24" t="s">
        <v>30</v>
      </c>
      <c r="U95" s="23">
        <v>46125</v>
      </c>
      <c r="V95" s="24" t="s">
        <v>1300</v>
      </c>
      <c r="W95" s="15" t="s">
        <v>44</v>
      </c>
      <c r="X95" s="27">
        <v>46148</v>
      </c>
      <c r="Y95" s="26" t="s">
        <v>1299</v>
      </c>
      <c r="Z95" s="26" t="s">
        <v>925</v>
      </c>
      <c r="AA95" s="16"/>
      <c r="AB95" s="16"/>
      <c r="AC95" s="16"/>
      <c r="AD95" s="396"/>
      <c r="AE95" s="398"/>
      <c r="AF95" s="396"/>
      <c r="AG95" s="398"/>
      <c r="AH95" s="398"/>
      <c r="AI95" s="396"/>
      <c r="AJ95" s="398"/>
      <c r="AK95" s="398"/>
      <c r="AL95" s="396"/>
      <c r="AM95" s="398"/>
      <c r="AN95" s="398"/>
      <c r="AO95" s="397"/>
    </row>
    <row r="96" spans="1:41" s="164" customFormat="1" ht="40.25" customHeight="1">
      <c r="A96" s="986"/>
      <c r="B96" s="931"/>
      <c r="C96" s="960"/>
      <c r="D96" s="789"/>
      <c r="E96" s="939"/>
      <c r="F96" s="926"/>
      <c r="G96" s="929"/>
      <c r="H96" s="793"/>
      <c r="I96" s="298"/>
      <c r="J96" s="298"/>
      <c r="K96" s="298"/>
      <c r="L96" s="299" t="str">
        <f t="shared" ca="1" si="8"/>
        <v/>
      </c>
      <c r="M96" s="299" t="str">
        <f t="shared" si="9"/>
        <v/>
      </c>
      <c r="N96" s="301"/>
      <c r="O96" s="163"/>
      <c r="P96" s="23"/>
      <c r="Q96" s="23"/>
      <c r="R96" s="23"/>
      <c r="S96" s="24"/>
      <c r="T96" s="15"/>
      <c r="U96" s="23"/>
      <c r="V96" s="24"/>
      <c r="W96" s="15"/>
      <c r="X96" s="23"/>
      <c r="Y96" s="15"/>
      <c r="Z96" s="15"/>
      <c r="AA96" s="16"/>
      <c r="AB96" s="16"/>
      <c r="AC96" s="16"/>
      <c r="AD96" s="396"/>
      <c r="AE96" s="398"/>
      <c r="AF96" s="396"/>
      <c r="AG96" s="398"/>
      <c r="AH96" s="398"/>
      <c r="AI96" s="396"/>
      <c r="AJ96" s="398"/>
      <c r="AK96" s="398"/>
      <c r="AL96" s="396"/>
      <c r="AM96" s="398"/>
      <c r="AN96" s="398"/>
      <c r="AO96" s="397"/>
    </row>
    <row r="97" spans="1:41" s="164" customFormat="1" ht="40.25" customHeight="1">
      <c r="A97" s="986"/>
      <c r="B97" s="931"/>
      <c r="C97" s="960"/>
      <c r="D97" s="790"/>
      <c r="E97" s="940"/>
      <c r="F97" s="927"/>
      <c r="G97" s="930"/>
      <c r="H97" s="794"/>
      <c r="I97" s="298"/>
      <c r="J97" s="298"/>
      <c r="K97" s="298"/>
      <c r="L97" s="299" t="str">
        <f t="shared" ca="1" si="8"/>
        <v/>
      </c>
      <c r="M97" s="299" t="str">
        <f t="shared" si="9"/>
        <v/>
      </c>
      <c r="N97" s="301"/>
      <c r="O97" s="163"/>
      <c r="P97" s="23"/>
      <c r="Q97" s="24"/>
      <c r="R97" s="23"/>
      <c r="S97" s="24"/>
      <c r="T97" s="15"/>
      <c r="U97" s="23"/>
      <c r="V97" s="24"/>
      <c r="W97" s="15"/>
      <c r="X97" s="23"/>
      <c r="Y97" s="15"/>
      <c r="Z97" s="15"/>
      <c r="AA97" s="16"/>
      <c r="AB97" s="16"/>
      <c r="AC97" s="16"/>
      <c r="AD97" s="396"/>
      <c r="AE97" s="398"/>
      <c r="AF97" s="396"/>
      <c r="AG97" s="398"/>
      <c r="AH97" s="398"/>
      <c r="AI97" s="396"/>
      <c r="AJ97" s="398"/>
      <c r="AK97" s="398"/>
      <c r="AL97" s="396"/>
      <c r="AM97" s="398"/>
      <c r="AN97" s="398"/>
      <c r="AO97" s="397"/>
    </row>
    <row r="98" spans="1:41" s="164" customFormat="1" ht="40.25" customHeight="1">
      <c r="B98" s="948">
        <v>193</v>
      </c>
      <c r="C98" s="960">
        <v>32</v>
      </c>
      <c r="D98" s="788">
        <v>65</v>
      </c>
      <c r="E98" s="938" t="s">
        <v>1298</v>
      </c>
      <c r="F98" s="925" t="s">
        <v>1297</v>
      </c>
      <c r="G98" s="928" t="s">
        <v>448</v>
      </c>
      <c r="H98" s="792" t="s">
        <v>1296</v>
      </c>
      <c r="I98" s="297">
        <f>IF(J98="","",J98-30)</f>
        <v>46127</v>
      </c>
      <c r="J98" s="297">
        <f>IF(K98="","",K98-30)</f>
        <v>46157</v>
      </c>
      <c r="K98" s="298">
        <v>46187</v>
      </c>
      <c r="L98" s="299" t="str">
        <f t="shared" ca="1" si="8"/>
        <v/>
      </c>
      <c r="M98" s="299">
        <f t="shared" si="9"/>
        <v>49</v>
      </c>
      <c r="N98" s="15" t="s">
        <v>925</v>
      </c>
      <c r="O98" s="163" t="s">
        <v>22</v>
      </c>
      <c r="P98" s="23">
        <v>46078</v>
      </c>
      <c r="Q98" s="24" t="s">
        <v>1295</v>
      </c>
      <c r="R98" s="23">
        <v>46133</v>
      </c>
      <c r="S98" s="24" t="s">
        <v>1151</v>
      </c>
      <c r="T98" s="24" t="s">
        <v>30</v>
      </c>
      <c r="U98" s="23">
        <v>46133</v>
      </c>
      <c r="V98" s="24" t="s">
        <v>1151</v>
      </c>
      <c r="W98" s="15" t="s">
        <v>44</v>
      </c>
      <c r="X98" s="27" t="s">
        <v>1172</v>
      </c>
      <c r="Y98" s="26" t="s">
        <v>1294</v>
      </c>
      <c r="Z98" s="26" t="s">
        <v>925</v>
      </c>
      <c r="AA98" s="16"/>
      <c r="AB98" s="16"/>
      <c r="AC98" s="16"/>
      <c r="AD98" s="396"/>
      <c r="AE98" s="398"/>
      <c r="AF98" s="396"/>
      <c r="AG98" s="398"/>
      <c r="AH98" s="398"/>
      <c r="AI98" s="396"/>
      <c r="AJ98" s="398"/>
      <c r="AK98" s="398"/>
      <c r="AL98" s="396"/>
      <c r="AM98" s="398"/>
      <c r="AN98" s="398"/>
      <c r="AO98" s="397"/>
    </row>
    <row r="99" spans="1:41" s="164" customFormat="1" ht="39.65" customHeight="1">
      <c r="B99" s="948"/>
      <c r="C99" s="960"/>
      <c r="D99" s="789"/>
      <c r="E99" s="939"/>
      <c r="F99" s="926"/>
      <c r="G99" s="929"/>
      <c r="H99" s="793"/>
      <c r="I99" s="298"/>
      <c r="J99" s="298"/>
      <c r="K99" s="298"/>
      <c r="L99" s="299" t="str">
        <f t="shared" ca="1" si="8"/>
        <v/>
      </c>
      <c r="M99" s="299" t="str">
        <f t="shared" si="9"/>
        <v/>
      </c>
      <c r="N99" s="301"/>
      <c r="O99" s="163" t="s">
        <v>27</v>
      </c>
      <c r="P99" s="23"/>
      <c r="Q99" s="23"/>
      <c r="R99" s="23"/>
      <c r="S99" s="24"/>
      <c r="T99" s="15"/>
      <c r="U99" s="23"/>
      <c r="V99" s="24"/>
      <c r="W99" s="15"/>
      <c r="X99" s="23"/>
      <c r="Y99" s="15"/>
      <c r="Z99" s="15"/>
      <c r="AA99" s="16"/>
      <c r="AB99" s="16"/>
      <c r="AC99" s="16"/>
      <c r="AD99" s="396"/>
      <c r="AE99" s="398"/>
      <c r="AF99" s="396"/>
      <c r="AG99" s="398"/>
      <c r="AH99" s="398"/>
      <c r="AI99" s="396"/>
      <c r="AJ99" s="398"/>
      <c r="AK99" s="398"/>
      <c r="AL99" s="396"/>
      <c r="AM99" s="398"/>
      <c r="AN99" s="398"/>
      <c r="AO99" s="397"/>
    </row>
    <row r="100" spans="1:41" s="164" customFormat="1" ht="40.25" customHeight="1">
      <c r="B100" s="948"/>
      <c r="C100" s="960"/>
      <c r="D100" s="790"/>
      <c r="E100" s="940"/>
      <c r="F100" s="927"/>
      <c r="G100" s="930"/>
      <c r="H100" s="794"/>
      <c r="I100" s="298"/>
      <c r="J100" s="298"/>
      <c r="K100" s="298"/>
      <c r="L100" s="299" t="str">
        <f t="shared" ca="1" si="8"/>
        <v/>
      </c>
      <c r="M100" s="299" t="str">
        <f t="shared" si="9"/>
        <v/>
      </c>
      <c r="N100" s="301"/>
      <c r="O100" s="163" t="s">
        <v>36</v>
      </c>
      <c r="P100" s="23"/>
      <c r="Q100" s="24"/>
      <c r="R100" s="23"/>
      <c r="S100" s="24"/>
      <c r="T100" s="15"/>
      <c r="U100" s="23"/>
      <c r="V100" s="24"/>
      <c r="W100" s="15"/>
      <c r="X100" s="23"/>
      <c r="Y100" s="15"/>
      <c r="Z100" s="15"/>
      <c r="AA100" s="16"/>
      <c r="AB100" s="16"/>
      <c r="AC100" s="16"/>
      <c r="AD100" s="396"/>
      <c r="AE100" s="398"/>
      <c r="AF100" s="396"/>
      <c r="AG100" s="398"/>
      <c r="AH100" s="398"/>
      <c r="AI100" s="396"/>
      <c r="AJ100" s="398"/>
      <c r="AK100" s="398"/>
      <c r="AL100" s="396"/>
      <c r="AM100" s="398"/>
      <c r="AN100" s="398"/>
      <c r="AO100" s="397"/>
    </row>
    <row r="101" spans="1:41" s="164" customFormat="1" ht="40.25" customHeight="1">
      <c r="B101" s="947">
        <v>179</v>
      </c>
      <c r="C101" s="960">
        <v>33</v>
      </c>
      <c r="D101" s="962">
        <v>72</v>
      </c>
      <c r="E101" s="961"/>
      <c r="F101" s="922" t="s">
        <v>1519</v>
      </c>
      <c r="G101" s="919" t="s">
        <v>1293</v>
      </c>
      <c r="H101" s="991" t="s">
        <v>1292</v>
      </c>
      <c r="I101" s="297">
        <f>IF(K101="","",K101-60)</f>
        <v>46236</v>
      </c>
      <c r="J101" s="297">
        <f>IF(K101="","",K101-30)</f>
        <v>46266</v>
      </c>
      <c r="K101" s="298">
        <v>46296</v>
      </c>
      <c r="L101" s="299" t="str">
        <f t="shared" ca="1" si="8"/>
        <v/>
      </c>
      <c r="M101" s="299" t="str">
        <f t="shared" si="9"/>
        <v/>
      </c>
      <c r="N101" s="301"/>
      <c r="O101" s="163" t="s">
        <v>22</v>
      </c>
      <c r="P101" s="23"/>
      <c r="Q101" s="24"/>
      <c r="R101" s="23"/>
      <c r="S101" s="24"/>
      <c r="T101" s="15"/>
      <c r="U101" s="23"/>
      <c r="V101" s="24"/>
      <c r="W101" s="24"/>
      <c r="X101" s="23"/>
      <c r="Y101" s="15"/>
      <c r="Z101" s="15"/>
      <c r="AA101" s="16"/>
      <c r="AB101" s="16"/>
      <c r="AC101" s="16"/>
      <c r="AD101" s="396"/>
      <c r="AE101" s="398"/>
      <c r="AF101" s="396"/>
      <c r="AG101" s="398"/>
      <c r="AH101" s="398"/>
      <c r="AI101" s="396"/>
      <c r="AJ101" s="398"/>
      <c r="AK101" s="398"/>
      <c r="AL101" s="396"/>
      <c r="AM101" s="398"/>
      <c r="AN101" s="398"/>
      <c r="AO101" s="397"/>
    </row>
    <row r="102" spans="1:41" s="164" customFormat="1" ht="39.65" customHeight="1">
      <c r="B102" s="947"/>
      <c r="C102" s="960"/>
      <c r="D102" s="962"/>
      <c r="E102" s="961"/>
      <c r="F102" s="923"/>
      <c r="G102" s="920"/>
      <c r="H102" s="992"/>
      <c r="I102" s="298"/>
      <c r="J102" s="298"/>
      <c r="K102" s="298"/>
      <c r="L102" s="299" t="str">
        <f t="shared" ca="1" si="8"/>
        <v/>
      </c>
      <c r="M102" s="299" t="str">
        <f t="shared" si="9"/>
        <v/>
      </c>
      <c r="N102" s="301"/>
      <c r="O102" s="163" t="s">
        <v>27</v>
      </c>
      <c r="P102" s="23"/>
      <c r="Q102" s="23"/>
      <c r="R102" s="23"/>
      <c r="S102" s="24"/>
      <c r="T102" s="15"/>
      <c r="U102" s="23"/>
      <c r="V102" s="24"/>
      <c r="W102" s="15"/>
      <c r="X102" s="23"/>
      <c r="Y102" s="15"/>
      <c r="Z102" s="15"/>
      <c r="AA102" s="16"/>
      <c r="AB102" s="16"/>
      <c r="AC102" s="16"/>
      <c r="AD102" s="396"/>
      <c r="AE102" s="398"/>
      <c r="AF102" s="396"/>
      <c r="AG102" s="398"/>
      <c r="AH102" s="398"/>
      <c r="AI102" s="396"/>
      <c r="AJ102" s="398"/>
      <c r="AK102" s="398"/>
      <c r="AL102" s="396"/>
      <c r="AM102" s="398"/>
      <c r="AN102" s="398"/>
      <c r="AO102" s="397"/>
    </row>
    <row r="103" spans="1:41" s="164" customFormat="1" ht="40.25" customHeight="1">
      <c r="B103" s="947"/>
      <c r="C103" s="960"/>
      <c r="D103" s="962"/>
      <c r="E103" s="961"/>
      <c r="F103" s="924"/>
      <c r="G103" s="921"/>
      <c r="H103" s="993"/>
      <c r="I103" s="298"/>
      <c r="J103" s="298"/>
      <c r="K103" s="298"/>
      <c r="L103" s="299" t="str">
        <f t="shared" ca="1" si="8"/>
        <v/>
      </c>
      <c r="M103" s="299" t="str">
        <f t="shared" si="9"/>
        <v/>
      </c>
      <c r="N103" s="301"/>
      <c r="O103" s="163" t="s">
        <v>36</v>
      </c>
      <c r="P103" s="23"/>
      <c r="Q103" s="24"/>
      <c r="R103" s="23"/>
      <c r="S103" s="24"/>
      <c r="T103" s="15"/>
      <c r="U103" s="23"/>
      <c r="V103" s="24"/>
      <c r="W103" s="15"/>
      <c r="X103" s="23"/>
      <c r="Y103" s="15"/>
      <c r="Z103" s="15"/>
      <c r="AA103" s="16"/>
      <c r="AB103" s="16"/>
      <c r="AC103" s="16"/>
      <c r="AD103" s="396"/>
      <c r="AE103" s="398"/>
      <c r="AF103" s="396"/>
      <c r="AG103" s="398"/>
      <c r="AH103" s="398"/>
      <c r="AI103" s="396"/>
      <c r="AJ103" s="398"/>
      <c r="AK103" s="398"/>
      <c r="AL103" s="396"/>
      <c r="AM103" s="398"/>
      <c r="AN103" s="398"/>
      <c r="AO103" s="397"/>
    </row>
    <row r="104" spans="1:41" s="164" customFormat="1" ht="40.25" customHeight="1">
      <c r="B104" s="947">
        <v>215</v>
      </c>
      <c r="C104" s="960">
        <v>34</v>
      </c>
      <c r="D104" s="765">
        <v>45</v>
      </c>
      <c r="E104" s="938" t="s">
        <v>1291</v>
      </c>
      <c r="F104" s="925" t="s">
        <v>504</v>
      </c>
      <c r="G104" s="928" t="s">
        <v>1290</v>
      </c>
      <c r="H104" s="792" t="s">
        <v>1289</v>
      </c>
      <c r="I104" s="297">
        <f>IF(J104="","",J104-30)</f>
        <v>46147</v>
      </c>
      <c r="J104" s="297">
        <f>IF(K104="","",K104-30)</f>
        <v>46177</v>
      </c>
      <c r="K104" s="298">
        <v>46207</v>
      </c>
      <c r="L104" s="299" t="str">
        <f t="shared" ca="1" si="8"/>
        <v/>
      </c>
      <c r="M104" s="299">
        <f t="shared" si="9"/>
        <v>151</v>
      </c>
      <c r="N104" s="163"/>
      <c r="O104" s="163" t="s">
        <v>22</v>
      </c>
      <c r="P104" s="23">
        <v>45996</v>
      </c>
      <c r="Q104" s="24" t="s">
        <v>1288</v>
      </c>
      <c r="R104" s="23">
        <v>46009</v>
      </c>
      <c r="S104" s="24" t="s">
        <v>1287</v>
      </c>
      <c r="T104" s="15" t="s">
        <v>25</v>
      </c>
      <c r="U104" s="23"/>
      <c r="V104" s="24"/>
      <c r="W104" s="24"/>
      <c r="X104" s="23"/>
      <c r="Y104" s="15"/>
      <c r="Z104" s="15"/>
      <c r="AA104" s="16"/>
      <c r="AB104" s="678" t="s">
        <v>849</v>
      </c>
      <c r="AC104" s="15" t="s">
        <v>50</v>
      </c>
      <c r="AD104" s="396">
        <v>46078</v>
      </c>
      <c r="AE104" s="398" t="s">
        <v>850</v>
      </c>
      <c r="AF104" s="396">
        <v>46104</v>
      </c>
      <c r="AG104" s="398" t="s">
        <v>1014</v>
      </c>
      <c r="AH104" s="395" t="s">
        <v>208</v>
      </c>
      <c r="AI104" s="396">
        <v>46104</v>
      </c>
      <c r="AJ104" s="398" t="s">
        <v>844</v>
      </c>
      <c r="AK104" s="15" t="s">
        <v>201</v>
      </c>
      <c r="AL104" s="396"/>
      <c r="AM104" s="398"/>
      <c r="AN104" s="398"/>
      <c r="AO104" s="397"/>
    </row>
    <row r="105" spans="1:41" s="164" customFormat="1" ht="39.65" customHeight="1">
      <c r="B105" s="947"/>
      <c r="C105" s="960"/>
      <c r="D105" s="765"/>
      <c r="E105" s="939"/>
      <c r="F105" s="926"/>
      <c r="G105" s="929"/>
      <c r="H105" s="793"/>
      <c r="I105" s="298"/>
      <c r="J105" s="298"/>
      <c r="K105" s="298"/>
      <c r="L105" s="299" t="str">
        <f t="shared" ca="1" si="8"/>
        <v/>
      </c>
      <c r="M105" s="299" t="str">
        <f t="shared" si="9"/>
        <v/>
      </c>
      <c r="N105" s="301"/>
      <c r="O105" s="163" t="s">
        <v>27</v>
      </c>
      <c r="P105" s="23">
        <v>46036</v>
      </c>
      <c r="Q105" s="23" t="s">
        <v>1286</v>
      </c>
      <c r="R105" s="23">
        <v>46052</v>
      </c>
      <c r="S105" s="24" t="s">
        <v>1285</v>
      </c>
      <c r="T105" s="15" t="s">
        <v>25</v>
      </c>
      <c r="U105" s="23"/>
      <c r="V105" s="24"/>
      <c r="W105" s="15"/>
      <c r="X105" s="23"/>
      <c r="Y105" s="15"/>
      <c r="Z105" s="15"/>
      <c r="AA105" s="16"/>
      <c r="AB105" s="679"/>
      <c r="AC105" s="26" t="s">
        <v>54</v>
      </c>
      <c r="AD105" s="400">
        <v>46134</v>
      </c>
      <c r="AE105" s="399" t="s">
        <v>1200</v>
      </c>
      <c r="AF105" s="396"/>
      <c r="AG105" s="398"/>
      <c r="AH105" s="398"/>
      <c r="AI105" s="396"/>
      <c r="AJ105" s="398"/>
      <c r="AK105" s="398"/>
      <c r="AL105" s="396"/>
      <c r="AM105" s="398"/>
      <c r="AN105" s="398"/>
      <c r="AO105" s="397"/>
    </row>
    <row r="106" spans="1:41" s="164" customFormat="1" ht="40.25" customHeight="1">
      <c r="B106" s="947"/>
      <c r="C106" s="960"/>
      <c r="D106" s="765"/>
      <c r="E106" s="940"/>
      <c r="F106" s="927"/>
      <c r="G106" s="930"/>
      <c r="H106" s="794"/>
      <c r="I106" s="298"/>
      <c r="J106" s="298"/>
      <c r="K106" s="298"/>
      <c r="L106" s="299" t="str">
        <f t="shared" ca="1" si="8"/>
        <v/>
      </c>
      <c r="M106" s="299" t="str">
        <f t="shared" si="9"/>
        <v/>
      </c>
      <c r="N106" s="301" t="s">
        <v>241</v>
      </c>
      <c r="O106" s="163" t="s">
        <v>1011</v>
      </c>
      <c r="P106" s="23">
        <v>46062</v>
      </c>
      <c r="Q106" s="24" t="s">
        <v>1284</v>
      </c>
      <c r="R106" s="23">
        <v>46106</v>
      </c>
      <c r="S106" s="24" t="s">
        <v>1012</v>
      </c>
      <c r="T106" s="24" t="s">
        <v>30</v>
      </c>
      <c r="U106" s="23">
        <v>46106</v>
      </c>
      <c r="V106" s="24" t="s">
        <v>1012</v>
      </c>
      <c r="W106" s="15" t="s">
        <v>44</v>
      </c>
      <c r="X106" s="23"/>
      <c r="Y106" s="15"/>
      <c r="Z106" s="15"/>
      <c r="AA106" s="16"/>
      <c r="AB106" s="680"/>
      <c r="AC106" s="16"/>
      <c r="AD106" s="396"/>
      <c r="AE106" s="398"/>
      <c r="AF106" s="396"/>
      <c r="AG106" s="398"/>
      <c r="AH106" s="398"/>
      <c r="AI106" s="396"/>
      <c r="AJ106" s="398"/>
      <c r="AK106" s="398"/>
      <c r="AL106" s="396"/>
      <c r="AM106" s="398"/>
      <c r="AN106" s="398"/>
      <c r="AO106" s="397"/>
    </row>
    <row r="107" spans="1:41" s="164" customFormat="1" ht="40.25" customHeight="1">
      <c r="B107" s="947">
        <v>62</v>
      </c>
      <c r="C107" s="960">
        <v>35</v>
      </c>
      <c r="D107" s="788">
        <v>48</v>
      </c>
      <c r="E107" s="837" t="s">
        <v>1283</v>
      </c>
      <c r="F107" s="925" t="s">
        <v>969</v>
      </c>
      <c r="G107" s="928" t="s">
        <v>441</v>
      </c>
      <c r="H107" s="792" t="s">
        <v>287</v>
      </c>
      <c r="I107" s="297">
        <f>IF(J107="","",J107-30)</f>
        <v>46150</v>
      </c>
      <c r="J107" s="297">
        <f>IF(K107="","",K107-30)</f>
        <v>46180</v>
      </c>
      <c r="K107" s="298">
        <v>46210</v>
      </c>
      <c r="L107" s="299" t="str">
        <f t="shared" ca="1" si="8"/>
        <v/>
      </c>
      <c r="M107" s="299">
        <f t="shared" si="9"/>
        <v>72</v>
      </c>
      <c r="O107" s="163" t="s">
        <v>22</v>
      </c>
      <c r="P107" s="23">
        <v>46078</v>
      </c>
      <c r="Q107" s="24" t="s">
        <v>1282</v>
      </c>
      <c r="R107" s="23">
        <v>46111</v>
      </c>
      <c r="S107" s="24" t="s">
        <v>1013</v>
      </c>
      <c r="T107" s="15" t="s">
        <v>25</v>
      </c>
      <c r="U107" s="23"/>
      <c r="V107" s="24"/>
      <c r="W107" s="24"/>
      <c r="X107" s="23"/>
      <c r="Y107" s="15"/>
      <c r="Z107" s="15"/>
      <c r="AA107" s="16"/>
      <c r="AB107" s="16"/>
      <c r="AC107" s="16"/>
      <c r="AD107" s="396"/>
      <c r="AE107" s="398"/>
      <c r="AF107" s="396"/>
      <c r="AG107" s="398"/>
      <c r="AH107" s="398"/>
      <c r="AI107" s="396"/>
      <c r="AJ107" s="398"/>
      <c r="AK107" s="398"/>
      <c r="AL107" s="396"/>
      <c r="AM107" s="398"/>
      <c r="AN107" s="398"/>
      <c r="AO107" s="397"/>
    </row>
    <row r="108" spans="1:41" s="164" customFormat="1" ht="40.25" customHeight="1">
      <c r="B108" s="947"/>
      <c r="C108" s="960"/>
      <c r="D108" s="789"/>
      <c r="E108" s="837"/>
      <c r="F108" s="926"/>
      <c r="G108" s="929"/>
      <c r="H108" s="793"/>
      <c r="I108" s="298"/>
      <c r="J108" s="298"/>
      <c r="K108" s="298"/>
      <c r="L108" s="299" t="str">
        <f t="shared" ca="1" si="8"/>
        <v/>
      </c>
      <c r="M108" s="299" t="str">
        <f t="shared" si="9"/>
        <v/>
      </c>
      <c r="N108" s="301" t="s">
        <v>241</v>
      </c>
      <c r="O108" s="15" t="s">
        <v>54</v>
      </c>
      <c r="P108" s="23" t="s">
        <v>1523</v>
      </c>
      <c r="Q108" s="23" t="s">
        <v>1531</v>
      </c>
      <c r="R108" s="23"/>
      <c r="S108" s="24"/>
      <c r="T108" s="15"/>
      <c r="U108" s="23"/>
      <c r="V108" s="24"/>
      <c r="W108" s="15"/>
      <c r="X108" s="23"/>
      <c r="Y108" s="15"/>
      <c r="Z108" s="15"/>
      <c r="AA108" s="16"/>
      <c r="AB108" s="16"/>
      <c r="AC108" s="16"/>
      <c r="AD108" s="396"/>
      <c r="AE108" s="398"/>
      <c r="AF108" s="396"/>
      <c r="AG108" s="398"/>
      <c r="AH108" s="398"/>
      <c r="AI108" s="396"/>
      <c r="AJ108" s="398"/>
      <c r="AK108" s="398"/>
      <c r="AL108" s="396"/>
      <c r="AM108" s="398"/>
      <c r="AN108" s="398"/>
      <c r="AO108" s="397"/>
    </row>
    <row r="109" spans="1:41" s="164" customFormat="1" ht="40.25" customHeight="1">
      <c r="B109" s="947"/>
      <c r="C109" s="960"/>
      <c r="D109" s="790"/>
      <c r="E109" s="837"/>
      <c r="F109" s="927"/>
      <c r="G109" s="930"/>
      <c r="H109" s="794"/>
      <c r="I109" s="298"/>
      <c r="J109" s="298"/>
      <c r="K109" s="298"/>
      <c r="L109" s="299" t="str">
        <f t="shared" ca="1" si="8"/>
        <v/>
      </c>
      <c r="M109" s="299" t="str">
        <f t="shared" si="9"/>
        <v/>
      </c>
      <c r="N109" s="301"/>
      <c r="O109" s="163"/>
      <c r="P109" s="23"/>
      <c r="Q109" s="24"/>
      <c r="R109" s="23"/>
      <c r="S109" s="24"/>
      <c r="T109" s="15"/>
      <c r="U109" s="23"/>
      <c r="V109" s="24"/>
      <c r="W109" s="15"/>
      <c r="X109" s="23"/>
      <c r="Y109" s="15"/>
      <c r="Z109" s="15"/>
      <c r="AA109" s="16"/>
      <c r="AB109" s="16"/>
      <c r="AC109" s="16"/>
      <c r="AD109" s="396"/>
      <c r="AE109" s="398"/>
      <c r="AF109" s="396"/>
      <c r="AG109" s="398"/>
      <c r="AH109" s="398"/>
      <c r="AI109" s="396"/>
      <c r="AJ109" s="398"/>
      <c r="AK109" s="398"/>
      <c r="AL109" s="396"/>
      <c r="AM109" s="398"/>
      <c r="AN109" s="398"/>
      <c r="AO109" s="397"/>
    </row>
    <row r="110" spans="1:41" s="164" customFormat="1" ht="40.25" customHeight="1">
      <c r="C110" s="960">
        <v>36</v>
      </c>
      <c r="D110" s="788">
        <v>49</v>
      </c>
      <c r="E110" s="837" t="s">
        <v>1281</v>
      </c>
      <c r="F110" s="925" t="s">
        <v>1280</v>
      </c>
      <c r="G110" s="928" t="s">
        <v>1279</v>
      </c>
      <c r="H110" s="792" t="s">
        <v>287</v>
      </c>
      <c r="I110" s="297">
        <f>IF(J110="","",J110-30)</f>
        <v>46143</v>
      </c>
      <c r="J110" s="297">
        <f>IF(K110="","",K110-30)</f>
        <v>46173</v>
      </c>
      <c r="K110" s="298">
        <v>46203</v>
      </c>
      <c r="L110" s="299" t="str">
        <f t="shared" ca="1" si="8"/>
        <v/>
      </c>
      <c r="M110" s="299">
        <f t="shared" si="9"/>
        <v>65</v>
      </c>
      <c r="N110" s="301" t="s">
        <v>925</v>
      </c>
      <c r="O110" s="163" t="s">
        <v>22</v>
      </c>
      <c r="P110" s="23">
        <v>46078</v>
      </c>
      <c r="Q110" s="24" t="s">
        <v>440</v>
      </c>
      <c r="R110" s="23">
        <v>46125</v>
      </c>
      <c r="S110" s="24" t="s">
        <v>1278</v>
      </c>
      <c r="T110" s="24" t="s">
        <v>30</v>
      </c>
      <c r="U110" s="23">
        <v>46125</v>
      </c>
      <c r="V110" s="24" t="s">
        <v>1278</v>
      </c>
      <c r="W110" s="15" t="s">
        <v>44</v>
      </c>
      <c r="X110" s="27">
        <v>46147</v>
      </c>
      <c r="Y110" s="26" t="s">
        <v>1270</v>
      </c>
      <c r="Z110" s="26" t="s">
        <v>925</v>
      </c>
      <c r="AA110" s="16"/>
      <c r="AB110" s="678" t="s">
        <v>1080</v>
      </c>
      <c r="AC110" s="15" t="s">
        <v>50</v>
      </c>
      <c r="AD110" s="396">
        <v>46127</v>
      </c>
      <c r="AE110" s="398" t="s">
        <v>1081</v>
      </c>
      <c r="AF110" s="396"/>
      <c r="AG110" s="398"/>
      <c r="AH110" s="398"/>
      <c r="AI110" s="396"/>
      <c r="AJ110" s="398"/>
      <c r="AK110" s="398"/>
      <c r="AL110" s="396"/>
      <c r="AM110" s="398"/>
      <c r="AN110" s="398"/>
      <c r="AO110" s="397"/>
    </row>
    <row r="111" spans="1:41" s="164" customFormat="1" ht="39.65" customHeight="1">
      <c r="C111" s="960"/>
      <c r="D111" s="789"/>
      <c r="E111" s="837"/>
      <c r="F111" s="926"/>
      <c r="G111" s="929"/>
      <c r="H111" s="793"/>
      <c r="I111" s="298"/>
      <c r="J111" s="298"/>
      <c r="K111" s="298"/>
      <c r="L111" s="299" t="str">
        <f t="shared" ca="1" si="8"/>
        <v/>
      </c>
      <c r="M111" s="299" t="str">
        <f t="shared" si="9"/>
        <v/>
      </c>
      <c r="N111" s="301"/>
      <c r="O111" s="163"/>
      <c r="P111" s="23"/>
      <c r="Q111" s="23"/>
      <c r="R111" s="23"/>
      <c r="S111" s="24"/>
      <c r="T111" s="15"/>
      <c r="U111" s="23"/>
      <c r="V111" s="24"/>
      <c r="W111" s="15"/>
      <c r="X111" s="23"/>
      <c r="Y111" s="15"/>
      <c r="Z111" s="15"/>
      <c r="AA111" s="16"/>
      <c r="AB111" s="679"/>
      <c r="AC111" s="16"/>
      <c r="AD111" s="396"/>
      <c r="AE111" s="398"/>
      <c r="AF111" s="396"/>
      <c r="AG111" s="398"/>
      <c r="AH111" s="398"/>
      <c r="AI111" s="396"/>
      <c r="AJ111" s="398"/>
      <c r="AK111" s="398"/>
      <c r="AL111" s="396"/>
      <c r="AM111" s="398"/>
      <c r="AN111" s="398"/>
      <c r="AO111" s="397"/>
    </row>
    <row r="112" spans="1:41" s="164" customFormat="1" ht="40.25" customHeight="1">
      <c r="C112" s="960"/>
      <c r="D112" s="790"/>
      <c r="E112" s="837"/>
      <c r="F112" s="927"/>
      <c r="G112" s="930"/>
      <c r="H112" s="794"/>
      <c r="I112" s="298"/>
      <c r="J112" s="298"/>
      <c r="K112" s="298"/>
      <c r="L112" s="299" t="str">
        <f t="shared" ca="1" si="8"/>
        <v/>
      </c>
      <c r="M112" s="299" t="str">
        <f t="shared" si="9"/>
        <v/>
      </c>
      <c r="N112" s="301"/>
      <c r="O112" s="163"/>
      <c r="P112" s="23"/>
      <c r="Q112" s="24"/>
      <c r="R112" s="23"/>
      <c r="S112" s="24"/>
      <c r="T112" s="15"/>
      <c r="U112" s="23"/>
      <c r="V112" s="24"/>
      <c r="W112" s="15"/>
      <c r="X112" s="23"/>
      <c r="Y112" s="15"/>
      <c r="Z112" s="15"/>
      <c r="AA112" s="16"/>
      <c r="AB112" s="680"/>
      <c r="AC112" s="16"/>
      <c r="AD112" s="396"/>
      <c r="AE112" s="398"/>
      <c r="AF112" s="396"/>
      <c r="AG112" s="398"/>
      <c r="AH112" s="398"/>
      <c r="AI112" s="396"/>
      <c r="AJ112" s="398"/>
      <c r="AK112" s="398"/>
      <c r="AL112" s="396"/>
      <c r="AM112" s="398"/>
      <c r="AN112" s="398"/>
      <c r="AO112" s="397"/>
    </row>
    <row r="113" spans="2:41" s="164" customFormat="1" ht="40.25" customHeight="1">
      <c r="C113" s="960">
        <v>37</v>
      </c>
      <c r="D113" s="788">
        <v>50</v>
      </c>
      <c r="E113" s="837" t="s">
        <v>1277</v>
      </c>
      <c r="F113" s="925" t="s">
        <v>1276</v>
      </c>
      <c r="G113" s="928" t="s">
        <v>443</v>
      </c>
      <c r="H113" s="792" t="s">
        <v>287</v>
      </c>
      <c r="I113" s="297">
        <f>IF(J113="","",J113-30)</f>
        <v>46143</v>
      </c>
      <c r="J113" s="297">
        <f>IF(K113="","",K113-30)</f>
        <v>46173</v>
      </c>
      <c r="K113" s="298">
        <v>46203</v>
      </c>
      <c r="L113" s="299" t="str">
        <f t="shared" ca="1" si="8"/>
        <v/>
      </c>
      <c r="M113" s="299">
        <f t="shared" si="9"/>
        <v>65</v>
      </c>
      <c r="N113" s="301" t="s">
        <v>925</v>
      </c>
      <c r="O113" s="163" t="s">
        <v>22</v>
      </c>
      <c r="P113" s="23">
        <v>46078</v>
      </c>
      <c r="Q113" s="24" t="s">
        <v>442</v>
      </c>
      <c r="R113" s="23">
        <v>46133</v>
      </c>
      <c r="S113" s="24" t="s">
        <v>1275</v>
      </c>
      <c r="T113" s="24" t="s">
        <v>30</v>
      </c>
      <c r="U113" s="23">
        <v>46133</v>
      </c>
      <c r="V113" s="24" t="s">
        <v>1275</v>
      </c>
      <c r="W113" s="15" t="s">
        <v>44</v>
      </c>
      <c r="X113" s="27">
        <v>46147</v>
      </c>
      <c r="Y113" s="26" t="s">
        <v>1270</v>
      </c>
      <c r="Z113" s="26" t="s">
        <v>925</v>
      </c>
      <c r="AA113" s="16"/>
      <c r="AB113" s="678" t="s">
        <v>1082</v>
      </c>
      <c r="AC113" s="15" t="s">
        <v>50</v>
      </c>
      <c r="AD113" s="396">
        <v>46127</v>
      </c>
      <c r="AE113" s="398" t="s">
        <v>1083</v>
      </c>
      <c r="AF113" s="396"/>
      <c r="AG113" s="398"/>
      <c r="AH113" s="398"/>
      <c r="AI113" s="396"/>
      <c r="AJ113" s="398"/>
      <c r="AK113" s="398"/>
      <c r="AL113" s="396"/>
      <c r="AM113" s="398"/>
      <c r="AN113" s="398"/>
      <c r="AO113" s="397"/>
    </row>
    <row r="114" spans="2:41" s="164" customFormat="1" ht="39.65" customHeight="1">
      <c r="C114" s="960"/>
      <c r="D114" s="789"/>
      <c r="E114" s="837"/>
      <c r="F114" s="926"/>
      <c r="G114" s="929"/>
      <c r="H114" s="793"/>
      <c r="I114" s="298"/>
      <c r="J114" s="298"/>
      <c r="K114" s="298"/>
      <c r="L114" s="299" t="str">
        <f t="shared" ca="1" si="8"/>
        <v/>
      </c>
      <c r="M114" s="299" t="str">
        <f t="shared" si="9"/>
        <v/>
      </c>
      <c r="N114" s="301"/>
      <c r="O114" s="163"/>
      <c r="P114" s="23"/>
      <c r="Q114" s="23"/>
      <c r="R114" s="23"/>
      <c r="S114" s="24"/>
      <c r="T114" s="15"/>
      <c r="U114" s="23"/>
      <c r="V114" s="24"/>
      <c r="W114" s="15"/>
      <c r="X114" s="23"/>
      <c r="Y114" s="15"/>
      <c r="Z114" s="15"/>
      <c r="AA114" s="16"/>
      <c r="AB114" s="679"/>
      <c r="AC114" s="16"/>
      <c r="AD114" s="396"/>
      <c r="AE114" s="398"/>
      <c r="AF114" s="396"/>
      <c r="AG114" s="398"/>
      <c r="AH114" s="398"/>
      <c r="AI114" s="396"/>
      <c r="AJ114" s="398"/>
      <c r="AK114" s="398"/>
      <c r="AL114" s="396"/>
      <c r="AM114" s="398"/>
      <c r="AN114" s="398"/>
      <c r="AO114" s="397"/>
    </row>
    <row r="115" spans="2:41" s="164" customFormat="1" ht="40.25" customHeight="1">
      <c r="C115" s="960"/>
      <c r="D115" s="790"/>
      <c r="E115" s="837"/>
      <c r="F115" s="927"/>
      <c r="G115" s="930"/>
      <c r="H115" s="794"/>
      <c r="I115" s="298"/>
      <c r="J115" s="298"/>
      <c r="K115" s="298"/>
      <c r="L115" s="299" t="str">
        <f t="shared" ref="L115:L140" ca="1" si="10">IF(I115="","",IF(P115&lt;&gt;"","",IF(AND(P115="",I115-TODAY()&lt;=60),I115-TODAY(),"")))</f>
        <v/>
      </c>
      <c r="M115" s="299" t="str">
        <f t="shared" ref="M115:M140" si="11">IF(AND(ISNUMBER(I115),ISNUMBER(P115)),I115-P115,"")</f>
        <v/>
      </c>
      <c r="N115" s="301"/>
      <c r="O115" s="163"/>
      <c r="P115" s="23"/>
      <c r="Q115" s="24"/>
      <c r="R115" s="23"/>
      <c r="S115" s="24"/>
      <c r="T115" s="15"/>
      <c r="U115" s="23"/>
      <c r="V115" s="24"/>
      <c r="W115" s="15"/>
      <c r="X115" s="23"/>
      <c r="Y115" s="15"/>
      <c r="Z115" s="15"/>
      <c r="AA115" s="16"/>
      <c r="AB115" s="680"/>
      <c r="AC115" s="16"/>
      <c r="AD115" s="396"/>
      <c r="AE115" s="398"/>
      <c r="AF115" s="396"/>
      <c r="AG115" s="398"/>
      <c r="AH115" s="398"/>
      <c r="AI115" s="396"/>
      <c r="AJ115" s="398"/>
      <c r="AK115" s="398"/>
      <c r="AL115" s="396"/>
      <c r="AM115" s="398"/>
      <c r="AN115" s="398"/>
      <c r="AO115" s="397"/>
    </row>
    <row r="116" spans="2:41" s="164" customFormat="1" ht="40.25" customHeight="1">
      <c r="B116" s="947">
        <v>128</v>
      </c>
      <c r="C116" s="960">
        <v>38</v>
      </c>
      <c r="D116" s="788">
        <v>51</v>
      </c>
      <c r="E116" s="837" t="s">
        <v>1274</v>
      </c>
      <c r="F116" s="925" t="s">
        <v>1273</v>
      </c>
      <c r="G116" s="928" t="s">
        <v>445</v>
      </c>
      <c r="H116" s="792" t="s">
        <v>287</v>
      </c>
      <c r="I116" s="297">
        <f>IF(J116="","",J116-30)</f>
        <v>45985</v>
      </c>
      <c r="J116" s="297">
        <f>IF(K116="","",K116-30)</f>
        <v>46015</v>
      </c>
      <c r="K116" s="298">
        <v>46045</v>
      </c>
      <c r="L116" s="299" t="str">
        <f t="shared" ca="1" si="10"/>
        <v/>
      </c>
      <c r="M116" s="299">
        <f t="shared" si="11"/>
        <v>-93</v>
      </c>
      <c r="N116" s="301" t="s">
        <v>925</v>
      </c>
      <c r="O116" s="163" t="s">
        <v>22</v>
      </c>
      <c r="P116" s="23">
        <v>46078</v>
      </c>
      <c r="Q116" s="24" t="s">
        <v>1272</v>
      </c>
      <c r="R116" s="23">
        <v>46133</v>
      </c>
      <c r="S116" s="24" t="s">
        <v>1271</v>
      </c>
      <c r="T116" s="24" t="s">
        <v>30</v>
      </c>
      <c r="U116" s="23">
        <v>46133</v>
      </c>
      <c r="V116" s="24" t="s">
        <v>1271</v>
      </c>
      <c r="W116" s="15" t="s">
        <v>44</v>
      </c>
      <c r="X116" s="27">
        <v>46147</v>
      </c>
      <c r="Y116" s="26" t="s">
        <v>1270</v>
      </c>
      <c r="Z116" s="26" t="s">
        <v>925</v>
      </c>
      <c r="AA116" s="16"/>
      <c r="AB116" s="944" t="s">
        <v>1269</v>
      </c>
      <c r="AC116" s="26" t="s">
        <v>50</v>
      </c>
      <c r="AD116" s="400">
        <v>46146</v>
      </c>
      <c r="AE116" s="402" t="s">
        <v>1257</v>
      </c>
      <c r="AF116" s="396"/>
      <c r="AG116" s="398"/>
      <c r="AH116" s="398"/>
      <c r="AI116" s="396"/>
      <c r="AJ116" s="398"/>
      <c r="AK116" s="398"/>
      <c r="AL116" s="396"/>
      <c r="AM116" s="398"/>
      <c r="AN116" s="398"/>
      <c r="AO116" s="397"/>
    </row>
    <row r="117" spans="2:41" s="164" customFormat="1" ht="39.65" customHeight="1">
      <c r="B117" s="947"/>
      <c r="C117" s="960"/>
      <c r="D117" s="789"/>
      <c r="E117" s="837"/>
      <c r="F117" s="926"/>
      <c r="G117" s="929"/>
      <c r="H117" s="793"/>
      <c r="I117" s="298"/>
      <c r="J117" s="298"/>
      <c r="K117" s="298"/>
      <c r="L117" s="299" t="str">
        <f t="shared" ca="1" si="10"/>
        <v/>
      </c>
      <c r="M117" s="299" t="str">
        <f t="shared" si="11"/>
        <v/>
      </c>
      <c r="N117" s="301"/>
      <c r="O117" s="163"/>
      <c r="P117" s="23"/>
      <c r="Q117" s="23"/>
      <c r="R117" s="23"/>
      <c r="S117" s="24"/>
      <c r="T117" s="15"/>
      <c r="U117" s="23"/>
      <c r="V117" s="24"/>
      <c r="W117" s="15"/>
      <c r="X117" s="23"/>
      <c r="Y117" s="15"/>
      <c r="Z117" s="15"/>
      <c r="AA117" s="16"/>
      <c r="AB117" s="945"/>
      <c r="AC117" s="324"/>
      <c r="AD117" s="396"/>
      <c r="AE117" s="398"/>
      <c r="AF117" s="396"/>
      <c r="AG117" s="398"/>
      <c r="AH117" s="398"/>
      <c r="AI117" s="396"/>
      <c r="AJ117" s="398"/>
      <c r="AK117" s="398"/>
      <c r="AL117" s="396"/>
      <c r="AM117" s="398"/>
      <c r="AN117" s="398"/>
      <c r="AO117" s="397"/>
    </row>
    <row r="118" spans="2:41" s="164" customFormat="1" ht="36" customHeight="1">
      <c r="B118" s="947"/>
      <c r="C118" s="960"/>
      <c r="D118" s="790"/>
      <c r="E118" s="837"/>
      <c r="F118" s="927"/>
      <c r="G118" s="930"/>
      <c r="H118" s="794"/>
      <c r="I118" s="298"/>
      <c r="J118" s="298"/>
      <c r="K118" s="298"/>
      <c r="L118" s="299" t="str">
        <f t="shared" ca="1" si="10"/>
        <v/>
      </c>
      <c r="M118" s="299" t="str">
        <f t="shared" si="11"/>
        <v/>
      </c>
      <c r="N118" s="301"/>
      <c r="O118" s="163"/>
      <c r="P118" s="23"/>
      <c r="Q118" s="24"/>
      <c r="R118" s="23"/>
      <c r="S118" s="24"/>
      <c r="T118" s="15"/>
      <c r="U118" s="23"/>
      <c r="V118" s="24"/>
      <c r="W118" s="15"/>
      <c r="X118" s="23"/>
      <c r="Y118" s="15"/>
      <c r="Z118" s="15"/>
      <c r="AA118" s="16"/>
      <c r="AB118" s="946"/>
      <c r="AC118" s="324"/>
      <c r="AD118" s="396"/>
      <c r="AE118" s="398"/>
      <c r="AF118" s="396"/>
      <c r="AG118" s="398"/>
      <c r="AH118" s="398"/>
      <c r="AI118" s="396"/>
      <c r="AJ118" s="398"/>
      <c r="AK118" s="398"/>
      <c r="AL118" s="396"/>
      <c r="AM118" s="398"/>
      <c r="AN118" s="398"/>
      <c r="AO118" s="397"/>
    </row>
    <row r="119" spans="2:41" s="111" customFormat="1" ht="40.25" customHeight="1">
      <c r="C119" s="960">
        <v>39</v>
      </c>
      <c r="D119" s="678">
        <v>66</v>
      </c>
      <c r="E119" s="982" t="s">
        <v>1268</v>
      </c>
      <c r="F119" s="963" t="s">
        <v>970</v>
      </c>
      <c r="G119" s="941" t="s">
        <v>957</v>
      </c>
      <c r="H119" s="932" t="s">
        <v>288</v>
      </c>
      <c r="I119" s="116">
        <f>IF(J119="","",J119-30)</f>
        <v>46150</v>
      </c>
      <c r="J119" s="116">
        <f>IF(K119="","",K119-30)</f>
        <v>46180</v>
      </c>
      <c r="K119" s="298">
        <v>46210</v>
      </c>
      <c r="L119" s="403" t="str">
        <f t="shared" ca="1" si="10"/>
        <v/>
      </c>
      <c r="M119" s="403">
        <f t="shared" si="11"/>
        <v>72</v>
      </c>
      <c r="N119" s="114"/>
      <c r="O119" s="15" t="s">
        <v>22</v>
      </c>
      <c r="P119" s="23">
        <v>46078</v>
      </c>
      <c r="Q119" s="24" t="s">
        <v>1267</v>
      </c>
      <c r="R119" s="23">
        <v>46112</v>
      </c>
      <c r="S119" s="24" t="s">
        <v>1015</v>
      </c>
      <c r="T119" s="114" t="s">
        <v>25</v>
      </c>
      <c r="U119" s="23"/>
      <c r="V119" s="24"/>
      <c r="W119" s="24"/>
      <c r="X119" s="23"/>
      <c r="Y119" s="15"/>
      <c r="Z119" s="15"/>
      <c r="AA119" s="16"/>
      <c r="AB119" s="16"/>
      <c r="AC119" s="16"/>
      <c r="AD119" s="396"/>
      <c r="AE119" s="398"/>
      <c r="AF119" s="396"/>
      <c r="AG119" s="398"/>
      <c r="AH119" s="398"/>
      <c r="AI119" s="396"/>
      <c r="AJ119" s="398"/>
      <c r="AK119" s="398"/>
      <c r="AL119" s="396"/>
      <c r="AM119" s="398"/>
      <c r="AN119" s="398"/>
      <c r="AO119" s="397"/>
    </row>
    <row r="120" spans="2:41" s="111" customFormat="1" ht="39.65" customHeight="1">
      <c r="C120" s="960"/>
      <c r="D120" s="679"/>
      <c r="E120" s="982"/>
      <c r="F120" s="964"/>
      <c r="G120" s="942"/>
      <c r="H120" s="933"/>
      <c r="I120" s="112"/>
      <c r="J120" s="112"/>
      <c r="K120" s="112"/>
      <c r="L120" s="403" t="str">
        <f t="shared" ca="1" si="10"/>
        <v/>
      </c>
      <c r="M120" s="403" t="str">
        <f t="shared" si="11"/>
        <v/>
      </c>
      <c r="N120" s="114" t="s">
        <v>241</v>
      </c>
      <c r="O120" s="15" t="s">
        <v>54</v>
      </c>
      <c r="P120" s="23" t="s">
        <v>1523</v>
      </c>
      <c r="Q120" s="23" t="s">
        <v>1524</v>
      </c>
      <c r="R120" s="23"/>
      <c r="S120" s="24"/>
      <c r="T120" s="15"/>
      <c r="U120" s="23"/>
      <c r="V120" s="24"/>
      <c r="W120" s="15"/>
      <c r="X120" s="23"/>
      <c r="Y120" s="15"/>
      <c r="Z120" s="15"/>
      <c r="AA120" s="16"/>
      <c r="AB120" s="16"/>
      <c r="AC120" s="16"/>
      <c r="AD120" s="396"/>
      <c r="AE120" s="398"/>
      <c r="AF120" s="396"/>
      <c r="AG120" s="398"/>
      <c r="AH120" s="398"/>
      <c r="AI120" s="396"/>
      <c r="AJ120" s="398"/>
      <c r="AK120" s="398"/>
      <c r="AL120" s="396"/>
      <c r="AM120" s="398"/>
      <c r="AN120" s="398"/>
      <c r="AO120" s="397"/>
    </row>
    <row r="121" spans="2:41" s="111" customFormat="1" ht="40.25" customHeight="1">
      <c r="C121" s="960"/>
      <c r="D121" s="680"/>
      <c r="E121" s="982"/>
      <c r="F121" s="965"/>
      <c r="G121" s="943"/>
      <c r="H121" s="934"/>
      <c r="I121" s="112"/>
      <c r="J121" s="112"/>
      <c r="K121" s="112"/>
      <c r="L121" s="403" t="str">
        <f t="shared" ca="1" si="10"/>
        <v/>
      </c>
      <c r="M121" s="403" t="str">
        <f t="shared" si="11"/>
        <v/>
      </c>
      <c r="N121" s="114"/>
      <c r="O121" s="15"/>
      <c r="P121" s="23"/>
      <c r="Q121" s="24"/>
      <c r="R121" s="23"/>
      <c r="S121" s="24"/>
      <c r="T121" s="15"/>
      <c r="U121" s="23"/>
      <c r="V121" s="24"/>
      <c r="W121" s="15"/>
      <c r="X121" s="23"/>
      <c r="Y121" s="15"/>
      <c r="Z121" s="15"/>
      <c r="AA121" s="16"/>
      <c r="AB121" s="16"/>
      <c r="AC121" s="16"/>
      <c r="AD121" s="396"/>
      <c r="AE121" s="398"/>
      <c r="AF121" s="396"/>
      <c r="AG121" s="398"/>
      <c r="AH121" s="398"/>
      <c r="AI121" s="396"/>
      <c r="AJ121" s="398"/>
      <c r="AK121" s="398"/>
      <c r="AL121" s="396"/>
      <c r="AM121" s="398"/>
      <c r="AN121" s="398"/>
      <c r="AO121" s="397"/>
    </row>
    <row r="122" spans="2:41" s="111" customFormat="1" ht="40.25" customHeight="1">
      <c r="C122" s="960">
        <v>40</v>
      </c>
      <c r="D122" s="678">
        <v>67</v>
      </c>
      <c r="E122" s="982" t="s">
        <v>1266</v>
      </c>
      <c r="F122" s="963" t="s">
        <v>1265</v>
      </c>
      <c r="G122" s="941" t="s">
        <v>444</v>
      </c>
      <c r="H122" s="932" t="s">
        <v>288</v>
      </c>
      <c r="I122" s="116">
        <f>IF(J122="","",J122-30)</f>
        <v>46143</v>
      </c>
      <c r="J122" s="116">
        <f>IF(K122="","",K122-30)</f>
        <v>46173</v>
      </c>
      <c r="K122" s="298">
        <v>46203</v>
      </c>
      <c r="L122" s="403" t="str">
        <f t="shared" ca="1" si="10"/>
        <v/>
      </c>
      <c r="M122" s="403">
        <f t="shared" si="11"/>
        <v>65</v>
      </c>
      <c r="N122" s="301" t="s">
        <v>925</v>
      </c>
      <c r="O122" s="15" t="s">
        <v>22</v>
      </c>
      <c r="P122" s="23">
        <v>46078</v>
      </c>
      <c r="Q122" s="24" t="s">
        <v>1264</v>
      </c>
      <c r="R122" s="23">
        <v>46125</v>
      </c>
      <c r="S122" s="24" t="s">
        <v>1263</v>
      </c>
      <c r="T122" s="24" t="s">
        <v>30</v>
      </c>
      <c r="U122" s="23">
        <v>46125</v>
      </c>
      <c r="V122" s="24" t="s">
        <v>1263</v>
      </c>
      <c r="W122" s="15" t="s">
        <v>44</v>
      </c>
      <c r="X122" s="27">
        <v>46146</v>
      </c>
      <c r="Y122" s="26" t="s">
        <v>1259</v>
      </c>
      <c r="Z122" s="26" t="s">
        <v>196</v>
      </c>
      <c r="AA122" s="16"/>
      <c r="AB122" s="16"/>
      <c r="AC122" s="16"/>
      <c r="AD122" s="396"/>
      <c r="AE122" s="398"/>
      <c r="AF122" s="396"/>
      <c r="AG122" s="398"/>
      <c r="AH122" s="398"/>
      <c r="AI122" s="396"/>
      <c r="AJ122" s="398"/>
      <c r="AK122" s="398"/>
      <c r="AL122" s="396"/>
      <c r="AM122" s="398"/>
      <c r="AN122" s="398"/>
      <c r="AO122" s="397"/>
    </row>
    <row r="123" spans="2:41" s="111" customFormat="1" ht="39.65" customHeight="1">
      <c r="C123" s="960"/>
      <c r="D123" s="679"/>
      <c r="E123" s="982"/>
      <c r="F123" s="964"/>
      <c r="G123" s="942"/>
      <c r="H123" s="933"/>
      <c r="I123" s="112"/>
      <c r="J123" s="112"/>
      <c r="K123" s="112"/>
      <c r="L123" s="403" t="str">
        <f t="shared" ca="1" si="10"/>
        <v/>
      </c>
      <c r="M123" s="403" t="str">
        <f t="shared" si="11"/>
        <v/>
      </c>
      <c r="N123" s="114"/>
      <c r="O123" s="15"/>
      <c r="P123" s="23"/>
      <c r="Q123" s="23"/>
      <c r="R123" s="23"/>
      <c r="S123" s="24"/>
      <c r="T123" s="15"/>
      <c r="U123" s="23"/>
      <c r="V123" s="24"/>
      <c r="W123" s="15"/>
      <c r="X123" s="23"/>
      <c r="Y123" s="15"/>
      <c r="Z123" s="15"/>
      <c r="AA123" s="16"/>
      <c r="AB123" s="16"/>
      <c r="AC123" s="16"/>
      <c r="AD123" s="396"/>
      <c r="AE123" s="398"/>
      <c r="AF123" s="396"/>
      <c r="AG123" s="398"/>
      <c r="AH123" s="398"/>
      <c r="AI123" s="396"/>
      <c r="AJ123" s="398"/>
      <c r="AK123" s="398"/>
      <c r="AL123" s="396"/>
      <c r="AM123" s="398"/>
      <c r="AN123" s="398"/>
      <c r="AO123" s="397"/>
    </row>
    <row r="124" spans="2:41" s="111" customFormat="1" ht="40.25" customHeight="1">
      <c r="C124" s="960"/>
      <c r="D124" s="680"/>
      <c r="E124" s="982"/>
      <c r="F124" s="965"/>
      <c r="G124" s="943"/>
      <c r="H124" s="934"/>
      <c r="I124" s="112"/>
      <c r="J124" s="112"/>
      <c r="K124" s="112"/>
      <c r="L124" s="403" t="str">
        <f t="shared" ca="1" si="10"/>
        <v/>
      </c>
      <c r="M124" s="403" t="str">
        <f t="shared" si="11"/>
        <v/>
      </c>
      <c r="N124" s="114"/>
      <c r="O124" s="15"/>
      <c r="P124" s="23"/>
      <c r="Q124" s="24"/>
      <c r="R124" s="23"/>
      <c r="S124" s="24"/>
      <c r="T124" s="15"/>
      <c r="U124" s="23"/>
      <c r="V124" s="24"/>
      <c r="W124" s="15"/>
      <c r="X124" s="23"/>
      <c r="Y124" s="15"/>
      <c r="Z124" s="15"/>
      <c r="AA124" s="16"/>
      <c r="AB124" s="16"/>
      <c r="AC124" s="16"/>
      <c r="AD124" s="396"/>
      <c r="AE124" s="398"/>
      <c r="AF124" s="396"/>
      <c r="AG124" s="398"/>
      <c r="AH124" s="398"/>
      <c r="AI124" s="396"/>
      <c r="AJ124" s="398"/>
      <c r="AK124" s="398"/>
      <c r="AL124" s="396"/>
      <c r="AM124" s="398"/>
      <c r="AN124" s="398"/>
      <c r="AO124" s="397"/>
    </row>
    <row r="125" spans="2:41" s="111" customFormat="1" ht="40.25" customHeight="1">
      <c r="B125" s="987">
        <v>129</v>
      </c>
      <c r="C125" s="960">
        <v>41</v>
      </c>
      <c r="D125" s="678">
        <v>69</v>
      </c>
      <c r="E125" s="935" t="s">
        <v>1262</v>
      </c>
      <c r="F125" s="963" t="s">
        <v>1261</v>
      </c>
      <c r="G125" s="941" t="s">
        <v>447</v>
      </c>
      <c r="H125" s="932" t="s">
        <v>288</v>
      </c>
      <c r="I125" s="116">
        <f>IF(J125="","",J125-30)</f>
        <v>46097</v>
      </c>
      <c r="J125" s="116">
        <f>IF(K125="","",K125-30)</f>
        <v>46127</v>
      </c>
      <c r="K125" s="112">
        <v>46157</v>
      </c>
      <c r="L125" s="403" t="str">
        <f t="shared" ca="1" si="10"/>
        <v/>
      </c>
      <c r="M125" s="403">
        <f t="shared" si="11"/>
        <v>19</v>
      </c>
      <c r="N125" s="301" t="s">
        <v>925</v>
      </c>
      <c r="O125" s="15" t="s">
        <v>22</v>
      </c>
      <c r="P125" s="23">
        <v>46078</v>
      </c>
      <c r="Q125" s="24" t="s">
        <v>446</v>
      </c>
      <c r="R125" s="23">
        <v>46133</v>
      </c>
      <c r="S125" s="24" t="s">
        <v>1260</v>
      </c>
      <c r="T125" s="15" t="s">
        <v>38</v>
      </c>
      <c r="U125" s="23">
        <v>46133</v>
      </c>
      <c r="V125" s="24" t="s">
        <v>1260</v>
      </c>
      <c r="W125" s="15" t="s">
        <v>44</v>
      </c>
      <c r="X125" s="27">
        <v>46146</v>
      </c>
      <c r="Y125" s="26" t="s">
        <v>1259</v>
      </c>
      <c r="Z125" s="26" t="s">
        <v>196</v>
      </c>
      <c r="AA125" s="16"/>
      <c r="AB125" s="944" t="s">
        <v>1258</v>
      </c>
      <c r="AC125" s="26" t="s">
        <v>50</v>
      </c>
      <c r="AD125" s="400">
        <v>46146</v>
      </c>
      <c r="AE125" s="402" t="s">
        <v>1257</v>
      </c>
      <c r="AF125" s="396"/>
      <c r="AG125" s="398"/>
      <c r="AH125" s="398"/>
      <c r="AI125" s="396"/>
      <c r="AJ125" s="398"/>
      <c r="AK125" s="398"/>
      <c r="AL125" s="396"/>
      <c r="AM125" s="398"/>
      <c r="AN125" s="398"/>
      <c r="AO125" s="397"/>
    </row>
    <row r="126" spans="2:41" s="111" customFormat="1" ht="39.65" customHeight="1">
      <c r="B126" s="987"/>
      <c r="C126" s="960"/>
      <c r="D126" s="679"/>
      <c r="E126" s="936"/>
      <c r="F126" s="964"/>
      <c r="G126" s="942"/>
      <c r="H126" s="933"/>
      <c r="I126" s="112"/>
      <c r="J126" s="112"/>
      <c r="K126" s="112"/>
      <c r="L126" s="403" t="str">
        <f t="shared" ca="1" si="10"/>
        <v/>
      </c>
      <c r="M126" s="403" t="str">
        <f t="shared" si="11"/>
        <v/>
      </c>
      <c r="N126" s="114"/>
      <c r="O126" s="15"/>
      <c r="P126" s="23"/>
      <c r="Q126" s="23"/>
      <c r="R126" s="23"/>
      <c r="S126" s="24"/>
      <c r="T126" s="15"/>
      <c r="U126" s="23"/>
      <c r="V126" s="24"/>
      <c r="W126" s="15"/>
      <c r="X126" s="23"/>
      <c r="Y126" s="15"/>
      <c r="Z126" s="15"/>
      <c r="AA126" s="16"/>
      <c r="AB126" s="945"/>
      <c r="AC126" s="324"/>
      <c r="AD126" s="396"/>
      <c r="AE126" s="398"/>
      <c r="AF126" s="396"/>
      <c r="AG126" s="398"/>
      <c r="AH126" s="398"/>
      <c r="AI126" s="396"/>
      <c r="AJ126" s="398"/>
      <c r="AK126" s="398"/>
      <c r="AL126" s="396"/>
      <c r="AM126" s="398"/>
      <c r="AN126" s="398"/>
      <c r="AO126" s="397"/>
    </row>
    <row r="127" spans="2:41" s="111" customFormat="1" ht="40.25" customHeight="1">
      <c r="B127" s="987"/>
      <c r="C127" s="960"/>
      <c r="D127" s="680"/>
      <c r="E127" s="937"/>
      <c r="F127" s="965"/>
      <c r="G127" s="943"/>
      <c r="H127" s="934"/>
      <c r="I127" s="112"/>
      <c r="J127" s="112"/>
      <c r="K127" s="112"/>
      <c r="L127" s="403" t="str">
        <f t="shared" ca="1" si="10"/>
        <v/>
      </c>
      <c r="M127" s="403" t="str">
        <f t="shared" si="11"/>
        <v/>
      </c>
      <c r="N127" s="114"/>
      <c r="O127" s="15"/>
      <c r="P127" s="23"/>
      <c r="Q127" s="24"/>
      <c r="R127" s="23"/>
      <c r="S127" s="24"/>
      <c r="T127" s="15"/>
      <c r="U127" s="23"/>
      <c r="V127" s="24"/>
      <c r="W127" s="15"/>
      <c r="X127" s="23"/>
      <c r="Y127" s="15"/>
      <c r="Z127" s="15"/>
      <c r="AA127" s="16"/>
      <c r="AB127" s="946"/>
      <c r="AC127" s="324"/>
      <c r="AD127" s="396"/>
      <c r="AE127" s="398"/>
      <c r="AF127" s="396"/>
      <c r="AG127" s="398"/>
      <c r="AH127" s="398"/>
      <c r="AI127" s="396"/>
      <c r="AJ127" s="398"/>
      <c r="AK127" s="398"/>
      <c r="AL127" s="396"/>
      <c r="AM127" s="398"/>
      <c r="AN127" s="398"/>
      <c r="AO127" s="397"/>
    </row>
    <row r="128" spans="2:41" s="111" customFormat="1" ht="40.25" customHeight="1">
      <c r="B128" s="987">
        <v>131</v>
      </c>
      <c r="C128" s="960">
        <v>42</v>
      </c>
      <c r="D128" s="678">
        <v>68</v>
      </c>
      <c r="E128" s="935" t="s">
        <v>1256</v>
      </c>
      <c r="F128" s="963" t="s">
        <v>1255</v>
      </c>
      <c r="G128" s="941" t="s">
        <v>1254</v>
      </c>
      <c r="H128" s="932" t="s">
        <v>288</v>
      </c>
      <c r="I128" s="116">
        <f>IF(J128="","",J128-30)</f>
        <v>46143</v>
      </c>
      <c r="J128" s="116">
        <f>IF(K128="","",K128-30)</f>
        <v>46173</v>
      </c>
      <c r="K128" s="298">
        <v>46203</v>
      </c>
      <c r="L128" s="403" t="str">
        <f t="shared" ca="1" si="10"/>
        <v/>
      </c>
      <c r="M128" s="403">
        <f t="shared" si="11"/>
        <v>65</v>
      </c>
      <c r="O128" s="15" t="s">
        <v>22</v>
      </c>
      <c r="P128" s="23">
        <v>46078</v>
      </c>
      <c r="Q128" s="24" t="s">
        <v>924</v>
      </c>
      <c r="R128" s="23">
        <v>46112</v>
      </c>
      <c r="S128" s="24" t="s">
        <v>1016</v>
      </c>
      <c r="T128" s="114" t="s">
        <v>25</v>
      </c>
      <c r="U128" s="23"/>
      <c r="V128" s="24"/>
      <c r="W128" s="24"/>
      <c r="X128" s="23"/>
      <c r="Y128" s="15"/>
      <c r="Z128" s="15"/>
      <c r="AA128" s="16"/>
      <c r="AB128" s="16"/>
      <c r="AC128" s="16"/>
      <c r="AD128" s="396"/>
      <c r="AE128" s="398"/>
      <c r="AF128" s="396"/>
      <c r="AG128" s="398"/>
      <c r="AH128" s="398"/>
      <c r="AI128" s="396"/>
      <c r="AJ128" s="398"/>
      <c r="AK128" s="398"/>
      <c r="AL128" s="396"/>
      <c r="AM128" s="398"/>
      <c r="AN128" s="398"/>
      <c r="AO128" s="397"/>
    </row>
    <row r="129" spans="2:41" s="111" customFormat="1" ht="39.65" customHeight="1">
      <c r="B129" s="987"/>
      <c r="C129" s="960"/>
      <c r="D129" s="679"/>
      <c r="E129" s="936"/>
      <c r="F129" s="964"/>
      <c r="G129" s="942"/>
      <c r="H129" s="933"/>
      <c r="I129" s="112"/>
      <c r="J129" s="112"/>
      <c r="K129" s="112"/>
      <c r="L129" s="403" t="str">
        <f t="shared" ca="1" si="10"/>
        <v/>
      </c>
      <c r="M129" s="403" t="str">
        <f t="shared" si="11"/>
        <v/>
      </c>
      <c r="N129" s="114" t="s">
        <v>241</v>
      </c>
      <c r="O129" s="15" t="s">
        <v>54</v>
      </c>
      <c r="P129" s="23" t="s">
        <v>1523</v>
      </c>
      <c r="Q129" s="23" t="s">
        <v>1530</v>
      </c>
      <c r="R129" s="23"/>
      <c r="S129" s="24"/>
      <c r="T129" s="15"/>
      <c r="U129" s="23"/>
      <c r="V129" s="24"/>
      <c r="W129" s="15"/>
      <c r="X129" s="23"/>
      <c r="Y129" s="15"/>
      <c r="Z129" s="15"/>
      <c r="AA129" s="16"/>
      <c r="AB129" s="16"/>
      <c r="AC129" s="16"/>
      <c r="AD129" s="396"/>
      <c r="AE129" s="398"/>
      <c r="AF129" s="396"/>
      <c r="AG129" s="398"/>
      <c r="AH129" s="398"/>
      <c r="AI129" s="396"/>
      <c r="AJ129" s="398"/>
      <c r="AK129" s="398"/>
      <c r="AL129" s="396"/>
      <c r="AM129" s="398"/>
      <c r="AN129" s="398"/>
      <c r="AO129" s="397"/>
    </row>
    <row r="130" spans="2:41" s="111" customFormat="1" ht="40.25" customHeight="1">
      <c r="B130" s="987"/>
      <c r="C130" s="960"/>
      <c r="D130" s="680"/>
      <c r="E130" s="937"/>
      <c r="F130" s="965"/>
      <c r="G130" s="943"/>
      <c r="H130" s="934"/>
      <c r="I130" s="112"/>
      <c r="J130" s="112"/>
      <c r="K130" s="112"/>
      <c r="L130" s="403" t="str">
        <f t="shared" ca="1" si="10"/>
        <v/>
      </c>
      <c r="M130" s="403" t="str">
        <f t="shared" si="11"/>
        <v/>
      </c>
      <c r="N130" s="114"/>
      <c r="O130" s="15"/>
      <c r="P130" s="23"/>
      <c r="Q130" s="24"/>
      <c r="R130" s="23"/>
      <c r="S130" s="24"/>
      <c r="T130" s="15"/>
      <c r="U130" s="23"/>
      <c r="V130" s="24"/>
      <c r="W130" s="15"/>
      <c r="X130" s="23"/>
      <c r="Y130" s="15"/>
      <c r="Z130" s="15"/>
      <c r="AA130" s="16"/>
      <c r="AB130" s="16"/>
      <c r="AC130" s="16"/>
      <c r="AD130" s="396"/>
      <c r="AE130" s="398"/>
      <c r="AF130" s="396"/>
      <c r="AG130" s="398"/>
      <c r="AH130" s="398"/>
      <c r="AI130" s="396"/>
      <c r="AJ130" s="398"/>
      <c r="AK130" s="398"/>
      <c r="AL130" s="396"/>
      <c r="AM130" s="398"/>
      <c r="AN130" s="398"/>
      <c r="AO130" s="397"/>
    </row>
    <row r="131" spans="2:41" s="164" customFormat="1" ht="40.25" customHeight="1">
      <c r="B131" s="947">
        <v>138</v>
      </c>
      <c r="C131" s="960">
        <v>43</v>
      </c>
      <c r="D131" s="765">
        <v>20</v>
      </c>
      <c r="E131" s="949" t="s">
        <v>1253</v>
      </c>
      <c r="F131" s="925" t="s">
        <v>1252</v>
      </c>
      <c r="G131" s="928" t="s">
        <v>1251</v>
      </c>
      <c r="H131" s="792" t="s">
        <v>289</v>
      </c>
      <c r="I131" s="297">
        <f>IF(K131="","",K131-60)</f>
        <v>46051</v>
      </c>
      <c r="J131" s="297">
        <f>IF(K131="","",K131-30)</f>
        <v>46081</v>
      </c>
      <c r="K131" s="298">
        <v>46111</v>
      </c>
      <c r="L131" s="299" t="str">
        <f t="shared" ca="1" si="10"/>
        <v/>
      </c>
      <c r="M131" s="299">
        <f t="shared" si="11"/>
        <v>-13</v>
      </c>
      <c r="N131" s="301" t="s">
        <v>925</v>
      </c>
      <c r="O131" s="163" t="s">
        <v>22</v>
      </c>
      <c r="P131" s="23">
        <v>46064</v>
      </c>
      <c r="Q131" s="24" t="s">
        <v>1250</v>
      </c>
      <c r="R131" s="23">
        <v>46105</v>
      </c>
      <c r="S131" s="15" t="s">
        <v>1017</v>
      </c>
      <c r="T131" s="15" t="s">
        <v>38</v>
      </c>
      <c r="U131" s="23">
        <v>46105</v>
      </c>
      <c r="V131" s="15" t="s">
        <v>1017</v>
      </c>
      <c r="W131" s="15" t="s">
        <v>44</v>
      </c>
      <c r="X131" s="23">
        <v>46114</v>
      </c>
      <c r="Y131" s="15" t="s">
        <v>976</v>
      </c>
      <c r="Z131" s="15" t="s">
        <v>196</v>
      </c>
      <c r="AA131" s="16"/>
      <c r="AB131" s="678" t="s">
        <v>1084</v>
      </c>
      <c r="AC131" s="15" t="s">
        <v>22</v>
      </c>
      <c r="AD131" s="396">
        <v>46125</v>
      </c>
      <c r="AE131" s="398" t="s">
        <v>1085</v>
      </c>
      <c r="AF131" s="396"/>
      <c r="AG131" s="398"/>
      <c r="AH131" s="398"/>
      <c r="AI131" s="396"/>
      <c r="AJ131" s="398"/>
      <c r="AK131" s="398"/>
      <c r="AL131" s="396"/>
      <c r="AM131" s="398"/>
      <c r="AN131" s="398"/>
      <c r="AO131" s="397"/>
    </row>
    <row r="132" spans="2:41" s="164" customFormat="1" ht="40.25" customHeight="1">
      <c r="B132" s="947"/>
      <c r="C132" s="960"/>
      <c r="D132" s="765"/>
      <c r="E132" s="949"/>
      <c r="F132" s="926"/>
      <c r="G132" s="929"/>
      <c r="H132" s="793"/>
      <c r="I132" s="298"/>
      <c r="J132" s="298"/>
      <c r="K132" s="298"/>
      <c r="L132" s="299" t="str">
        <f t="shared" ca="1" si="10"/>
        <v/>
      </c>
      <c r="M132" s="299" t="str">
        <f t="shared" si="11"/>
        <v/>
      </c>
      <c r="N132" s="301"/>
      <c r="O132" s="163"/>
      <c r="P132" s="23"/>
      <c r="Q132" s="23"/>
      <c r="R132" s="23"/>
      <c r="S132" s="24"/>
      <c r="T132" s="15"/>
      <c r="U132" s="23"/>
      <c r="V132" s="24"/>
      <c r="W132" s="15"/>
      <c r="X132" s="23"/>
      <c r="Y132" s="15"/>
      <c r="Z132" s="15"/>
      <c r="AA132" s="16"/>
      <c r="AB132" s="679"/>
      <c r="AC132" s="16"/>
      <c r="AD132" s="396"/>
      <c r="AE132" s="398"/>
      <c r="AF132" s="396"/>
      <c r="AG132" s="398"/>
      <c r="AH132" s="398"/>
      <c r="AI132" s="396"/>
      <c r="AJ132" s="398"/>
      <c r="AK132" s="398"/>
      <c r="AL132" s="396"/>
      <c r="AM132" s="398"/>
      <c r="AN132" s="398"/>
      <c r="AO132" s="397"/>
    </row>
    <row r="133" spans="2:41" s="164" customFormat="1" ht="40.25" customHeight="1">
      <c r="B133" s="947"/>
      <c r="C133" s="960"/>
      <c r="D133" s="765"/>
      <c r="E133" s="949"/>
      <c r="F133" s="927"/>
      <c r="G133" s="930"/>
      <c r="H133" s="794"/>
      <c r="I133" s="298"/>
      <c r="J133" s="298"/>
      <c r="K133" s="298"/>
      <c r="L133" s="299" t="str">
        <f t="shared" ca="1" si="10"/>
        <v/>
      </c>
      <c r="M133" s="299" t="str">
        <f t="shared" si="11"/>
        <v/>
      </c>
      <c r="N133" s="301"/>
      <c r="O133" s="163"/>
      <c r="P133" s="23"/>
      <c r="Q133" s="24"/>
      <c r="R133" s="23"/>
      <c r="S133" s="24"/>
      <c r="T133" s="15"/>
      <c r="U133" s="23"/>
      <c r="V133" s="24"/>
      <c r="W133" s="15"/>
      <c r="X133" s="23"/>
      <c r="Y133" s="15"/>
      <c r="Z133" s="15"/>
      <c r="AA133" s="16"/>
      <c r="AB133" s="680"/>
      <c r="AC133" s="16"/>
      <c r="AD133" s="396"/>
      <c r="AE133" s="398"/>
      <c r="AF133" s="396"/>
      <c r="AG133" s="398"/>
      <c r="AH133" s="398"/>
      <c r="AI133" s="396"/>
      <c r="AJ133" s="398"/>
      <c r="AK133" s="398"/>
      <c r="AL133" s="396"/>
      <c r="AM133" s="398"/>
      <c r="AN133" s="398"/>
      <c r="AO133" s="397"/>
    </row>
    <row r="134" spans="2:41" s="165" customFormat="1" ht="114" customHeight="1">
      <c r="B134" s="777">
        <v>132</v>
      </c>
      <c r="C134" s="960">
        <v>44</v>
      </c>
      <c r="D134" s="765">
        <v>76</v>
      </c>
      <c r="E134" s="938" t="s">
        <v>1249</v>
      </c>
      <c r="F134" s="925" t="s">
        <v>1248</v>
      </c>
      <c r="G134" s="928" t="s">
        <v>1247</v>
      </c>
      <c r="H134" s="792" t="s">
        <v>263</v>
      </c>
      <c r="I134" s="297">
        <f>IF(J134="","",J134-30)</f>
        <v>45997</v>
      </c>
      <c r="J134" s="297">
        <f>IF(K134="","",K134-30)</f>
        <v>46027</v>
      </c>
      <c r="K134" s="298">
        <v>46057</v>
      </c>
      <c r="L134" s="299" t="str">
        <f t="shared" ca="1" si="10"/>
        <v/>
      </c>
      <c r="M134" s="299">
        <f t="shared" si="11"/>
        <v>71</v>
      </c>
      <c r="N134" s="301"/>
      <c r="O134" s="163" t="s">
        <v>22</v>
      </c>
      <c r="P134" s="23">
        <v>45926</v>
      </c>
      <c r="Q134" s="23" t="s">
        <v>1246</v>
      </c>
      <c r="R134" s="23">
        <v>45939</v>
      </c>
      <c r="S134" s="24" t="s">
        <v>1245</v>
      </c>
      <c r="T134" s="15" t="s">
        <v>136</v>
      </c>
      <c r="U134" s="24"/>
      <c r="V134" s="24"/>
      <c r="W134" s="15"/>
      <c r="X134" s="23"/>
      <c r="Y134" s="15"/>
      <c r="Z134" s="15"/>
      <c r="AA134" s="16"/>
      <c r="AB134" s="16"/>
      <c r="AC134" s="16"/>
      <c r="AD134" s="396"/>
      <c r="AE134" s="395"/>
      <c r="AF134" s="396"/>
      <c r="AG134" s="395"/>
      <c r="AH134" s="395"/>
      <c r="AI134" s="396"/>
      <c r="AJ134" s="395"/>
      <c r="AK134" s="395"/>
      <c r="AL134" s="396"/>
      <c r="AM134" s="395"/>
      <c r="AN134" s="395"/>
      <c r="AO134" s="394"/>
    </row>
    <row r="135" spans="2:41" s="165" customFormat="1" ht="114" customHeight="1">
      <c r="B135" s="777"/>
      <c r="C135" s="960"/>
      <c r="D135" s="765"/>
      <c r="E135" s="939"/>
      <c r="F135" s="926"/>
      <c r="G135" s="929"/>
      <c r="H135" s="793"/>
      <c r="I135" s="298"/>
      <c r="J135" s="298"/>
      <c r="K135" s="298"/>
      <c r="L135" s="299" t="str">
        <f t="shared" ca="1" si="10"/>
        <v/>
      </c>
      <c r="M135" s="299" t="str">
        <f t="shared" si="11"/>
        <v/>
      </c>
      <c r="N135" s="301"/>
      <c r="O135" s="163" t="s">
        <v>45</v>
      </c>
      <c r="P135" s="23">
        <v>45979</v>
      </c>
      <c r="Q135" s="24" t="s">
        <v>1244</v>
      </c>
      <c r="R135" s="23">
        <v>46007</v>
      </c>
      <c r="S135" s="24" t="s">
        <v>1243</v>
      </c>
      <c r="T135" s="15" t="s">
        <v>1242</v>
      </c>
      <c r="U135" s="24"/>
      <c r="V135" s="24"/>
      <c r="W135" s="15"/>
      <c r="X135" s="23"/>
      <c r="Y135" s="15"/>
      <c r="Z135" s="15"/>
      <c r="AA135" s="16"/>
      <c r="AB135" s="16"/>
      <c r="AC135" s="16"/>
      <c r="AD135" s="396"/>
      <c r="AE135" s="395"/>
      <c r="AF135" s="396"/>
      <c r="AG135" s="395"/>
      <c r="AH135" s="395"/>
      <c r="AI135" s="396"/>
      <c r="AJ135" s="395"/>
      <c r="AK135" s="395"/>
      <c r="AL135" s="396"/>
      <c r="AM135" s="395"/>
      <c r="AN135" s="395"/>
      <c r="AO135" s="394"/>
    </row>
    <row r="136" spans="2:41" s="165" customFormat="1" ht="114" customHeight="1">
      <c r="B136" s="777"/>
      <c r="C136" s="960"/>
      <c r="D136" s="765"/>
      <c r="E136" s="940"/>
      <c r="F136" s="927"/>
      <c r="G136" s="930"/>
      <c r="H136" s="794"/>
      <c r="I136" s="298"/>
      <c r="J136" s="297"/>
      <c r="K136" s="309"/>
      <c r="L136" s="299" t="str">
        <f t="shared" ca="1" si="10"/>
        <v/>
      </c>
      <c r="M136" s="299" t="str">
        <f t="shared" si="11"/>
        <v/>
      </c>
      <c r="N136" s="301" t="s">
        <v>925</v>
      </c>
      <c r="O136" s="163" t="s">
        <v>260</v>
      </c>
      <c r="P136" s="23">
        <v>46064</v>
      </c>
      <c r="Q136" s="24" t="s">
        <v>1241</v>
      </c>
      <c r="R136" s="23">
        <v>46105</v>
      </c>
      <c r="S136" s="24" t="s">
        <v>1018</v>
      </c>
      <c r="T136" s="15" t="s">
        <v>38</v>
      </c>
      <c r="U136" s="23">
        <v>46105</v>
      </c>
      <c r="V136" s="24" t="s">
        <v>1018</v>
      </c>
      <c r="W136" s="15" t="s">
        <v>44</v>
      </c>
      <c r="X136" s="23">
        <v>46139</v>
      </c>
      <c r="Y136" s="15" t="s">
        <v>1164</v>
      </c>
      <c r="Z136" s="15" t="s">
        <v>196</v>
      </c>
      <c r="AA136" s="16"/>
      <c r="AB136" s="16"/>
      <c r="AC136" s="16"/>
      <c r="AD136" s="396"/>
      <c r="AE136" s="395"/>
      <c r="AF136" s="396"/>
      <c r="AG136" s="395"/>
      <c r="AH136" s="395"/>
      <c r="AI136" s="396"/>
      <c r="AJ136" s="395"/>
      <c r="AK136" s="395"/>
      <c r="AL136" s="396"/>
      <c r="AM136" s="395"/>
      <c r="AN136" s="395"/>
      <c r="AO136" s="394"/>
    </row>
    <row r="137" spans="2:41" s="165" customFormat="1" ht="40.25" customHeight="1">
      <c r="B137" s="777">
        <v>227</v>
      </c>
      <c r="C137" s="960">
        <v>45</v>
      </c>
      <c r="D137" s="788">
        <v>27</v>
      </c>
      <c r="E137" s="626" t="s">
        <v>1240</v>
      </c>
      <c r="F137" s="925" t="s">
        <v>1239</v>
      </c>
      <c r="G137" s="928" t="s">
        <v>1238</v>
      </c>
      <c r="H137" s="792" t="s">
        <v>264</v>
      </c>
      <c r="I137" s="298">
        <f>IF(K137="","",K137-60)</f>
        <v>45912</v>
      </c>
      <c r="J137" s="297">
        <f>IF(K137="","",K137-30)</f>
        <v>45942</v>
      </c>
      <c r="K137" s="309">
        <v>45972</v>
      </c>
      <c r="L137" s="299" t="str">
        <f t="shared" ca="1" si="10"/>
        <v/>
      </c>
      <c r="M137" s="299">
        <f t="shared" si="11"/>
        <v>49</v>
      </c>
      <c r="N137" s="301"/>
      <c r="O137" s="163" t="s">
        <v>22</v>
      </c>
      <c r="P137" s="23">
        <v>45863</v>
      </c>
      <c r="Q137" s="24" t="s">
        <v>1237</v>
      </c>
      <c r="R137" s="23">
        <v>45873</v>
      </c>
      <c r="S137" s="24" t="s">
        <v>1236</v>
      </c>
      <c r="T137" s="114" t="s">
        <v>25</v>
      </c>
      <c r="U137" s="23"/>
      <c r="V137" s="24"/>
      <c r="W137" s="15"/>
      <c r="X137" s="23"/>
      <c r="Y137" s="15"/>
      <c r="Z137" s="15"/>
      <c r="AA137" s="16"/>
      <c r="AB137" s="678" t="s">
        <v>1022</v>
      </c>
      <c r="AC137" s="15" t="s">
        <v>22</v>
      </c>
      <c r="AD137" s="396">
        <v>46113</v>
      </c>
      <c r="AE137" s="398" t="s">
        <v>1023</v>
      </c>
      <c r="AF137" s="400">
        <v>46134</v>
      </c>
      <c r="AG137" s="399" t="s">
        <v>1152</v>
      </c>
      <c r="AH137" s="399" t="s">
        <v>208</v>
      </c>
      <c r="AI137" s="400">
        <v>46134</v>
      </c>
      <c r="AJ137" s="399" t="s">
        <v>1152</v>
      </c>
      <c r="AK137" s="26" t="s">
        <v>201</v>
      </c>
      <c r="AL137" s="400">
        <v>46147</v>
      </c>
      <c r="AM137" s="402" t="s">
        <v>1235</v>
      </c>
      <c r="AN137" s="26" t="s">
        <v>196</v>
      </c>
      <c r="AO137" s="394"/>
    </row>
    <row r="138" spans="2:41" s="165" customFormat="1" ht="40.25" customHeight="1">
      <c r="B138" s="777"/>
      <c r="C138" s="960"/>
      <c r="D138" s="789"/>
      <c r="E138" s="627"/>
      <c r="F138" s="926"/>
      <c r="G138" s="929"/>
      <c r="H138" s="793"/>
      <c r="I138" s="298"/>
      <c r="J138" s="297"/>
      <c r="K138" s="309"/>
      <c r="L138" s="299" t="str">
        <f t="shared" ca="1" si="10"/>
        <v/>
      </c>
      <c r="M138" s="299" t="str">
        <f t="shared" si="11"/>
        <v/>
      </c>
      <c r="N138" s="301"/>
      <c r="O138" s="163" t="s">
        <v>27</v>
      </c>
      <c r="P138" s="23">
        <v>45995</v>
      </c>
      <c r="Q138" s="24" t="s">
        <v>179</v>
      </c>
      <c r="R138" s="23">
        <v>46007</v>
      </c>
      <c r="S138" s="24" t="s">
        <v>1234</v>
      </c>
      <c r="T138" s="15" t="s">
        <v>1233</v>
      </c>
      <c r="U138" s="23">
        <v>46009</v>
      </c>
      <c r="V138" s="24" t="s">
        <v>1232</v>
      </c>
      <c r="W138" s="15" t="s">
        <v>44</v>
      </c>
      <c r="X138" s="23"/>
      <c r="Y138" s="15"/>
      <c r="Z138" s="15"/>
      <c r="AA138" s="16"/>
      <c r="AB138" s="679"/>
      <c r="AC138" s="16"/>
      <c r="AD138" s="396"/>
      <c r="AE138" s="395"/>
      <c r="AF138" s="396"/>
      <c r="AG138" s="395"/>
      <c r="AH138" s="395"/>
      <c r="AI138" s="396"/>
      <c r="AJ138" s="395"/>
      <c r="AK138" s="395"/>
      <c r="AL138" s="396"/>
      <c r="AM138" s="395"/>
      <c r="AN138" s="395"/>
      <c r="AO138" s="394"/>
    </row>
    <row r="139" spans="2:41" s="165" customFormat="1" ht="40.25" customHeight="1">
      <c r="B139" s="777"/>
      <c r="C139" s="960"/>
      <c r="D139" s="790"/>
      <c r="E139" s="628"/>
      <c r="F139" s="927"/>
      <c r="G139" s="930"/>
      <c r="H139" s="794"/>
      <c r="I139" s="298"/>
      <c r="J139" s="297"/>
      <c r="K139" s="309"/>
      <c r="L139" s="299" t="str">
        <f t="shared" ca="1" si="10"/>
        <v/>
      </c>
      <c r="M139" s="299" t="str">
        <f t="shared" si="11"/>
        <v/>
      </c>
      <c r="N139" s="301" t="s">
        <v>925</v>
      </c>
      <c r="O139" s="163" t="s">
        <v>260</v>
      </c>
      <c r="P139" s="23">
        <v>46063</v>
      </c>
      <c r="Q139" s="24" t="s">
        <v>1231</v>
      </c>
      <c r="R139" s="23">
        <v>46105</v>
      </c>
      <c r="S139" s="24" t="s">
        <v>1019</v>
      </c>
      <c r="T139" s="15" t="s">
        <v>38</v>
      </c>
      <c r="U139" s="23">
        <v>46105</v>
      </c>
      <c r="V139" s="24" t="s">
        <v>1019</v>
      </c>
      <c r="W139" s="15" t="s">
        <v>44</v>
      </c>
      <c r="X139" s="23">
        <v>46114</v>
      </c>
      <c r="Y139" s="15" t="s">
        <v>976</v>
      </c>
      <c r="Z139" s="15" t="s">
        <v>196</v>
      </c>
      <c r="AA139" s="16"/>
      <c r="AB139" s="680"/>
      <c r="AC139" s="16"/>
      <c r="AD139" s="396"/>
      <c r="AE139" s="395"/>
      <c r="AF139" s="396"/>
      <c r="AG139" s="395"/>
      <c r="AH139" s="395"/>
      <c r="AI139" s="396"/>
      <c r="AJ139" s="395"/>
      <c r="AK139" s="395"/>
      <c r="AL139" s="396"/>
      <c r="AM139" s="395"/>
      <c r="AN139" s="395"/>
      <c r="AO139" s="394"/>
    </row>
    <row r="140" spans="2:41" s="164" customFormat="1" ht="40.25" customHeight="1">
      <c r="B140" s="947">
        <v>60.1</v>
      </c>
      <c r="C140" s="960">
        <v>46</v>
      </c>
      <c r="D140" s="788">
        <v>2</v>
      </c>
      <c r="E140" s="938" t="s">
        <v>1230</v>
      </c>
      <c r="F140" s="925" t="s">
        <v>505</v>
      </c>
      <c r="G140" s="928" t="s">
        <v>1229</v>
      </c>
      <c r="H140" s="792" t="s">
        <v>266</v>
      </c>
      <c r="I140" s="297">
        <f>IF(J140="","",J140-30)</f>
        <v>45979</v>
      </c>
      <c r="J140" s="297">
        <f>IF(K140="","",K140-30)</f>
        <v>46009</v>
      </c>
      <c r="K140" s="298">
        <v>46039</v>
      </c>
      <c r="L140" s="299" t="str">
        <f t="shared" ca="1" si="10"/>
        <v/>
      </c>
      <c r="M140" s="299">
        <f t="shared" si="11"/>
        <v>-84</v>
      </c>
      <c r="N140" s="301" t="s">
        <v>925</v>
      </c>
      <c r="O140" s="163" t="s">
        <v>22</v>
      </c>
      <c r="P140" s="23">
        <v>46063</v>
      </c>
      <c r="Q140" s="24" t="s">
        <v>1228</v>
      </c>
      <c r="R140" s="23">
        <v>46098</v>
      </c>
      <c r="S140" s="24" t="s">
        <v>1020</v>
      </c>
      <c r="T140" s="15" t="s">
        <v>38</v>
      </c>
      <c r="U140" s="23">
        <v>46098</v>
      </c>
      <c r="V140" s="24" t="s">
        <v>1020</v>
      </c>
      <c r="W140" s="15" t="s">
        <v>44</v>
      </c>
      <c r="X140" s="23">
        <v>46107</v>
      </c>
      <c r="Y140" s="15" t="s">
        <v>1021</v>
      </c>
      <c r="Z140" s="15" t="s">
        <v>196</v>
      </c>
      <c r="AA140" s="16"/>
      <c r="AB140" s="678" t="s">
        <v>851</v>
      </c>
      <c r="AC140" s="15" t="s">
        <v>22</v>
      </c>
      <c r="AD140" s="396">
        <v>46065</v>
      </c>
      <c r="AE140" s="398" t="s">
        <v>852</v>
      </c>
      <c r="AF140" s="396">
        <v>46105</v>
      </c>
      <c r="AG140" s="398" t="s">
        <v>1024</v>
      </c>
      <c r="AH140" s="395" t="s">
        <v>208</v>
      </c>
      <c r="AI140" s="396">
        <v>46105</v>
      </c>
      <c r="AJ140" s="398" t="s">
        <v>1024</v>
      </c>
      <c r="AK140" s="15" t="s">
        <v>201</v>
      </c>
      <c r="AL140" s="396"/>
      <c r="AM140" s="398"/>
      <c r="AN140" s="398"/>
      <c r="AO140" s="397"/>
    </row>
    <row r="141" spans="2:41" s="164" customFormat="1" ht="40.25" customHeight="1">
      <c r="B141" s="947"/>
      <c r="C141" s="960"/>
      <c r="D141" s="789"/>
      <c r="E141" s="939"/>
      <c r="F141" s="926"/>
      <c r="G141" s="929"/>
      <c r="H141" s="793"/>
      <c r="I141" s="298"/>
      <c r="J141" s="298"/>
      <c r="K141" s="298"/>
      <c r="L141" s="299" t="str">
        <f t="shared" ref="L141:L160" ca="1" si="12">IF(I141="","",IF(P141&lt;&gt;"","",IF(AND(P141="",I141-TODAY()&lt;=60),I141-TODAY(),"")))</f>
        <v/>
      </c>
      <c r="M141" s="299" t="str">
        <f t="shared" ref="M141:M160" si="13">IF(AND(ISNUMBER(I141),ISNUMBER(P141)),I141-P141,"")</f>
        <v/>
      </c>
      <c r="N141" s="301"/>
      <c r="O141" s="163"/>
      <c r="P141" s="23"/>
      <c r="Q141" s="23"/>
      <c r="R141" s="23"/>
      <c r="S141" s="24"/>
      <c r="T141" s="15"/>
      <c r="U141" s="23"/>
      <c r="V141" s="24"/>
      <c r="W141" s="15"/>
      <c r="X141" s="23"/>
      <c r="Y141" s="15"/>
      <c r="Z141" s="15"/>
      <c r="AA141" s="16"/>
      <c r="AB141" s="679"/>
      <c r="AC141" s="26" t="s">
        <v>54</v>
      </c>
      <c r="AD141" s="400">
        <v>46134</v>
      </c>
      <c r="AE141" s="399" t="s">
        <v>1200</v>
      </c>
      <c r="AF141" s="396"/>
      <c r="AG141" s="398"/>
      <c r="AH141" s="398"/>
      <c r="AI141" s="396"/>
      <c r="AJ141" s="398"/>
      <c r="AK141" s="398"/>
      <c r="AL141" s="396"/>
      <c r="AM141" s="398"/>
      <c r="AN141" s="398"/>
      <c r="AO141" s="397"/>
    </row>
    <row r="142" spans="2:41" s="164" customFormat="1" ht="40.25" customHeight="1">
      <c r="B142" s="947"/>
      <c r="C142" s="960"/>
      <c r="D142" s="790"/>
      <c r="E142" s="940"/>
      <c r="F142" s="927"/>
      <c r="G142" s="930"/>
      <c r="H142" s="794"/>
      <c r="I142" s="298"/>
      <c r="J142" s="298"/>
      <c r="K142" s="298"/>
      <c r="L142" s="299" t="str">
        <f t="shared" ca="1" si="12"/>
        <v/>
      </c>
      <c r="M142" s="299" t="str">
        <f t="shared" si="13"/>
        <v/>
      </c>
      <c r="N142" s="301"/>
      <c r="O142" s="163"/>
      <c r="P142" s="23"/>
      <c r="Q142" s="24"/>
      <c r="R142" s="23"/>
      <c r="S142" s="24"/>
      <c r="T142" s="15"/>
      <c r="U142" s="23"/>
      <c r="V142" s="24"/>
      <c r="W142" s="15"/>
      <c r="X142" s="23"/>
      <c r="Y142" s="15"/>
      <c r="Z142" s="15"/>
      <c r="AA142" s="16"/>
      <c r="AB142" s="680"/>
      <c r="AC142" s="15"/>
      <c r="AD142" s="396"/>
      <c r="AE142" s="398"/>
      <c r="AF142" s="396"/>
      <c r="AG142" s="398"/>
      <c r="AH142" s="398"/>
      <c r="AI142" s="396"/>
      <c r="AJ142" s="398"/>
      <c r="AK142" s="398"/>
      <c r="AL142" s="396"/>
      <c r="AM142" s="398"/>
      <c r="AN142" s="398"/>
      <c r="AO142" s="397"/>
    </row>
    <row r="143" spans="2:41" s="164" customFormat="1" ht="40.25" customHeight="1">
      <c r="B143" s="947">
        <v>60.2</v>
      </c>
      <c r="C143" s="960">
        <v>47</v>
      </c>
      <c r="D143" s="788">
        <v>3</v>
      </c>
      <c r="E143" s="938" t="s">
        <v>1227</v>
      </c>
      <c r="F143" s="925" t="s">
        <v>506</v>
      </c>
      <c r="G143" s="928" t="s">
        <v>427</v>
      </c>
      <c r="H143" s="792" t="s">
        <v>265</v>
      </c>
      <c r="I143" s="297">
        <f>IF(J143="","",J143-30)</f>
        <v>46076</v>
      </c>
      <c r="J143" s="297">
        <f>IF(K143="","",K143-30)</f>
        <v>46106</v>
      </c>
      <c r="K143" s="298">
        <v>46136</v>
      </c>
      <c r="L143" s="299" t="str">
        <f t="shared" ca="1" si="12"/>
        <v/>
      </c>
      <c r="M143" s="299">
        <f t="shared" si="13"/>
        <v>13</v>
      </c>
      <c r="N143" s="301" t="s">
        <v>241</v>
      </c>
      <c r="O143" s="163" t="s">
        <v>22</v>
      </c>
      <c r="P143" s="23">
        <v>46063</v>
      </c>
      <c r="Q143" s="24" t="s">
        <v>1226</v>
      </c>
      <c r="R143" s="23">
        <v>46076</v>
      </c>
      <c r="S143" s="24" t="s">
        <v>437</v>
      </c>
      <c r="T143" s="15" t="s">
        <v>38</v>
      </c>
      <c r="U143" s="23"/>
      <c r="V143" s="24"/>
      <c r="W143" s="24"/>
      <c r="X143" s="23"/>
      <c r="Y143" s="15"/>
      <c r="Z143" s="15"/>
      <c r="AA143" s="16"/>
      <c r="AB143" s="16"/>
      <c r="AC143" s="16"/>
      <c r="AD143" s="396"/>
      <c r="AE143" s="398"/>
      <c r="AF143" s="396"/>
      <c r="AG143" s="398"/>
      <c r="AH143" s="398"/>
      <c r="AI143" s="396"/>
      <c r="AJ143" s="398"/>
      <c r="AK143" s="398"/>
      <c r="AL143" s="396"/>
      <c r="AM143" s="398"/>
      <c r="AN143" s="398"/>
      <c r="AO143" s="397"/>
    </row>
    <row r="144" spans="2:41" s="164" customFormat="1" ht="40.25" customHeight="1">
      <c r="B144" s="947"/>
      <c r="C144" s="960"/>
      <c r="D144" s="789"/>
      <c r="E144" s="939"/>
      <c r="F144" s="926"/>
      <c r="G144" s="929"/>
      <c r="H144" s="793"/>
      <c r="I144" s="298"/>
      <c r="J144" s="298"/>
      <c r="K144" s="298"/>
      <c r="L144" s="299" t="str">
        <f t="shared" ca="1" si="12"/>
        <v/>
      </c>
      <c r="M144" s="299" t="str">
        <f t="shared" si="13"/>
        <v/>
      </c>
      <c r="N144" s="301"/>
      <c r="O144" s="163"/>
      <c r="P144" s="23"/>
      <c r="Q144" s="23"/>
      <c r="R144" s="23"/>
      <c r="S144" s="24"/>
      <c r="T144" s="15"/>
      <c r="U144" s="23"/>
      <c r="V144" s="24"/>
      <c r="W144" s="15"/>
      <c r="X144" s="23"/>
      <c r="Y144" s="15"/>
      <c r="Z144" s="15"/>
      <c r="AA144" s="16"/>
      <c r="AB144" s="16"/>
      <c r="AC144" s="16"/>
      <c r="AD144" s="396"/>
      <c r="AE144" s="398"/>
      <c r="AF144" s="396"/>
      <c r="AG144" s="398"/>
      <c r="AH144" s="398"/>
      <c r="AI144" s="396"/>
      <c r="AJ144" s="398"/>
      <c r="AK144" s="398"/>
      <c r="AL144" s="396"/>
      <c r="AM144" s="398"/>
      <c r="AN144" s="398"/>
      <c r="AO144" s="397"/>
    </row>
    <row r="145" spans="2:41" s="164" customFormat="1" ht="40.25" customHeight="1">
      <c r="B145" s="947"/>
      <c r="C145" s="960"/>
      <c r="D145" s="790"/>
      <c r="E145" s="940"/>
      <c r="F145" s="927"/>
      <c r="G145" s="930"/>
      <c r="H145" s="794"/>
      <c r="I145" s="298"/>
      <c r="J145" s="298"/>
      <c r="K145" s="298"/>
      <c r="L145" s="299" t="str">
        <f t="shared" ca="1" si="12"/>
        <v/>
      </c>
      <c r="M145" s="299" t="str">
        <f t="shared" si="13"/>
        <v/>
      </c>
      <c r="N145" s="301"/>
      <c r="O145" s="163"/>
      <c r="P145" s="23"/>
      <c r="Q145" s="24"/>
      <c r="R145" s="23"/>
      <c r="S145" s="24"/>
      <c r="T145" s="15"/>
      <c r="U145" s="23"/>
      <c r="V145" s="24"/>
      <c r="W145" s="15"/>
      <c r="X145" s="23"/>
      <c r="Y145" s="15"/>
      <c r="Z145" s="15"/>
      <c r="AA145" s="16"/>
      <c r="AB145" s="16"/>
      <c r="AC145" s="16"/>
      <c r="AD145" s="396"/>
      <c r="AE145" s="398"/>
      <c r="AF145" s="396"/>
      <c r="AG145" s="398"/>
      <c r="AH145" s="398"/>
      <c r="AI145" s="396"/>
      <c r="AJ145" s="398"/>
      <c r="AK145" s="398"/>
      <c r="AL145" s="396"/>
      <c r="AM145" s="398"/>
      <c r="AN145" s="398"/>
      <c r="AO145" s="397"/>
    </row>
    <row r="146" spans="2:41" s="164" customFormat="1" ht="40.25" customHeight="1">
      <c r="B146" s="947">
        <v>14</v>
      </c>
      <c r="C146" s="960">
        <v>48</v>
      </c>
      <c r="D146" s="788">
        <v>30</v>
      </c>
      <c r="E146" s="938" t="s">
        <v>971</v>
      </c>
      <c r="F146" s="925" t="s">
        <v>1225</v>
      </c>
      <c r="G146" s="928" t="s">
        <v>1224</v>
      </c>
      <c r="H146" s="792" t="s">
        <v>268</v>
      </c>
      <c r="I146" s="297">
        <f>IF(J146="","",J146-30)</f>
        <v>46164</v>
      </c>
      <c r="J146" s="297">
        <f>IF(K146="","",K146-30)</f>
        <v>46194</v>
      </c>
      <c r="K146" s="298">
        <v>46224</v>
      </c>
      <c r="L146" s="299" t="str">
        <f t="shared" ca="1" si="12"/>
        <v/>
      </c>
      <c r="M146" s="299">
        <f t="shared" si="13"/>
        <v>56</v>
      </c>
      <c r="N146" s="301" t="s">
        <v>925</v>
      </c>
      <c r="O146" s="163" t="s">
        <v>22</v>
      </c>
      <c r="P146" s="23">
        <v>46108</v>
      </c>
      <c r="Q146" s="24" t="s">
        <v>1025</v>
      </c>
      <c r="R146" s="23">
        <v>46133</v>
      </c>
      <c r="S146" s="24" t="s">
        <v>1223</v>
      </c>
      <c r="T146" s="15" t="s">
        <v>38</v>
      </c>
      <c r="U146" s="23">
        <v>46133</v>
      </c>
      <c r="V146" s="24" t="s">
        <v>1223</v>
      </c>
      <c r="W146" s="15" t="s">
        <v>44</v>
      </c>
      <c r="X146" s="27">
        <v>46147</v>
      </c>
      <c r="Y146" s="26" t="s">
        <v>1188</v>
      </c>
      <c r="Z146" s="26" t="s">
        <v>925</v>
      </c>
      <c r="AA146" s="16"/>
      <c r="AB146" s="678" t="s">
        <v>1086</v>
      </c>
      <c r="AC146" s="15" t="s">
        <v>22</v>
      </c>
      <c r="AD146" s="396">
        <v>46129</v>
      </c>
      <c r="AE146" s="398" t="s">
        <v>1087</v>
      </c>
      <c r="AF146" s="396"/>
      <c r="AG146" s="398"/>
      <c r="AH146" s="398"/>
      <c r="AI146" s="396"/>
      <c r="AJ146" s="398" t="s">
        <v>1714</v>
      </c>
      <c r="AK146" s="398"/>
      <c r="AL146" s="396"/>
      <c r="AM146" s="398"/>
      <c r="AN146" s="398"/>
      <c r="AO146" s="397"/>
    </row>
    <row r="147" spans="2:41" s="164" customFormat="1" ht="40.25" customHeight="1">
      <c r="B147" s="947"/>
      <c r="C147" s="960"/>
      <c r="D147" s="789"/>
      <c r="E147" s="939"/>
      <c r="F147" s="926"/>
      <c r="G147" s="929"/>
      <c r="H147" s="793"/>
      <c r="I147" s="298"/>
      <c r="J147" s="298"/>
      <c r="K147" s="298"/>
      <c r="L147" s="299" t="str">
        <f t="shared" ca="1" si="12"/>
        <v/>
      </c>
      <c r="M147" s="299" t="str">
        <f t="shared" si="13"/>
        <v/>
      </c>
      <c r="N147" s="301"/>
      <c r="O147" s="163"/>
      <c r="P147" s="23"/>
      <c r="Q147" s="23"/>
      <c r="R147" s="23"/>
      <c r="S147" s="24"/>
      <c r="T147" s="15"/>
      <c r="U147" s="23"/>
      <c r="V147" s="24"/>
      <c r="W147" s="15"/>
      <c r="X147" s="23"/>
      <c r="Y147" s="15"/>
      <c r="Z147" s="15"/>
      <c r="AA147" s="16"/>
      <c r="AB147" s="679"/>
      <c r="AC147" s="16"/>
      <c r="AD147" s="396"/>
      <c r="AE147" s="398"/>
      <c r="AF147" s="396"/>
      <c r="AG147" s="398"/>
      <c r="AH147" s="398"/>
      <c r="AI147" s="396"/>
      <c r="AJ147" s="398"/>
      <c r="AK147" s="398"/>
      <c r="AL147" s="396"/>
      <c r="AM147" s="398"/>
      <c r="AN147" s="398"/>
      <c r="AO147" s="397"/>
    </row>
    <row r="148" spans="2:41" s="164" customFormat="1" ht="40.25" customHeight="1">
      <c r="B148" s="947"/>
      <c r="C148" s="960"/>
      <c r="D148" s="790"/>
      <c r="E148" s="940"/>
      <c r="F148" s="927"/>
      <c r="G148" s="930"/>
      <c r="H148" s="794"/>
      <c r="I148" s="298"/>
      <c r="J148" s="298"/>
      <c r="K148" s="298"/>
      <c r="L148" s="299" t="str">
        <f t="shared" ca="1" si="12"/>
        <v/>
      </c>
      <c r="M148" s="299" t="str">
        <f t="shared" si="13"/>
        <v/>
      </c>
      <c r="N148" s="301"/>
      <c r="O148" s="163"/>
      <c r="P148" s="23"/>
      <c r="Q148" s="24"/>
      <c r="R148" s="23"/>
      <c r="S148" s="24"/>
      <c r="T148" s="15"/>
      <c r="U148" s="23"/>
      <c r="V148" s="24"/>
      <c r="W148" s="15"/>
      <c r="X148" s="23"/>
      <c r="Y148" s="15"/>
      <c r="Z148" s="15"/>
      <c r="AA148" s="16"/>
      <c r="AB148" s="680"/>
      <c r="AC148" s="16"/>
      <c r="AD148" s="396"/>
      <c r="AE148" s="398"/>
      <c r="AF148" s="396"/>
      <c r="AG148" s="398"/>
      <c r="AH148" s="398"/>
      <c r="AI148" s="396"/>
      <c r="AJ148" s="398"/>
      <c r="AK148" s="398"/>
      <c r="AL148" s="396"/>
      <c r="AM148" s="398"/>
      <c r="AN148" s="398"/>
      <c r="AO148" s="397"/>
    </row>
    <row r="149" spans="2:41" s="164" customFormat="1" ht="40.25" customHeight="1">
      <c r="B149" s="947" t="s">
        <v>509</v>
      </c>
      <c r="C149" s="960">
        <v>49</v>
      </c>
      <c r="D149" s="788">
        <v>80</v>
      </c>
      <c r="E149" s="837" t="s">
        <v>1222</v>
      </c>
      <c r="F149" s="925" t="s">
        <v>1221</v>
      </c>
      <c r="G149" s="928" t="s">
        <v>1220</v>
      </c>
      <c r="H149" s="792" t="s">
        <v>269</v>
      </c>
      <c r="I149" s="297">
        <f>IF(K149="","",K149-60)</f>
        <v>46176</v>
      </c>
      <c r="J149" s="297">
        <f>IF(K149="","",K149-30)</f>
        <v>46206</v>
      </c>
      <c r="K149" s="298">
        <v>46236</v>
      </c>
      <c r="L149" s="299" t="str">
        <f t="shared" ca="1" si="12"/>
        <v/>
      </c>
      <c r="M149" s="299">
        <f t="shared" si="13"/>
        <v>112</v>
      </c>
      <c r="O149" s="163" t="s">
        <v>22</v>
      </c>
      <c r="P149" s="23">
        <v>46064</v>
      </c>
      <c r="Q149" s="24" t="s">
        <v>1219</v>
      </c>
      <c r="R149" s="23">
        <v>46092</v>
      </c>
      <c r="S149" s="24" t="s">
        <v>1077</v>
      </c>
      <c r="T149" s="15" t="s">
        <v>715</v>
      </c>
      <c r="U149" s="23"/>
      <c r="V149" s="24"/>
      <c r="W149" s="24"/>
      <c r="X149" s="23"/>
      <c r="Y149" s="15"/>
      <c r="Z149" s="15"/>
      <c r="AA149" s="16"/>
      <c r="AB149" s="944" t="s">
        <v>1218</v>
      </c>
      <c r="AC149" s="26" t="s">
        <v>50</v>
      </c>
      <c r="AD149" s="400">
        <v>46146</v>
      </c>
      <c r="AE149" s="402" t="s">
        <v>1217</v>
      </c>
      <c r="AF149" s="396"/>
      <c r="AG149" s="398"/>
      <c r="AH149" s="398"/>
      <c r="AI149" s="396"/>
      <c r="AJ149" s="398"/>
      <c r="AK149" s="398"/>
      <c r="AL149" s="396"/>
      <c r="AM149" s="398"/>
      <c r="AN149" s="398"/>
      <c r="AO149" s="397"/>
    </row>
    <row r="150" spans="2:41" s="164" customFormat="1" ht="40.25" customHeight="1">
      <c r="B150" s="947"/>
      <c r="C150" s="960"/>
      <c r="D150" s="789"/>
      <c r="E150" s="837"/>
      <c r="F150" s="926"/>
      <c r="G150" s="929"/>
      <c r="H150" s="793"/>
      <c r="I150" s="298"/>
      <c r="J150" s="298"/>
      <c r="K150" s="298"/>
      <c r="L150" s="299" t="str">
        <f t="shared" ca="1" si="12"/>
        <v/>
      </c>
      <c r="M150" s="299" t="str">
        <f t="shared" si="13"/>
        <v/>
      </c>
      <c r="N150" s="301" t="s">
        <v>241</v>
      </c>
      <c r="O150" s="15" t="s">
        <v>54</v>
      </c>
      <c r="P150" s="23">
        <v>46135</v>
      </c>
      <c r="Q150" s="23" t="s">
        <v>1166</v>
      </c>
      <c r="R150" s="23">
        <v>46156</v>
      </c>
      <c r="S150" s="24" t="s">
        <v>1720</v>
      </c>
      <c r="T150" s="15" t="s">
        <v>208</v>
      </c>
      <c r="U150" s="23"/>
      <c r="V150" s="24"/>
      <c r="W150" s="15"/>
      <c r="X150" s="23"/>
      <c r="Y150" s="15"/>
      <c r="Z150" s="15"/>
      <c r="AA150" s="16"/>
      <c r="AB150" s="945"/>
      <c r="AC150" s="324"/>
      <c r="AD150" s="396"/>
      <c r="AE150" s="398"/>
      <c r="AF150" s="396"/>
      <c r="AG150" s="398"/>
      <c r="AH150" s="398"/>
      <c r="AI150" s="396"/>
      <c r="AJ150" s="398"/>
      <c r="AK150" s="398"/>
      <c r="AL150" s="396"/>
      <c r="AM150" s="398"/>
      <c r="AN150" s="398"/>
      <c r="AO150" s="397"/>
    </row>
    <row r="151" spans="2:41" s="164" customFormat="1" ht="40.25" customHeight="1">
      <c r="B151" s="947"/>
      <c r="C151" s="960"/>
      <c r="D151" s="790"/>
      <c r="E151" s="837"/>
      <c r="F151" s="927"/>
      <c r="G151" s="930"/>
      <c r="H151" s="794"/>
      <c r="I151" s="298"/>
      <c r="J151" s="298"/>
      <c r="K151" s="298"/>
      <c r="L151" s="299" t="str">
        <f t="shared" ca="1" si="12"/>
        <v/>
      </c>
      <c r="M151" s="299" t="str">
        <f t="shared" si="13"/>
        <v/>
      </c>
      <c r="N151" s="301"/>
      <c r="O151" s="163"/>
      <c r="P151" s="23"/>
      <c r="Q151" s="24"/>
      <c r="R151" s="23"/>
      <c r="S151" s="24"/>
      <c r="T151" s="15"/>
      <c r="U151" s="23"/>
      <c r="V151" s="24"/>
      <c r="W151" s="15"/>
      <c r="X151" s="23"/>
      <c r="Y151" s="15"/>
      <c r="Z151" s="15"/>
      <c r="AA151" s="16"/>
      <c r="AB151" s="946"/>
      <c r="AC151" s="324"/>
      <c r="AD151" s="396"/>
      <c r="AE151" s="398"/>
      <c r="AF151" s="396"/>
      <c r="AG151" s="398"/>
      <c r="AH151" s="398"/>
      <c r="AI151" s="396"/>
      <c r="AJ151" s="398"/>
      <c r="AK151" s="398"/>
      <c r="AL151" s="396"/>
      <c r="AM151" s="398"/>
      <c r="AN151" s="398"/>
      <c r="AO151" s="397"/>
    </row>
    <row r="152" spans="2:41" s="164" customFormat="1" ht="40.25" customHeight="1">
      <c r="B152" s="947">
        <v>144</v>
      </c>
      <c r="C152" s="960">
        <v>50</v>
      </c>
      <c r="D152" s="788">
        <v>81</v>
      </c>
      <c r="E152" s="837" t="s">
        <v>1216</v>
      </c>
      <c r="F152" s="925" t="s">
        <v>1215</v>
      </c>
      <c r="G152" s="928" t="s">
        <v>1214</v>
      </c>
      <c r="H152" s="792" t="s">
        <v>1213</v>
      </c>
      <c r="I152" s="297">
        <f>IF(K152="","",K152-60)</f>
        <v>46176</v>
      </c>
      <c r="J152" s="297">
        <f>IF(K152="","",K152-30)</f>
        <v>46206</v>
      </c>
      <c r="K152" s="298">
        <v>46236</v>
      </c>
      <c r="L152" s="299" t="str">
        <f t="shared" ca="1" si="12"/>
        <v/>
      </c>
      <c r="M152" s="299">
        <f t="shared" si="13"/>
        <v>112</v>
      </c>
      <c r="N152" s="301" t="s">
        <v>1034</v>
      </c>
      <c r="O152" s="163" t="s">
        <v>22</v>
      </c>
      <c r="P152" s="23">
        <v>46064</v>
      </c>
      <c r="Q152" s="24" t="s">
        <v>430</v>
      </c>
      <c r="R152" s="23">
        <v>46092</v>
      </c>
      <c r="S152" s="24" t="s">
        <v>1077</v>
      </c>
      <c r="T152" s="15" t="s">
        <v>715</v>
      </c>
      <c r="U152" s="23"/>
      <c r="V152" s="24"/>
      <c r="W152" s="24"/>
      <c r="X152" s="23"/>
      <c r="Y152" s="15"/>
      <c r="Z152" s="15"/>
      <c r="AA152" s="16"/>
      <c r="AB152" s="16"/>
      <c r="AC152" s="16"/>
      <c r="AD152" s="396"/>
      <c r="AE152" s="398"/>
      <c r="AF152" s="396"/>
      <c r="AG152" s="398"/>
      <c r="AH152" s="398"/>
      <c r="AI152" s="396"/>
      <c r="AJ152" s="398"/>
      <c r="AK152" s="398"/>
      <c r="AL152" s="396"/>
      <c r="AM152" s="398"/>
      <c r="AN152" s="398"/>
      <c r="AO152" s="397"/>
    </row>
    <row r="153" spans="2:41" s="164" customFormat="1" ht="40.25" customHeight="1">
      <c r="B153" s="947"/>
      <c r="C153" s="960"/>
      <c r="D153" s="789"/>
      <c r="E153" s="837"/>
      <c r="F153" s="926"/>
      <c r="G153" s="929"/>
      <c r="H153" s="793"/>
      <c r="I153" s="298"/>
      <c r="J153" s="298"/>
      <c r="K153" s="298"/>
      <c r="L153" s="299" t="str">
        <f t="shared" ca="1" si="12"/>
        <v/>
      </c>
      <c r="M153" s="299" t="str">
        <f t="shared" si="13"/>
        <v/>
      </c>
      <c r="N153" s="301"/>
      <c r="O153" s="163"/>
      <c r="P153" s="23"/>
      <c r="Q153" s="23"/>
      <c r="R153" s="23"/>
      <c r="S153" s="24"/>
      <c r="T153" s="15"/>
      <c r="U153" s="23"/>
      <c r="V153" s="24"/>
      <c r="W153" s="15"/>
      <c r="X153" s="23"/>
      <c r="Y153" s="15"/>
      <c r="Z153" s="15"/>
      <c r="AA153" s="16"/>
      <c r="AB153" s="16"/>
      <c r="AC153" s="16"/>
      <c r="AD153" s="396"/>
      <c r="AE153" s="398"/>
      <c r="AF153" s="396"/>
      <c r="AG153" s="398"/>
      <c r="AH153" s="398"/>
      <c r="AI153" s="396"/>
      <c r="AJ153" s="398"/>
      <c r="AK153" s="398"/>
      <c r="AL153" s="396"/>
      <c r="AM153" s="398"/>
      <c r="AN153" s="398"/>
      <c r="AO153" s="397"/>
    </row>
    <row r="154" spans="2:41" s="164" customFormat="1" ht="40.25" customHeight="1">
      <c r="B154" s="947"/>
      <c r="C154" s="960"/>
      <c r="D154" s="790"/>
      <c r="E154" s="837"/>
      <c r="F154" s="927"/>
      <c r="G154" s="930"/>
      <c r="H154" s="794"/>
      <c r="I154" s="298"/>
      <c r="J154" s="298"/>
      <c r="K154" s="298"/>
      <c r="L154" s="299" t="str">
        <f t="shared" ca="1" si="12"/>
        <v/>
      </c>
      <c r="M154" s="299" t="str">
        <f t="shared" si="13"/>
        <v/>
      </c>
      <c r="N154" s="301"/>
      <c r="O154" s="163"/>
      <c r="P154" s="23"/>
      <c r="Q154" s="24"/>
      <c r="R154" s="23"/>
      <c r="S154" s="24"/>
      <c r="T154" s="15"/>
      <c r="U154" s="23"/>
      <c r="V154" s="24"/>
      <c r="W154" s="15"/>
      <c r="X154" s="23"/>
      <c r="Y154" s="15"/>
      <c r="Z154" s="15"/>
      <c r="AA154" s="16"/>
      <c r="AB154" s="16"/>
      <c r="AC154" s="16"/>
      <c r="AD154" s="396"/>
      <c r="AE154" s="398"/>
      <c r="AF154" s="396"/>
      <c r="AG154" s="398"/>
      <c r="AH154" s="398"/>
      <c r="AI154" s="396"/>
      <c r="AJ154" s="398"/>
      <c r="AK154" s="398"/>
      <c r="AL154" s="396"/>
      <c r="AM154" s="398"/>
      <c r="AN154" s="398"/>
      <c r="AO154" s="397"/>
    </row>
    <row r="155" spans="2:41" s="164" customFormat="1" ht="40.25" customHeight="1">
      <c r="B155" s="947">
        <v>66</v>
      </c>
      <c r="C155" s="960">
        <v>51</v>
      </c>
      <c r="D155" s="788">
        <v>74</v>
      </c>
      <c r="E155" s="837" t="s">
        <v>1212</v>
      </c>
      <c r="F155" s="925" t="s">
        <v>507</v>
      </c>
      <c r="G155" s="928" t="s">
        <v>449</v>
      </c>
      <c r="H155" s="792" t="s">
        <v>270</v>
      </c>
      <c r="I155" s="297">
        <f>IF(J155="","",J155-30)</f>
        <v>46083</v>
      </c>
      <c r="J155" s="297">
        <f>IF(K155="","",K155-30)</f>
        <v>46113</v>
      </c>
      <c r="K155" s="298">
        <v>46143</v>
      </c>
      <c r="L155" s="299" t="str">
        <f t="shared" ca="1" si="12"/>
        <v/>
      </c>
      <c r="M155" s="299">
        <f t="shared" si="13"/>
        <v>5</v>
      </c>
      <c r="N155" s="301" t="s">
        <v>241</v>
      </c>
      <c r="O155" s="163" t="s">
        <v>22</v>
      </c>
      <c r="P155" s="23">
        <v>46078</v>
      </c>
      <c r="Q155" s="24" t="s">
        <v>1211</v>
      </c>
      <c r="R155" s="23">
        <v>46125</v>
      </c>
      <c r="S155" s="24" t="s">
        <v>1210</v>
      </c>
      <c r="T155" s="15" t="s">
        <v>30</v>
      </c>
      <c r="U155" s="23">
        <v>46125</v>
      </c>
      <c r="V155" s="24" t="s">
        <v>1210</v>
      </c>
      <c r="W155" s="15" t="s">
        <v>201</v>
      </c>
      <c r="X155" s="23"/>
      <c r="Y155" s="15"/>
      <c r="Z155" s="15"/>
      <c r="AA155" s="16"/>
      <c r="AB155" s="16"/>
      <c r="AC155" s="16"/>
      <c r="AD155" s="396"/>
      <c r="AE155" s="398"/>
      <c r="AF155" s="396"/>
      <c r="AG155" s="398"/>
      <c r="AH155" s="398"/>
      <c r="AI155" s="396"/>
      <c r="AJ155" s="398"/>
      <c r="AK155" s="398"/>
      <c r="AL155" s="396"/>
      <c r="AM155" s="398"/>
      <c r="AN155" s="398"/>
      <c r="AO155" s="397"/>
    </row>
    <row r="156" spans="2:41" s="164" customFormat="1" ht="40.25" customHeight="1">
      <c r="B156" s="947"/>
      <c r="C156" s="960"/>
      <c r="D156" s="789"/>
      <c r="E156" s="837"/>
      <c r="F156" s="926"/>
      <c r="G156" s="929"/>
      <c r="H156" s="793"/>
      <c r="I156" s="298"/>
      <c r="J156" s="298"/>
      <c r="K156" s="298"/>
      <c r="L156" s="299" t="str">
        <f t="shared" ca="1" si="12"/>
        <v/>
      </c>
      <c r="M156" s="299" t="str">
        <f t="shared" si="13"/>
        <v/>
      </c>
      <c r="N156" s="301"/>
      <c r="O156" s="163"/>
      <c r="P156" s="23"/>
      <c r="Q156" s="23"/>
      <c r="R156" s="23"/>
      <c r="S156" s="24"/>
      <c r="T156" s="15"/>
      <c r="U156" s="23"/>
      <c r="V156" s="24"/>
      <c r="W156" s="15"/>
      <c r="X156" s="23"/>
      <c r="Y156" s="15"/>
      <c r="Z156" s="15"/>
      <c r="AA156" s="16"/>
      <c r="AB156" s="16"/>
      <c r="AC156" s="16"/>
      <c r="AD156" s="396"/>
      <c r="AE156" s="398"/>
      <c r="AF156" s="396"/>
      <c r="AG156" s="398"/>
      <c r="AH156" s="398"/>
      <c r="AI156" s="396"/>
      <c r="AJ156" s="398"/>
      <c r="AK156" s="398"/>
      <c r="AL156" s="396"/>
      <c r="AM156" s="398"/>
      <c r="AN156" s="398"/>
      <c r="AO156" s="397"/>
    </row>
    <row r="157" spans="2:41" s="164" customFormat="1" ht="40.25" customHeight="1">
      <c r="B157" s="947"/>
      <c r="C157" s="960"/>
      <c r="D157" s="790"/>
      <c r="E157" s="837"/>
      <c r="F157" s="927"/>
      <c r="G157" s="930"/>
      <c r="H157" s="794"/>
      <c r="I157" s="298"/>
      <c r="J157" s="298"/>
      <c r="K157" s="298"/>
      <c r="L157" s="299" t="str">
        <f t="shared" ca="1" si="12"/>
        <v/>
      </c>
      <c r="M157" s="299" t="str">
        <f t="shared" si="13"/>
        <v/>
      </c>
      <c r="N157" s="301"/>
      <c r="O157" s="163"/>
      <c r="P157" s="23"/>
      <c r="Q157" s="24"/>
      <c r="R157" s="23"/>
      <c r="S157" s="24"/>
      <c r="T157" s="15"/>
      <c r="U157" s="23"/>
      <c r="V157" s="24"/>
      <c r="W157" s="15"/>
      <c r="X157" s="23"/>
      <c r="Y157" s="15"/>
      <c r="Z157" s="15"/>
      <c r="AA157" s="16"/>
      <c r="AB157" s="16"/>
      <c r="AC157" s="16"/>
      <c r="AD157" s="396"/>
      <c r="AE157" s="398"/>
      <c r="AF157" s="396"/>
      <c r="AG157" s="398"/>
      <c r="AH157" s="398"/>
      <c r="AI157" s="396"/>
      <c r="AJ157" s="398"/>
      <c r="AK157" s="398"/>
      <c r="AL157" s="396"/>
      <c r="AM157" s="398"/>
      <c r="AN157" s="398"/>
      <c r="AO157" s="397"/>
    </row>
    <row r="158" spans="2:41" s="165" customFormat="1" ht="40.25" customHeight="1">
      <c r="C158" s="960">
        <v>52</v>
      </c>
      <c r="D158" s="788"/>
      <c r="E158" s="626" t="s">
        <v>191</v>
      </c>
      <c r="F158" s="925" t="s">
        <v>853</v>
      </c>
      <c r="G158" s="928" t="s">
        <v>1209</v>
      </c>
      <c r="H158" s="792" t="s">
        <v>271</v>
      </c>
      <c r="I158" s="297">
        <f>IF(J158="","",J158-30)</f>
        <v>45961</v>
      </c>
      <c r="J158" s="297">
        <f>IF(K158="","",K158-30)</f>
        <v>45991</v>
      </c>
      <c r="K158" s="309">
        <v>46021</v>
      </c>
      <c r="L158" s="299" t="str">
        <f t="shared" ca="1" si="12"/>
        <v/>
      </c>
      <c r="M158" s="299">
        <f t="shared" si="13"/>
        <v>-53</v>
      </c>
      <c r="N158" s="301" t="s">
        <v>925</v>
      </c>
      <c r="O158" s="163" t="s">
        <v>50</v>
      </c>
      <c r="P158" s="23">
        <v>46014</v>
      </c>
      <c r="Q158" s="23" t="s">
        <v>1208</v>
      </c>
      <c r="R158" s="23">
        <v>46021</v>
      </c>
      <c r="S158" s="24" t="s">
        <v>1207</v>
      </c>
      <c r="T158" s="15" t="s">
        <v>30</v>
      </c>
      <c r="U158" s="23">
        <v>46028</v>
      </c>
      <c r="V158" s="24" t="s">
        <v>1206</v>
      </c>
      <c r="W158" s="15" t="s">
        <v>201</v>
      </c>
      <c r="X158" s="23">
        <v>46044</v>
      </c>
      <c r="Y158" s="15" t="s">
        <v>1205</v>
      </c>
      <c r="Z158" s="15" t="s">
        <v>196</v>
      </c>
      <c r="AA158" s="16"/>
      <c r="AB158" s="16"/>
      <c r="AC158" s="16"/>
      <c r="AD158" s="396"/>
      <c r="AE158" s="395"/>
      <c r="AF158" s="396"/>
      <c r="AG158" s="395"/>
      <c r="AH158" s="395"/>
      <c r="AI158" s="396"/>
      <c r="AJ158" s="395"/>
      <c r="AK158" s="395"/>
      <c r="AL158" s="396"/>
      <c r="AM158" s="395"/>
      <c r="AN158" s="395"/>
      <c r="AO158" s="394"/>
    </row>
    <row r="159" spans="2:41" s="165" customFormat="1" ht="40.25" customHeight="1">
      <c r="C159" s="960"/>
      <c r="D159" s="789"/>
      <c r="E159" s="627"/>
      <c r="F159" s="926"/>
      <c r="G159" s="929"/>
      <c r="H159" s="793"/>
      <c r="I159" s="298"/>
      <c r="J159" s="297"/>
      <c r="K159" s="309"/>
      <c r="L159" s="299" t="str">
        <f t="shared" ca="1" si="12"/>
        <v/>
      </c>
      <c r="M159" s="299" t="str">
        <f t="shared" si="13"/>
        <v/>
      </c>
      <c r="N159" s="301"/>
      <c r="O159" s="163"/>
      <c r="P159" s="23"/>
      <c r="Q159" s="24"/>
      <c r="R159" s="23"/>
      <c r="S159" s="126"/>
      <c r="T159" s="15"/>
      <c r="U159" s="23"/>
      <c r="V159" s="24"/>
      <c r="W159" s="15"/>
      <c r="X159" s="23"/>
      <c r="Y159" s="15"/>
      <c r="Z159" s="15"/>
      <c r="AA159" s="16"/>
      <c r="AB159" s="16"/>
      <c r="AC159" s="16"/>
      <c r="AD159" s="396"/>
      <c r="AE159" s="395"/>
      <c r="AF159" s="396"/>
      <c r="AG159" s="395"/>
      <c r="AH159" s="395"/>
      <c r="AI159" s="396"/>
      <c r="AJ159" s="395"/>
      <c r="AK159" s="395"/>
      <c r="AL159" s="396"/>
      <c r="AM159" s="395"/>
      <c r="AN159" s="395"/>
      <c r="AO159" s="394"/>
    </row>
    <row r="160" spans="2:41" s="165" customFormat="1" ht="40.25" customHeight="1">
      <c r="C160" s="960"/>
      <c r="D160" s="790"/>
      <c r="E160" s="628"/>
      <c r="F160" s="927"/>
      <c r="G160" s="930"/>
      <c r="H160" s="794"/>
      <c r="I160" s="298"/>
      <c r="J160" s="297"/>
      <c r="K160" s="309"/>
      <c r="L160" s="299" t="str">
        <f t="shared" ca="1" si="12"/>
        <v/>
      </c>
      <c r="M160" s="299" t="str">
        <f t="shared" si="13"/>
        <v/>
      </c>
      <c r="N160" s="301"/>
      <c r="O160" s="163"/>
      <c r="P160" s="23"/>
      <c r="Q160" s="24"/>
      <c r="R160" s="23"/>
      <c r="S160" s="24"/>
      <c r="T160" s="15"/>
      <c r="U160" s="23"/>
      <c r="V160" s="24"/>
      <c r="W160" s="15"/>
      <c r="X160" s="23"/>
      <c r="Y160" s="15"/>
      <c r="Z160" s="15"/>
      <c r="AA160" s="16"/>
      <c r="AB160" s="16"/>
      <c r="AC160" s="16"/>
      <c r="AD160" s="396"/>
      <c r="AE160" s="395"/>
      <c r="AF160" s="396"/>
      <c r="AG160" s="395"/>
      <c r="AH160" s="395"/>
      <c r="AI160" s="396"/>
      <c r="AJ160" s="395"/>
      <c r="AK160" s="395"/>
      <c r="AL160" s="396"/>
      <c r="AM160" s="395"/>
      <c r="AN160" s="395"/>
      <c r="AO160" s="394"/>
    </row>
    <row r="161" spans="2:41" s="165" customFormat="1" ht="40.25" customHeight="1">
      <c r="B161" s="777">
        <v>121</v>
      </c>
      <c r="C161" s="960">
        <v>53</v>
      </c>
      <c r="D161" s="788">
        <v>8</v>
      </c>
      <c r="E161" s="916"/>
      <c r="F161" s="922" t="s">
        <v>508</v>
      </c>
      <c r="G161" s="919" t="s">
        <v>1204</v>
      </c>
      <c r="H161" s="792"/>
      <c r="I161" s="297">
        <f>IF(J161="","",J161-30)</f>
        <v>46204</v>
      </c>
      <c r="J161" s="297">
        <f>IF(K161="","",K161-30)</f>
        <v>46234</v>
      </c>
      <c r="K161" s="298">
        <v>46264</v>
      </c>
      <c r="L161" s="299"/>
      <c r="M161" s="299"/>
      <c r="N161" s="301"/>
      <c r="O161" s="163" t="s">
        <v>22</v>
      </c>
      <c r="P161" s="23"/>
      <c r="Q161" s="24"/>
      <c r="R161" s="23"/>
      <c r="S161" s="24"/>
      <c r="T161" s="15"/>
      <c r="U161" s="23"/>
      <c r="V161" s="24"/>
      <c r="W161" s="24"/>
      <c r="X161" s="23"/>
      <c r="Y161" s="15"/>
      <c r="Z161" s="15"/>
      <c r="AA161" s="16"/>
      <c r="AB161" s="16"/>
      <c r="AC161" s="16"/>
      <c r="AD161" s="396"/>
      <c r="AE161" s="395"/>
      <c r="AF161" s="396"/>
      <c r="AG161" s="395"/>
      <c r="AH161" s="395"/>
      <c r="AI161" s="396"/>
      <c r="AJ161" s="395"/>
      <c r="AK161" s="395"/>
      <c r="AL161" s="396"/>
      <c r="AM161" s="395"/>
      <c r="AN161" s="395"/>
      <c r="AO161" s="394"/>
    </row>
    <row r="162" spans="2:41" s="165" customFormat="1" ht="40.25" customHeight="1">
      <c r="B162" s="777"/>
      <c r="C162" s="960"/>
      <c r="D162" s="789"/>
      <c r="E162" s="917"/>
      <c r="F162" s="923"/>
      <c r="G162" s="920"/>
      <c r="H162" s="793"/>
      <c r="I162" s="298"/>
      <c r="J162" s="297"/>
      <c r="K162" s="309"/>
      <c r="L162" s="299"/>
      <c r="M162" s="299"/>
      <c r="N162" s="301"/>
      <c r="O162" s="163"/>
      <c r="P162" s="23"/>
      <c r="Q162" s="24"/>
      <c r="R162" s="23"/>
      <c r="S162" s="24"/>
      <c r="T162" s="24"/>
      <c r="U162" s="23"/>
      <c r="V162" s="24"/>
      <c r="W162" s="15"/>
      <c r="X162" s="23"/>
      <c r="Y162" s="15"/>
      <c r="Z162" s="15"/>
      <c r="AA162" s="16"/>
      <c r="AB162" s="16"/>
      <c r="AC162" s="16"/>
      <c r="AD162" s="396"/>
      <c r="AE162" s="395"/>
      <c r="AF162" s="396"/>
      <c r="AG162" s="395"/>
      <c r="AH162" s="395"/>
      <c r="AI162" s="396"/>
      <c r="AJ162" s="395"/>
      <c r="AK162" s="395"/>
      <c r="AL162" s="396"/>
      <c r="AM162" s="395"/>
      <c r="AN162" s="395"/>
      <c r="AO162" s="394"/>
    </row>
    <row r="163" spans="2:41" s="165" customFormat="1" ht="39.65" customHeight="1">
      <c r="B163" s="777"/>
      <c r="C163" s="960"/>
      <c r="D163" s="790"/>
      <c r="E163" s="918"/>
      <c r="F163" s="924"/>
      <c r="G163" s="921"/>
      <c r="H163" s="794"/>
      <c r="I163" s="298"/>
      <c r="J163" s="297"/>
      <c r="K163" s="309"/>
      <c r="L163" s="299"/>
      <c r="M163" s="299"/>
      <c r="N163" s="301"/>
      <c r="O163" s="163"/>
      <c r="P163" s="23"/>
      <c r="Q163" s="24"/>
      <c r="R163" s="23"/>
      <c r="S163" s="24"/>
      <c r="T163" s="15"/>
      <c r="U163" s="23"/>
      <c r="V163" s="24"/>
      <c r="W163" s="15"/>
      <c r="X163" s="23"/>
      <c r="Y163" s="15"/>
      <c r="Z163" s="15"/>
      <c r="AA163" s="16"/>
      <c r="AB163" s="16"/>
      <c r="AC163" s="16"/>
      <c r="AD163" s="396"/>
      <c r="AE163" s="395"/>
      <c r="AF163" s="396"/>
      <c r="AG163" s="395"/>
      <c r="AH163" s="395"/>
      <c r="AI163" s="396"/>
      <c r="AJ163" s="395"/>
      <c r="AK163" s="395"/>
      <c r="AL163" s="396"/>
      <c r="AM163" s="395"/>
      <c r="AN163" s="395"/>
      <c r="AO163" s="394"/>
    </row>
    <row r="164" spans="2:41" s="164" customFormat="1" ht="40.25" customHeight="1">
      <c r="B164" s="947">
        <v>176</v>
      </c>
      <c r="C164" s="960">
        <v>54</v>
      </c>
      <c r="D164" s="788">
        <v>26</v>
      </c>
      <c r="E164" s="626" t="s">
        <v>968</v>
      </c>
      <c r="F164" s="925" t="s">
        <v>1203</v>
      </c>
      <c r="G164" s="928" t="s">
        <v>1072</v>
      </c>
      <c r="H164" s="792" t="s">
        <v>1201</v>
      </c>
      <c r="I164" s="297">
        <f>IF(J164="","",J164-30)</f>
        <v>46044</v>
      </c>
      <c r="J164" s="297">
        <f>IF(K164="","",K164-30)</f>
        <v>46074</v>
      </c>
      <c r="K164" s="298">
        <v>46104</v>
      </c>
      <c r="L164" s="299" t="str">
        <f t="shared" ref="L164:L178" ca="1" si="14">IF(I164="","",IF(P164&lt;&gt;"","",IF(AND(P164="",I164-TODAY()&lt;=60),I164-TODAY(),"")))</f>
        <v/>
      </c>
      <c r="M164" s="299">
        <f t="shared" ref="M164:M178" si="15">IF(AND(ISNUMBER(I164),ISNUMBER(P164)),I164-P164,"")</f>
        <v>150</v>
      </c>
      <c r="N164" s="301"/>
      <c r="O164" s="163" t="s">
        <v>22</v>
      </c>
      <c r="P164" s="23">
        <v>45894</v>
      </c>
      <c r="Q164" s="24" t="s">
        <v>167</v>
      </c>
      <c r="R164" s="23">
        <v>45898</v>
      </c>
      <c r="S164" s="24" t="s">
        <v>168</v>
      </c>
      <c r="T164" s="15" t="s">
        <v>25</v>
      </c>
      <c r="U164" s="23"/>
      <c r="V164" s="24"/>
      <c r="W164" s="15"/>
      <c r="X164" s="23"/>
      <c r="Y164" s="15"/>
      <c r="Z164" s="15"/>
      <c r="AA164" s="16"/>
      <c r="AB164" s="913" t="s">
        <v>842</v>
      </c>
      <c r="AC164" s="15" t="s">
        <v>22</v>
      </c>
      <c r="AD164" s="396">
        <v>46051</v>
      </c>
      <c r="AE164" s="395" t="s">
        <v>843</v>
      </c>
      <c r="AF164" s="396">
        <v>46085</v>
      </c>
      <c r="AG164" s="398" t="s">
        <v>844</v>
      </c>
      <c r="AH164" s="395" t="s">
        <v>208</v>
      </c>
      <c r="AI164" s="396">
        <v>46085</v>
      </c>
      <c r="AJ164" s="398" t="s">
        <v>844</v>
      </c>
      <c r="AK164" s="15" t="s">
        <v>201</v>
      </c>
      <c r="AL164" s="396"/>
      <c r="AM164" s="398"/>
      <c r="AN164" s="398"/>
      <c r="AO164" s="397"/>
    </row>
    <row r="165" spans="2:41" s="164" customFormat="1" ht="39.65" customHeight="1">
      <c r="B165" s="947"/>
      <c r="C165" s="960"/>
      <c r="D165" s="789"/>
      <c r="E165" s="627"/>
      <c r="F165" s="926"/>
      <c r="G165" s="929"/>
      <c r="H165" s="793"/>
      <c r="I165" s="298"/>
      <c r="J165" s="298"/>
      <c r="K165" s="298"/>
      <c r="L165" s="299" t="str">
        <f t="shared" ca="1" si="14"/>
        <v/>
      </c>
      <c r="M165" s="299" t="str">
        <f t="shared" si="15"/>
        <v/>
      </c>
      <c r="N165" s="301"/>
      <c r="O165" s="163" t="s">
        <v>27</v>
      </c>
      <c r="P165" s="23">
        <v>45972</v>
      </c>
      <c r="Q165" s="24" t="s">
        <v>169</v>
      </c>
      <c r="R165" s="23">
        <v>46001</v>
      </c>
      <c r="S165" s="24" t="s">
        <v>170</v>
      </c>
      <c r="T165" s="15" t="s">
        <v>171</v>
      </c>
      <c r="U165" s="23">
        <v>46003</v>
      </c>
      <c r="V165" s="24" t="s">
        <v>172</v>
      </c>
      <c r="W165" s="15" t="s">
        <v>44</v>
      </c>
      <c r="X165" s="23"/>
      <c r="Y165" s="15"/>
      <c r="Z165" s="15"/>
      <c r="AA165" s="16"/>
      <c r="AB165" s="914"/>
      <c r="AC165" s="26" t="s">
        <v>54</v>
      </c>
      <c r="AD165" s="400">
        <v>46134</v>
      </c>
      <c r="AE165" s="399" t="s">
        <v>1200</v>
      </c>
      <c r="AF165" s="396"/>
      <c r="AG165" s="398"/>
      <c r="AH165" s="398"/>
      <c r="AI165" s="396"/>
      <c r="AJ165" s="398"/>
      <c r="AK165" s="398"/>
      <c r="AL165" s="396"/>
      <c r="AM165" s="398"/>
      <c r="AN165" s="398"/>
      <c r="AO165" s="397"/>
    </row>
    <row r="166" spans="2:41" s="164" customFormat="1" ht="40.25" customHeight="1">
      <c r="B166" s="947"/>
      <c r="C166" s="960"/>
      <c r="D166" s="790"/>
      <c r="E166" s="628"/>
      <c r="F166" s="927"/>
      <c r="G166" s="930"/>
      <c r="H166" s="794"/>
      <c r="I166" s="298"/>
      <c r="J166" s="298"/>
      <c r="K166" s="298"/>
      <c r="L166" s="299" t="str">
        <f t="shared" ca="1" si="14"/>
        <v/>
      </c>
      <c r="M166" s="299" t="str">
        <f t="shared" si="15"/>
        <v/>
      </c>
      <c r="N166" s="301" t="s">
        <v>925</v>
      </c>
      <c r="O166" s="163" t="s">
        <v>36</v>
      </c>
      <c r="P166" s="23">
        <v>46049</v>
      </c>
      <c r="Q166" s="24" t="s">
        <v>261</v>
      </c>
      <c r="R166" s="23">
        <v>46084</v>
      </c>
      <c r="S166" s="24" t="s">
        <v>1067</v>
      </c>
      <c r="T166" s="15" t="s">
        <v>38</v>
      </c>
      <c r="U166" s="23">
        <v>46084</v>
      </c>
      <c r="V166" s="24" t="s">
        <v>1067</v>
      </c>
      <c r="W166" s="15" t="s">
        <v>44</v>
      </c>
      <c r="X166" s="23">
        <v>46100</v>
      </c>
      <c r="Y166" s="15" t="s">
        <v>979</v>
      </c>
      <c r="Z166" s="15" t="s">
        <v>196</v>
      </c>
      <c r="AA166" s="16"/>
      <c r="AB166" s="915"/>
      <c r="AC166" s="16"/>
      <c r="AD166" s="396"/>
      <c r="AE166" s="395"/>
      <c r="AF166" s="396"/>
      <c r="AG166" s="398"/>
      <c r="AH166" s="398"/>
      <c r="AI166" s="396"/>
      <c r="AJ166" s="398"/>
      <c r="AK166" s="398"/>
      <c r="AL166" s="396"/>
      <c r="AM166" s="398"/>
      <c r="AN166" s="398"/>
      <c r="AO166" s="397"/>
    </row>
    <row r="167" spans="2:41" s="164" customFormat="1" ht="40.25" customHeight="1">
      <c r="B167" s="947">
        <v>177</v>
      </c>
      <c r="C167" s="960">
        <v>55</v>
      </c>
      <c r="D167" s="788">
        <v>28</v>
      </c>
      <c r="E167" s="626" t="s">
        <v>968</v>
      </c>
      <c r="F167" s="925" t="s">
        <v>1202</v>
      </c>
      <c r="G167" s="928" t="s">
        <v>1072</v>
      </c>
      <c r="H167" s="792" t="s">
        <v>1201</v>
      </c>
      <c r="I167" s="297">
        <f>IF(J167="","",J167-30)</f>
        <v>46044</v>
      </c>
      <c r="J167" s="297">
        <f>IF(K167="","",K167-30)</f>
        <v>46074</v>
      </c>
      <c r="K167" s="298">
        <v>46104</v>
      </c>
      <c r="L167" s="299" t="str">
        <f t="shared" ca="1" si="14"/>
        <v/>
      </c>
      <c r="M167" s="299">
        <f t="shared" si="15"/>
        <v>150</v>
      </c>
      <c r="N167" s="301"/>
      <c r="O167" s="163" t="s">
        <v>22</v>
      </c>
      <c r="P167" s="23">
        <v>45894</v>
      </c>
      <c r="Q167" s="24" t="s">
        <v>167</v>
      </c>
      <c r="R167" s="23">
        <v>45898</v>
      </c>
      <c r="S167" s="24" t="s">
        <v>168</v>
      </c>
      <c r="T167" s="15" t="s">
        <v>25</v>
      </c>
      <c r="U167" s="23"/>
      <c r="V167" s="24"/>
      <c r="W167" s="15"/>
      <c r="X167" s="23"/>
      <c r="Y167" s="15"/>
      <c r="Z167" s="15"/>
      <c r="AA167" s="16"/>
      <c r="AB167" s="913" t="s">
        <v>842</v>
      </c>
      <c r="AC167" s="15" t="s">
        <v>22</v>
      </c>
      <c r="AD167" s="396">
        <v>46051</v>
      </c>
      <c r="AE167" s="395" t="s">
        <v>843</v>
      </c>
      <c r="AF167" s="396">
        <v>46085</v>
      </c>
      <c r="AG167" s="398" t="s">
        <v>844</v>
      </c>
      <c r="AH167" s="395" t="s">
        <v>208</v>
      </c>
      <c r="AI167" s="396">
        <v>46085</v>
      </c>
      <c r="AJ167" s="398" t="s">
        <v>844</v>
      </c>
      <c r="AK167" s="15" t="s">
        <v>201</v>
      </c>
      <c r="AL167" s="396"/>
      <c r="AM167" s="398"/>
      <c r="AN167" s="398"/>
      <c r="AO167" s="397"/>
    </row>
    <row r="168" spans="2:41" s="164" customFormat="1" ht="41" customHeight="1">
      <c r="B168" s="947"/>
      <c r="C168" s="960"/>
      <c r="D168" s="789"/>
      <c r="E168" s="627"/>
      <c r="F168" s="926"/>
      <c r="G168" s="929"/>
      <c r="H168" s="793"/>
      <c r="I168" s="298"/>
      <c r="J168" s="298"/>
      <c r="K168" s="298"/>
      <c r="L168" s="299" t="str">
        <f t="shared" ca="1" si="14"/>
        <v/>
      </c>
      <c r="M168" s="299" t="str">
        <f t="shared" si="15"/>
        <v/>
      </c>
      <c r="N168" s="301"/>
      <c r="O168" s="163" t="s">
        <v>27</v>
      </c>
      <c r="P168" s="23">
        <v>45972</v>
      </c>
      <c r="Q168" s="24" t="s">
        <v>169</v>
      </c>
      <c r="R168" s="23">
        <v>46001</v>
      </c>
      <c r="S168" s="24" t="s">
        <v>170</v>
      </c>
      <c r="T168" s="15" t="s">
        <v>171</v>
      </c>
      <c r="U168" s="23">
        <v>46003</v>
      </c>
      <c r="V168" s="24" t="s">
        <v>172</v>
      </c>
      <c r="W168" s="15" t="s">
        <v>44</v>
      </c>
      <c r="X168" s="111"/>
      <c r="Y168" s="15"/>
      <c r="Z168" s="15"/>
      <c r="AA168" s="16"/>
      <c r="AB168" s="914"/>
      <c r="AC168" s="26" t="s">
        <v>54</v>
      </c>
      <c r="AD168" s="400">
        <v>46134</v>
      </c>
      <c r="AE168" s="399" t="s">
        <v>1200</v>
      </c>
      <c r="AF168" s="396"/>
      <c r="AG168" s="398"/>
      <c r="AH168" s="398"/>
      <c r="AI168" s="396"/>
      <c r="AJ168" s="398"/>
      <c r="AK168" s="398"/>
      <c r="AL168" s="396"/>
      <c r="AM168" s="398"/>
      <c r="AN168" s="398"/>
      <c r="AO168" s="397"/>
    </row>
    <row r="169" spans="2:41" s="164" customFormat="1" ht="40.25" customHeight="1">
      <c r="B169" s="947"/>
      <c r="C169" s="960"/>
      <c r="D169" s="790"/>
      <c r="E169" s="628"/>
      <c r="F169" s="927"/>
      <c r="G169" s="930"/>
      <c r="H169" s="794"/>
      <c r="I169" s="298"/>
      <c r="J169" s="298"/>
      <c r="K169" s="298"/>
      <c r="L169" s="299" t="str">
        <f t="shared" ca="1" si="14"/>
        <v/>
      </c>
      <c r="M169" s="299" t="str">
        <f t="shared" si="15"/>
        <v/>
      </c>
      <c r="N169" s="301" t="s">
        <v>925</v>
      </c>
      <c r="O169" s="163" t="s">
        <v>36</v>
      </c>
      <c r="P169" s="23">
        <v>46049</v>
      </c>
      <c r="Q169" s="24" t="s">
        <v>261</v>
      </c>
      <c r="R169" s="23">
        <v>46084</v>
      </c>
      <c r="S169" s="24" t="s">
        <v>1067</v>
      </c>
      <c r="T169" s="15" t="s">
        <v>38</v>
      </c>
      <c r="U169" s="23">
        <v>46084</v>
      </c>
      <c r="V169" s="24" t="s">
        <v>1067</v>
      </c>
      <c r="W169" s="15" t="s">
        <v>44</v>
      </c>
      <c r="X169" s="23">
        <v>46100</v>
      </c>
      <c r="Y169" s="15" t="s">
        <v>979</v>
      </c>
      <c r="Z169" s="15" t="s">
        <v>196</v>
      </c>
      <c r="AA169" s="16"/>
      <c r="AB169" s="915"/>
      <c r="AC169" s="16"/>
      <c r="AD169" s="396"/>
      <c r="AE169" s="395"/>
      <c r="AF169" s="396"/>
      <c r="AG169" s="398"/>
      <c r="AH169" s="398"/>
      <c r="AI169" s="396"/>
      <c r="AJ169" s="398"/>
      <c r="AK169" s="398"/>
      <c r="AL169" s="396"/>
      <c r="AM169" s="398"/>
      <c r="AN169" s="398"/>
      <c r="AO169" s="397"/>
    </row>
    <row r="170" spans="2:41" s="164" customFormat="1" ht="40.25" customHeight="1">
      <c r="B170" s="947">
        <v>125</v>
      </c>
      <c r="C170" s="960">
        <v>56</v>
      </c>
      <c r="D170" s="788">
        <v>46</v>
      </c>
      <c r="E170" s="626" t="s">
        <v>1198</v>
      </c>
      <c r="F170" s="925" t="s">
        <v>1199</v>
      </c>
      <c r="G170" s="928" t="s">
        <v>161</v>
      </c>
      <c r="H170" s="792" t="s">
        <v>284</v>
      </c>
      <c r="I170" s="297">
        <f>IF(J170="","",J170-30)</f>
        <v>46112</v>
      </c>
      <c r="J170" s="297">
        <f>IF(K170="","",K170-30)</f>
        <v>46142</v>
      </c>
      <c r="K170" s="298">
        <v>46172</v>
      </c>
      <c r="L170" s="299" t="str">
        <f t="shared" ca="1" si="14"/>
        <v/>
      </c>
      <c r="M170" s="299">
        <f t="shared" si="15"/>
        <v>116</v>
      </c>
      <c r="N170" s="301"/>
      <c r="O170" s="163" t="s">
        <v>22</v>
      </c>
      <c r="P170" s="23">
        <v>45996</v>
      </c>
      <c r="Q170" s="24" t="s">
        <v>1196</v>
      </c>
      <c r="R170" s="23">
        <v>46010</v>
      </c>
      <c r="S170" s="24" t="s">
        <v>1195</v>
      </c>
      <c r="T170" s="15" t="s">
        <v>25</v>
      </c>
      <c r="U170" s="23"/>
      <c r="V170" s="24"/>
      <c r="W170" s="24"/>
      <c r="X170" s="23"/>
      <c r="Y170" s="15"/>
      <c r="Z170" s="15"/>
      <c r="AA170" s="16"/>
      <c r="AB170" s="16"/>
      <c r="AC170" s="16"/>
      <c r="AD170" s="396"/>
      <c r="AE170" s="398"/>
      <c r="AF170" s="396"/>
      <c r="AG170" s="398"/>
      <c r="AH170" s="398"/>
      <c r="AI170" s="396"/>
      <c r="AJ170" s="398"/>
      <c r="AK170" s="398"/>
      <c r="AL170" s="396"/>
      <c r="AM170" s="398"/>
      <c r="AN170" s="398"/>
      <c r="AO170" s="397"/>
    </row>
    <row r="171" spans="2:41" s="164" customFormat="1" ht="40.25" customHeight="1">
      <c r="B171" s="947"/>
      <c r="C171" s="960"/>
      <c r="D171" s="789"/>
      <c r="E171" s="627"/>
      <c r="F171" s="926"/>
      <c r="G171" s="929"/>
      <c r="H171" s="793"/>
      <c r="I171" s="298"/>
      <c r="J171" s="298"/>
      <c r="K171" s="298"/>
      <c r="L171" s="299" t="str">
        <f t="shared" ca="1" si="14"/>
        <v/>
      </c>
      <c r="M171" s="299" t="str">
        <f t="shared" si="15"/>
        <v/>
      </c>
      <c r="N171" s="301"/>
      <c r="O171" s="163" t="s">
        <v>27</v>
      </c>
      <c r="P171" s="23">
        <v>46028</v>
      </c>
      <c r="Q171" s="24" t="s">
        <v>1194</v>
      </c>
      <c r="R171" s="23">
        <v>46034</v>
      </c>
      <c r="S171" s="24" t="s">
        <v>1068</v>
      </c>
      <c r="T171" s="24" t="s">
        <v>30</v>
      </c>
      <c r="U171" s="23">
        <v>46035</v>
      </c>
      <c r="V171" s="24" t="s">
        <v>1193</v>
      </c>
      <c r="W171" s="15" t="s">
        <v>44</v>
      </c>
      <c r="X171" s="23"/>
      <c r="Y171" s="15"/>
      <c r="Z171" s="15"/>
      <c r="AA171" s="16"/>
      <c r="AB171" s="16"/>
      <c r="AC171" s="16"/>
      <c r="AD171" s="396"/>
      <c r="AE171" s="398"/>
      <c r="AF171" s="396"/>
      <c r="AG171" s="398"/>
      <c r="AH171" s="398"/>
      <c r="AI171" s="396"/>
      <c r="AJ171" s="398"/>
      <c r="AK171" s="398"/>
      <c r="AL171" s="396"/>
      <c r="AM171" s="398"/>
      <c r="AN171" s="398"/>
      <c r="AO171" s="397"/>
    </row>
    <row r="172" spans="2:41" s="164" customFormat="1" ht="40.25" customHeight="1">
      <c r="B172" s="947"/>
      <c r="C172" s="960"/>
      <c r="D172" s="790"/>
      <c r="E172" s="628"/>
      <c r="F172" s="927"/>
      <c r="G172" s="930"/>
      <c r="H172" s="794"/>
      <c r="I172" s="298"/>
      <c r="J172" s="298"/>
      <c r="K172" s="298"/>
      <c r="L172" s="299" t="str">
        <f t="shared" ca="1" si="14"/>
        <v/>
      </c>
      <c r="M172" s="299" t="str">
        <f t="shared" si="15"/>
        <v/>
      </c>
      <c r="N172" s="301" t="s">
        <v>925</v>
      </c>
      <c r="O172" s="163" t="s">
        <v>260</v>
      </c>
      <c r="P172" s="23">
        <v>46062</v>
      </c>
      <c r="Q172" s="24" t="s">
        <v>1192</v>
      </c>
      <c r="R172" s="23">
        <v>46100</v>
      </c>
      <c r="S172" s="24" t="s">
        <v>1069</v>
      </c>
      <c r="T172" s="24" t="s">
        <v>30</v>
      </c>
      <c r="U172" s="23">
        <v>46100</v>
      </c>
      <c r="V172" s="24" t="s">
        <v>1069</v>
      </c>
      <c r="W172" s="15" t="s">
        <v>44</v>
      </c>
      <c r="X172" s="23">
        <v>46112</v>
      </c>
      <c r="Y172" s="15" t="s">
        <v>989</v>
      </c>
      <c r="Z172" s="15" t="s">
        <v>196</v>
      </c>
      <c r="AA172" s="16"/>
      <c r="AB172" s="16"/>
      <c r="AC172" s="16"/>
      <c r="AD172" s="396"/>
      <c r="AE172" s="398"/>
      <c r="AF172" s="396"/>
      <c r="AG172" s="398"/>
      <c r="AH172" s="398"/>
      <c r="AI172" s="396"/>
      <c r="AJ172" s="398"/>
      <c r="AK172" s="398"/>
      <c r="AL172" s="396"/>
      <c r="AM172" s="398"/>
      <c r="AN172" s="398"/>
      <c r="AO172" s="397"/>
    </row>
    <row r="173" spans="2:41" s="164" customFormat="1" ht="40.25" customHeight="1">
      <c r="B173" s="947">
        <v>126</v>
      </c>
      <c r="C173" s="960">
        <v>57</v>
      </c>
      <c r="D173" s="788">
        <v>47</v>
      </c>
      <c r="E173" s="626" t="s">
        <v>1198</v>
      </c>
      <c r="F173" s="925" t="s">
        <v>1197</v>
      </c>
      <c r="G173" s="928" t="s">
        <v>162</v>
      </c>
      <c r="H173" s="792" t="s">
        <v>284</v>
      </c>
      <c r="I173" s="297">
        <f>IF(J173="","",J173-30)</f>
        <v>46112</v>
      </c>
      <c r="J173" s="297">
        <f>IF(K173="","",K173-30)</f>
        <v>46142</v>
      </c>
      <c r="K173" s="298">
        <v>46172</v>
      </c>
      <c r="L173" s="299" t="str">
        <f t="shared" ca="1" si="14"/>
        <v/>
      </c>
      <c r="M173" s="299">
        <f t="shared" si="15"/>
        <v>116</v>
      </c>
      <c r="N173" s="301"/>
      <c r="O173" s="163" t="s">
        <v>22</v>
      </c>
      <c r="P173" s="23">
        <v>45996</v>
      </c>
      <c r="Q173" s="24" t="s">
        <v>1196</v>
      </c>
      <c r="R173" s="23">
        <v>46010</v>
      </c>
      <c r="S173" s="24" t="s">
        <v>1195</v>
      </c>
      <c r="T173" s="15" t="s">
        <v>25</v>
      </c>
      <c r="U173" s="23"/>
      <c r="V173" s="24"/>
      <c r="W173" s="24"/>
      <c r="X173" s="23"/>
      <c r="Y173" s="15"/>
      <c r="Z173" s="15"/>
      <c r="AA173" s="16"/>
      <c r="AB173" s="16"/>
      <c r="AC173" s="16"/>
      <c r="AD173" s="396"/>
      <c r="AE173" s="398"/>
      <c r="AF173" s="396"/>
      <c r="AG173" s="398"/>
      <c r="AH173" s="398"/>
      <c r="AI173" s="396"/>
      <c r="AJ173" s="398"/>
      <c r="AK173" s="398"/>
      <c r="AL173" s="396"/>
      <c r="AM173" s="398"/>
      <c r="AN173" s="398"/>
      <c r="AO173" s="397"/>
    </row>
    <row r="174" spans="2:41" s="164" customFormat="1" ht="39.65" customHeight="1">
      <c r="B174" s="947"/>
      <c r="C174" s="960"/>
      <c r="D174" s="789"/>
      <c r="E174" s="627"/>
      <c r="F174" s="926"/>
      <c r="G174" s="929"/>
      <c r="H174" s="793"/>
      <c r="I174" s="298"/>
      <c r="J174" s="298"/>
      <c r="K174" s="298"/>
      <c r="L174" s="299" t="str">
        <f t="shared" ca="1" si="14"/>
        <v/>
      </c>
      <c r="M174" s="299" t="str">
        <f t="shared" si="15"/>
        <v/>
      </c>
      <c r="N174" s="301"/>
      <c r="O174" s="163" t="s">
        <v>27</v>
      </c>
      <c r="P174" s="23">
        <v>46028</v>
      </c>
      <c r="Q174" s="24" t="s">
        <v>1194</v>
      </c>
      <c r="R174" s="23">
        <v>46034</v>
      </c>
      <c r="S174" s="24" t="s">
        <v>1068</v>
      </c>
      <c r="T174" s="24" t="s">
        <v>30</v>
      </c>
      <c r="U174" s="23">
        <v>46035</v>
      </c>
      <c r="V174" s="24" t="s">
        <v>1193</v>
      </c>
      <c r="W174" s="15" t="s">
        <v>44</v>
      </c>
      <c r="X174" s="23"/>
      <c r="Y174" s="15"/>
      <c r="Z174" s="15"/>
      <c r="AA174" s="16"/>
      <c r="AB174" s="16"/>
      <c r="AC174" s="16"/>
      <c r="AD174" s="396"/>
      <c r="AE174" s="398"/>
      <c r="AF174" s="396"/>
      <c r="AG174" s="398"/>
      <c r="AH174" s="398"/>
      <c r="AI174" s="396"/>
      <c r="AJ174" s="398"/>
      <c r="AK174" s="398"/>
      <c r="AL174" s="396"/>
      <c r="AM174" s="398"/>
      <c r="AN174" s="398"/>
      <c r="AO174" s="397"/>
    </row>
    <row r="175" spans="2:41" s="164" customFormat="1" ht="40.25" customHeight="1">
      <c r="B175" s="947"/>
      <c r="C175" s="960"/>
      <c r="D175" s="790"/>
      <c r="E175" s="628"/>
      <c r="F175" s="927"/>
      <c r="G175" s="930"/>
      <c r="H175" s="794"/>
      <c r="I175" s="298"/>
      <c r="J175" s="298"/>
      <c r="K175" s="298"/>
      <c r="L175" s="299" t="str">
        <f t="shared" ca="1" si="14"/>
        <v/>
      </c>
      <c r="M175" s="299" t="str">
        <f t="shared" si="15"/>
        <v/>
      </c>
      <c r="N175" s="301" t="s">
        <v>925</v>
      </c>
      <c r="O175" s="163" t="s">
        <v>260</v>
      </c>
      <c r="P175" s="23">
        <v>46062</v>
      </c>
      <c r="Q175" s="24" t="s">
        <v>1192</v>
      </c>
      <c r="R175" s="23">
        <v>46100</v>
      </c>
      <c r="S175" s="24" t="s">
        <v>1069</v>
      </c>
      <c r="T175" s="24" t="s">
        <v>30</v>
      </c>
      <c r="U175" s="23">
        <v>46100</v>
      </c>
      <c r="V175" s="24" t="s">
        <v>1069</v>
      </c>
      <c r="W175" s="15" t="s">
        <v>44</v>
      </c>
      <c r="X175" s="23">
        <v>46112</v>
      </c>
      <c r="Y175" s="15" t="s">
        <v>989</v>
      </c>
      <c r="Z175" s="15" t="s">
        <v>196</v>
      </c>
      <c r="AA175" s="16"/>
      <c r="AB175" s="16"/>
      <c r="AC175" s="16"/>
      <c r="AD175" s="396"/>
      <c r="AE175" s="398"/>
      <c r="AF175" s="396"/>
      <c r="AG175" s="398"/>
      <c r="AH175" s="398"/>
      <c r="AI175" s="396"/>
      <c r="AJ175" s="398"/>
      <c r="AK175" s="398"/>
      <c r="AL175" s="396"/>
      <c r="AM175" s="398"/>
      <c r="AN175" s="398"/>
      <c r="AO175" s="397"/>
    </row>
    <row r="176" spans="2:41" s="164" customFormat="1" ht="40.25" customHeight="1">
      <c r="B176" s="947">
        <v>181</v>
      </c>
      <c r="C176" s="960">
        <v>58</v>
      </c>
      <c r="D176" s="788"/>
      <c r="E176" s="916"/>
      <c r="F176" s="922" t="s">
        <v>510</v>
      </c>
      <c r="G176" s="919" t="s">
        <v>164</v>
      </c>
      <c r="H176" s="792"/>
      <c r="I176" s="297">
        <f>IF(J176="","",J176-30)</f>
        <v>46204</v>
      </c>
      <c r="J176" s="297">
        <f>IF(K176="","",K176-30)</f>
        <v>46234</v>
      </c>
      <c r="K176" s="298">
        <v>46264</v>
      </c>
      <c r="L176" s="299">
        <f t="shared" ca="1" si="14"/>
        <v>35</v>
      </c>
      <c r="M176" s="299" t="str">
        <f t="shared" si="15"/>
        <v/>
      </c>
      <c r="N176" s="301"/>
      <c r="O176" s="163" t="s">
        <v>22</v>
      </c>
      <c r="P176" s="23"/>
      <c r="Q176" s="24"/>
      <c r="R176" s="23"/>
      <c r="S176" s="24"/>
      <c r="T176" s="15"/>
      <c r="U176" s="23"/>
      <c r="V176" s="24"/>
      <c r="W176" s="24"/>
      <c r="X176" s="23"/>
      <c r="Y176" s="15"/>
      <c r="Z176" s="15"/>
      <c r="AA176" s="16"/>
      <c r="AB176" s="16"/>
      <c r="AC176" s="16"/>
      <c r="AD176" s="396"/>
      <c r="AE176" s="398"/>
      <c r="AF176" s="396"/>
      <c r="AG176" s="398"/>
      <c r="AH176" s="398"/>
      <c r="AI176" s="396"/>
      <c r="AJ176" s="398"/>
      <c r="AK176" s="398"/>
      <c r="AL176" s="396"/>
      <c r="AM176" s="398"/>
      <c r="AN176" s="398"/>
      <c r="AO176" s="397"/>
    </row>
    <row r="177" spans="2:41" s="164" customFormat="1" ht="39.65" customHeight="1">
      <c r="B177" s="947"/>
      <c r="C177" s="960"/>
      <c r="D177" s="789"/>
      <c r="E177" s="917"/>
      <c r="F177" s="923"/>
      <c r="G177" s="920"/>
      <c r="H177" s="793"/>
      <c r="I177" s="298"/>
      <c r="J177" s="298"/>
      <c r="K177" s="298"/>
      <c r="L177" s="299" t="str">
        <f t="shared" ca="1" si="14"/>
        <v/>
      </c>
      <c r="M177" s="299" t="str">
        <f t="shared" si="15"/>
        <v/>
      </c>
      <c r="N177" s="301"/>
      <c r="O177" s="163" t="s">
        <v>27</v>
      </c>
      <c r="P177" s="23"/>
      <c r="Q177" s="23"/>
      <c r="R177" s="23"/>
      <c r="S177" s="24"/>
      <c r="T177" s="15"/>
      <c r="U177" s="23"/>
      <c r="V177" s="24"/>
      <c r="W177" s="15"/>
      <c r="X177" s="23"/>
      <c r="Y177" s="15"/>
      <c r="Z177" s="15"/>
      <c r="AA177" s="16"/>
      <c r="AB177" s="16"/>
      <c r="AC177" s="16"/>
      <c r="AD177" s="396"/>
      <c r="AE177" s="398"/>
      <c r="AF177" s="396"/>
      <c r="AG177" s="398"/>
      <c r="AH177" s="398"/>
      <c r="AI177" s="396"/>
      <c r="AJ177" s="398"/>
      <c r="AK177" s="398"/>
      <c r="AL177" s="396"/>
      <c r="AM177" s="398"/>
      <c r="AN177" s="398"/>
      <c r="AO177" s="397"/>
    </row>
    <row r="178" spans="2:41" s="164" customFormat="1" ht="40.25" customHeight="1">
      <c r="B178" s="947"/>
      <c r="C178" s="960"/>
      <c r="D178" s="790"/>
      <c r="E178" s="918"/>
      <c r="F178" s="924"/>
      <c r="G178" s="921"/>
      <c r="H178" s="794"/>
      <c r="I178" s="298"/>
      <c r="J178" s="298"/>
      <c r="K178" s="298"/>
      <c r="L178" s="299" t="str">
        <f t="shared" ca="1" si="14"/>
        <v/>
      </c>
      <c r="M178" s="299" t="str">
        <f t="shared" si="15"/>
        <v/>
      </c>
      <c r="N178" s="301"/>
      <c r="O178" s="163" t="s">
        <v>36</v>
      </c>
      <c r="P178" s="23"/>
      <c r="Q178" s="24"/>
      <c r="R178" s="23"/>
      <c r="S178" s="24"/>
      <c r="T178" s="15"/>
      <c r="U178" s="23"/>
      <c r="V178" s="24"/>
      <c r="W178" s="15"/>
      <c r="X178" s="23"/>
      <c r="Y178" s="15"/>
      <c r="Z178" s="15"/>
      <c r="AA178" s="16"/>
      <c r="AB178" s="16"/>
      <c r="AC178" s="16"/>
      <c r="AD178" s="396"/>
      <c r="AE178" s="398"/>
      <c r="AF178" s="396"/>
      <c r="AG178" s="398"/>
      <c r="AH178" s="398"/>
      <c r="AI178" s="396"/>
      <c r="AJ178" s="398"/>
      <c r="AK178" s="398"/>
      <c r="AL178" s="396"/>
      <c r="AM178" s="398"/>
      <c r="AN178" s="398"/>
      <c r="AO178" s="397"/>
    </row>
    <row r="179" spans="2:41" s="164" customFormat="1" ht="40.25" customHeight="1">
      <c r="B179" s="947">
        <v>213</v>
      </c>
      <c r="C179" s="960">
        <v>59</v>
      </c>
      <c r="D179" s="788">
        <v>94</v>
      </c>
      <c r="E179" s="916"/>
      <c r="F179" s="922" t="s">
        <v>511</v>
      </c>
      <c r="G179" s="919" t="s">
        <v>459</v>
      </c>
      <c r="H179" s="792"/>
      <c r="I179" s="297">
        <f>IF(J179="","",J179-30)</f>
        <v>46204</v>
      </c>
      <c r="J179" s="297">
        <f>IF(K179="","",K179-30)</f>
        <v>46234</v>
      </c>
      <c r="K179" s="298">
        <v>46264</v>
      </c>
      <c r="L179" s="299">
        <f t="shared" ref="L179:L205" ca="1" si="16">IF(I179="","",IF(P179&lt;&gt;"","",IF(AND(P179="",I179-TODAY()&lt;=60),I179-TODAY(),"")))</f>
        <v>35</v>
      </c>
      <c r="M179" s="299" t="str">
        <f t="shared" ref="M179:M205" si="17">IF(AND(ISNUMBER(I179),ISNUMBER(P179)),I179-P179,"")</f>
        <v/>
      </c>
      <c r="N179" s="301"/>
      <c r="O179" s="163" t="s">
        <v>22</v>
      </c>
      <c r="P179" s="23"/>
      <c r="Q179" s="24"/>
      <c r="R179" s="23"/>
      <c r="S179" s="24"/>
      <c r="T179" s="15"/>
      <c r="U179" s="23"/>
      <c r="V179" s="24"/>
      <c r="W179" s="24"/>
      <c r="X179" s="23"/>
      <c r="Y179" s="15"/>
      <c r="Z179" s="15"/>
      <c r="AA179" s="16"/>
      <c r="AB179" s="16"/>
      <c r="AC179" s="16"/>
      <c r="AD179" s="396"/>
      <c r="AE179" s="398"/>
      <c r="AF179" s="396"/>
      <c r="AG179" s="398"/>
      <c r="AH179" s="398"/>
      <c r="AI179" s="396"/>
      <c r="AJ179" s="398"/>
      <c r="AK179" s="398"/>
      <c r="AL179" s="396"/>
      <c r="AM179" s="398"/>
      <c r="AN179" s="398"/>
      <c r="AO179" s="397"/>
    </row>
    <row r="180" spans="2:41" s="164" customFormat="1" ht="39.65" customHeight="1">
      <c r="B180" s="947"/>
      <c r="C180" s="960"/>
      <c r="D180" s="789"/>
      <c r="E180" s="917"/>
      <c r="F180" s="923"/>
      <c r="G180" s="920"/>
      <c r="H180" s="793"/>
      <c r="I180" s="298"/>
      <c r="J180" s="298"/>
      <c r="K180" s="298"/>
      <c r="L180" s="299" t="str">
        <f t="shared" ca="1" si="16"/>
        <v/>
      </c>
      <c r="M180" s="299" t="str">
        <f t="shared" si="17"/>
        <v/>
      </c>
      <c r="N180" s="301"/>
      <c r="O180" s="163" t="s">
        <v>27</v>
      </c>
      <c r="P180" s="23"/>
      <c r="Q180" s="23"/>
      <c r="R180" s="23"/>
      <c r="S180" s="24"/>
      <c r="T180" s="15"/>
      <c r="U180" s="23"/>
      <c r="V180" s="24"/>
      <c r="W180" s="15"/>
      <c r="X180" s="23"/>
      <c r="Y180" s="15"/>
      <c r="Z180" s="15"/>
      <c r="AA180" s="16"/>
      <c r="AB180" s="16"/>
      <c r="AC180" s="16"/>
      <c r="AD180" s="396"/>
      <c r="AE180" s="398"/>
      <c r="AF180" s="396"/>
      <c r="AG180" s="398"/>
      <c r="AH180" s="398"/>
      <c r="AI180" s="396"/>
      <c r="AJ180" s="398"/>
      <c r="AK180" s="398"/>
      <c r="AL180" s="396"/>
      <c r="AM180" s="398"/>
      <c r="AN180" s="398"/>
      <c r="AO180" s="397"/>
    </row>
    <row r="181" spans="2:41" s="164" customFormat="1" ht="40.25" customHeight="1">
      <c r="B181" s="947"/>
      <c r="C181" s="960"/>
      <c r="D181" s="790"/>
      <c r="E181" s="918"/>
      <c r="F181" s="924"/>
      <c r="G181" s="921"/>
      <c r="H181" s="794"/>
      <c r="I181" s="298"/>
      <c r="J181" s="298"/>
      <c r="K181" s="298"/>
      <c r="L181" s="299" t="str">
        <f t="shared" ca="1" si="16"/>
        <v/>
      </c>
      <c r="M181" s="299" t="str">
        <f t="shared" si="17"/>
        <v/>
      </c>
      <c r="N181" s="301"/>
      <c r="O181" s="163" t="s">
        <v>36</v>
      </c>
      <c r="P181" s="23"/>
      <c r="Q181" s="24"/>
      <c r="R181" s="23"/>
      <c r="S181" s="24"/>
      <c r="T181" s="15"/>
      <c r="U181" s="23"/>
      <c r="V181" s="24"/>
      <c r="W181" s="15"/>
      <c r="X181" s="23"/>
      <c r="Y181" s="15"/>
      <c r="Z181" s="15"/>
      <c r="AA181" s="16"/>
      <c r="AB181" s="16"/>
      <c r="AC181" s="16"/>
      <c r="AD181" s="396"/>
      <c r="AE181" s="398"/>
      <c r="AF181" s="396"/>
      <c r="AG181" s="398"/>
      <c r="AH181" s="398"/>
      <c r="AI181" s="396"/>
      <c r="AJ181" s="398"/>
      <c r="AK181" s="398"/>
      <c r="AL181" s="396"/>
      <c r="AM181" s="398"/>
      <c r="AN181" s="398"/>
      <c r="AO181" s="397"/>
    </row>
    <row r="182" spans="2:41" s="164" customFormat="1" ht="40.25" customHeight="1">
      <c r="B182" s="947">
        <v>183</v>
      </c>
      <c r="C182" s="960">
        <v>60</v>
      </c>
      <c r="D182" s="788"/>
      <c r="E182" s="916"/>
      <c r="F182" s="922" t="s">
        <v>512</v>
      </c>
      <c r="G182" s="919" t="s">
        <v>165</v>
      </c>
      <c r="H182" s="792"/>
      <c r="I182" s="297">
        <f>IF(J182="","",J182-30)</f>
        <v>46204</v>
      </c>
      <c r="J182" s="297">
        <f>IF(K182="","",K182-30)</f>
        <v>46234</v>
      </c>
      <c r="K182" s="309">
        <v>46264</v>
      </c>
      <c r="L182" s="299">
        <f t="shared" ca="1" si="16"/>
        <v>35</v>
      </c>
      <c r="M182" s="299" t="str">
        <f t="shared" si="17"/>
        <v/>
      </c>
      <c r="N182" s="301"/>
      <c r="O182" s="163" t="s">
        <v>22</v>
      </c>
      <c r="P182" s="23"/>
      <c r="Q182" s="24"/>
      <c r="R182" s="23"/>
      <c r="S182" s="24"/>
      <c r="T182" s="15"/>
      <c r="U182" s="23"/>
      <c r="V182" s="24"/>
      <c r="W182" s="24"/>
      <c r="X182" s="23"/>
      <c r="Y182" s="15"/>
      <c r="Z182" s="15"/>
      <c r="AA182" s="16"/>
      <c r="AB182" s="16"/>
      <c r="AC182" s="16"/>
      <c r="AD182" s="396"/>
      <c r="AE182" s="398"/>
      <c r="AF182" s="396"/>
      <c r="AG182" s="398"/>
      <c r="AH182" s="398"/>
      <c r="AI182" s="396"/>
      <c r="AJ182" s="398"/>
      <c r="AK182" s="398"/>
      <c r="AL182" s="396"/>
      <c r="AM182" s="398"/>
      <c r="AN182" s="398"/>
      <c r="AO182" s="397"/>
    </row>
    <row r="183" spans="2:41" s="164" customFormat="1" ht="39.65" customHeight="1">
      <c r="B183" s="947"/>
      <c r="C183" s="960"/>
      <c r="D183" s="789"/>
      <c r="E183" s="917"/>
      <c r="F183" s="923"/>
      <c r="G183" s="920"/>
      <c r="H183" s="793"/>
      <c r="I183" s="298"/>
      <c r="J183" s="298"/>
      <c r="K183" s="298"/>
      <c r="L183" s="299" t="str">
        <f t="shared" ca="1" si="16"/>
        <v/>
      </c>
      <c r="M183" s="299" t="str">
        <f t="shared" si="17"/>
        <v/>
      </c>
      <c r="N183" s="301"/>
      <c r="O183" s="163" t="s">
        <v>27</v>
      </c>
      <c r="P183" s="23"/>
      <c r="Q183" s="23"/>
      <c r="R183" s="23"/>
      <c r="S183" s="24"/>
      <c r="T183" s="15"/>
      <c r="U183" s="23"/>
      <c r="V183" s="24"/>
      <c r="W183" s="15"/>
      <c r="X183" s="23"/>
      <c r="Y183" s="15"/>
      <c r="Z183" s="15"/>
      <c r="AA183" s="16"/>
      <c r="AB183" s="16"/>
      <c r="AC183" s="16"/>
      <c r="AD183" s="396"/>
      <c r="AE183" s="398"/>
      <c r="AF183" s="396"/>
      <c r="AG183" s="398"/>
      <c r="AH183" s="398"/>
      <c r="AI183" s="396"/>
      <c r="AJ183" s="398"/>
      <c r="AK183" s="398"/>
      <c r="AL183" s="396"/>
      <c r="AM183" s="398"/>
      <c r="AN183" s="398"/>
      <c r="AO183" s="397"/>
    </row>
    <row r="184" spans="2:41" s="164" customFormat="1" ht="40.25" customHeight="1">
      <c r="B184" s="947"/>
      <c r="C184" s="960"/>
      <c r="D184" s="790"/>
      <c r="E184" s="918"/>
      <c r="F184" s="924"/>
      <c r="G184" s="921"/>
      <c r="H184" s="794"/>
      <c r="I184" s="298"/>
      <c r="J184" s="298"/>
      <c r="K184" s="298"/>
      <c r="L184" s="299" t="str">
        <f t="shared" ca="1" si="16"/>
        <v/>
      </c>
      <c r="M184" s="299" t="str">
        <f t="shared" si="17"/>
        <v/>
      </c>
      <c r="N184" s="301"/>
      <c r="O184" s="163" t="s">
        <v>36</v>
      </c>
      <c r="P184" s="23"/>
      <c r="Q184" s="24"/>
      <c r="R184" s="23"/>
      <c r="S184" s="24"/>
      <c r="T184" s="15"/>
      <c r="U184" s="23"/>
      <c r="V184" s="24"/>
      <c r="W184" s="15"/>
      <c r="X184" s="23"/>
      <c r="Y184" s="15"/>
      <c r="Z184" s="15"/>
      <c r="AA184" s="16"/>
      <c r="AB184" s="16"/>
      <c r="AC184" s="16"/>
      <c r="AD184" s="396"/>
      <c r="AE184" s="398"/>
      <c r="AF184" s="396"/>
      <c r="AG184" s="398"/>
      <c r="AH184" s="398"/>
      <c r="AI184" s="396"/>
      <c r="AJ184" s="398"/>
      <c r="AK184" s="398"/>
      <c r="AL184" s="396"/>
      <c r="AM184" s="398"/>
      <c r="AN184" s="398"/>
      <c r="AO184" s="397"/>
    </row>
    <row r="185" spans="2:41" s="164" customFormat="1" ht="40.25" customHeight="1">
      <c r="B185" s="947">
        <v>184</v>
      </c>
      <c r="C185" s="960">
        <v>61</v>
      </c>
      <c r="D185" s="788">
        <v>138</v>
      </c>
      <c r="E185" s="916"/>
      <c r="F185" s="922" t="s">
        <v>512</v>
      </c>
      <c r="G185" s="919" t="s">
        <v>166</v>
      </c>
      <c r="H185" s="792"/>
      <c r="I185" s="297">
        <f>IF(J185="","",J185-30)</f>
        <v>46235</v>
      </c>
      <c r="J185" s="297">
        <f>IF(K185="","",K185-30)</f>
        <v>46265</v>
      </c>
      <c r="K185" s="298">
        <v>46295</v>
      </c>
      <c r="L185" s="299" t="str">
        <f t="shared" ca="1" si="16"/>
        <v/>
      </c>
      <c r="M185" s="299" t="str">
        <f t="shared" si="17"/>
        <v/>
      </c>
      <c r="N185" s="301"/>
      <c r="O185" s="163" t="s">
        <v>22</v>
      </c>
      <c r="P185" s="23"/>
      <c r="Q185" s="24"/>
      <c r="R185" s="23"/>
      <c r="S185" s="24"/>
      <c r="T185" s="15"/>
      <c r="U185" s="23"/>
      <c r="V185" s="24"/>
      <c r="W185" s="24"/>
      <c r="X185" s="23"/>
      <c r="Y185" s="15"/>
      <c r="Z185" s="15"/>
      <c r="AA185" s="16"/>
      <c r="AB185" s="16"/>
      <c r="AC185" s="16"/>
      <c r="AD185" s="396"/>
      <c r="AE185" s="398"/>
      <c r="AF185" s="396"/>
      <c r="AG185" s="398"/>
      <c r="AH185" s="398"/>
      <c r="AI185" s="396"/>
      <c r="AJ185" s="398"/>
      <c r="AK185" s="398"/>
      <c r="AL185" s="396"/>
      <c r="AM185" s="398"/>
      <c r="AN185" s="398"/>
      <c r="AO185" s="397"/>
    </row>
    <row r="186" spans="2:41" s="164" customFormat="1" ht="39.65" customHeight="1">
      <c r="B186" s="947"/>
      <c r="C186" s="960"/>
      <c r="D186" s="789"/>
      <c r="E186" s="917"/>
      <c r="F186" s="923"/>
      <c r="G186" s="920"/>
      <c r="H186" s="793"/>
      <c r="I186" s="298"/>
      <c r="J186" s="298"/>
      <c r="K186" s="298"/>
      <c r="L186" s="299" t="str">
        <f t="shared" ca="1" si="16"/>
        <v/>
      </c>
      <c r="M186" s="299" t="str">
        <f t="shared" si="17"/>
        <v/>
      </c>
      <c r="N186" s="301"/>
      <c r="O186" s="163" t="s">
        <v>27</v>
      </c>
      <c r="P186" s="23"/>
      <c r="Q186" s="23"/>
      <c r="R186" s="23"/>
      <c r="S186" s="24"/>
      <c r="T186" s="15"/>
      <c r="U186" s="23"/>
      <c r="V186" s="24"/>
      <c r="W186" s="15"/>
      <c r="X186" s="23"/>
      <c r="Y186" s="15"/>
      <c r="Z186" s="15"/>
      <c r="AA186" s="16"/>
      <c r="AB186" s="16"/>
      <c r="AC186" s="16"/>
      <c r="AD186" s="396"/>
      <c r="AE186" s="398"/>
      <c r="AF186" s="396"/>
      <c r="AG186" s="398"/>
      <c r="AH186" s="398"/>
      <c r="AI186" s="396"/>
      <c r="AJ186" s="398"/>
      <c r="AK186" s="398"/>
      <c r="AL186" s="396"/>
      <c r="AM186" s="398"/>
      <c r="AN186" s="398"/>
      <c r="AO186" s="397"/>
    </row>
    <row r="187" spans="2:41" s="164" customFormat="1" ht="40.25" customHeight="1">
      <c r="B187" s="947"/>
      <c r="C187" s="960"/>
      <c r="D187" s="790"/>
      <c r="E187" s="918"/>
      <c r="F187" s="924"/>
      <c r="G187" s="921"/>
      <c r="H187" s="794"/>
      <c r="I187" s="298"/>
      <c r="J187" s="298"/>
      <c r="K187" s="298"/>
      <c r="L187" s="299" t="str">
        <f t="shared" ca="1" si="16"/>
        <v/>
      </c>
      <c r="M187" s="299" t="str">
        <f t="shared" si="17"/>
        <v/>
      </c>
      <c r="N187" s="301"/>
      <c r="O187" s="163" t="s">
        <v>36</v>
      </c>
      <c r="P187" s="23"/>
      <c r="Q187" s="24"/>
      <c r="R187" s="23"/>
      <c r="S187" s="24"/>
      <c r="T187" s="15"/>
      <c r="U187" s="23"/>
      <c r="V187" s="24"/>
      <c r="W187" s="15"/>
      <c r="X187" s="23"/>
      <c r="Y187" s="15"/>
      <c r="Z187" s="15"/>
      <c r="AA187" s="16"/>
      <c r="AB187" s="16"/>
      <c r="AC187" s="16"/>
      <c r="AD187" s="396"/>
      <c r="AE187" s="398"/>
      <c r="AF187" s="396"/>
      <c r="AG187" s="398"/>
      <c r="AH187" s="398"/>
      <c r="AI187" s="396"/>
      <c r="AJ187" s="398"/>
      <c r="AK187" s="398"/>
      <c r="AL187" s="396"/>
      <c r="AM187" s="398"/>
      <c r="AN187" s="398"/>
      <c r="AO187" s="397"/>
    </row>
    <row r="188" spans="2:41" s="164" customFormat="1" ht="40.25" customHeight="1">
      <c r="B188" s="947">
        <v>18</v>
      </c>
      <c r="C188" s="960">
        <v>62</v>
      </c>
      <c r="D188" s="765" t="s">
        <v>1191</v>
      </c>
      <c r="E188" s="837" t="s">
        <v>1190</v>
      </c>
      <c r="F188" s="925" t="s">
        <v>513</v>
      </c>
      <c r="G188" s="928" t="s">
        <v>1189</v>
      </c>
      <c r="H188" s="792" t="s">
        <v>268</v>
      </c>
      <c r="I188" s="298">
        <f>IF(K188="","",K188-60)</f>
        <v>46128</v>
      </c>
      <c r="J188" s="298">
        <f>IF(K188="","",K188-30)</f>
        <v>46158</v>
      </c>
      <c r="K188" s="298">
        <v>46188</v>
      </c>
      <c r="L188" s="299" t="str">
        <f t="shared" ca="1" si="16"/>
        <v/>
      </c>
      <c r="M188" s="299">
        <f t="shared" si="17"/>
        <v>20</v>
      </c>
      <c r="N188" s="301" t="s">
        <v>925</v>
      </c>
      <c r="O188" s="163" t="s">
        <v>22</v>
      </c>
      <c r="P188" s="23">
        <v>46108</v>
      </c>
      <c r="Q188" s="24" t="s">
        <v>1026</v>
      </c>
      <c r="R188" s="27">
        <v>46134</v>
      </c>
      <c r="S188" s="28" t="s">
        <v>1154</v>
      </c>
      <c r="T188" s="28" t="s">
        <v>30</v>
      </c>
      <c r="U188" s="27">
        <v>46134</v>
      </c>
      <c r="V188" s="28" t="s">
        <v>1154</v>
      </c>
      <c r="W188" s="26" t="s">
        <v>44</v>
      </c>
      <c r="X188" s="27">
        <v>46147</v>
      </c>
      <c r="Y188" s="26" t="s">
        <v>1188</v>
      </c>
      <c r="Z188" s="26" t="s">
        <v>925</v>
      </c>
      <c r="AA188" s="16"/>
      <c r="AB188" s="678" t="s">
        <v>1086</v>
      </c>
      <c r="AC188" s="15" t="s">
        <v>22</v>
      </c>
      <c r="AD188" s="396">
        <v>46129</v>
      </c>
      <c r="AE188" s="398" t="s">
        <v>1087</v>
      </c>
      <c r="AF188" s="396"/>
      <c r="AG188" s="398"/>
      <c r="AH188" s="398"/>
      <c r="AI188" s="396"/>
      <c r="AJ188" s="398"/>
      <c r="AK188" s="398"/>
      <c r="AL188" s="396"/>
      <c r="AM188" s="398"/>
      <c r="AN188" s="398"/>
      <c r="AO188" s="397"/>
    </row>
    <row r="189" spans="2:41" s="164" customFormat="1" ht="40.25" customHeight="1">
      <c r="B189" s="947"/>
      <c r="C189" s="960"/>
      <c r="D189" s="765"/>
      <c r="E189" s="837"/>
      <c r="F189" s="926"/>
      <c r="G189" s="929"/>
      <c r="H189" s="793"/>
      <c r="I189" s="298"/>
      <c r="J189" s="298"/>
      <c r="K189" s="298"/>
      <c r="L189" s="299" t="str">
        <f t="shared" ca="1" si="16"/>
        <v/>
      </c>
      <c r="M189" s="299" t="str">
        <f t="shared" si="17"/>
        <v/>
      </c>
      <c r="N189" s="301"/>
      <c r="O189" s="163" t="s">
        <v>27</v>
      </c>
      <c r="P189" s="23"/>
      <c r="Q189" s="23"/>
      <c r="R189" s="23"/>
      <c r="S189" s="24"/>
      <c r="T189" s="15"/>
      <c r="U189" s="23"/>
      <c r="V189" s="24"/>
      <c r="W189" s="15"/>
      <c r="X189" s="23"/>
      <c r="Y189" s="15"/>
      <c r="Z189" s="15"/>
      <c r="AA189" s="16"/>
      <c r="AB189" s="679"/>
      <c r="AC189" s="16"/>
      <c r="AD189" s="396"/>
      <c r="AE189" s="398"/>
      <c r="AF189" s="396"/>
      <c r="AG189" s="398"/>
      <c r="AH189" s="398"/>
      <c r="AI189" s="396"/>
      <c r="AJ189" s="398"/>
      <c r="AK189" s="398"/>
      <c r="AL189" s="396"/>
      <c r="AM189" s="398"/>
      <c r="AN189" s="398"/>
      <c r="AO189" s="397"/>
    </row>
    <row r="190" spans="2:41" s="164" customFormat="1" ht="40.25" customHeight="1">
      <c r="B190" s="947"/>
      <c r="C190" s="960"/>
      <c r="D190" s="765"/>
      <c r="E190" s="837"/>
      <c r="F190" s="927"/>
      <c r="G190" s="930"/>
      <c r="H190" s="794"/>
      <c r="I190" s="298"/>
      <c r="J190" s="298"/>
      <c r="K190" s="298"/>
      <c r="L190" s="299" t="str">
        <f t="shared" ca="1" si="16"/>
        <v/>
      </c>
      <c r="M190" s="299" t="str">
        <f t="shared" si="17"/>
        <v/>
      </c>
      <c r="N190" s="301"/>
      <c r="O190" s="163" t="s">
        <v>36</v>
      </c>
      <c r="P190" s="23"/>
      <c r="Q190" s="24"/>
      <c r="R190" s="23"/>
      <c r="S190" s="24"/>
      <c r="T190" s="15"/>
      <c r="U190" s="23"/>
      <c r="V190" s="24"/>
      <c r="W190" s="15"/>
      <c r="X190" s="23"/>
      <c r="Y190" s="15"/>
      <c r="Z190" s="15"/>
      <c r="AA190" s="16"/>
      <c r="AB190" s="680"/>
      <c r="AC190" s="16"/>
      <c r="AD190" s="396"/>
      <c r="AE190" s="398"/>
      <c r="AF190" s="396"/>
      <c r="AG190" s="398"/>
      <c r="AH190" s="398"/>
      <c r="AI190" s="396"/>
      <c r="AJ190" s="398"/>
      <c r="AK190" s="398"/>
      <c r="AL190" s="396"/>
      <c r="AM190" s="398"/>
      <c r="AN190" s="398"/>
      <c r="AO190" s="397"/>
    </row>
    <row r="191" spans="2:41" s="164" customFormat="1" ht="40.25" customHeight="1">
      <c r="B191" s="947">
        <v>139</v>
      </c>
      <c r="C191" s="960">
        <v>63</v>
      </c>
      <c r="D191" s="788">
        <v>43</v>
      </c>
      <c r="E191" s="916"/>
      <c r="F191" s="922" t="s">
        <v>514</v>
      </c>
      <c r="G191" s="919" t="s">
        <v>1060</v>
      </c>
      <c r="H191" s="792"/>
      <c r="I191" s="297">
        <f>IF(J191="","",J191-30)</f>
        <v>46204</v>
      </c>
      <c r="J191" s="297">
        <f>IF(K191="","",K191-30)</f>
        <v>46234</v>
      </c>
      <c r="K191" s="298">
        <v>46264</v>
      </c>
      <c r="L191" s="299">
        <f t="shared" ca="1" si="16"/>
        <v>35</v>
      </c>
      <c r="M191" s="299" t="str">
        <f t="shared" si="17"/>
        <v/>
      </c>
      <c r="N191" s="301"/>
      <c r="O191" s="163" t="s">
        <v>22</v>
      </c>
      <c r="P191" s="23"/>
      <c r="Q191" s="24"/>
      <c r="R191" s="23"/>
      <c r="S191" s="24"/>
      <c r="T191" s="15"/>
      <c r="U191" s="23"/>
      <c r="V191" s="24"/>
      <c r="W191" s="24"/>
      <c r="X191" s="23"/>
      <c r="Y191" s="15"/>
      <c r="Z191" s="15"/>
      <c r="AA191" s="16"/>
      <c r="AB191" s="16"/>
      <c r="AC191" s="16"/>
      <c r="AD191" s="396"/>
      <c r="AE191" s="398"/>
      <c r="AF191" s="396"/>
      <c r="AG191" s="398"/>
      <c r="AH191" s="398"/>
      <c r="AI191" s="396"/>
      <c r="AJ191" s="398"/>
      <c r="AK191" s="398"/>
      <c r="AL191" s="396"/>
      <c r="AM191" s="398"/>
      <c r="AN191" s="398"/>
      <c r="AO191" s="397"/>
    </row>
    <row r="192" spans="2:41" s="164" customFormat="1" ht="39.65" customHeight="1">
      <c r="B192" s="947"/>
      <c r="C192" s="960"/>
      <c r="D192" s="789"/>
      <c r="E192" s="917"/>
      <c r="F192" s="923"/>
      <c r="G192" s="920"/>
      <c r="H192" s="793"/>
      <c r="I192" s="298"/>
      <c r="J192" s="298"/>
      <c r="K192" s="298"/>
      <c r="L192" s="299" t="str">
        <f t="shared" ca="1" si="16"/>
        <v/>
      </c>
      <c r="M192" s="299" t="str">
        <f t="shared" si="17"/>
        <v/>
      </c>
      <c r="N192" s="301"/>
      <c r="O192" s="163" t="s">
        <v>27</v>
      </c>
      <c r="P192" s="23"/>
      <c r="Q192" s="23"/>
      <c r="R192" s="23"/>
      <c r="S192" s="24"/>
      <c r="T192" s="15"/>
      <c r="U192" s="23"/>
      <c r="V192" s="24"/>
      <c r="W192" s="15"/>
      <c r="X192" s="23"/>
      <c r="Y192" s="15"/>
      <c r="Z192" s="15"/>
      <c r="AA192" s="16"/>
      <c r="AB192" s="16"/>
      <c r="AC192" s="16"/>
      <c r="AD192" s="396"/>
      <c r="AE192" s="398"/>
      <c r="AF192" s="396"/>
      <c r="AG192" s="398"/>
      <c r="AH192" s="398"/>
      <c r="AI192" s="396"/>
      <c r="AJ192" s="398"/>
      <c r="AK192" s="398"/>
      <c r="AL192" s="396"/>
      <c r="AM192" s="398"/>
      <c r="AN192" s="398"/>
      <c r="AO192" s="397"/>
    </row>
    <row r="193" spans="2:41" s="164" customFormat="1" ht="40.25" customHeight="1">
      <c r="B193" s="947"/>
      <c r="C193" s="960"/>
      <c r="D193" s="790"/>
      <c r="E193" s="918"/>
      <c r="F193" s="924"/>
      <c r="G193" s="921"/>
      <c r="H193" s="794"/>
      <c r="I193" s="298"/>
      <c r="J193" s="298"/>
      <c r="K193" s="298"/>
      <c r="L193" s="299" t="str">
        <f t="shared" ca="1" si="16"/>
        <v/>
      </c>
      <c r="M193" s="299" t="str">
        <f t="shared" si="17"/>
        <v/>
      </c>
      <c r="N193" s="301"/>
      <c r="O193" s="163" t="s">
        <v>36</v>
      </c>
      <c r="P193" s="23"/>
      <c r="Q193" s="24"/>
      <c r="R193" s="23"/>
      <c r="S193" s="24"/>
      <c r="T193" s="15"/>
      <c r="U193" s="23"/>
      <c r="V193" s="24"/>
      <c r="W193" s="15"/>
      <c r="X193" s="23"/>
      <c r="Y193" s="15"/>
      <c r="Z193" s="15"/>
      <c r="AA193" s="16"/>
      <c r="AB193" s="16"/>
      <c r="AC193" s="16"/>
      <c r="AD193" s="396"/>
      <c r="AE193" s="398"/>
      <c r="AF193" s="396"/>
      <c r="AG193" s="398"/>
      <c r="AH193" s="398"/>
      <c r="AI193" s="396"/>
      <c r="AJ193" s="398"/>
      <c r="AK193" s="398"/>
      <c r="AL193" s="396"/>
      <c r="AM193" s="398"/>
      <c r="AN193" s="398"/>
      <c r="AO193" s="397"/>
    </row>
    <row r="194" spans="2:41" s="164" customFormat="1" ht="40.25" customHeight="1">
      <c r="B194" s="947">
        <v>122</v>
      </c>
      <c r="C194" s="960">
        <v>64</v>
      </c>
      <c r="D194" s="788">
        <v>96</v>
      </c>
      <c r="E194" s="916"/>
      <c r="F194" s="922" t="s">
        <v>516</v>
      </c>
      <c r="G194" s="919" t="s">
        <v>973</v>
      </c>
      <c r="H194" s="792"/>
      <c r="I194" s="297">
        <f>IF(J194="","",J194-30)</f>
        <v>46204</v>
      </c>
      <c r="J194" s="297">
        <f>IF(K194="","",K194-30)</f>
        <v>46234</v>
      </c>
      <c r="K194" s="298">
        <v>46264</v>
      </c>
      <c r="L194" s="299">
        <f t="shared" ca="1" si="16"/>
        <v>35</v>
      </c>
      <c r="M194" s="299" t="str">
        <f t="shared" si="17"/>
        <v/>
      </c>
      <c r="N194" s="301"/>
      <c r="O194" s="163" t="s">
        <v>22</v>
      </c>
      <c r="P194" s="23"/>
      <c r="Q194" s="24"/>
      <c r="R194" s="23"/>
      <c r="S194" s="24"/>
      <c r="T194" s="15"/>
      <c r="U194" s="23"/>
      <c r="V194" s="24"/>
      <c r="W194" s="24"/>
      <c r="X194" s="23"/>
      <c r="Y194" s="15"/>
      <c r="Z194" s="15"/>
      <c r="AA194" s="16"/>
      <c r="AB194" s="16"/>
      <c r="AC194" s="16"/>
      <c r="AD194" s="396"/>
      <c r="AE194" s="398"/>
      <c r="AF194" s="396"/>
      <c r="AG194" s="398"/>
      <c r="AH194" s="398"/>
      <c r="AI194" s="396"/>
      <c r="AJ194" s="398"/>
      <c r="AK194" s="398"/>
      <c r="AL194" s="396"/>
      <c r="AM194" s="398"/>
      <c r="AN194" s="398"/>
      <c r="AO194" s="397"/>
    </row>
    <row r="195" spans="2:41" s="164" customFormat="1" ht="40.25" customHeight="1">
      <c r="B195" s="947"/>
      <c r="C195" s="960"/>
      <c r="D195" s="789"/>
      <c r="E195" s="917"/>
      <c r="F195" s="923"/>
      <c r="G195" s="920"/>
      <c r="H195" s="793"/>
      <c r="I195" s="298"/>
      <c r="J195" s="298"/>
      <c r="K195" s="298"/>
      <c r="L195" s="299" t="str">
        <f t="shared" ca="1" si="16"/>
        <v/>
      </c>
      <c r="M195" s="299" t="str">
        <f t="shared" si="17"/>
        <v/>
      </c>
      <c r="N195" s="301"/>
      <c r="O195" s="163" t="s">
        <v>27</v>
      </c>
      <c r="P195" s="23"/>
      <c r="Q195" s="23"/>
      <c r="R195" s="23"/>
      <c r="S195" s="24"/>
      <c r="T195" s="15"/>
      <c r="U195" s="23"/>
      <c r="V195" s="24"/>
      <c r="W195" s="15"/>
      <c r="X195" s="23"/>
      <c r="Y195" s="15"/>
      <c r="Z195" s="15"/>
      <c r="AA195" s="16"/>
      <c r="AB195" s="16"/>
      <c r="AC195" s="16"/>
      <c r="AD195" s="396"/>
      <c r="AE195" s="398"/>
      <c r="AF195" s="396"/>
      <c r="AG195" s="398"/>
      <c r="AH195" s="398"/>
      <c r="AI195" s="396"/>
      <c r="AJ195" s="398"/>
      <c r="AK195" s="398"/>
      <c r="AL195" s="396"/>
      <c r="AM195" s="398"/>
      <c r="AN195" s="398"/>
      <c r="AO195" s="397"/>
    </row>
    <row r="196" spans="2:41" s="164" customFormat="1" ht="40.25" customHeight="1">
      <c r="C196" s="960"/>
      <c r="D196" s="790"/>
      <c r="E196" s="918"/>
      <c r="F196" s="924"/>
      <c r="G196" s="921"/>
      <c r="H196" s="794"/>
      <c r="I196" s="298"/>
      <c r="J196" s="298"/>
      <c r="K196" s="298"/>
      <c r="L196" s="299" t="str">
        <f t="shared" ca="1" si="16"/>
        <v/>
      </c>
      <c r="M196" s="299" t="str">
        <f t="shared" si="17"/>
        <v/>
      </c>
      <c r="N196" s="301"/>
      <c r="O196" s="163" t="s">
        <v>36</v>
      </c>
      <c r="P196" s="23"/>
      <c r="Q196" s="24"/>
      <c r="R196" s="23"/>
      <c r="S196" s="24"/>
      <c r="T196" s="15"/>
      <c r="U196" s="23"/>
      <c r="V196" s="24"/>
      <c r="W196" s="15"/>
      <c r="X196" s="23"/>
      <c r="Y196" s="15"/>
      <c r="Z196" s="15"/>
      <c r="AA196" s="16"/>
      <c r="AB196" s="16"/>
      <c r="AC196" s="16"/>
      <c r="AD196" s="396"/>
      <c r="AE196" s="398"/>
      <c r="AF196" s="396"/>
      <c r="AG196" s="398"/>
      <c r="AH196" s="398"/>
      <c r="AI196" s="396"/>
      <c r="AJ196" s="398"/>
      <c r="AK196" s="398"/>
      <c r="AL196" s="396"/>
      <c r="AM196" s="398"/>
      <c r="AN196" s="398"/>
      <c r="AO196" s="397"/>
    </row>
    <row r="197" spans="2:41" s="164" customFormat="1" ht="40.25" customHeight="1">
      <c r="B197" s="947">
        <v>174</v>
      </c>
      <c r="C197" s="960">
        <v>65</v>
      </c>
      <c r="D197" s="788">
        <v>121</v>
      </c>
      <c r="E197" s="916"/>
      <c r="F197" s="922" t="s">
        <v>518</v>
      </c>
      <c r="G197" s="919" t="s">
        <v>457</v>
      </c>
      <c r="H197" s="792"/>
      <c r="I197" s="297">
        <f>IF(J197="","",J197-30)</f>
        <v>46204</v>
      </c>
      <c r="J197" s="297">
        <f>IF(K197="","",K197-30)</f>
        <v>46234</v>
      </c>
      <c r="K197" s="298">
        <v>46264</v>
      </c>
      <c r="L197" s="299">
        <f t="shared" ca="1" si="16"/>
        <v>35</v>
      </c>
      <c r="M197" s="299" t="str">
        <f t="shared" si="17"/>
        <v/>
      </c>
      <c r="N197" s="301"/>
      <c r="O197" s="163" t="s">
        <v>22</v>
      </c>
      <c r="P197" s="23"/>
      <c r="Q197" s="24"/>
      <c r="R197" s="23"/>
      <c r="S197" s="24"/>
      <c r="T197" s="15"/>
      <c r="U197" s="23"/>
      <c r="V197" s="24"/>
      <c r="W197" s="24"/>
      <c r="X197" s="23"/>
      <c r="Y197" s="15"/>
      <c r="Z197" s="15"/>
      <c r="AA197" s="16"/>
      <c r="AB197" s="16"/>
      <c r="AC197" s="16"/>
      <c r="AD197" s="396"/>
      <c r="AE197" s="398"/>
      <c r="AF197" s="396"/>
      <c r="AG197" s="398"/>
      <c r="AH197" s="398"/>
      <c r="AI197" s="396"/>
      <c r="AJ197" s="398"/>
      <c r="AK197" s="398"/>
      <c r="AL197" s="396"/>
      <c r="AM197" s="398"/>
      <c r="AN197" s="398"/>
      <c r="AO197" s="397"/>
    </row>
    <row r="198" spans="2:41" s="164" customFormat="1" ht="39.65" customHeight="1">
      <c r="B198" s="947"/>
      <c r="C198" s="960"/>
      <c r="D198" s="789"/>
      <c r="E198" s="917"/>
      <c r="F198" s="923"/>
      <c r="G198" s="920"/>
      <c r="H198" s="793"/>
      <c r="I198" s="298"/>
      <c r="J198" s="298"/>
      <c r="K198" s="298"/>
      <c r="L198" s="299" t="str">
        <f t="shared" ca="1" si="16"/>
        <v/>
      </c>
      <c r="M198" s="299" t="str">
        <f t="shared" si="17"/>
        <v/>
      </c>
      <c r="N198" s="301"/>
      <c r="O198" s="163" t="s">
        <v>27</v>
      </c>
      <c r="P198" s="23"/>
      <c r="Q198" s="23"/>
      <c r="R198" s="23"/>
      <c r="S198" s="24"/>
      <c r="T198" s="15"/>
      <c r="U198" s="23"/>
      <c r="V198" s="24"/>
      <c r="W198" s="15"/>
      <c r="X198" s="23"/>
      <c r="Y198" s="15"/>
      <c r="Z198" s="15"/>
      <c r="AA198" s="16"/>
      <c r="AB198" s="16"/>
      <c r="AC198" s="16"/>
      <c r="AD198" s="396"/>
      <c r="AE198" s="398"/>
      <c r="AF198" s="396"/>
      <c r="AG198" s="398"/>
      <c r="AH198" s="398"/>
      <c r="AI198" s="396"/>
      <c r="AJ198" s="398"/>
      <c r="AK198" s="398"/>
      <c r="AL198" s="396"/>
      <c r="AM198" s="398"/>
      <c r="AN198" s="398"/>
      <c r="AO198" s="397"/>
    </row>
    <row r="199" spans="2:41" s="164" customFormat="1" ht="40.25" customHeight="1">
      <c r="B199" s="947"/>
      <c r="C199" s="960"/>
      <c r="D199" s="790"/>
      <c r="E199" s="918"/>
      <c r="F199" s="924"/>
      <c r="G199" s="921"/>
      <c r="H199" s="794"/>
      <c r="I199" s="298"/>
      <c r="J199" s="298"/>
      <c r="K199" s="298"/>
      <c r="L199" s="299" t="str">
        <f t="shared" ca="1" si="16"/>
        <v/>
      </c>
      <c r="M199" s="299" t="str">
        <f t="shared" si="17"/>
        <v/>
      </c>
      <c r="N199" s="301"/>
      <c r="O199" s="163" t="s">
        <v>36</v>
      </c>
      <c r="P199" s="23"/>
      <c r="Q199" s="24"/>
      <c r="R199" s="23"/>
      <c r="S199" s="24"/>
      <c r="T199" s="15"/>
      <c r="U199" s="23"/>
      <c r="V199" s="24"/>
      <c r="W199" s="15"/>
      <c r="X199" s="23"/>
      <c r="Y199" s="15"/>
      <c r="Z199" s="15"/>
      <c r="AA199" s="16"/>
      <c r="AB199" s="16"/>
      <c r="AC199" s="16"/>
      <c r="AD199" s="396"/>
      <c r="AE199" s="398"/>
      <c r="AF199" s="396"/>
      <c r="AG199" s="398"/>
      <c r="AH199" s="398"/>
      <c r="AI199" s="396"/>
      <c r="AJ199" s="398"/>
      <c r="AK199" s="398"/>
      <c r="AL199" s="396"/>
      <c r="AM199" s="398"/>
      <c r="AN199" s="398"/>
      <c r="AO199" s="397"/>
    </row>
    <row r="200" spans="2:41" s="164" customFormat="1" ht="40.25" customHeight="1">
      <c r="B200" s="947">
        <v>73</v>
      </c>
      <c r="C200" s="960">
        <v>66</v>
      </c>
      <c r="D200" s="788">
        <v>124</v>
      </c>
      <c r="E200" s="961"/>
      <c r="F200" s="922" t="s">
        <v>517</v>
      </c>
      <c r="G200" s="919" t="s">
        <v>458</v>
      </c>
      <c r="H200" s="792"/>
      <c r="I200" s="297">
        <f>IF(J200="","",J200-30)</f>
        <v>46204</v>
      </c>
      <c r="J200" s="297">
        <f>IF(K200="","",K200-30)</f>
        <v>46234</v>
      </c>
      <c r="K200" s="298">
        <v>46264</v>
      </c>
      <c r="L200" s="299">
        <f t="shared" ca="1" si="16"/>
        <v>35</v>
      </c>
      <c r="M200" s="299" t="str">
        <f t="shared" si="17"/>
        <v/>
      </c>
      <c r="N200" s="301"/>
      <c r="O200" s="163" t="s">
        <v>22</v>
      </c>
      <c r="P200" s="23"/>
      <c r="Q200" s="24"/>
      <c r="R200" s="23"/>
      <c r="S200" s="24"/>
      <c r="T200" s="15"/>
      <c r="U200" s="23"/>
      <c r="V200" s="24"/>
      <c r="W200" s="24"/>
      <c r="X200" s="23"/>
      <c r="Y200" s="15"/>
      <c r="Z200" s="15"/>
      <c r="AA200" s="16"/>
      <c r="AB200" s="16"/>
      <c r="AC200" s="16"/>
      <c r="AD200" s="396"/>
      <c r="AE200" s="398"/>
      <c r="AF200" s="396"/>
      <c r="AG200" s="398"/>
      <c r="AH200" s="398"/>
      <c r="AI200" s="396"/>
      <c r="AJ200" s="398"/>
      <c r="AK200" s="398"/>
      <c r="AL200" s="396"/>
      <c r="AM200" s="398"/>
      <c r="AN200" s="398"/>
      <c r="AO200" s="397"/>
    </row>
    <row r="201" spans="2:41" s="164" customFormat="1" ht="40.25" customHeight="1">
      <c r="B201" s="947"/>
      <c r="C201" s="960"/>
      <c r="D201" s="789"/>
      <c r="E201" s="961"/>
      <c r="F201" s="923"/>
      <c r="G201" s="920"/>
      <c r="H201" s="793"/>
      <c r="I201" s="298"/>
      <c r="J201" s="298"/>
      <c r="K201" s="298"/>
      <c r="L201" s="299" t="str">
        <f t="shared" ca="1" si="16"/>
        <v/>
      </c>
      <c r="M201" s="299" t="str">
        <f t="shared" si="17"/>
        <v/>
      </c>
      <c r="N201" s="301"/>
      <c r="O201" s="163" t="s">
        <v>27</v>
      </c>
      <c r="P201" s="23"/>
      <c r="Q201" s="23"/>
      <c r="R201" s="23"/>
      <c r="S201" s="24"/>
      <c r="T201" s="15"/>
      <c r="U201" s="23"/>
      <c r="V201" s="24"/>
      <c r="W201" s="15"/>
      <c r="X201" s="23"/>
      <c r="Y201" s="15"/>
      <c r="Z201" s="15"/>
      <c r="AA201" s="16"/>
      <c r="AB201" s="16"/>
      <c r="AC201" s="16"/>
      <c r="AD201" s="396"/>
      <c r="AE201" s="398"/>
      <c r="AF201" s="396"/>
      <c r="AG201" s="398"/>
      <c r="AH201" s="398"/>
      <c r="AI201" s="396"/>
      <c r="AJ201" s="398"/>
      <c r="AK201" s="398"/>
      <c r="AL201" s="396"/>
      <c r="AM201" s="398"/>
      <c r="AN201" s="398"/>
      <c r="AO201" s="397"/>
    </row>
    <row r="202" spans="2:41" s="164" customFormat="1" ht="40.25" customHeight="1">
      <c r="B202" s="947"/>
      <c r="C202" s="960"/>
      <c r="D202" s="790"/>
      <c r="E202" s="961"/>
      <c r="F202" s="924"/>
      <c r="G202" s="921"/>
      <c r="H202" s="794"/>
      <c r="I202" s="298"/>
      <c r="J202" s="298"/>
      <c r="K202" s="298"/>
      <c r="L202" s="299" t="str">
        <f t="shared" ca="1" si="16"/>
        <v/>
      </c>
      <c r="M202" s="299" t="str">
        <f t="shared" si="17"/>
        <v/>
      </c>
      <c r="N202" s="301"/>
      <c r="O202" s="163" t="s">
        <v>36</v>
      </c>
      <c r="P202" s="23"/>
      <c r="Q202" s="24"/>
      <c r="R202" s="23"/>
      <c r="S202" s="24"/>
      <c r="T202" s="15"/>
      <c r="U202" s="23"/>
      <c r="V202" s="24"/>
      <c r="W202" s="15"/>
      <c r="X202" s="23"/>
      <c r="Y202" s="15"/>
      <c r="Z202" s="15"/>
      <c r="AA202" s="16"/>
      <c r="AB202" s="16"/>
      <c r="AC202" s="16"/>
      <c r="AD202" s="396"/>
      <c r="AE202" s="398"/>
      <c r="AF202" s="396"/>
      <c r="AG202" s="398"/>
      <c r="AH202" s="398"/>
      <c r="AI202" s="396"/>
      <c r="AJ202" s="398"/>
      <c r="AK202" s="398"/>
      <c r="AL202" s="396"/>
      <c r="AM202" s="398"/>
      <c r="AN202" s="398"/>
      <c r="AO202" s="397"/>
    </row>
    <row r="203" spans="2:41" s="164" customFormat="1" ht="40.25" customHeight="1">
      <c r="B203" s="947">
        <v>247</v>
      </c>
      <c r="C203" s="960">
        <v>67</v>
      </c>
      <c r="D203" s="788"/>
      <c r="E203" s="837" t="s">
        <v>974</v>
      </c>
      <c r="F203" s="925" t="s">
        <v>519</v>
      </c>
      <c r="G203" s="928" t="s">
        <v>418</v>
      </c>
      <c r="H203" s="792" t="s">
        <v>417</v>
      </c>
      <c r="I203" s="297">
        <f>IF(J203="","",J203-30)</f>
        <v>45993</v>
      </c>
      <c r="J203" s="297">
        <f>IF(K203="","",K203-30)</f>
        <v>46023</v>
      </c>
      <c r="K203" s="298">
        <v>46053</v>
      </c>
      <c r="L203" s="299" t="str">
        <f t="shared" ca="1" si="16"/>
        <v/>
      </c>
      <c r="M203" s="299">
        <f t="shared" si="17"/>
        <v>-59</v>
      </c>
      <c r="N203" s="301" t="s">
        <v>925</v>
      </c>
      <c r="O203" s="163" t="s">
        <v>22</v>
      </c>
      <c r="P203" s="23">
        <v>46052</v>
      </c>
      <c r="Q203" s="24" t="s">
        <v>1187</v>
      </c>
      <c r="R203" s="23">
        <v>46056</v>
      </c>
      <c r="S203" s="24" t="s">
        <v>1186</v>
      </c>
      <c r="T203" s="15" t="s">
        <v>38</v>
      </c>
      <c r="U203" s="23">
        <v>46058</v>
      </c>
      <c r="V203" s="24" t="s">
        <v>1185</v>
      </c>
      <c r="W203" s="24" t="s">
        <v>201</v>
      </c>
      <c r="X203" s="23">
        <v>46083</v>
      </c>
      <c r="Y203" s="15" t="s">
        <v>1184</v>
      </c>
      <c r="Z203" s="15" t="s">
        <v>925</v>
      </c>
      <c r="AA203" s="16"/>
      <c r="AB203" s="16"/>
      <c r="AC203" s="16"/>
      <c r="AD203" s="396"/>
      <c r="AE203" s="398"/>
      <c r="AF203" s="396"/>
      <c r="AG203" s="398"/>
      <c r="AH203" s="398"/>
      <c r="AI203" s="396"/>
      <c r="AJ203" s="398"/>
      <c r="AK203" s="398"/>
      <c r="AL203" s="396"/>
      <c r="AM203" s="398"/>
      <c r="AN203" s="398"/>
      <c r="AO203" s="397"/>
    </row>
    <row r="204" spans="2:41" s="164" customFormat="1" ht="40.25" customHeight="1">
      <c r="B204" s="947"/>
      <c r="C204" s="960"/>
      <c r="D204" s="789"/>
      <c r="E204" s="837"/>
      <c r="F204" s="926"/>
      <c r="G204" s="929"/>
      <c r="H204" s="793"/>
      <c r="I204" s="298"/>
      <c r="J204" s="298"/>
      <c r="K204" s="298"/>
      <c r="L204" s="299" t="str">
        <f t="shared" ca="1" si="16"/>
        <v/>
      </c>
      <c r="M204" s="299" t="str">
        <f t="shared" si="17"/>
        <v/>
      </c>
      <c r="O204" s="163" t="s">
        <v>27</v>
      </c>
      <c r="P204" s="23"/>
      <c r="Q204" s="23"/>
      <c r="R204" s="23"/>
      <c r="S204" s="24"/>
      <c r="T204" s="15"/>
      <c r="U204" s="23"/>
      <c r="V204" s="24"/>
      <c r="W204" s="15"/>
      <c r="X204" s="23"/>
      <c r="Y204" s="15"/>
      <c r="Z204" s="15"/>
      <c r="AA204" s="16"/>
      <c r="AB204" s="16"/>
      <c r="AC204" s="16"/>
      <c r="AD204" s="396"/>
      <c r="AE204" s="398"/>
      <c r="AF204" s="396"/>
      <c r="AG204" s="398"/>
      <c r="AH204" s="398"/>
      <c r="AI204" s="396"/>
      <c r="AJ204" s="398"/>
      <c r="AK204" s="398"/>
      <c r="AL204" s="396"/>
      <c r="AM204" s="398"/>
      <c r="AN204" s="398"/>
      <c r="AO204" s="397"/>
    </row>
    <row r="205" spans="2:41" s="164" customFormat="1" ht="40.25" customHeight="1">
      <c r="B205" s="947"/>
      <c r="C205" s="960"/>
      <c r="D205" s="790"/>
      <c r="E205" s="837"/>
      <c r="F205" s="927"/>
      <c r="G205" s="930"/>
      <c r="H205" s="794"/>
      <c r="I205" s="298"/>
      <c r="J205" s="298"/>
      <c r="K205" s="298"/>
      <c r="L205" s="299" t="str">
        <f t="shared" ca="1" si="16"/>
        <v/>
      </c>
      <c r="M205" s="299" t="str">
        <f t="shared" si="17"/>
        <v/>
      </c>
      <c r="N205" s="301"/>
      <c r="O205" s="163" t="s">
        <v>36</v>
      </c>
      <c r="P205" s="23"/>
      <c r="Q205" s="24"/>
      <c r="R205" s="23"/>
      <c r="S205" s="24"/>
      <c r="T205" s="15"/>
      <c r="U205" s="23"/>
      <c r="V205" s="24"/>
      <c r="W205" s="15"/>
      <c r="X205" s="23"/>
      <c r="Y205" s="15"/>
      <c r="Z205" s="15"/>
      <c r="AA205" s="16"/>
      <c r="AB205" s="16"/>
      <c r="AC205" s="16"/>
      <c r="AD205" s="396"/>
      <c r="AE205" s="398"/>
      <c r="AF205" s="396"/>
      <c r="AG205" s="398"/>
      <c r="AH205" s="398"/>
      <c r="AI205" s="396"/>
      <c r="AJ205" s="398"/>
      <c r="AK205" s="398"/>
      <c r="AL205" s="396"/>
      <c r="AM205" s="398"/>
      <c r="AN205" s="398"/>
      <c r="AO205" s="397"/>
    </row>
    <row r="206" spans="2:41" s="2" customFormat="1" ht="40.25" customHeight="1">
      <c r="C206" s="960">
        <v>68</v>
      </c>
      <c r="D206" s="972"/>
      <c r="E206" s="973" t="s">
        <v>1715</v>
      </c>
      <c r="F206" s="983" t="s">
        <v>1716</v>
      </c>
      <c r="G206" s="976" t="s">
        <v>1717</v>
      </c>
      <c r="H206" s="966" t="s">
        <v>1718</v>
      </c>
      <c r="I206" s="31"/>
      <c r="J206" s="31"/>
      <c r="K206" s="17"/>
      <c r="L206" s="296"/>
      <c r="M206" s="296"/>
      <c r="N206" s="301" t="s">
        <v>1532</v>
      </c>
      <c r="O206" s="163" t="s">
        <v>50</v>
      </c>
      <c r="P206" s="23">
        <v>46161</v>
      </c>
      <c r="Q206" s="24" t="s">
        <v>1719</v>
      </c>
      <c r="R206" s="23"/>
      <c r="S206" s="24"/>
      <c r="T206" s="15"/>
      <c r="U206" s="23"/>
      <c r="V206" s="24"/>
      <c r="W206" s="24"/>
      <c r="X206" s="23"/>
      <c r="Y206" s="15"/>
      <c r="Z206" s="15"/>
      <c r="AA206" s="16"/>
      <c r="AB206" s="16"/>
      <c r="AC206" s="16"/>
      <c r="AD206" s="396"/>
      <c r="AE206" s="395"/>
      <c r="AF206" s="396"/>
      <c r="AG206" s="395"/>
      <c r="AH206" s="395"/>
      <c r="AI206" s="396"/>
      <c r="AJ206" s="395"/>
      <c r="AK206" s="395"/>
      <c r="AL206" s="396"/>
      <c r="AM206" s="395"/>
      <c r="AN206" s="395"/>
      <c r="AO206" s="394"/>
    </row>
    <row r="207" spans="2:41" s="2" customFormat="1" ht="40.25" customHeight="1">
      <c r="C207" s="960"/>
      <c r="D207" s="972"/>
      <c r="E207" s="974"/>
      <c r="F207" s="984"/>
      <c r="G207" s="977"/>
      <c r="H207" s="967"/>
      <c r="I207" s="17"/>
      <c r="J207" s="31"/>
      <c r="K207" s="32"/>
      <c r="L207" s="296"/>
      <c r="M207" s="296"/>
      <c r="N207" s="301"/>
      <c r="O207" s="163"/>
      <c r="P207" s="23"/>
      <c r="Q207" s="24"/>
      <c r="R207" s="23"/>
      <c r="S207" s="24"/>
      <c r="T207" s="24"/>
      <c r="U207" s="23"/>
      <c r="V207" s="24"/>
      <c r="W207" s="15"/>
      <c r="X207" s="23"/>
      <c r="Y207" s="15"/>
      <c r="Z207" s="15"/>
      <c r="AA207" s="16"/>
      <c r="AB207" s="16"/>
      <c r="AC207" s="16"/>
      <c r="AD207" s="396"/>
      <c r="AE207" s="395"/>
      <c r="AF207" s="396"/>
      <c r="AG207" s="395"/>
      <c r="AH207" s="395"/>
      <c r="AI207" s="396"/>
      <c r="AJ207" s="395"/>
      <c r="AK207" s="395"/>
      <c r="AL207" s="396"/>
      <c r="AM207" s="395"/>
      <c r="AN207" s="395"/>
      <c r="AO207" s="394"/>
    </row>
    <row r="208" spans="2:41" s="2" customFormat="1" ht="39.65" customHeight="1">
      <c r="C208" s="960"/>
      <c r="D208" s="972"/>
      <c r="E208" s="975"/>
      <c r="F208" s="985"/>
      <c r="G208" s="978"/>
      <c r="H208" s="968"/>
      <c r="I208" s="17"/>
      <c r="J208" s="31"/>
      <c r="K208" s="32"/>
      <c r="L208" s="296"/>
      <c r="M208" s="296"/>
      <c r="N208" s="301"/>
      <c r="O208" s="163"/>
      <c r="P208" s="23"/>
      <c r="Q208" s="24"/>
      <c r="R208" s="23"/>
      <c r="S208" s="24"/>
      <c r="T208" s="15"/>
      <c r="U208" s="23"/>
      <c r="V208" s="24"/>
      <c r="W208" s="15"/>
      <c r="X208" s="23"/>
      <c r="Y208" s="15"/>
      <c r="Z208" s="15"/>
      <c r="AA208" s="16"/>
      <c r="AB208" s="16"/>
      <c r="AC208" s="16"/>
      <c r="AD208" s="396"/>
      <c r="AE208" s="395"/>
      <c r="AF208" s="396"/>
      <c r="AG208" s="395"/>
      <c r="AH208" s="395"/>
      <c r="AI208" s="396"/>
      <c r="AJ208" s="395"/>
      <c r="AK208" s="395"/>
      <c r="AL208" s="396"/>
      <c r="AM208" s="395"/>
      <c r="AN208" s="395"/>
      <c r="AO208" s="394"/>
    </row>
    <row r="209" spans="3:41" s="2" customFormat="1" ht="39.65" customHeight="1">
      <c r="C209" s="76"/>
      <c r="D209" s="92"/>
      <c r="E209" s="37"/>
      <c r="F209" s="322"/>
      <c r="G209" s="319"/>
      <c r="H209" s="96"/>
      <c r="I209" s="39"/>
      <c r="J209" s="40"/>
      <c r="K209" s="41"/>
      <c r="L209" s="321"/>
      <c r="M209" s="321"/>
      <c r="N209" s="43"/>
      <c r="O209" s="44"/>
      <c r="P209" s="45"/>
      <c r="Q209" s="46"/>
      <c r="R209" s="45"/>
      <c r="S209" s="46"/>
      <c r="T209" s="393"/>
      <c r="U209" s="45"/>
      <c r="V209" s="46"/>
      <c r="W209" s="393"/>
      <c r="X209" s="45"/>
      <c r="Y209" s="393"/>
      <c r="Z209" s="393"/>
      <c r="AA209" s="47"/>
      <c r="AB209" s="47"/>
      <c r="AC209" s="47"/>
      <c r="AD209" s="115"/>
      <c r="AE209" s="115"/>
      <c r="AF209" s="115"/>
      <c r="AG209" s="115"/>
      <c r="AH209" s="115"/>
      <c r="AI209" s="115"/>
      <c r="AJ209" s="115"/>
      <c r="AK209" s="115"/>
      <c r="AL209" s="115"/>
      <c r="AM209" s="115"/>
      <c r="AN209" s="115"/>
      <c r="AO209" s="115"/>
    </row>
    <row r="210" spans="3:41" s="2" customFormat="1" ht="40.25" customHeight="1">
      <c r="C210" s="36"/>
      <c r="D210" s="36"/>
      <c r="E210" s="95" t="s">
        <v>273</v>
      </c>
      <c r="F210" s="320"/>
      <c r="G210" s="319"/>
      <c r="H210" s="38"/>
      <c r="I210" s="39"/>
      <c r="J210" s="40"/>
      <c r="K210" s="41"/>
      <c r="L210" s="42"/>
      <c r="M210" s="42"/>
      <c r="N210" s="43"/>
      <c r="O210" s="44"/>
      <c r="P210" s="45"/>
      <c r="Q210" s="46"/>
      <c r="R210" s="45"/>
      <c r="S210" s="46"/>
      <c r="T210" s="393"/>
      <c r="U210" s="45"/>
      <c r="V210" s="46"/>
      <c r="W210" s="393"/>
      <c r="X210" s="45"/>
      <c r="Y210" s="393"/>
      <c r="Z210" s="393"/>
      <c r="AA210" s="47"/>
      <c r="AB210" s="47"/>
      <c r="AC210" s="47"/>
      <c r="AD210" s="115"/>
      <c r="AE210" s="115"/>
      <c r="AF210" s="115"/>
      <c r="AG210" s="115"/>
      <c r="AH210" s="115"/>
      <c r="AI210" s="115"/>
      <c r="AJ210" s="115"/>
      <c r="AK210" s="115"/>
      <c r="AL210" s="115"/>
      <c r="AM210" s="115"/>
      <c r="AN210" s="115"/>
      <c r="AO210" s="115"/>
    </row>
    <row r="211" spans="3:41" ht="40.25" customHeight="1">
      <c r="E211" s="49" t="s">
        <v>193</v>
      </c>
      <c r="F211" s="318">
        <f>COUNTA(G5:G208)</f>
        <v>68</v>
      </c>
      <c r="H211" s="83"/>
      <c r="I211" s="50"/>
      <c r="J211" s="51"/>
      <c r="N211" s="2"/>
      <c r="Z211" s="162"/>
      <c r="AA211" s="127"/>
      <c r="AB211" s="1"/>
      <c r="AC211" s="127"/>
    </row>
    <row r="212" spans="3:41" ht="40.25" customHeight="1">
      <c r="E212" s="61" t="s">
        <v>240</v>
      </c>
      <c r="F212" s="317">
        <f>F211-F213-F214-F215</f>
        <v>12</v>
      </c>
      <c r="H212" s="84"/>
      <c r="I212" s="56"/>
      <c r="J212" s="57"/>
      <c r="N212" s="2"/>
      <c r="Z212" s="162"/>
      <c r="AA212" s="127"/>
      <c r="AB212" s="1"/>
      <c r="AC212" s="127"/>
    </row>
    <row r="213" spans="3:41" ht="45.65" customHeight="1">
      <c r="E213" s="55" t="s">
        <v>194</v>
      </c>
      <c r="F213" s="316">
        <f>COUNTIF(N5:N208,"核定")</f>
        <v>45</v>
      </c>
      <c r="H213" s="57"/>
      <c r="I213" s="59"/>
      <c r="J213" s="60"/>
      <c r="N213" s="2"/>
      <c r="Z213" s="162"/>
      <c r="AA213" s="127"/>
      <c r="AB213" s="1"/>
      <c r="AC213" s="127"/>
    </row>
    <row r="214" spans="3:41" ht="40.25" customHeight="1">
      <c r="E214" s="72" t="s">
        <v>177</v>
      </c>
      <c r="F214" s="315">
        <f>COUNTIF(N5:N208,"審查")</f>
        <v>10</v>
      </c>
      <c r="H214" s="85"/>
      <c r="I214" s="62"/>
      <c r="J214" s="63"/>
      <c r="N214" s="2"/>
      <c r="Z214" s="162"/>
      <c r="AA214" s="127"/>
      <c r="AB214" s="1"/>
      <c r="AC214" s="127"/>
    </row>
    <row r="215" spans="3:41" s="52" customFormat="1" ht="40.25" customHeight="1">
      <c r="C215" s="48"/>
      <c r="D215" s="48"/>
      <c r="E215" s="58" t="s">
        <v>239</v>
      </c>
      <c r="F215" s="314">
        <f>COUNTIF(N5:N208,"修正")</f>
        <v>1</v>
      </c>
      <c r="G215" s="313"/>
      <c r="H215" s="86"/>
      <c r="I215" s="53"/>
      <c r="L215" s="53"/>
      <c r="M215" s="54"/>
      <c r="N215" s="54"/>
      <c r="O215" s="2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62"/>
      <c r="AC215" s="162"/>
      <c r="AD215" s="162"/>
      <c r="AE215" s="162"/>
      <c r="AF215" s="162"/>
      <c r="AG215" s="162"/>
      <c r="AH215" s="162"/>
      <c r="AI215" s="162"/>
      <c r="AJ215" s="162"/>
      <c r="AK215" s="162"/>
      <c r="AL215" s="162"/>
      <c r="AM215" s="162"/>
      <c r="AN215" s="162"/>
      <c r="AO215" s="162"/>
    </row>
  </sheetData>
  <autoFilter ref="A4:AO205" xr:uid="{6CB7DCCD-8B3B-43F4-B345-E1D557CF6155}"/>
  <mergeCells count="519">
    <mergeCell ref="B38:B40"/>
    <mergeCell ref="C41:C43"/>
    <mergeCell ref="C71:C73"/>
    <mergeCell ref="C59:C61"/>
    <mergeCell ref="D44:D46"/>
    <mergeCell ref="D47:D49"/>
    <mergeCell ref="C47:C49"/>
    <mergeCell ref="B23:B25"/>
    <mergeCell ref="C50:C52"/>
    <mergeCell ref="B35:B37"/>
    <mergeCell ref="B29:B31"/>
    <mergeCell ref="B32:B34"/>
    <mergeCell ref="D41:D43"/>
    <mergeCell ref="C53:C55"/>
    <mergeCell ref="D53:D55"/>
    <mergeCell ref="AO2:AO4"/>
    <mergeCell ref="AD3:AE3"/>
    <mergeCell ref="AF3:AH3"/>
    <mergeCell ref="AI3:AK3"/>
    <mergeCell ref="AL3:AN3"/>
    <mergeCell ref="AB2:AB4"/>
    <mergeCell ref="AD2:AN2"/>
    <mergeCell ref="F38:F40"/>
    <mergeCell ref="F32:F34"/>
    <mergeCell ref="F35:F37"/>
    <mergeCell ref="AB35:AB37"/>
    <mergeCell ref="AB38:AB40"/>
    <mergeCell ref="AB32:AB34"/>
    <mergeCell ref="F2:F4"/>
    <mergeCell ref="G26:G28"/>
    <mergeCell ref="G23:G25"/>
    <mergeCell ref="H35:H37"/>
    <mergeCell ref="H20:H22"/>
    <mergeCell ref="AB8:AB10"/>
    <mergeCell ref="AB11:AB13"/>
    <mergeCell ref="F8:F10"/>
    <mergeCell ref="F5:F7"/>
    <mergeCell ref="F14:F16"/>
    <mergeCell ref="F17:F19"/>
    <mergeCell ref="G38:G40"/>
    <mergeCell ref="G35:G37"/>
    <mergeCell ref="G32:G34"/>
    <mergeCell ref="AB116:AB118"/>
    <mergeCell ref="AB125:AB127"/>
    <mergeCell ref="AB56:AB58"/>
    <mergeCell ref="G56:G58"/>
    <mergeCell ref="F122:F124"/>
    <mergeCell ref="G50:G52"/>
    <mergeCell ref="G68:G70"/>
    <mergeCell ref="G86:G88"/>
    <mergeCell ref="F68:F70"/>
    <mergeCell ref="F71:F73"/>
    <mergeCell ref="F74:F76"/>
    <mergeCell ref="G53:G55"/>
    <mergeCell ref="F47:F49"/>
    <mergeCell ref="F50:F52"/>
    <mergeCell ref="F44:F46"/>
    <mergeCell ref="G44:G46"/>
    <mergeCell ref="AB110:AB112"/>
    <mergeCell ref="AB53:AB55"/>
    <mergeCell ref="AB41:AB43"/>
    <mergeCell ref="F89:F91"/>
    <mergeCell ref="F104:F106"/>
    <mergeCell ref="AC2:AC4"/>
    <mergeCell ref="AB77:AB79"/>
    <mergeCell ref="AB68:AB70"/>
    <mergeCell ref="AB71:AB73"/>
    <mergeCell ref="AB5:AB7"/>
    <mergeCell ref="AB104:AB106"/>
    <mergeCell ref="H80:H82"/>
    <mergeCell ref="H101:H103"/>
    <mergeCell ref="H56:H58"/>
    <mergeCell ref="H59:H61"/>
    <mergeCell ref="H68:H70"/>
    <mergeCell ref="H83:H85"/>
    <mergeCell ref="H77:H79"/>
    <mergeCell ref="M2:M4"/>
    <mergeCell ref="H2:H4"/>
    <mergeCell ref="N2:N4"/>
    <mergeCell ref="X3:Z3"/>
    <mergeCell ref="O2:O4"/>
    <mergeCell ref="P2:Z2"/>
    <mergeCell ref="L2:L4"/>
    <mergeCell ref="AA2:AA4"/>
    <mergeCell ref="P3:Q3"/>
    <mergeCell ref="H32:H34"/>
    <mergeCell ref="U3:W3"/>
    <mergeCell ref="AB131:AB133"/>
    <mergeCell ref="C98:C100"/>
    <mergeCell ref="B41:B43"/>
    <mergeCell ref="B44:B46"/>
    <mergeCell ref="F161:F163"/>
    <mergeCell ref="F92:F94"/>
    <mergeCell ref="F95:F97"/>
    <mergeCell ref="F98:F100"/>
    <mergeCell ref="E110:E112"/>
    <mergeCell ref="E113:E115"/>
    <mergeCell ref="D110:D112"/>
    <mergeCell ref="AB113:AB115"/>
    <mergeCell ref="AB89:AB91"/>
    <mergeCell ref="B47:B49"/>
    <mergeCell ref="C44:C46"/>
    <mergeCell ref="E41:E43"/>
    <mergeCell ref="E44:E46"/>
    <mergeCell ref="E71:E73"/>
    <mergeCell ref="B53:B55"/>
    <mergeCell ref="B83:B85"/>
    <mergeCell ref="B80:B82"/>
    <mergeCell ref="B77:B79"/>
    <mergeCell ref="B71:B73"/>
    <mergeCell ref="F86:F88"/>
    <mergeCell ref="B203:B205"/>
    <mergeCell ref="B200:B202"/>
    <mergeCell ref="B197:B199"/>
    <mergeCell ref="B185:B187"/>
    <mergeCell ref="B188:B190"/>
    <mergeCell ref="B92:B94"/>
    <mergeCell ref="B89:B91"/>
    <mergeCell ref="B125:B127"/>
    <mergeCell ref="B128:B130"/>
    <mergeCell ref="B116:B118"/>
    <mergeCell ref="B146:B148"/>
    <mergeCell ref="B161:B163"/>
    <mergeCell ref="B155:B157"/>
    <mergeCell ref="B152:B154"/>
    <mergeCell ref="B107:B109"/>
    <mergeCell ref="B104:B106"/>
    <mergeCell ref="B182:B184"/>
    <mergeCell ref="B179:B181"/>
    <mergeCell ref="B194:B195"/>
    <mergeCell ref="B191:B193"/>
    <mergeCell ref="B170:B172"/>
    <mergeCell ref="B131:B133"/>
    <mergeCell ref="B134:B136"/>
    <mergeCell ref="B143:B145"/>
    <mergeCell ref="F56:F58"/>
    <mergeCell ref="B167:B169"/>
    <mergeCell ref="B164:B166"/>
    <mergeCell ref="B176:B178"/>
    <mergeCell ref="B173:B175"/>
    <mergeCell ref="A2:A4"/>
    <mergeCell ref="A95:A97"/>
    <mergeCell ref="B140:B142"/>
    <mergeCell ref="B137:B139"/>
    <mergeCell ref="B149:B151"/>
    <mergeCell ref="B2:B4"/>
    <mergeCell ref="B11:B13"/>
    <mergeCell ref="C23:C25"/>
    <mergeCell ref="D23:D25"/>
    <mergeCell ref="C20:C22"/>
    <mergeCell ref="C32:C34"/>
    <mergeCell ref="C35:C37"/>
    <mergeCell ref="B5:B7"/>
    <mergeCell ref="B14:B16"/>
    <mergeCell ref="B17:B19"/>
    <mergeCell ref="B20:B22"/>
    <mergeCell ref="B26:B28"/>
    <mergeCell ref="C26:C28"/>
    <mergeCell ref="C29:C31"/>
    <mergeCell ref="E38:E40"/>
    <mergeCell ref="E32:E34"/>
    <mergeCell ref="E35:E37"/>
    <mergeCell ref="C38:C40"/>
    <mergeCell ref="D38:D40"/>
    <mergeCell ref="E62:E64"/>
    <mergeCell ref="E50:E52"/>
    <mergeCell ref="E53:E55"/>
    <mergeCell ref="C92:C94"/>
    <mergeCell ref="E47:E49"/>
    <mergeCell ref="C62:C64"/>
    <mergeCell ref="D59:D61"/>
    <mergeCell ref="D50:D52"/>
    <mergeCell ref="D62:D64"/>
    <mergeCell ref="D65:D67"/>
    <mergeCell ref="D80:D82"/>
    <mergeCell ref="D71:D73"/>
    <mergeCell ref="C77:C79"/>
    <mergeCell ref="C74:C76"/>
    <mergeCell ref="D77:D79"/>
    <mergeCell ref="C65:C67"/>
    <mergeCell ref="C68:C70"/>
    <mergeCell ref="C80:C82"/>
    <mergeCell ref="D35:D37"/>
    <mergeCell ref="C161:C163"/>
    <mergeCell ref="D155:D157"/>
    <mergeCell ref="C152:C154"/>
    <mergeCell ref="C164:C166"/>
    <mergeCell ref="G161:G163"/>
    <mergeCell ref="F206:F208"/>
    <mergeCell ref="D74:D76"/>
    <mergeCell ref="D161:D163"/>
    <mergeCell ref="D164:D166"/>
    <mergeCell ref="C83:C85"/>
    <mergeCell ref="D86:D88"/>
    <mergeCell ref="E86:E88"/>
    <mergeCell ref="C173:C175"/>
    <mergeCell ref="E98:E100"/>
    <mergeCell ref="E95:E97"/>
    <mergeCell ref="D98:D100"/>
    <mergeCell ref="C134:C136"/>
    <mergeCell ref="C155:C157"/>
    <mergeCell ref="C170:C172"/>
    <mergeCell ref="C167:C169"/>
    <mergeCell ref="C113:C115"/>
    <mergeCell ref="C131:C133"/>
    <mergeCell ref="E125:E127"/>
    <mergeCell ref="C125:C127"/>
    <mergeCell ref="F53:F55"/>
    <mergeCell ref="D83:D85"/>
    <mergeCell ref="E59:E61"/>
    <mergeCell ref="E77:E79"/>
    <mergeCell ref="E68:E70"/>
    <mergeCell ref="D68:D70"/>
    <mergeCell ref="C146:C148"/>
    <mergeCell ref="C119:C121"/>
    <mergeCell ref="E143:E145"/>
    <mergeCell ref="D119:D121"/>
    <mergeCell ref="E119:E121"/>
    <mergeCell ref="D122:D124"/>
    <mergeCell ref="E122:E124"/>
    <mergeCell ref="C140:C142"/>
    <mergeCell ref="E116:E118"/>
    <mergeCell ref="E74:E76"/>
    <mergeCell ref="E65:E67"/>
    <mergeCell ref="F110:F112"/>
    <mergeCell ref="F113:F115"/>
    <mergeCell ref="E56:E58"/>
    <mergeCell ref="C56:C58"/>
    <mergeCell ref="D56:D58"/>
    <mergeCell ref="D116:D118"/>
    <mergeCell ref="C95:C97"/>
    <mergeCell ref="D173:D175"/>
    <mergeCell ref="E173:E175"/>
    <mergeCell ref="D170:D172"/>
    <mergeCell ref="G170:G172"/>
    <mergeCell ref="H116:H118"/>
    <mergeCell ref="G173:G175"/>
    <mergeCell ref="H170:H172"/>
    <mergeCell ref="H140:H142"/>
    <mergeCell ref="H137:H139"/>
    <mergeCell ref="H134:H136"/>
    <mergeCell ref="G128:G130"/>
    <mergeCell ref="H125:H127"/>
    <mergeCell ref="F173:F175"/>
    <mergeCell ref="G152:G154"/>
    <mergeCell ref="D137:D139"/>
    <mergeCell ref="D143:D145"/>
    <mergeCell ref="F140:F142"/>
    <mergeCell ref="D128:D130"/>
    <mergeCell ref="G167:G169"/>
    <mergeCell ref="G116:G118"/>
    <mergeCell ref="D149:D151"/>
    <mergeCell ref="D125:D127"/>
    <mergeCell ref="E137:E139"/>
    <mergeCell ref="F164:F166"/>
    <mergeCell ref="H179:H181"/>
    <mergeCell ref="H176:H178"/>
    <mergeCell ref="H131:H133"/>
    <mergeCell ref="H128:H130"/>
    <mergeCell ref="H155:H157"/>
    <mergeCell ref="H167:H169"/>
    <mergeCell ref="H152:H154"/>
    <mergeCell ref="H158:H160"/>
    <mergeCell ref="H173:H175"/>
    <mergeCell ref="H146:H148"/>
    <mergeCell ref="H161:H163"/>
    <mergeCell ref="D191:D193"/>
    <mergeCell ref="G194:G196"/>
    <mergeCell ref="C185:C187"/>
    <mergeCell ref="E188:E190"/>
    <mergeCell ref="G188:G190"/>
    <mergeCell ref="G185:G187"/>
    <mergeCell ref="G203:G205"/>
    <mergeCell ref="C191:C193"/>
    <mergeCell ref="E191:E193"/>
    <mergeCell ref="G191:G193"/>
    <mergeCell ref="C203:C205"/>
    <mergeCell ref="D203:D205"/>
    <mergeCell ref="E203:E205"/>
    <mergeCell ref="E185:E187"/>
    <mergeCell ref="F185:F187"/>
    <mergeCell ref="D188:D190"/>
    <mergeCell ref="D185:D187"/>
    <mergeCell ref="F194:F196"/>
    <mergeCell ref="C200:C202"/>
    <mergeCell ref="D200:D202"/>
    <mergeCell ref="C197:C199"/>
    <mergeCell ref="D194:D196"/>
    <mergeCell ref="E194:E196"/>
    <mergeCell ref="E200:E202"/>
    <mergeCell ref="F197:F199"/>
    <mergeCell ref="C194:C196"/>
    <mergeCell ref="G200:G202"/>
    <mergeCell ref="E197:E199"/>
    <mergeCell ref="G197:G199"/>
    <mergeCell ref="C206:C208"/>
    <mergeCell ref="D206:D208"/>
    <mergeCell ref="E206:E208"/>
    <mergeCell ref="G206:G208"/>
    <mergeCell ref="D197:D199"/>
    <mergeCell ref="F200:F202"/>
    <mergeCell ref="F203:F205"/>
    <mergeCell ref="H206:H208"/>
    <mergeCell ref="H191:H193"/>
    <mergeCell ref="F188:F190"/>
    <mergeCell ref="F191:F193"/>
    <mergeCell ref="F77:F79"/>
    <mergeCell ref="G65:G67"/>
    <mergeCell ref="F59:F61"/>
    <mergeCell ref="F62:F64"/>
    <mergeCell ref="F65:F67"/>
    <mergeCell ref="G62:G64"/>
    <mergeCell ref="G74:G76"/>
    <mergeCell ref="G134:G136"/>
    <mergeCell ref="G143:G145"/>
    <mergeCell ref="F101:F103"/>
    <mergeCell ref="G59:G61"/>
    <mergeCell ref="G71:G73"/>
    <mergeCell ref="F119:F121"/>
    <mergeCell ref="G104:G106"/>
    <mergeCell ref="G110:G112"/>
    <mergeCell ref="G131:G133"/>
    <mergeCell ref="H203:H205"/>
    <mergeCell ref="H194:H196"/>
    <mergeCell ref="H197:H199"/>
    <mergeCell ref="H200:H202"/>
    <mergeCell ref="E161:E163"/>
    <mergeCell ref="E155:E157"/>
    <mergeCell ref="E158:E160"/>
    <mergeCell ref="E134:E136"/>
    <mergeCell ref="D89:D91"/>
    <mergeCell ref="D92:D94"/>
    <mergeCell ref="E92:E94"/>
    <mergeCell ref="D131:D133"/>
    <mergeCell ref="F116:F118"/>
    <mergeCell ref="E89:E91"/>
    <mergeCell ref="D146:D148"/>
    <mergeCell ref="E146:E148"/>
    <mergeCell ref="D113:D115"/>
    <mergeCell ref="E101:E103"/>
    <mergeCell ref="E107:E109"/>
    <mergeCell ref="D107:D109"/>
    <mergeCell ref="D101:D103"/>
    <mergeCell ref="F131:F133"/>
    <mergeCell ref="F107:F109"/>
    <mergeCell ref="F149:F151"/>
    <mergeCell ref="F125:F127"/>
    <mergeCell ref="F128:F130"/>
    <mergeCell ref="F146:F148"/>
    <mergeCell ref="D95:D97"/>
    <mergeCell ref="H26:H28"/>
    <mergeCell ref="D29:D31"/>
    <mergeCell ref="E29:E31"/>
    <mergeCell ref="D11:D13"/>
    <mergeCell ref="D32:D34"/>
    <mergeCell ref="D20:D22"/>
    <mergeCell ref="E26:E28"/>
    <mergeCell ref="E20:E22"/>
    <mergeCell ref="F20:F22"/>
    <mergeCell ref="F23:F25"/>
    <mergeCell ref="F26:F28"/>
    <mergeCell ref="E11:E13"/>
    <mergeCell ref="E14:E16"/>
    <mergeCell ref="H29:H31"/>
    <mergeCell ref="D26:D28"/>
    <mergeCell ref="H5:H7"/>
    <mergeCell ref="D5:D7"/>
    <mergeCell ref="I2:I4"/>
    <mergeCell ref="J2:J4"/>
    <mergeCell ref="K2:K4"/>
    <mergeCell ref="E23:E25"/>
    <mergeCell ref="C14:C16"/>
    <mergeCell ref="C11:C13"/>
    <mergeCell ref="C17:C19"/>
    <mergeCell ref="G20:G22"/>
    <mergeCell ref="C5:C7"/>
    <mergeCell ref="C8:C10"/>
    <mergeCell ref="F11:F13"/>
    <mergeCell ref="E8:E10"/>
    <mergeCell ref="H23:H25"/>
    <mergeCell ref="H38:H40"/>
    <mergeCell ref="H14:H16"/>
    <mergeCell ref="H17:H19"/>
    <mergeCell ref="F29:F31"/>
    <mergeCell ref="G29:G31"/>
    <mergeCell ref="F41:F43"/>
    <mergeCell ref="C1:AA1"/>
    <mergeCell ref="C2:C4"/>
    <mergeCell ref="D2:D4"/>
    <mergeCell ref="E2:E4"/>
    <mergeCell ref="G2:G4"/>
    <mergeCell ref="H11:H13"/>
    <mergeCell ref="H8:H10"/>
    <mergeCell ref="D17:D19"/>
    <mergeCell ref="E17:E19"/>
    <mergeCell ref="G17:G19"/>
    <mergeCell ref="D14:D16"/>
    <mergeCell ref="G5:G7"/>
    <mergeCell ref="D8:D10"/>
    <mergeCell ref="G8:G10"/>
    <mergeCell ref="G11:G13"/>
    <mergeCell ref="G14:G16"/>
    <mergeCell ref="E5:E7"/>
    <mergeCell ref="R3:T3"/>
    <mergeCell ref="H53:H55"/>
    <mergeCell ref="H41:H43"/>
    <mergeCell ref="H44:H46"/>
    <mergeCell ref="H50:H52"/>
    <mergeCell ref="G41:G43"/>
    <mergeCell ref="G47:G49"/>
    <mergeCell ref="G155:G157"/>
    <mergeCell ref="C158:C160"/>
    <mergeCell ref="D158:D160"/>
    <mergeCell ref="G137:G139"/>
    <mergeCell ref="G158:G160"/>
    <mergeCell ref="C137:C139"/>
    <mergeCell ref="D140:D142"/>
    <mergeCell ref="E140:E142"/>
    <mergeCell ref="E149:E151"/>
    <mergeCell ref="C149:C151"/>
    <mergeCell ref="D134:D136"/>
    <mergeCell ref="H65:H67"/>
    <mergeCell ref="H74:H76"/>
    <mergeCell ref="H71:H73"/>
    <mergeCell ref="G146:G148"/>
    <mergeCell ref="G77:G79"/>
    <mergeCell ref="G89:G91"/>
    <mergeCell ref="H47:H49"/>
    <mergeCell ref="G80:G82"/>
    <mergeCell ref="G83:G85"/>
    <mergeCell ref="G101:G103"/>
    <mergeCell ref="E83:E85"/>
    <mergeCell ref="H122:H124"/>
    <mergeCell ref="F143:F145"/>
    <mergeCell ref="H86:H88"/>
    <mergeCell ref="H89:H91"/>
    <mergeCell ref="H98:H100"/>
    <mergeCell ref="H104:H106"/>
    <mergeCell ref="H92:H94"/>
    <mergeCell ref="G92:G94"/>
    <mergeCell ref="G95:G97"/>
    <mergeCell ref="G107:G109"/>
    <mergeCell ref="G98:G100"/>
    <mergeCell ref="F80:F82"/>
    <mergeCell ref="F83:F85"/>
    <mergeCell ref="B101:B103"/>
    <mergeCell ref="B98:B100"/>
    <mergeCell ref="C104:C106"/>
    <mergeCell ref="D152:D154"/>
    <mergeCell ref="E152:E154"/>
    <mergeCell ref="E131:E133"/>
    <mergeCell ref="H110:H112"/>
    <mergeCell ref="C116:C118"/>
    <mergeCell ref="C143:C145"/>
    <mergeCell ref="C107:C109"/>
    <mergeCell ref="C101:C103"/>
    <mergeCell ref="AB164:AB166"/>
    <mergeCell ref="F134:F136"/>
    <mergeCell ref="F137:F139"/>
    <mergeCell ref="AB149:AB151"/>
    <mergeCell ref="H164:H166"/>
    <mergeCell ref="H149:H151"/>
    <mergeCell ref="H143:H145"/>
    <mergeCell ref="G149:G151"/>
    <mergeCell ref="AB146:AB148"/>
    <mergeCell ref="F158:F160"/>
    <mergeCell ref="AB140:AB142"/>
    <mergeCell ref="F152:F154"/>
    <mergeCell ref="F155:F157"/>
    <mergeCell ref="G140:G142"/>
    <mergeCell ref="AB137:AB139"/>
    <mergeCell ref="H188:H190"/>
    <mergeCell ref="E170:E172"/>
    <mergeCell ref="G113:G115"/>
    <mergeCell ref="H113:H115"/>
    <mergeCell ref="B86:B88"/>
    <mergeCell ref="E164:E166"/>
    <mergeCell ref="G164:G166"/>
    <mergeCell ref="B95:B97"/>
    <mergeCell ref="H62:H64"/>
    <mergeCell ref="H107:H109"/>
    <mergeCell ref="H95:H97"/>
    <mergeCell ref="C128:C130"/>
    <mergeCell ref="E128:E130"/>
    <mergeCell ref="C122:C124"/>
    <mergeCell ref="E80:E82"/>
    <mergeCell ref="D104:D106"/>
    <mergeCell ref="E104:E106"/>
    <mergeCell ref="G125:G127"/>
    <mergeCell ref="C89:C91"/>
    <mergeCell ref="C86:C88"/>
    <mergeCell ref="G119:G121"/>
    <mergeCell ref="H119:H121"/>
    <mergeCell ref="G122:G124"/>
    <mergeCell ref="C110:C112"/>
    <mergeCell ref="AB167:AB169"/>
    <mergeCell ref="C179:C181"/>
    <mergeCell ref="D179:D181"/>
    <mergeCell ref="E179:E181"/>
    <mergeCell ref="C176:C178"/>
    <mergeCell ref="D176:D178"/>
    <mergeCell ref="AB188:AB190"/>
    <mergeCell ref="E176:E178"/>
    <mergeCell ref="G176:G178"/>
    <mergeCell ref="H182:H184"/>
    <mergeCell ref="H185:H187"/>
    <mergeCell ref="C188:C190"/>
    <mergeCell ref="F176:F178"/>
    <mergeCell ref="D167:D169"/>
    <mergeCell ref="E167:E169"/>
    <mergeCell ref="F170:F172"/>
    <mergeCell ref="F167:F169"/>
    <mergeCell ref="F179:F181"/>
    <mergeCell ref="F182:F184"/>
    <mergeCell ref="G182:G184"/>
    <mergeCell ref="C182:C184"/>
    <mergeCell ref="D182:D184"/>
    <mergeCell ref="E182:E184"/>
    <mergeCell ref="G179:G181"/>
  </mergeCells>
  <conditionalFormatting sqref="L134:L135">
    <cfRule type="cellIs" dxfId="10" priority="4" stopIfTrue="1" operator="greaterThan">
      <formula>0</formula>
    </cfRule>
  </conditionalFormatting>
  <conditionalFormatting sqref="L134:M135">
    <cfRule type="cellIs" dxfId="9" priority="3" stopIfTrue="1" operator="lessThanOrEqual">
      <formula>0</formula>
    </cfRule>
  </conditionalFormatting>
  <conditionalFormatting sqref="M5:M85">
    <cfRule type="cellIs" dxfId="8" priority="1" stopIfTrue="1" operator="lessThanOrEqual">
      <formula>0</formula>
    </cfRule>
    <cfRule type="cellIs" dxfId="7" priority="2" stopIfTrue="1" operator="greaterThan">
      <formula>0</formula>
    </cfRule>
  </conditionalFormatting>
  <conditionalFormatting sqref="M134:M135">
    <cfRule type="cellIs" dxfId="6" priority="5" stopIfTrue="1" operator="greaterThan">
      <formula>0</formula>
    </cfRule>
  </conditionalFormatting>
  <pageMargins left="0.31496062992125984" right="0.31496062992125984" top="0.74803149606299213" bottom="0.74803149606299213" header="0.3543307086614173" footer="0.3543307086614173"/>
  <pageSetup paperSize="8" scale="49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A003F-E6C5-4C76-B829-232CFEBEBF3F}">
  <sheetPr>
    <tabColor theme="9" tint="0.79998168889431442"/>
    <pageSetUpPr autoPageBreaks="0" fitToPage="1"/>
  </sheetPr>
  <dimension ref="A1:AD257"/>
  <sheetViews>
    <sheetView zoomScale="55" zoomScaleNormal="55" zoomScaleSheetLayoutView="55" zoomScalePageLayoutView="40" workbookViewId="0">
      <pane xSplit="8" ySplit="4" topLeftCell="K5" activePane="bottomRight" state="frozen"/>
      <selection activeCell="J17" sqref="J17"/>
      <selection pane="topRight" activeCell="J17" sqref="J17"/>
      <selection pane="bottomLeft" activeCell="J17" sqref="J17"/>
      <selection pane="bottomRight" activeCell="H194" sqref="H194:H196"/>
    </sheetView>
  </sheetViews>
  <sheetFormatPr defaultColWidth="8" defaultRowHeight="16"/>
  <cols>
    <col min="1" max="2" width="12.90625" style="325" customWidth="1"/>
    <col min="3" max="3" width="11.6328125" style="325" customWidth="1"/>
    <col min="4" max="4" width="10.81640625" style="330" customWidth="1"/>
    <col min="5" max="5" width="14.90625" style="330" customWidth="1"/>
    <col min="6" max="6" width="29.1796875" style="327" customWidth="1"/>
    <col min="7" max="7" width="35.08984375" style="327" customWidth="1"/>
    <col min="8" max="8" width="43.90625" style="326" customWidth="1"/>
    <col min="9" max="9" width="34.81640625" style="326" customWidth="1"/>
    <col min="10" max="11" width="29.453125" style="327" customWidth="1"/>
    <col min="12" max="12" width="17.453125" style="329" customWidth="1"/>
    <col min="13" max="13" width="17.453125" style="326" customWidth="1"/>
    <col min="14" max="14" width="16.453125" style="326" customWidth="1"/>
    <col min="15" max="15" width="20.1796875" style="329" customWidth="1"/>
    <col min="16" max="16" width="14.08984375" style="328" customWidth="1"/>
    <col min="17" max="17" width="23.36328125" style="328" customWidth="1"/>
    <col min="18" max="18" width="14.1796875" style="327" customWidth="1"/>
    <col min="19" max="19" width="16.453125" style="327" customWidth="1"/>
    <col min="20" max="20" width="24.453125" style="327" customWidth="1"/>
    <col min="21" max="21" width="16.08984375" style="327" bestFit="1" customWidth="1"/>
    <col min="22" max="22" width="24.453125" style="327" customWidth="1"/>
    <col min="23" max="23" width="24.90625" style="327" customWidth="1"/>
    <col min="24" max="24" width="16.08984375" style="327" customWidth="1"/>
    <col min="25" max="25" width="20.453125" style="327" customWidth="1"/>
    <col min="26" max="26" width="14.08984375" style="327" customWidth="1"/>
    <col min="27" max="27" width="16.08984375" style="327" customWidth="1"/>
    <col min="28" max="28" width="23" style="327" bestFit="1" customWidth="1"/>
    <col min="29" max="29" width="14.08984375" style="327" bestFit="1" customWidth="1"/>
    <col min="30" max="30" width="23.08984375" style="326" customWidth="1"/>
    <col min="31" max="16384" width="8" style="325"/>
  </cols>
  <sheetData>
    <row r="1" spans="1:30" ht="40.25" customHeight="1">
      <c r="D1" s="539" t="s">
        <v>367</v>
      </c>
      <c r="E1" s="539"/>
      <c r="F1" s="539"/>
      <c r="G1" s="539"/>
      <c r="H1" s="539"/>
      <c r="I1" s="539"/>
      <c r="J1" s="539"/>
      <c r="K1" s="539"/>
      <c r="L1" s="539"/>
      <c r="M1" s="539"/>
      <c r="N1" s="539"/>
      <c r="O1" s="539"/>
      <c r="P1" s="539"/>
      <c r="Q1" s="539"/>
      <c r="R1" s="539"/>
      <c r="S1" s="539"/>
      <c r="T1" s="539"/>
      <c r="U1" s="539"/>
      <c r="V1" s="539"/>
      <c r="W1" s="539"/>
      <c r="X1" s="539"/>
      <c r="Y1" s="539"/>
      <c r="Z1" s="539"/>
      <c r="AA1" s="539"/>
      <c r="AB1" s="539"/>
      <c r="AC1" s="539"/>
      <c r="AD1" s="539"/>
    </row>
    <row r="2" spans="1:30" s="327" customFormat="1" ht="25.25" customHeight="1">
      <c r="A2" s="468" t="s">
        <v>522</v>
      </c>
      <c r="C2" s="495" t="s">
        <v>521</v>
      </c>
      <c r="D2" s="540" t="s">
        <v>1</v>
      </c>
      <c r="E2" s="541" t="s">
        <v>2</v>
      </c>
      <c r="F2" s="538" t="s">
        <v>3</v>
      </c>
      <c r="G2" s="545" t="s">
        <v>546</v>
      </c>
      <c r="H2" s="538" t="s">
        <v>4</v>
      </c>
      <c r="I2" s="541" t="s">
        <v>255</v>
      </c>
      <c r="J2" s="388"/>
      <c r="K2" s="388"/>
      <c r="L2" s="544" t="s">
        <v>5</v>
      </c>
      <c r="M2" s="545" t="s">
        <v>6</v>
      </c>
      <c r="N2" s="545" t="s">
        <v>7</v>
      </c>
      <c r="O2" s="544" t="s">
        <v>8</v>
      </c>
      <c r="P2" s="477" t="s">
        <v>9</v>
      </c>
      <c r="Q2" s="538" t="s">
        <v>10</v>
      </c>
      <c r="R2" s="538" t="s">
        <v>11</v>
      </c>
      <c r="S2" s="538" t="s">
        <v>12</v>
      </c>
      <c r="T2" s="538"/>
      <c r="U2" s="538"/>
      <c r="V2" s="538"/>
      <c r="W2" s="538"/>
      <c r="X2" s="538"/>
      <c r="Y2" s="538"/>
      <c r="Z2" s="538"/>
      <c r="AA2" s="538"/>
      <c r="AB2" s="538"/>
      <c r="AC2" s="538"/>
      <c r="AD2" s="538" t="s">
        <v>13</v>
      </c>
    </row>
    <row r="3" spans="1:30" s="327" customFormat="1" ht="25.25" customHeight="1">
      <c r="A3" s="468"/>
      <c r="B3" s="468" t="s">
        <v>1499</v>
      </c>
      <c r="C3" s="495"/>
      <c r="D3" s="540"/>
      <c r="E3" s="542"/>
      <c r="F3" s="538"/>
      <c r="G3" s="546"/>
      <c r="H3" s="538"/>
      <c r="I3" s="542"/>
      <c r="J3" s="387" t="s">
        <v>525</v>
      </c>
      <c r="K3" s="387" t="s">
        <v>526</v>
      </c>
      <c r="L3" s="544"/>
      <c r="M3" s="546"/>
      <c r="N3" s="546"/>
      <c r="O3" s="544" t="s">
        <v>14</v>
      </c>
      <c r="P3" s="478"/>
      <c r="Q3" s="538"/>
      <c r="R3" s="538"/>
      <c r="S3" s="538" t="s">
        <v>15</v>
      </c>
      <c r="T3" s="538"/>
      <c r="U3" s="538" t="s">
        <v>16</v>
      </c>
      <c r="V3" s="538"/>
      <c r="W3" s="538"/>
      <c r="X3" s="538" t="s">
        <v>17</v>
      </c>
      <c r="Y3" s="538"/>
      <c r="Z3" s="538"/>
      <c r="AA3" s="538" t="s">
        <v>18</v>
      </c>
      <c r="AB3" s="538"/>
      <c r="AC3" s="538"/>
      <c r="AD3" s="538"/>
    </row>
    <row r="4" spans="1:30" s="327" customFormat="1" ht="25.25" customHeight="1">
      <c r="A4" s="468"/>
      <c r="B4" s="469"/>
      <c r="C4" s="495"/>
      <c r="D4" s="540"/>
      <c r="E4" s="543"/>
      <c r="F4" s="538"/>
      <c r="G4" s="547"/>
      <c r="H4" s="538"/>
      <c r="I4" s="542"/>
      <c r="J4" s="387"/>
      <c r="K4" s="387"/>
      <c r="L4" s="544"/>
      <c r="M4" s="547"/>
      <c r="N4" s="547"/>
      <c r="O4" s="544"/>
      <c r="P4" s="479"/>
      <c r="Q4" s="538"/>
      <c r="R4" s="538"/>
      <c r="S4" s="386" t="s">
        <v>19</v>
      </c>
      <c r="T4" s="386" t="s">
        <v>20</v>
      </c>
      <c r="U4" s="386" t="s">
        <v>19</v>
      </c>
      <c r="V4" s="386" t="s">
        <v>20</v>
      </c>
      <c r="W4" s="386" t="s">
        <v>21</v>
      </c>
      <c r="X4" s="386" t="s">
        <v>19</v>
      </c>
      <c r="Y4" s="386" t="s">
        <v>20</v>
      </c>
      <c r="Z4" s="386" t="s">
        <v>21</v>
      </c>
      <c r="AA4" s="386" t="s">
        <v>19</v>
      </c>
      <c r="AB4" s="386" t="s">
        <v>20</v>
      </c>
      <c r="AC4" s="386" t="s">
        <v>21</v>
      </c>
      <c r="AD4" s="538"/>
    </row>
    <row r="5" spans="1:30" s="355" customFormat="1" ht="25.25" customHeight="1">
      <c r="A5" s="470"/>
      <c r="B5" s="470"/>
      <c r="C5" s="470">
        <v>168</v>
      </c>
      <c r="D5" s="480">
        <v>1</v>
      </c>
      <c r="E5" s="483">
        <v>120</v>
      </c>
      <c r="F5" s="471"/>
      <c r="G5" s="474" t="s">
        <v>462</v>
      </c>
      <c r="H5" s="486" t="s">
        <v>1498</v>
      </c>
      <c r="I5" s="474" t="s">
        <v>290</v>
      </c>
      <c r="J5" s="477" t="s">
        <v>554</v>
      </c>
      <c r="K5" s="477"/>
      <c r="L5" s="364">
        <f>IF(M5="","",M5-30)</f>
        <v>46311</v>
      </c>
      <c r="M5" s="364">
        <f>IF(N5="","",N5-30)</f>
        <v>46341</v>
      </c>
      <c r="N5" s="363">
        <v>46371</v>
      </c>
      <c r="O5" s="367" t="str">
        <f ca="1">IF(L5="","",IF(S5&lt;&gt;"","",IF(AND(S5="",L5-TODAY()&lt;=60),L5-TODAY(),"")))</f>
        <v/>
      </c>
      <c r="P5" s="365" t="str">
        <f>IF(COUNT(L5, S5)=2, L5-S5, "")</f>
        <v/>
      </c>
      <c r="Q5" s="361"/>
      <c r="R5" s="307" t="s">
        <v>22</v>
      </c>
      <c r="S5" s="302"/>
      <c r="T5" s="306"/>
      <c r="U5" s="302"/>
      <c r="V5" s="306"/>
      <c r="W5" s="307"/>
      <c r="X5" s="302"/>
      <c r="Y5" s="306"/>
      <c r="Z5" s="306"/>
      <c r="AA5" s="302"/>
      <c r="AB5" s="307"/>
      <c r="AC5" s="307"/>
      <c r="AD5" s="360"/>
    </row>
    <row r="6" spans="1:30" s="355" customFormat="1" ht="25.25" customHeight="1">
      <c r="A6" s="470"/>
      <c r="B6" s="470"/>
      <c r="C6" s="470"/>
      <c r="D6" s="481"/>
      <c r="E6" s="484"/>
      <c r="F6" s="472"/>
      <c r="G6" s="475"/>
      <c r="H6" s="487"/>
      <c r="I6" s="475"/>
      <c r="J6" s="478"/>
      <c r="K6" s="478"/>
      <c r="L6" s="363"/>
      <c r="M6" s="363"/>
      <c r="N6" s="363"/>
      <c r="O6" s="367" t="str">
        <f ca="1">IF(L6="","",IF(S6&lt;&gt;"","",IF(AND(S6="",L6-TODAY()&lt;=60),L6-TODAY(),"")))</f>
        <v/>
      </c>
      <c r="P6" s="365" t="str">
        <f>IF(COUNT(L6, S6)=2, L6-S6, "")</f>
        <v/>
      </c>
      <c r="Q6" s="361"/>
      <c r="R6" s="307" t="s">
        <v>27</v>
      </c>
      <c r="S6" s="302"/>
      <c r="T6" s="302"/>
      <c r="U6" s="302"/>
      <c r="V6" s="306"/>
      <c r="W6" s="307"/>
      <c r="X6" s="302"/>
      <c r="Y6" s="306"/>
      <c r="Z6" s="307" t="str">
        <f>IF(X6="","",IF(W6="檢退","檢退",IF(W6="審查同意","審定","檢退")))</f>
        <v/>
      </c>
      <c r="AA6" s="302"/>
      <c r="AB6" s="307"/>
      <c r="AC6" s="307"/>
      <c r="AD6" s="360"/>
    </row>
    <row r="7" spans="1:30" s="355" customFormat="1" ht="25.25" customHeight="1">
      <c r="A7" s="470"/>
      <c r="B7" s="470"/>
      <c r="C7" s="470"/>
      <c r="D7" s="482"/>
      <c r="E7" s="485"/>
      <c r="F7" s="473"/>
      <c r="G7" s="476"/>
      <c r="H7" s="488"/>
      <c r="I7" s="476"/>
      <c r="J7" s="479"/>
      <c r="K7" s="479"/>
      <c r="L7" s="363"/>
      <c r="M7" s="363"/>
      <c r="N7" s="363"/>
      <c r="O7" s="367" t="str">
        <f ca="1">IF(L7="","",IF(S7&lt;&gt;"","",IF(AND(S7="",L7-TODAY()&lt;=60),L7-TODAY(),"")))</f>
        <v/>
      </c>
      <c r="P7" s="365" t="str">
        <f>IF(COUNT(L7, S7)=2, L7-S7, "")</f>
        <v/>
      </c>
      <c r="Q7" s="361"/>
      <c r="R7" s="307" t="s">
        <v>36</v>
      </c>
      <c r="S7" s="302"/>
      <c r="T7" s="306"/>
      <c r="U7" s="302"/>
      <c r="V7" s="306"/>
      <c r="W7" s="307"/>
      <c r="X7" s="302"/>
      <c r="Y7" s="306"/>
      <c r="Z7" s="307" t="str">
        <f>IF(X7="","",IF(W7="檢退","檢退",IF(W7="審查同意","審定","檢退")))</f>
        <v/>
      </c>
      <c r="AA7" s="302"/>
      <c r="AB7" s="307"/>
      <c r="AC7" s="307"/>
      <c r="AD7" s="360"/>
    </row>
    <row r="8" spans="1:30" s="355" customFormat="1" ht="25.25" customHeight="1">
      <c r="A8" s="470"/>
      <c r="B8" s="470"/>
      <c r="C8" s="470"/>
      <c r="D8" s="480">
        <v>2</v>
      </c>
      <c r="E8" s="496"/>
      <c r="F8" s="529" t="s">
        <v>1712</v>
      </c>
      <c r="G8" s="385"/>
      <c r="H8" s="532" t="s">
        <v>292</v>
      </c>
      <c r="I8" s="550" t="s">
        <v>291</v>
      </c>
      <c r="J8" s="377"/>
      <c r="K8" s="377"/>
      <c r="L8" s="364">
        <f>IF(M8="","",M8-30)</f>
        <v>45824</v>
      </c>
      <c r="M8" s="364">
        <f>IF(N8="","",N8-30)</f>
        <v>45854</v>
      </c>
      <c r="N8" s="363">
        <v>45884</v>
      </c>
      <c r="O8" s="367" t="str">
        <f ca="1">IF(L8="","",IF(S8&lt;&gt;"","",IF(AND(S8="",L8-TODAY()&lt;=60),L8-TODAY(),"")))</f>
        <v/>
      </c>
      <c r="P8" s="365">
        <f>IF(COUNT(L8, S8)=2, L8-S8, "")</f>
        <v>-102</v>
      </c>
      <c r="Q8" s="361"/>
      <c r="R8" s="307" t="s">
        <v>22</v>
      </c>
      <c r="S8" s="302">
        <v>45926</v>
      </c>
      <c r="T8" s="306" t="s">
        <v>144</v>
      </c>
      <c r="U8" s="302">
        <v>45939</v>
      </c>
      <c r="V8" s="307" t="s">
        <v>145</v>
      </c>
      <c r="W8" s="307" t="s">
        <v>136</v>
      </c>
      <c r="X8" s="302"/>
      <c r="Y8" s="306"/>
      <c r="Z8" s="307"/>
      <c r="AA8" s="302"/>
      <c r="AB8" s="307"/>
      <c r="AC8" s="307"/>
      <c r="AD8" s="360"/>
    </row>
    <row r="9" spans="1:30" s="355" customFormat="1" ht="25.25" customHeight="1">
      <c r="A9" s="470"/>
      <c r="B9" s="470"/>
      <c r="C9" s="470"/>
      <c r="D9" s="481"/>
      <c r="E9" s="497"/>
      <c r="F9" s="530"/>
      <c r="G9" s="384"/>
      <c r="H9" s="533"/>
      <c r="I9" s="551"/>
      <c r="J9" s="375" t="s">
        <v>540</v>
      </c>
      <c r="K9" s="375"/>
      <c r="L9" s="363"/>
      <c r="M9" s="363"/>
      <c r="N9" s="363"/>
      <c r="O9" s="367" t="str">
        <f ca="1">IF(L9="","",IF(S9&lt;&gt;"","",IF(AND(S9="",L9-TODAY()&lt;=60),L9-TODAY(),"")))</f>
        <v/>
      </c>
      <c r="P9" s="365" t="str">
        <f>IF(COUNT(L9, S9)=2, L9-S9, "")</f>
        <v/>
      </c>
      <c r="Q9" s="361"/>
      <c r="R9" s="307" t="s">
        <v>22</v>
      </c>
      <c r="S9" s="302">
        <v>45987</v>
      </c>
      <c r="T9" s="302" t="s">
        <v>146</v>
      </c>
      <c r="U9" s="302">
        <v>45999</v>
      </c>
      <c r="V9" s="306" t="s">
        <v>147</v>
      </c>
      <c r="W9" s="307" t="s">
        <v>100</v>
      </c>
      <c r="X9" s="302"/>
      <c r="Y9" s="306"/>
      <c r="Z9" s="307"/>
      <c r="AA9" s="302"/>
      <c r="AB9" s="307"/>
      <c r="AC9" s="307"/>
      <c r="AD9" s="360"/>
    </row>
    <row r="10" spans="1:30" s="355" customFormat="1" ht="25.25" customHeight="1">
      <c r="A10" s="470"/>
      <c r="B10" s="470"/>
      <c r="C10" s="470"/>
      <c r="D10" s="482"/>
      <c r="E10" s="498"/>
      <c r="F10" s="531"/>
      <c r="G10" s="383"/>
      <c r="H10" s="534"/>
      <c r="I10" s="552"/>
      <c r="J10" s="373"/>
      <c r="K10" s="373"/>
      <c r="L10" s="363"/>
      <c r="M10" s="363"/>
      <c r="N10" s="363"/>
      <c r="O10" s="367" t="str">
        <f ca="1">IF(L10="","",IF(S10&lt;&gt;"","",IF(AND(S10="",L10-TODAY()&lt;=60),L10-TODAY(),"")))</f>
        <v/>
      </c>
      <c r="P10" s="365" t="str">
        <f>IF(COUNT(L10, S10)=2, L10-S10, "")</f>
        <v/>
      </c>
      <c r="Q10" s="361" t="s">
        <v>26</v>
      </c>
      <c r="R10" s="307" t="s">
        <v>27</v>
      </c>
      <c r="S10" s="302">
        <v>46017</v>
      </c>
      <c r="T10" s="306" t="s">
        <v>148</v>
      </c>
      <c r="U10" s="302">
        <v>46027</v>
      </c>
      <c r="V10" s="306" t="s">
        <v>149</v>
      </c>
      <c r="W10" s="307" t="s">
        <v>30</v>
      </c>
      <c r="X10" s="302">
        <v>46031</v>
      </c>
      <c r="Y10" s="306" t="s">
        <v>150</v>
      </c>
      <c r="Z10" s="307" t="s">
        <v>44</v>
      </c>
      <c r="AA10" s="302">
        <v>46038</v>
      </c>
      <c r="AB10" s="307" t="s">
        <v>151</v>
      </c>
      <c r="AC10" s="361" t="s">
        <v>26</v>
      </c>
      <c r="AD10" s="360"/>
    </row>
    <row r="11" spans="1:30" s="355" customFormat="1" ht="25.25" customHeight="1">
      <c r="A11" s="470"/>
      <c r="B11" s="470"/>
      <c r="C11" s="470">
        <v>140</v>
      </c>
      <c r="D11" s="480">
        <v>3</v>
      </c>
      <c r="E11" s="483">
        <v>201</v>
      </c>
      <c r="F11" s="471"/>
      <c r="G11" s="474" t="s">
        <v>463</v>
      </c>
      <c r="H11" s="486" t="s">
        <v>340</v>
      </c>
      <c r="I11" s="474" t="s">
        <v>293</v>
      </c>
      <c r="J11" s="382"/>
      <c r="K11" s="382"/>
      <c r="L11" s="364">
        <f>IF(M11="","",M11-30)</f>
        <v>46311</v>
      </c>
      <c r="M11" s="364">
        <f>IF(N11="","",N11-30)</f>
        <v>46341</v>
      </c>
      <c r="N11" s="363">
        <v>46371</v>
      </c>
      <c r="O11" s="367" t="str">
        <f ca="1">IF(L11="","",IF(S11&lt;&gt;"","",IF(AND(S11="",L11-TODAY()&lt;=60),L11-TODAY(),"")))</f>
        <v/>
      </c>
      <c r="P11" s="365" t="str">
        <f>IF(COUNT(L11, S11)=2, L11-S11, "")</f>
        <v/>
      </c>
      <c r="Q11" s="361"/>
      <c r="R11" s="307" t="s">
        <v>22</v>
      </c>
      <c r="S11" s="302"/>
      <c r="T11" s="306"/>
      <c r="U11" s="302"/>
      <c r="V11" s="306"/>
      <c r="W11" s="307"/>
      <c r="X11" s="302"/>
      <c r="Y11" s="306"/>
      <c r="Z11" s="306"/>
      <c r="AA11" s="302"/>
      <c r="AB11" s="307"/>
      <c r="AC11" s="307"/>
      <c r="AD11" s="360"/>
    </row>
    <row r="12" spans="1:30" s="355" customFormat="1" ht="25.25" customHeight="1">
      <c r="A12" s="470"/>
      <c r="B12" s="470"/>
      <c r="C12" s="470"/>
      <c r="D12" s="481"/>
      <c r="E12" s="484"/>
      <c r="F12" s="472"/>
      <c r="G12" s="475"/>
      <c r="H12" s="487"/>
      <c r="I12" s="475"/>
      <c r="J12" s="381" t="s">
        <v>554</v>
      </c>
      <c r="K12" s="381" t="s">
        <v>1711</v>
      </c>
      <c r="L12" s="364"/>
      <c r="M12" s="364"/>
      <c r="N12" s="363"/>
      <c r="O12" s="367" t="str">
        <f ca="1">IF(L12="","",IF(S12&lt;&gt;"","",IF(AND(S12="",L12-TODAY()&lt;=60),L12-TODAY(),"")))</f>
        <v/>
      </c>
      <c r="P12" s="365" t="str">
        <f>IF(COUNT(L12, S12)=2, L12-S12, "")</f>
        <v/>
      </c>
      <c r="Q12" s="361"/>
      <c r="R12" s="307" t="s">
        <v>27</v>
      </c>
      <c r="S12" s="302"/>
      <c r="T12" s="302"/>
      <c r="U12" s="302"/>
      <c r="V12" s="306"/>
      <c r="W12" s="307"/>
      <c r="X12" s="302"/>
      <c r="Y12" s="306"/>
      <c r="Z12" s="307" t="str">
        <f>IF(X12="","",IF(W12="檢退","檢退",IF(W12="審查同意","審定","檢退")))</f>
        <v/>
      </c>
      <c r="AA12" s="302"/>
      <c r="AB12" s="307"/>
      <c r="AC12" s="307"/>
      <c r="AD12" s="360"/>
    </row>
    <row r="13" spans="1:30" s="355" customFormat="1" ht="25.25" customHeight="1">
      <c r="A13" s="470"/>
      <c r="B13" s="470"/>
      <c r="C13" s="470"/>
      <c r="D13" s="482"/>
      <c r="E13" s="485"/>
      <c r="F13" s="473"/>
      <c r="G13" s="476"/>
      <c r="H13" s="488"/>
      <c r="I13" s="476"/>
      <c r="J13" s="380"/>
      <c r="K13" s="380"/>
      <c r="L13" s="363"/>
      <c r="M13" s="363"/>
      <c r="N13" s="363"/>
      <c r="O13" s="367" t="str">
        <f ca="1">IF(L13="","",IF(S13&lt;&gt;"","",IF(AND(S13="",L13-TODAY()&lt;=60),L13-TODAY(),"")))</f>
        <v/>
      </c>
      <c r="P13" s="365" t="str">
        <f>IF(COUNT(L13, S13)=2, L13-S13, "")</f>
        <v/>
      </c>
      <c r="Q13" s="361"/>
      <c r="R13" s="307" t="s">
        <v>36</v>
      </c>
      <c r="S13" s="302"/>
      <c r="T13" s="306"/>
      <c r="U13" s="302"/>
      <c r="V13" s="306"/>
      <c r="W13" s="307"/>
      <c r="X13" s="302"/>
      <c r="Y13" s="306"/>
      <c r="Z13" s="307" t="str">
        <f>IF(X13="","",IF(W13="檢退","檢退",IF(W13="審查同意","審定","檢退")))</f>
        <v/>
      </c>
      <c r="AA13" s="302"/>
      <c r="AB13" s="307"/>
      <c r="AC13" s="307"/>
      <c r="AD13" s="360"/>
    </row>
    <row r="14" spans="1:30" s="355" customFormat="1" ht="25.25" customHeight="1">
      <c r="A14" s="470"/>
      <c r="B14" s="470"/>
      <c r="C14" s="1114">
        <v>78</v>
      </c>
      <c r="D14" s="480">
        <v>4</v>
      </c>
      <c r="E14" s="483">
        <v>202</v>
      </c>
      <c r="F14" s="471"/>
      <c r="G14" s="1109" t="s">
        <v>464</v>
      </c>
      <c r="H14" s="1110" t="s">
        <v>341</v>
      </c>
      <c r="I14" s="474" t="s">
        <v>293</v>
      </c>
      <c r="J14" s="382" t="s">
        <v>554</v>
      </c>
      <c r="K14" s="382"/>
      <c r="L14" s="364">
        <f>IF(M14="","",M14-30)</f>
        <v>46311</v>
      </c>
      <c r="M14" s="364">
        <f>IF(N14="","",N14-30)</f>
        <v>46341</v>
      </c>
      <c r="N14" s="363">
        <v>46371</v>
      </c>
      <c r="O14" s="367" t="str">
        <f ca="1">IF(L14="","",IF(S14&lt;&gt;"","",IF(AND(S14="",L14-TODAY()&lt;=60),L14-TODAY(),"")))</f>
        <v/>
      </c>
      <c r="P14" s="365" t="str">
        <f>IF(COUNT(L14, S14)=2, L14-S14, "")</f>
        <v/>
      </c>
      <c r="Q14" s="361"/>
      <c r="R14" s="307" t="s">
        <v>22</v>
      </c>
      <c r="S14" s="302"/>
      <c r="T14" s="306"/>
      <c r="U14" s="302"/>
      <c r="V14" s="306"/>
      <c r="W14" s="307"/>
      <c r="X14" s="302"/>
      <c r="Y14" s="306"/>
      <c r="Z14" s="306"/>
      <c r="AA14" s="302"/>
      <c r="AB14" s="307"/>
      <c r="AC14" s="307"/>
      <c r="AD14" s="360"/>
    </row>
    <row r="15" spans="1:30" s="355" customFormat="1" ht="25.25" customHeight="1">
      <c r="A15" s="470"/>
      <c r="B15" s="470"/>
      <c r="C15" s="1114"/>
      <c r="D15" s="481"/>
      <c r="E15" s="484"/>
      <c r="F15" s="472"/>
      <c r="G15" s="1103"/>
      <c r="H15" s="1104"/>
      <c r="I15" s="475"/>
      <c r="J15" s="381"/>
      <c r="K15" s="381"/>
      <c r="L15" s="363"/>
      <c r="M15" s="363"/>
      <c r="N15" s="363"/>
      <c r="O15" s="367" t="str">
        <f ca="1">IF(L15="","",IF(S15&lt;&gt;"","",IF(AND(S15="",L15-TODAY()&lt;=60),L15-TODAY(),"")))</f>
        <v/>
      </c>
      <c r="P15" s="365" t="str">
        <f>IF(COUNT(L15, S15)=2, L15-S15, "")</f>
        <v/>
      </c>
      <c r="Q15" s="361"/>
      <c r="R15" s="307" t="s">
        <v>27</v>
      </c>
      <c r="S15" s="302"/>
      <c r="T15" s="302"/>
      <c r="U15" s="302"/>
      <c r="V15" s="306"/>
      <c r="W15" s="307"/>
      <c r="X15" s="302"/>
      <c r="Y15" s="306"/>
      <c r="Z15" s="307" t="str">
        <f>IF(X15="","",IF(W15="檢退","檢退",IF(W15="審查同意","審定","檢退")))</f>
        <v/>
      </c>
      <c r="AA15" s="302"/>
      <c r="AB15" s="307"/>
      <c r="AC15" s="307"/>
      <c r="AD15" s="360"/>
    </row>
    <row r="16" spans="1:30" s="355" customFormat="1" ht="25.25" customHeight="1">
      <c r="A16" s="470"/>
      <c r="B16" s="470"/>
      <c r="C16" s="1114"/>
      <c r="D16" s="482"/>
      <c r="E16" s="485"/>
      <c r="F16" s="473"/>
      <c r="G16" s="1098"/>
      <c r="H16" s="1099"/>
      <c r="I16" s="476"/>
      <c r="J16" s="380"/>
      <c r="K16" s="380">
        <v>2.2000000000000002</v>
      </c>
      <c r="L16" s="363"/>
      <c r="M16" s="363"/>
      <c r="N16" s="363"/>
      <c r="O16" s="367" t="str">
        <f ca="1">IF(L16="","",IF(S16&lt;&gt;"","",IF(AND(S16="",L16-TODAY()&lt;=60),L16-TODAY(),"")))</f>
        <v/>
      </c>
      <c r="P16" s="365" t="str">
        <f>IF(COUNT(L16, S16)=2, L16-S16, "")</f>
        <v/>
      </c>
      <c r="Q16" s="361"/>
      <c r="R16" s="307" t="s">
        <v>36</v>
      </c>
      <c r="S16" s="302"/>
      <c r="T16" s="306"/>
      <c r="U16" s="302"/>
      <c r="V16" s="306"/>
      <c r="W16" s="307"/>
      <c r="X16" s="302"/>
      <c r="Y16" s="306"/>
      <c r="Z16" s="307" t="str">
        <f>IF(X16="","",IF(W16="檢退","檢退",IF(W16="審查同意","審定","檢退")))</f>
        <v/>
      </c>
      <c r="AA16" s="302"/>
      <c r="AB16" s="307"/>
      <c r="AC16" s="307"/>
      <c r="AD16" s="360"/>
    </row>
    <row r="17" spans="1:30" s="355" customFormat="1" ht="25.25" customHeight="1">
      <c r="A17" s="470"/>
      <c r="B17" s="470"/>
      <c r="C17" s="1114">
        <v>141</v>
      </c>
      <c r="D17" s="480">
        <v>5</v>
      </c>
      <c r="E17" s="1112">
        <v>202</v>
      </c>
      <c r="F17" s="1111"/>
      <c r="G17" s="1109" t="s">
        <v>464</v>
      </c>
      <c r="H17" s="1110" t="s">
        <v>1710</v>
      </c>
      <c r="I17" s="474" t="s">
        <v>293</v>
      </c>
      <c r="J17" s="382"/>
      <c r="K17" s="382"/>
      <c r="L17" s="364">
        <f>IF(M17="","",M17-30)</f>
        <v>46311</v>
      </c>
      <c r="M17" s="364">
        <f>IF(N17="","",N17-30)</f>
        <v>46341</v>
      </c>
      <c r="N17" s="363">
        <v>46371</v>
      </c>
      <c r="O17" s="367" t="str">
        <f ca="1">IF(L17="","",IF(S17&lt;&gt;"","",IF(AND(S17="",L17-TODAY()&lt;=60),L17-TODAY(),"")))</f>
        <v/>
      </c>
      <c r="P17" s="365" t="str">
        <f>IF(COUNT(L17, S17)=2, L17-S17, "")</f>
        <v/>
      </c>
      <c r="Q17" s="361"/>
      <c r="R17" s="307" t="s">
        <v>22</v>
      </c>
      <c r="S17" s="302"/>
      <c r="T17" s="306"/>
      <c r="U17" s="302"/>
      <c r="V17" s="306"/>
      <c r="W17" s="307"/>
      <c r="X17" s="302"/>
      <c r="Y17" s="306"/>
      <c r="Z17" s="306"/>
      <c r="AA17" s="302"/>
      <c r="AB17" s="307"/>
      <c r="AC17" s="307"/>
      <c r="AD17" s="360"/>
    </row>
    <row r="18" spans="1:30" s="355" customFormat="1" ht="25.25" customHeight="1">
      <c r="A18" s="470"/>
      <c r="B18" s="470"/>
      <c r="C18" s="1114"/>
      <c r="D18" s="481"/>
      <c r="E18" s="1116"/>
      <c r="F18" s="1106"/>
      <c r="G18" s="1103"/>
      <c r="H18" s="1104"/>
      <c r="I18" s="475"/>
      <c r="J18" s="381" t="s">
        <v>554</v>
      </c>
      <c r="K18" s="381">
        <v>2.2000000000000002</v>
      </c>
      <c r="L18" s="364"/>
      <c r="M18" s="364"/>
      <c r="N18" s="363"/>
      <c r="O18" s="367" t="str">
        <f ca="1">IF(L18="","",IF(S18&lt;&gt;"","",IF(AND(S18="",L18-TODAY()&lt;=60),L18-TODAY(),"")))</f>
        <v/>
      </c>
      <c r="P18" s="365" t="str">
        <f>IF(COUNT(L18, S18)=2, L18-S18, "")</f>
        <v/>
      </c>
      <c r="Q18" s="361"/>
      <c r="R18" s="307" t="s">
        <v>27</v>
      </c>
      <c r="S18" s="302"/>
      <c r="T18" s="302"/>
      <c r="U18" s="302"/>
      <c r="V18" s="306"/>
      <c r="W18" s="307"/>
      <c r="X18" s="302"/>
      <c r="Y18" s="306"/>
      <c r="Z18" s="307" t="str">
        <f>IF(X18="","",IF(W18="檢退","檢退",IF(W18="審查同意","審定","檢退")))</f>
        <v/>
      </c>
      <c r="AA18" s="302"/>
      <c r="AB18" s="307"/>
      <c r="AC18" s="307"/>
      <c r="AD18" s="360"/>
    </row>
    <row r="19" spans="1:30" s="355" customFormat="1" ht="25.25" customHeight="1">
      <c r="A19" s="470"/>
      <c r="B19" s="470"/>
      <c r="C19" s="1114"/>
      <c r="D19" s="482"/>
      <c r="E19" s="1101"/>
      <c r="F19" s="1100"/>
      <c r="G19" s="1098"/>
      <c r="H19" s="1099"/>
      <c r="I19" s="476"/>
      <c r="J19" s="380"/>
      <c r="K19" s="380"/>
      <c r="L19" s="363"/>
      <c r="M19" s="363"/>
      <c r="N19" s="363"/>
      <c r="O19" s="367" t="str">
        <f ca="1">IF(L19="","",IF(S19&lt;&gt;"","",IF(AND(S19="",L19-TODAY()&lt;=60),L19-TODAY(),"")))</f>
        <v/>
      </c>
      <c r="P19" s="365" t="str">
        <f>IF(COUNT(L19, S19)=2, L19-S19, "")</f>
        <v/>
      </c>
      <c r="Q19" s="361"/>
      <c r="R19" s="307" t="s">
        <v>36</v>
      </c>
      <c r="S19" s="302"/>
      <c r="T19" s="306"/>
      <c r="U19" s="302"/>
      <c r="V19" s="306"/>
      <c r="W19" s="307"/>
      <c r="X19" s="302"/>
      <c r="Y19" s="306"/>
      <c r="Z19" s="307" t="str">
        <f>IF(X19="","",IF(W19="檢退","檢退",IF(W19="審查同意","審定","檢退")))</f>
        <v/>
      </c>
      <c r="AA19" s="302"/>
      <c r="AB19" s="307"/>
      <c r="AC19" s="307"/>
      <c r="AD19" s="360"/>
    </row>
    <row r="20" spans="1:30" s="355" customFormat="1" ht="25.25" customHeight="1">
      <c r="A20" s="470"/>
      <c r="B20" s="470"/>
      <c r="C20" s="470">
        <v>135</v>
      </c>
      <c r="D20" s="480">
        <v>6</v>
      </c>
      <c r="E20" s="483">
        <v>206</v>
      </c>
      <c r="F20" s="471"/>
      <c r="G20" s="1109" t="s">
        <v>1707</v>
      </c>
      <c r="H20" s="1110" t="s">
        <v>1709</v>
      </c>
      <c r="I20" s="474" t="s">
        <v>293</v>
      </c>
      <c r="J20" s="382"/>
      <c r="K20" s="382"/>
      <c r="L20" s="364">
        <f>IF(M20="","",M20-30)</f>
        <v>46311</v>
      </c>
      <c r="M20" s="364">
        <f>IF(N20="","",N20-30)</f>
        <v>46341</v>
      </c>
      <c r="N20" s="363">
        <v>46371</v>
      </c>
      <c r="O20" s="367" t="str">
        <f ca="1">IF(L20="","",IF(S20&lt;&gt;"","",IF(AND(S20="",L20-TODAY()&lt;=60),L20-TODAY(),"")))</f>
        <v/>
      </c>
      <c r="P20" s="365" t="str">
        <f>IF(COUNT(L20, S20)=2, L20-S20, "")</f>
        <v/>
      </c>
      <c r="Q20" s="361"/>
      <c r="R20" s="307" t="s">
        <v>22</v>
      </c>
      <c r="S20" s="302"/>
      <c r="T20" s="306"/>
      <c r="U20" s="302"/>
      <c r="V20" s="306"/>
      <c r="W20" s="307"/>
      <c r="X20" s="302"/>
      <c r="Y20" s="306"/>
      <c r="Z20" s="306"/>
      <c r="AA20" s="302"/>
      <c r="AB20" s="307"/>
      <c r="AC20" s="307"/>
      <c r="AD20" s="360"/>
    </row>
    <row r="21" spans="1:30" s="355" customFormat="1" ht="25.25" customHeight="1">
      <c r="A21" s="470"/>
      <c r="B21" s="470"/>
      <c r="C21" s="470"/>
      <c r="D21" s="481"/>
      <c r="E21" s="484"/>
      <c r="F21" s="472"/>
      <c r="G21" s="1103"/>
      <c r="H21" s="487"/>
      <c r="I21" s="475"/>
      <c r="J21" s="381" t="s">
        <v>554</v>
      </c>
      <c r="K21" s="381">
        <v>2.2000000000000002</v>
      </c>
      <c r="L21" s="364"/>
      <c r="M21" s="364"/>
      <c r="N21" s="363"/>
      <c r="O21" s="367" t="str">
        <f ca="1">IF(L21="","",IF(S21&lt;&gt;"","",IF(AND(S21="",L21-TODAY()&lt;=60),L21-TODAY(),"")))</f>
        <v/>
      </c>
      <c r="P21" s="365" t="str">
        <f>IF(COUNT(L21, S21)=2, L21-S21, "")</f>
        <v/>
      </c>
      <c r="Q21" s="361"/>
      <c r="R21" s="307" t="s">
        <v>27</v>
      </c>
      <c r="S21" s="302"/>
      <c r="T21" s="302"/>
      <c r="U21" s="302"/>
      <c r="V21" s="306"/>
      <c r="W21" s="307"/>
      <c r="X21" s="302"/>
      <c r="Y21" s="306"/>
      <c r="Z21" s="307" t="str">
        <f>IF(X21="","",IF(W21="檢退","檢退",IF(W21="審查同意","審定","檢退")))</f>
        <v/>
      </c>
      <c r="AA21" s="302"/>
      <c r="AB21" s="307"/>
      <c r="AC21" s="307"/>
      <c r="AD21" s="360"/>
    </row>
    <row r="22" spans="1:30" s="355" customFormat="1" ht="25.25" customHeight="1">
      <c r="A22" s="470"/>
      <c r="B22" s="470"/>
      <c r="C22" s="470"/>
      <c r="D22" s="482"/>
      <c r="E22" s="485"/>
      <c r="F22" s="473"/>
      <c r="G22" s="1098"/>
      <c r="H22" s="488"/>
      <c r="I22" s="476"/>
      <c r="J22" s="380"/>
      <c r="K22" s="380"/>
      <c r="L22" s="363"/>
      <c r="M22" s="363"/>
      <c r="N22" s="363"/>
      <c r="O22" s="367" t="str">
        <f ca="1">IF(L22="","",IF(S22&lt;&gt;"","",IF(AND(S22="",L22-TODAY()&lt;=60),L22-TODAY(),"")))</f>
        <v/>
      </c>
      <c r="P22" s="365" t="str">
        <f>IF(COUNT(L22, S22)=2, L22-S22, "")</f>
        <v/>
      </c>
      <c r="Q22" s="361"/>
      <c r="R22" s="307" t="s">
        <v>36</v>
      </c>
      <c r="S22" s="302"/>
      <c r="T22" s="306"/>
      <c r="U22" s="302"/>
      <c r="V22" s="306"/>
      <c r="W22" s="307"/>
      <c r="X22" s="302"/>
      <c r="Y22" s="306"/>
      <c r="Z22" s="307" t="str">
        <f>IF(X22="","",IF(W22="檢退","檢退",IF(W22="審查同意","審定","檢退")))</f>
        <v/>
      </c>
      <c r="AA22" s="302"/>
      <c r="AB22" s="307"/>
      <c r="AC22" s="307"/>
      <c r="AD22" s="360"/>
    </row>
    <row r="23" spans="1:30" s="355" customFormat="1" ht="25.25" customHeight="1">
      <c r="A23" s="470"/>
      <c r="B23" s="470"/>
      <c r="C23" s="470">
        <v>135</v>
      </c>
      <c r="D23" s="480">
        <v>7</v>
      </c>
      <c r="E23" s="483">
        <v>206</v>
      </c>
      <c r="F23" s="471"/>
      <c r="G23" s="1109" t="s">
        <v>1707</v>
      </c>
      <c r="H23" s="1110" t="s">
        <v>1708</v>
      </c>
      <c r="I23" s="474" t="s">
        <v>293</v>
      </c>
      <c r="J23" s="382"/>
      <c r="K23" s="382"/>
      <c r="L23" s="364">
        <f>IF(M23="","",M23-30)</f>
        <v>46311</v>
      </c>
      <c r="M23" s="364">
        <f>IF(N23="","",N23-30)</f>
        <v>46341</v>
      </c>
      <c r="N23" s="363">
        <v>46371</v>
      </c>
      <c r="O23" s="367" t="str">
        <f ca="1">IF(L23="","",IF(S23&lt;&gt;"","",IF(AND(S23="",L23-TODAY()&lt;=60),L23-TODAY(),"")))</f>
        <v/>
      </c>
      <c r="P23" s="365" t="str">
        <f>IF(COUNT(L23, S23)=2, L23-S23, "")</f>
        <v/>
      </c>
      <c r="Q23" s="361"/>
      <c r="R23" s="307" t="s">
        <v>22</v>
      </c>
      <c r="S23" s="302"/>
      <c r="T23" s="306"/>
      <c r="U23" s="302"/>
      <c r="V23" s="306"/>
      <c r="W23" s="307"/>
      <c r="X23" s="302"/>
      <c r="Y23" s="306"/>
      <c r="Z23" s="306"/>
      <c r="AA23" s="302"/>
      <c r="AB23" s="307"/>
      <c r="AC23" s="307"/>
      <c r="AD23" s="360"/>
    </row>
    <row r="24" spans="1:30" s="355" customFormat="1" ht="25.25" customHeight="1">
      <c r="A24" s="470"/>
      <c r="B24" s="470"/>
      <c r="C24" s="470"/>
      <c r="D24" s="481"/>
      <c r="E24" s="484"/>
      <c r="F24" s="472"/>
      <c r="G24" s="1103"/>
      <c r="H24" s="487"/>
      <c r="I24" s="475"/>
      <c r="J24" s="381" t="s">
        <v>554</v>
      </c>
      <c r="K24" s="381">
        <v>2.2000000000000002</v>
      </c>
      <c r="L24" s="364"/>
      <c r="M24" s="364"/>
      <c r="N24" s="363"/>
      <c r="O24" s="367" t="str">
        <f ca="1">IF(L24="","",IF(S24&lt;&gt;"","",IF(AND(S24="",L24-TODAY()&lt;=60),L24-TODAY(),"")))</f>
        <v/>
      </c>
      <c r="P24" s="365" t="str">
        <f>IF(COUNT(L24, S24)=2, L24-S24, "")</f>
        <v/>
      </c>
      <c r="Q24" s="361"/>
      <c r="R24" s="307" t="s">
        <v>27</v>
      </c>
      <c r="S24" s="302"/>
      <c r="T24" s="302"/>
      <c r="U24" s="302"/>
      <c r="V24" s="306"/>
      <c r="W24" s="307"/>
      <c r="X24" s="302"/>
      <c r="Y24" s="306"/>
      <c r="Z24" s="307" t="str">
        <f>IF(X24="","",IF(W24="檢退","檢退",IF(W24="審查同意","審定","檢退")))</f>
        <v/>
      </c>
      <c r="AA24" s="302"/>
      <c r="AB24" s="307"/>
      <c r="AC24" s="307"/>
      <c r="AD24" s="360"/>
    </row>
    <row r="25" spans="1:30" s="355" customFormat="1" ht="25.25" customHeight="1">
      <c r="A25" s="470"/>
      <c r="B25" s="470"/>
      <c r="C25" s="470"/>
      <c r="D25" s="482"/>
      <c r="E25" s="485"/>
      <c r="F25" s="473"/>
      <c r="G25" s="1098"/>
      <c r="H25" s="488"/>
      <c r="I25" s="476"/>
      <c r="J25" s="380"/>
      <c r="K25" s="380"/>
      <c r="L25" s="363"/>
      <c r="M25" s="363"/>
      <c r="N25" s="363"/>
      <c r="O25" s="367" t="str">
        <f ca="1">IF(L25="","",IF(S25&lt;&gt;"","",IF(AND(S25="",L25-TODAY()&lt;=60),L25-TODAY(),"")))</f>
        <v/>
      </c>
      <c r="P25" s="365" t="str">
        <f>IF(COUNT(L25, S25)=2, L25-S25, "")</f>
        <v/>
      </c>
      <c r="Q25" s="361"/>
      <c r="R25" s="307" t="s">
        <v>36</v>
      </c>
      <c r="S25" s="302"/>
      <c r="T25" s="306"/>
      <c r="U25" s="302"/>
      <c r="V25" s="306"/>
      <c r="W25" s="307"/>
      <c r="X25" s="302"/>
      <c r="Y25" s="306"/>
      <c r="Z25" s="307" t="str">
        <f>IF(X25="","",IF(W25="檢退","檢退",IF(W25="審查同意","審定","檢退")))</f>
        <v/>
      </c>
      <c r="AA25" s="302"/>
      <c r="AB25" s="307"/>
      <c r="AC25" s="307"/>
      <c r="AD25" s="360"/>
    </row>
    <row r="26" spans="1:30" s="355" customFormat="1" ht="25.25" customHeight="1">
      <c r="A26" s="470"/>
      <c r="B26" s="470"/>
      <c r="C26" s="470">
        <v>135</v>
      </c>
      <c r="D26" s="480">
        <v>8</v>
      </c>
      <c r="E26" s="483">
        <v>206</v>
      </c>
      <c r="F26" s="471"/>
      <c r="G26" s="1109" t="s">
        <v>1707</v>
      </c>
      <c r="H26" s="1110" t="s">
        <v>1706</v>
      </c>
      <c r="I26" s="474" t="s">
        <v>293</v>
      </c>
      <c r="J26" s="382"/>
      <c r="K26" s="382"/>
      <c r="L26" s="364">
        <f>IF(M26="","",M26-30)</f>
        <v>46311</v>
      </c>
      <c r="M26" s="364">
        <f>IF(N26="","",N26-30)</f>
        <v>46341</v>
      </c>
      <c r="N26" s="363">
        <v>46371</v>
      </c>
      <c r="O26" s="367" t="str">
        <f ca="1">IF(L26="","",IF(S26&lt;&gt;"","",IF(AND(S26="",L26-TODAY()&lt;=60),L26-TODAY(),"")))</f>
        <v/>
      </c>
      <c r="P26" s="365" t="str">
        <f>IF(COUNT(L26, S26)=2, L26-S26, "")</f>
        <v/>
      </c>
      <c r="Q26" s="361"/>
      <c r="R26" s="307" t="s">
        <v>22</v>
      </c>
      <c r="S26" s="302"/>
      <c r="T26" s="306"/>
      <c r="U26" s="302"/>
      <c r="V26" s="306"/>
      <c r="W26" s="307"/>
      <c r="X26" s="302"/>
      <c r="Y26" s="306"/>
      <c r="Z26" s="306"/>
      <c r="AA26" s="302"/>
      <c r="AB26" s="307"/>
      <c r="AC26" s="307"/>
      <c r="AD26" s="360"/>
    </row>
    <row r="27" spans="1:30" s="355" customFormat="1" ht="25.25" customHeight="1">
      <c r="A27" s="470"/>
      <c r="B27" s="470"/>
      <c r="C27" s="470"/>
      <c r="D27" s="481"/>
      <c r="E27" s="484"/>
      <c r="F27" s="472"/>
      <c r="G27" s="1103"/>
      <c r="H27" s="487"/>
      <c r="I27" s="475"/>
      <c r="J27" s="381" t="s">
        <v>554</v>
      </c>
      <c r="K27" s="381">
        <v>2.2000000000000002</v>
      </c>
      <c r="L27" s="364"/>
      <c r="M27" s="364"/>
      <c r="N27" s="363"/>
      <c r="O27" s="367" t="str">
        <f ca="1">IF(L27="","",IF(S27&lt;&gt;"","",IF(AND(S27="",L27-TODAY()&lt;=60),L27-TODAY(),"")))</f>
        <v/>
      </c>
      <c r="P27" s="365" t="str">
        <f>IF(COUNT(L27, S27)=2, L27-S27, "")</f>
        <v/>
      </c>
      <c r="Q27" s="361"/>
      <c r="R27" s="307" t="s">
        <v>27</v>
      </c>
      <c r="S27" s="302"/>
      <c r="T27" s="302"/>
      <c r="U27" s="302"/>
      <c r="V27" s="306"/>
      <c r="W27" s="307"/>
      <c r="X27" s="302"/>
      <c r="Y27" s="306"/>
      <c r="Z27" s="307" t="str">
        <f>IF(X27="","",IF(W27="檢退","檢退",IF(W27="審查同意","審定","檢退")))</f>
        <v/>
      </c>
      <c r="AA27" s="302"/>
      <c r="AB27" s="307"/>
      <c r="AC27" s="307"/>
      <c r="AD27" s="360"/>
    </row>
    <row r="28" spans="1:30" s="355" customFormat="1" ht="25.25" customHeight="1">
      <c r="A28" s="470"/>
      <c r="B28" s="470"/>
      <c r="C28" s="470"/>
      <c r="D28" s="482"/>
      <c r="E28" s="485"/>
      <c r="F28" s="473"/>
      <c r="G28" s="1098"/>
      <c r="H28" s="488"/>
      <c r="I28" s="476"/>
      <c r="J28" s="380"/>
      <c r="K28" s="380"/>
      <c r="L28" s="363"/>
      <c r="M28" s="363"/>
      <c r="N28" s="363"/>
      <c r="O28" s="367" t="str">
        <f ca="1">IF(L28="","",IF(S28&lt;&gt;"","",IF(AND(S28="",L28-TODAY()&lt;=60),L28-TODAY(),"")))</f>
        <v/>
      </c>
      <c r="P28" s="365" t="str">
        <f>IF(COUNT(L28, S28)=2, L28-S28, "")</f>
        <v/>
      </c>
      <c r="Q28" s="361"/>
      <c r="R28" s="307" t="s">
        <v>36</v>
      </c>
      <c r="S28" s="302"/>
      <c r="T28" s="306"/>
      <c r="U28" s="302"/>
      <c r="V28" s="306"/>
      <c r="W28" s="307"/>
      <c r="X28" s="302"/>
      <c r="Y28" s="306"/>
      <c r="Z28" s="307" t="str">
        <f>IF(X28="","",IF(W28="檢退","檢退",IF(W28="審查同意","審定","檢退")))</f>
        <v/>
      </c>
      <c r="AA28" s="302"/>
      <c r="AB28" s="307"/>
      <c r="AC28" s="307"/>
      <c r="AD28" s="360"/>
    </row>
    <row r="29" spans="1:30" s="355" customFormat="1" ht="25.25" customHeight="1">
      <c r="A29" s="470"/>
      <c r="B29" s="470"/>
      <c r="C29" s="470"/>
      <c r="D29" s="480">
        <v>9</v>
      </c>
      <c r="E29" s="483"/>
      <c r="F29" s="471"/>
      <c r="G29" s="1109" t="s">
        <v>1705</v>
      </c>
      <c r="H29" s="1110" t="s">
        <v>1704</v>
      </c>
      <c r="I29" s="474" t="s">
        <v>293</v>
      </c>
      <c r="J29" s="382"/>
      <c r="K29" s="382"/>
      <c r="L29" s="364">
        <f>IF(M29="","",M29-30)</f>
        <v>46311</v>
      </c>
      <c r="M29" s="364">
        <f>IF(N29="","",N29-30)</f>
        <v>46341</v>
      </c>
      <c r="N29" s="363">
        <v>46371</v>
      </c>
      <c r="O29" s="367" t="str">
        <f ca="1">IF(L29="","",IF(S29&lt;&gt;"","",IF(AND(S29="",L29-TODAY()&lt;=60),L29-TODAY(),"")))</f>
        <v/>
      </c>
      <c r="P29" s="365" t="str">
        <f>IF(COUNT(L29, S29)=2, L29-S29, "")</f>
        <v/>
      </c>
      <c r="Q29" s="361"/>
      <c r="R29" s="307" t="s">
        <v>22</v>
      </c>
      <c r="S29" s="302"/>
      <c r="T29" s="306"/>
      <c r="U29" s="302"/>
      <c r="V29" s="306"/>
      <c r="W29" s="307"/>
      <c r="X29" s="302"/>
      <c r="Y29" s="306"/>
      <c r="Z29" s="306"/>
      <c r="AA29" s="302"/>
      <c r="AB29" s="307"/>
      <c r="AC29" s="307"/>
      <c r="AD29" s="360"/>
    </row>
    <row r="30" spans="1:30" s="355" customFormat="1" ht="25.25" customHeight="1">
      <c r="A30" s="470"/>
      <c r="B30" s="470"/>
      <c r="C30" s="470"/>
      <c r="D30" s="481"/>
      <c r="E30" s="484"/>
      <c r="F30" s="472"/>
      <c r="G30" s="1103"/>
      <c r="H30" s="487"/>
      <c r="I30" s="475"/>
      <c r="J30" s="381" t="s">
        <v>554</v>
      </c>
      <c r="K30" s="381">
        <v>2.2000000000000002</v>
      </c>
      <c r="L30" s="364"/>
      <c r="M30" s="364"/>
      <c r="N30" s="363"/>
      <c r="O30" s="367" t="str">
        <f ca="1">IF(L30="","",IF(S30&lt;&gt;"","",IF(AND(S30="",L30-TODAY()&lt;=60),L30-TODAY(),"")))</f>
        <v/>
      </c>
      <c r="P30" s="365" t="str">
        <f>IF(COUNT(L30, S30)=2, L30-S30, "")</f>
        <v/>
      </c>
      <c r="Q30" s="361"/>
      <c r="R30" s="307" t="s">
        <v>27</v>
      </c>
      <c r="S30" s="302"/>
      <c r="T30" s="302"/>
      <c r="U30" s="302"/>
      <c r="V30" s="306"/>
      <c r="W30" s="307"/>
      <c r="X30" s="302"/>
      <c r="Y30" s="306"/>
      <c r="Z30" s="307" t="str">
        <f>IF(X30="","",IF(W30="檢退","檢退",IF(W30="審查同意","審定","檢退")))</f>
        <v/>
      </c>
      <c r="AA30" s="302"/>
      <c r="AB30" s="307"/>
      <c r="AC30" s="307"/>
      <c r="AD30" s="360"/>
    </row>
    <row r="31" spans="1:30" s="355" customFormat="1" ht="25.25" customHeight="1">
      <c r="A31" s="470"/>
      <c r="B31" s="470"/>
      <c r="C31" s="470"/>
      <c r="D31" s="482"/>
      <c r="E31" s="485"/>
      <c r="F31" s="473"/>
      <c r="G31" s="1098"/>
      <c r="H31" s="488"/>
      <c r="I31" s="476"/>
      <c r="J31" s="380"/>
      <c r="K31" s="380"/>
      <c r="L31" s="363"/>
      <c r="M31" s="363"/>
      <c r="N31" s="363"/>
      <c r="O31" s="367" t="str">
        <f ca="1">IF(L31="","",IF(S31&lt;&gt;"","",IF(AND(S31="",L31-TODAY()&lt;=60),L31-TODAY(),"")))</f>
        <v/>
      </c>
      <c r="P31" s="365" t="str">
        <f>IF(COUNT(L31, S31)=2, L31-S31, "")</f>
        <v/>
      </c>
      <c r="Q31" s="361"/>
      <c r="R31" s="307" t="s">
        <v>36</v>
      </c>
      <c r="S31" s="302"/>
      <c r="T31" s="306"/>
      <c r="U31" s="302"/>
      <c r="V31" s="306"/>
      <c r="W31" s="307"/>
      <c r="X31" s="302"/>
      <c r="Y31" s="306"/>
      <c r="Z31" s="307" t="str">
        <f>IF(X31="","",IF(W31="檢退","檢退",IF(W31="審查同意","審定","檢退")))</f>
        <v/>
      </c>
      <c r="AA31" s="302"/>
      <c r="AB31" s="307"/>
      <c r="AC31" s="307"/>
      <c r="AD31" s="360"/>
    </row>
    <row r="32" spans="1:30" s="355" customFormat="1" ht="25.25" customHeight="1">
      <c r="A32" s="470"/>
      <c r="B32" s="470"/>
      <c r="C32" s="470">
        <v>142</v>
      </c>
      <c r="D32" s="480">
        <v>10</v>
      </c>
      <c r="E32" s="483">
        <v>210</v>
      </c>
      <c r="F32" s="471"/>
      <c r="G32" s="474" t="s">
        <v>465</v>
      </c>
      <c r="H32" s="486" t="s">
        <v>342</v>
      </c>
      <c r="I32" s="474" t="s">
        <v>293</v>
      </c>
      <c r="J32" s="382" t="s">
        <v>554</v>
      </c>
      <c r="K32" s="382"/>
      <c r="L32" s="364">
        <f>IF(M32="","",M32-30)</f>
        <v>46311</v>
      </c>
      <c r="M32" s="364">
        <f>IF(N32="","",N32-30)</f>
        <v>46341</v>
      </c>
      <c r="N32" s="363">
        <v>46371</v>
      </c>
      <c r="O32" s="367" t="str">
        <f ca="1">IF(L32="","",IF(S32&lt;&gt;"","",IF(AND(S32="",L32-TODAY()&lt;=60),L32-TODAY(),"")))</f>
        <v/>
      </c>
      <c r="P32" s="365" t="str">
        <f>IF(COUNT(L32, S32)=2, L32-S32, "")</f>
        <v/>
      </c>
      <c r="Q32" s="361"/>
      <c r="R32" s="307" t="s">
        <v>22</v>
      </c>
      <c r="S32" s="302"/>
      <c r="T32" s="306"/>
      <c r="U32" s="302"/>
      <c r="V32" s="306"/>
      <c r="W32" s="307"/>
      <c r="X32" s="302"/>
      <c r="Y32" s="306"/>
      <c r="Z32" s="306"/>
      <c r="AA32" s="302"/>
      <c r="AB32" s="307"/>
      <c r="AC32" s="307"/>
      <c r="AD32" s="360"/>
    </row>
    <row r="33" spans="1:30" s="355" customFormat="1" ht="25.25" customHeight="1">
      <c r="A33" s="470"/>
      <c r="B33" s="470"/>
      <c r="C33" s="470"/>
      <c r="D33" s="481"/>
      <c r="E33" s="484"/>
      <c r="F33" s="472"/>
      <c r="G33" s="475"/>
      <c r="H33" s="487"/>
      <c r="I33" s="475"/>
      <c r="J33" s="381"/>
      <c r="K33" s="381">
        <v>2.23</v>
      </c>
      <c r="L33" s="363"/>
      <c r="M33" s="363"/>
      <c r="N33" s="363"/>
      <c r="O33" s="367" t="str">
        <f ca="1">IF(L33="","",IF(S33&lt;&gt;"","",IF(AND(S33="",L33-TODAY()&lt;=60),L33-TODAY(),"")))</f>
        <v/>
      </c>
      <c r="P33" s="365" t="str">
        <f>IF(COUNT(L33, S33)=2, L33-S33, "")</f>
        <v/>
      </c>
      <c r="Q33" s="361"/>
      <c r="R33" s="307" t="s">
        <v>27</v>
      </c>
      <c r="S33" s="302"/>
      <c r="T33" s="302"/>
      <c r="U33" s="302"/>
      <c r="V33" s="306"/>
      <c r="W33" s="307"/>
      <c r="X33" s="302"/>
      <c r="Y33" s="306"/>
      <c r="Z33" s="307" t="str">
        <f>IF(X33="","",IF(W33="檢退","檢退",IF(W33="審查同意","審定","檢退")))</f>
        <v/>
      </c>
      <c r="AA33" s="302"/>
      <c r="AB33" s="307"/>
      <c r="AC33" s="307"/>
      <c r="AD33" s="360"/>
    </row>
    <row r="34" spans="1:30" s="355" customFormat="1" ht="25.25" customHeight="1">
      <c r="A34" s="470"/>
      <c r="B34" s="470"/>
      <c r="C34" s="470"/>
      <c r="D34" s="482"/>
      <c r="E34" s="485"/>
      <c r="F34" s="473"/>
      <c r="G34" s="476"/>
      <c r="H34" s="488"/>
      <c r="I34" s="476"/>
      <c r="J34" s="380"/>
      <c r="K34" s="380"/>
      <c r="L34" s="363"/>
      <c r="M34" s="363"/>
      <c r="N34" s="363"/>
      <c r="O34" s="367" t="str">
        <f ca="1">IF(L34="","",IF(S34&lt;&gt;"","",IF(AND(S34="",L34-TODAY()&lt;=60),L34-TODAY(),"")))</f>
        <v/>
      </c>
      <c r="P34" s="365" t="str">
        <f>IF(COUNT(L34, S34)=2, L34-S34, "")</f>
        <v/>
      </c>
      <c r="Q34" s="361"/>
      <c r="R34" s="307" t="s">
        <v>36</v>
      </c>
      <c r="S34" s="302"/>
      <c r="T34" s="306"/>
      <c r="U34" s="302"/>
      <c r="V34" s="306"/>
      <c r="W34" s="307"/>
      <c r="X34" s="302"/>
      <c r="Y34" s="306"/>
      <c r="Z34" s="307" t="str">
        <f>IF(X34="","",IF(W34="檢退","檢退",IF(W34="審查同意","審定","檢退")))</f>
        <v/>
      </c>
      <c r="AA34" s="302"/>
      <c r="AB34" s="307"/>
      <c r="AC34" s="307"/>
      <c r="AD34" s="360"/>
    </row>
    <row r="35" spans="1:30" s="355" customFormat="1" ht="25.25" customHeight="1">
      <c r="A35" s="470"/>
      <c r="B35" s="470"/>
      <c r="C35" s="470">
        <v>76</v>
      </c>
      <c r="D35" s="480">
        <v>11</v>
      </c>
      <c r="E35" s="483">
        <v>211</v>
      </c>
      <c r="F35" s="471"/>
      <c r="G35" s="474" t="s">
        <v>466</v>
      </c>
      <c r="H35" s="486" t="s">
        <v>343</v>
      </c>
      <c r="I35" s="474" t="s">
        <v>293</v>
      </c>
      <c r="J35" s="382"/>
      <c r="K35" s="382"/>
      <c r="L35" s="364">
        <f>IF(M35="","",M35-30)</f>
        <v>46311</v>
      </c>
      <c r="M35" s="364">
        <f>IF(N35="","",N35-30)</f>
        <v>46341</v>
      </c>
      <c r="N35" s="363">
        <v>46371</v>
      </c>
      <c r="O35" s="367" t="str">
        <f ca="1">IF(L35="","",IF(S35&lt;&gt;"","",IF(AND(S35="",L35-TODAY()&lt;=60),L35-TODAY(),"")))</f>
        <v/>
      </c>
      <c r="P35" s="365" t="str">
        <f>IF(COUNT(L35, S35)=2, L35-S35, "")</f>
        <v/>
      </c>
      <c r="Q35" s="361"/>
      <c r="R35" s="307" t="s">
        <v>22</v>
      </c>
      <c r="S35" s="302"/>
      <c r="T35" s="306"/>
      <c r="U35" s="302"/>
      <c r="V35" s="306"/>
      <c r="W35" s="307"/>
      <c r="X35" s="302"/>
      <c r="Y35" s="306"/>
      <c r="Z35" s="306"/>
      <c r="AA35" s="302"/>
      <c r="AB35" s="307"/>
      <c r="AC35" s="307"/>
      <c r="AD35" s="360"/>
    </row>
    <row r="36" spans="1:30" s="355" customFormat="1" ht="25.25" customHeight="1">
      <c r="A36" s="470"/>
      <c r="B36" s="470"/>
      <c r="C36" s="470"/>
      <c r="D36" s="481"/>
      <c r="E36" s="484"/>
      <c r="F36" s="472"/>
      <c r="G36" s="548"/>
      <c r="H36" s="487"/>
      <c r="I36" s="475"/>
      <c r="J36" s="381" t="s">
        <v>554</v>
      </c>
      <c r="K36" s="381">
        <v>2.21</v>
      </c>
      <c r="L36" s="363"/>
      <c r="M36" s="363"/>
      <c r="N36" s="363"/>
      <c r="O36" s="367" t="str">
        <f ca="1">IF(L36="","",IF(S36&lt;&gt;"","",IF(AND(S36="",L36-TODAY()&lt;=60),L36-TODAY(),"")))</f>
        <v/>
      </c>
      <c r="P36" s="365" t="str">
        <f>IF(COUNT(L36, S36)=2, L36-S36, "")</f>
        <v/>
      </c>
      <c r="Q36" s="361"/>
      <c r="R36" s="307" t="s">
        <v>27</v>
      </c>
      <c r="S36" s="302"/>
      <c r="T36" s="302"/>
      <c r="U36" s="302"/>
      <c r="V36" s="306"/>
      <c r="W36" s="307"/>
      <c r="X36" s="302"/>
      <c r="Y36" s="306"/>
      <c r="Z36" s="307" t="str">
        <f>IF(X36="","",IF(W36="檢退","檢退",IF(W36="審查同意","審定","檢退")))</f>
        <v/>
      </c>
      <c r="AA36" s="302"/>
      <c r="AB36" s="307"/>
      <c r="AC36" s="307"/>
      <c r="AD36" s="360"/>
    </row>
    <row r="37" spans="1:30" s="355" customFormat="1" ht="25.25" customHeight="1">
      <c r="A37" s="470"/>
      <c r="B37" s="470"/>
      <c r="C37" s="470"/>
      <c r="D37" s="482"/>
      <c r="E37" s="485"/>
      <c r="F37" s="473"/>
      <c r="G37" s="549"/>
      <c r="H37" s="488"/>
      <c r="I37" s="476"/>
      <c r="J37" s="380"/>
      <c r="K37" s="380"/>
      <c r="L37" s="363"/>
      <c r="M37" s="363"/>
      <c r="N37" s="363"/>
      <c r="O37" s="367" t="str">
        <f ca="1">IF(L37="","",IF(S37&lt;&gt;"","",IF(AND(S37="",L37-TODAY()&lt;=60),L37-TODAY(),"")))</f>
        <v/>
      </c>
      <c r="P37" s="365" t="str">
        <f>IF(COUNT(L37, S37)=2, L37-S37, "")</f>
        <v/>
      </c>
      <c r="Q37" s="361"/>
      <c r="R37" s="307" t="s">
        <v>36</v>
      </c>
      <c r="S37" s="302"/>
      <c r="T37" s="306"/>
      <c r="U37" s="302"/>
      <c r="V37" s="306"/>
      <c r="W37" s="307"/>
      <c r="X37" s="302"/>
      <c r="Y37" s="306"/>
      <c r="Z37" s="307" t="str">
        <f>IF(X37="","",IF(W37="檢退","檢退",IF(W37="審查同意","審定","檢退")))</f>
        <v/>
      </c>
      <c r="AA37" s="302"/>
      <c r="AB37" s="307"/>
      <c r="AC37" s="307"/>
      <c r="AD37" s="360"/>
    </row>
    <row r="38" spans="1:30" s="355" customFormat="1" ht="25.25" customHeight="1">
      <c r="A38" s="470"/>
      <c r="B38" s="470"/>
      <c r="C38" s="470">
        <v>136</v>
      </c>
      <c r="D38" s="480">
        <v>12</v>
      </c>
      <c r="E38" s="483">
        <v>212</v>
      </c>
      <c r="F38" s="471"/>
      <c r="G38" s="1117" t="s">
        <v>1703</v>
      </c>
      <c r="H38" s="486" t="s">
        <v>344</v>
      </c>
      <c r="I38" s="474" t="s">
        <v>293</v>
      </c>
      <c r="J38" s="382" t="s">
        <v>554</v>
      </c>
      <c r="K38" s="382"/>
      <c r="L38" s="364">
        <f>IF(M38="","",M38-30)</f>
        <v>46311</v>
      </c>
      <c r="M38" s="364">
        <f>IF(N38="","",N38-30)</f>
        <v>46341</v>
      </c>
      <c r="N38" s="363">
        <v>46371</v>
      </c>
      <c r="O38" s="367" t="str">
        <f ca="1">IF(L38="","",IF(S38&lt;&gt;"","",IF(AND(S38="",L38-TODAY()&lt;=60),L38-TODAY(),"")))</f>
        <v/>
      </c>
      <c r="P38" s="365" t="str">
        <f>IF(COUNT(L38, S38)=2, L38-S38, "")</f>
        <v/>
      </c>
      <c r="Q38" s="361"/>
      <c r="R38" s="307" t="s">
        <v>22</v>
      </c>
      <c r="S38" s="302"/>
      <c r="T38" s="306"/>
      <c r="U38" s="302"/>
      <c r="V38" s="306"/>
      <c r="W38" s="307"/>
      <c r="X38" s="302"/>
      <c r="Y38" s="306"/>
      <c r="Z38" s="306"/>
      <c r="AA38" s="302"/>
      <c r="AB38" s="307"/>
      <c r="AC38" s="307"/>
      <c r="AD38" s="360"/>
    </row>
    <row r="39" spans="1:30" s="355" customFormat="1" ht="25.25" customHeight="1">
      <c r="A39" s="470"/>
      <c r="B39" s="470"/>
      <c r="C39" s="470"/>
      <c r="D39" s="481"/>
      <c r="E39" s="484"/>
      <c r="F39" s="472"/>
      <c r="G39" s="1115"/>
      <c r="H39" s="487"/>
      <c r="I39" s="475"/>
      <c r="J39" s="381"/>
      <c r="K39" s="381">
        <v>2.2200000000000002</v>
      </c>
      <c r="L39" s="363"/>
      <c r="M39" s="363"/>
      <c r="N39" s="363"/>
      <c r="O39" s="367" t="str">
        <f ca="1">IF(L39="","",IF(S39&lt;&gt;"","",IF(AND(S39="",L39-TODAY()&lt;=60),L39-TODAY(),"")))</f>
        <v/>
      </c>
      <c r="P39" s="365" t="str">
        <f>IF(COUNT(L39, S39)=2, L39-S39, "")</f>
        <v/>
      </c>
      <c r="Q39" s="361"/>
      <c r="R39" s="307" t="s">
        <v>27</v>
      </c>
      <c r="S39" s="302"/>
      <c r="T39" s="302"/>
      <c r="U39" s="302"/>
      <c r="V39" s="306"/>
      <c r="W39" s="307"/>
      <c r="X39" s="302"/>
      <c r="Y39" s="306"/>
      <c r="Z39" s="307" t="str">
        <f>IF(X39="","",IF(W39="檢退","檢退",IF(W39="審查同意","審定","檢退")))</f>
        <v/>
      </c>
      <c r="AA39" s="302"/>
      <c r="AB39" s="307"/>
      <c r="AC39" s="307"/>
      <c r="AD39" s="360"/>
    </row>
    <row r="40" spans="1:30" s="355" customFormat="1" ht="25.25" customHeight="1">
      <c r="A40" s="470"/>
      <c r="B40" s="470"/>
      <c r="C40" s="470"/>
      <c r="D40" s="482"/>
      <c r="E40" s="485"/>
      <c r="F40" s="473"/>
      <c r="G40" s="1113"/>
      <c r="H40" s="488"/>
      <c r="I40" s="476"/>
      <c r="J40" s="380"/>
      <c r="K40" s="380"/>
      <c r="L40" s="363"/>
      <c r="M40" s="363"/>
      <c r="N40" s="363"/>
      <c r="O40" s="367" t="str">
        <f ca="1">IF(L40="","",IF(S40&lt;&gt;"","",IF(AND(S40="",L40-TODAY()&lt;=60),L40-TODAY(),"")))</f>
        <v/>
      </c>
      <c r="P40" s="365" t="str">
        <f>IF(COUNT(L40, S40)=2, L40-S40, "")</f>
        <v/>
      </c>
      <c r="Q40" s="361"/>
      <c r="R40" s="307" t="s">
        <v>36</v>
      </c>
      <c r="S40" s="302"/>
      <c r="T40" s="306"/>
      <c r="U40" s="302"/>
      <c r="V40" s="306"/>
      <c r="W40" s="307"/>
      <c r="X40" s="302"/>
      <c r="Y40" s="306"/>
      <c r="Z40" s="307" t="str">
        <f>IF(X40="","",IF(W40="檢退","檢退",IF(W40="審查同意","審定","檢退")))</f>
        <v/>
      </c>
      <c r="AA40" s="302"/>
      <c r="AB40" s="307"/>
      <c r="AC40" s="307"/>
      <c r="AD40" s="360"/>
    </row>
    <row r="41" spans="1:30" s="355" customFormat="1" ht="25.25" customHeight="1">
      <c r="A41" s="470"/>
      <c r="B41" s="470"/>
      <c r="C41" s="470">
        <v>180</v>
      </c>
      <c r="D41" s="480">
        <v>13</v>
      </c>
      <c r="E41" s="483">
        <v>221</v>
      </c>
      <c r="F41" s="471"/>
      <c r="G41" s="477" t="s">
        <v>467</v>
      </c>
      <c r="H41" s="486" t="s">
        <v>345</v>
      </c>
      <c r="I41" s="474" t="s">
        <v>293</v>
      </c>
      <c r="J41" s="382"/>
      <c r="K41" s="382"/>
      <c r="L41" s="364">
        <f>IF(M41="","",M41-30)</f>
        <v>46311</v>
      </c>
      <c r="M41" s="364">
        <f>IF(N41="","",N41-30)</f>
        <v>46341</v>
      </c>
      <c r="N41" s="363">
        <v>46371</v>
      </c>
      <c r="O41" s="367" t="str">
        <f ca="1">IF(L41="","",IF(S41&lt;&gt;"","",IF(AND(S41="",L41-TODAY()&lt;=60),L41-TODAY(),"")))</f>
        <v/>
      </c>
      <c r="P41" s="365" t="str">
        <f>IF(COUNT(L41, S41)=2, L41-S41, "")</f>
        <v/>
      </c>
      <c r="Q41" s="361"/>
      <c r="R41" s="307" t="s">
        <v>22</v>
      </c>
      <c r="S41" s="302"/>
      <c r="T41" s="306"/>
      <c r="U41" s="302"/>
      <c r="V41" s="306"/>
      <c r="W41" s="307"/>
      <c r="X41" s="302"/>
      <c r="Y41" s="306"/>
      <c r="Z41" s="306"/>
      <c r="AA41" s="302"/>
      <c r="AB41" s="307"/>
      <c r="AC41" s="307"/>
      <c r="AD41" s="360"/>
    </row>
    <row r="42" spans="1:30" s="355" customFormat="1" ht="25.25" customHeight="1">
      <c r="A42" s="470"/>
      <c r="B42" s="470"/>
      <c r="C42" s="470"/>
      <c r="D42" s="481"/>
      <c r="E42" s="484"/>
      <c r="F42" s="472"/>
      <c r="G42" s="478"/>
      <c r="H42" s="487"/>
      <c r="I42" s="475"/>
      <c r="J42" s="381" t="s">
        <v>554</v>
      </c>
      <c r="K42" s="381">
        <v>2.16</v>
      </c>
      <c r="L42" s="363"/>
      <c r="M42" s="363"/>
      <c r="N42" s="363"/>
      <c r="O42" s="367" t="str">
        <f ca="1">IF(L42="","",IF(S42&lt;&gt;"","",IF(AND(S42="",L42-TODAY()&lt;=60),L42-TODAY(),"")))</f>
        <v/>
      </c>
      <c r="P42" s="365" t="str">
        <f>IF(COUNT(L42, S42)=2, L42-S42, "")</f>
        <v/>
      </c>
      <c r="Q42" s="361"/>
      <c r="R42" s="307" t="s">
        <v>27</v>
      </c>
      <c r="S42" s="302"/>
      <c r="T42" s="302"/>
      <c r="U42" s="302"/>
      <c r="V42" s="306"/>
      <c r="W42" s="307"/>
      <c r="X42" s="302"/>
      <c r="Y42" s="306"/>
      <c r="Z42" s="307" t="str">
        <f>IF(X42="","",IF(W42="檢退","檢退",IF(W42="審查同意","審定","檢退")))</f>
        <v/>
      </c>
      <c r="AA42" s="302"/>
      <c r="AB42" s="307"/>
      <c r="AC42" s="307"/>
      <c r="AD42" s="360"/>
    </row>
    <row r="43" spans="1:30" s="355" customFormat="1" ht="25.25" customHeight="1">
      <c r="A43" s="470"/>
      <c r="B43" s="470"/>
      <c r="C43" s="470"/>
      <c r="D43" s="482"/>
      <c r="E43" s="485"/>
      <c r="F43" s="473"/>
      <c r="G43" s="479"/>
      <c r="H43" s="488"/>
      <c r="I43" s="476"/>
      <c r="J43" s="380"/>
      <c r="K43" s="380"/>
      <c r="L43" s="363"/>
      <c r="M43" s="363"/>
      <c r="N43" s="363"/>
      <c r="O43" s="367" t="str">
        <f ca="1">IF(L43="","",IF(S43&lt;&gt;"","",IF(AND(S43="",L43-TODAY()&lt;=60),L43-TODAY(),"")))</f>
        <v/>
      </c>
      <c r="P43" s="365" t="str">
        <f>IF(COUNT(L43, S43)=2, L43-S43, "")</f>
        <v/>
      </c>
      <c r="Q43" s="361"/>
      <c r="R43" s="307" t="s">
        <v>36</v>
      </c>
      <c r="S43" s="302"/>
      <c r="T43" s="306"/>
      <c r="U43" s="302"/>
      <c r="V43" s="306"/>
      <c r="W43" s="307"/>
      <c r="X43" s="302"/>
      <c r="Y43" s="306"/>
      <c r="Z43" s="307" t="str">
        <f>IF(X43="","",IF(W43="檢退","檢退",IF(W43="審查同意","審定","檢退")))</f>
        <v/>
      </c>
      <c r="AA43" s="302"/>
      <c r="AB43" s="307"/>
      <c r="AC43" s="307"/>
      <c r="AD43" s="360"/>
    </row>
    <row r="44" spans="1:30" s="355" customFormat="1" ht="25.25" customHeight="1">
      <c r="A44" s="470"/>
      <c r="B44" s="470"/>
      <c r="C44" s="470"/>
      <c r="D44" s="480">
        <v>14</v>
      </c>
      <c r="E44" s="1112"/>
      <c r="F44" s="1111"/>
      <c r="G44" s="1117" t="s">
        <v>1702</v>
      </c>
      <c r="H44" s="1110" t="s">
        <v>1701</v>
      </c>
      <c r="I44" s="474" t="s">
        <v>293</v>
      </c>
      <c r="J44" s="382" t="s">
        <v>554</v>
      </c>
      <c r="K44" s="382"/>
      <c r="L44" s="364">
        <f>IF(M44="","",M44-30)</f>
        <v>46325</v>
      </c>
      <c r="M44" s="364">
        <f>IF(N44="","",N44-30)</f>
        <v>46355</v>
      </c>
      <c r="N44" s="363">
        <v>46385</v>
      </c>
      <c r="O44" s="367" t="str">
        <f ca="1">IF(L44="","",IF(S44&lt;&gt;"","",IF(AND(S44="",L44-TODAY()&lt;=60),L44-TODAY(),"")))</f>
        <v/>
      </c>
      <c r="P44" s="365" t="str">
        <f>IF(COUNT(L44, S44)=2, L44-S44, "")</f>
        <v/>
      </c>
      <c r="Q44" s="361"/>
      <c r="R44" s="307" t="s">
        <v>22</v>
      </c>
      <c r="S44" s="302"/>
      <c r="T44" s="306"/>
      <c r="U44" s="302"/>
      <c r="V44" s="306"/>
      <c r="W44" s="307"/>
      <c r="X44" s="302"/>
      <c r="Y44" s="306"/>
      <c r="Z44" s="306"/>
      <c r="AA44" s="302"/>
      <c r="AB44" s="307"/>
      <c r="AC44" s="307"/>
      <c r="AD44" s="360"/>
    </row>
    <row r="45" spans="1:30" s="355" customFormat="1" ht="25.25" customHeight="1">
      <c r="A45" s="470"/>
      <c r="B45" s="470"/>
      <c r="C45" s="470"/>
      <c r="D45" s="481"/>
      <c r="E45" s="1116"/>
      <c r="F45" s="1106"/>
      <c r="G45" s="1121"/>
      <c r="H45" s="1120"/>
      <c r="I45" s="475"/>
      <c r="J45" s="381"/>
      <c r="K45" s="381"/>
      <c r="L45" s="363"/>
      <c r="M45" s="363"/>
      <c r="N45" s="363"/>
      <c r="O45" s="367" t="str">
        <f ca="1">IF(L45="","",IF(S45&lt;&gt;"","",IF(AND(S45="",L45-TODAY()&lt;=60),L45-TODAY(),"")))</f>
        <v/>
      </c>
      <c r="P45" s="365" t="str">
        <f>IF(COUNT(L45, S45)=2, L45-S45, "")</f>
        <v/>
      </c>
      <c r="Q45" s="361"/>
      <c r="R45" s="307" t="s">
        <v>27</v>
      </c>
      <c r="S45" s="302"/>
      <c r="T45" s="302"/>
      <c r="U45" s="302"/>
      <c r="V45" s="306"/>
      <c r="W45" s="307"/>
      <c r="X45" s="302"/>
      <c r="Y45" s="306"/>
      <c r="Z45" s="307" t="str">
        <f>IF(X45="","",IF(W45="檢退","檢退",IF(W45="審查同意","審定","檢退")))</f>
        <v/>
      </c>
      <c r="AA45" s="302"/>
      <c r="AB45" s="307"/>
      <c r="AC45" s="307"/>
      <c r="AD45" s="360"/>
    </row>
    <row r="46" spans="1:30" s="355" customFormat="1" ht="25.25" customHeight="1">
      <c r="A46" s="470"/>
      <c r="B46" s="470"/>
      <c r="C46" s="470"/>
      <c r="D46" s="482"/>
      <c r="E46" s="1101"/>
      <c r="F46" s="1100"/>
      <c r="G46" s="1119"/>
      <c r="H46" s="1118"/>
      <c r="I46" s="476"/>
      <c r="J46" s="380"/>
      <c r="K46" s="380"/>
      <c r="L46" s="363"/>
      <c r="M46" s="363"/>
      <c r="N46" s="363"/>
      <c r="O46" s="367" t="str">
        <f ca="1">IF(L46="","",IF(S46&lt;&gt;"","",IF(AND(S46="",L46-TODAY()&lt;=60),L46-TODAY(),"")))</f>
        <v/>
      </c>
      <c r="P46" s="365" t="str">
        <f>IF(COUNT(L46, S46)=2, L46-S46, "")</f>
        <v/>
      </c>
      <c r="Q46" s="361"/>
      <c r="R46" s="307" t="s">
        <v>36</v>
      </c>
      <c r="S46" s="302"/>
      <c r="T46" s="306"/>
      <c r="U46" s="302"/>
      <c r="V46" s="306"/>
      <c r="W46" s="307"/>
      <c r="X46" s="302"/>
      <c r="Y46" s="306"/>
      <c r="Z46" s="307" t="str">
        <f>IF(X46="","",IF(W46="檢退","檢退",IF(W46="審查同意","審定","檢退")))</f>
        <v/>
      </c>
      <c r="AA46" s="302"/>
      <c r="AB46" s="307"/>
      <c r="AC46" s="307"/>
      <c r="AD46" s="360"/>
    </row>
    <row r="47" spans="1:30" s="355" customFormat="1" ht="25.25" customHeight="1">
      <c r="A47" s="470"/>
      <c r="B47" s="470"/>
      <c r="C47" s="470"/>
      <c r="D47" s="480">
        <v>15</v>
      </c>
      <c r="E47" s="1112">
        <v>222</v>
      </c>
      <c r="F47" s="1111"/>
      <c r="G47" s="1117" t="s">
        <v>1700</v>
      </c>
      <c r="H47" s="1110" t="s">
        <v>1699</v>
      </c>
      <c r="I47" s="474" t="s">
        <v>293</v>
      </c>
      <c r="J47" s="382" t="s">
        <v>554</v>
      </c>
      <c r="K47" s="382"/>
      <c r="L47" s="364">
        <f>IF(M47="","",M47-30)</f>
        <v>46325</v>
      </c>
      <c r="M47" s="364">
        <f>IF(N47="","",N47-30)</f>
        <v>46355</v>
      </c>
      <c r="N47" s="363">
        <v>46385</v>
      </c>
      <c r="O47" s="367" t="str">
        <f ca="1">IF(L47="","",IF(S47&lt;&gt;"","",IF(AND(S47="",L47-TODAY()&lt;=60),L47-TODAY(),"")))</f>
        <v/>
      </c>
      <c r="P47" s="365" t="str">
        <f>IF(COUNT(L47, S47)=2, L47-S47, "")</f>
        <v/>
      </c>
      <c r="Q47" s="361"/>
      <c r="R47" s="307" t="s">
        <v>22</v>
      </c>
      <c r="S47" s="302"/>
      <c r="T47" s="306"/>
      <c r="U47" s="302"/>
      <c r="V47" s="306"/>
      <c r="W47" s="307"/>
      <c r="X47" s="302"/>
      <c r="Y47" s="306"/>
      <c r="Z47" s="306"/>
      <c r="AA47" s="302"/>
      <c r="AB47" s="307"/>
      <c r="AC47" s="307"/>
      <c r="AD47" s="360"/>
    </row>
    <row r="48" spans="1:30" s="355" customFormat="1" ht="25.25" customHeight="1">
      <c r="A48" s="470"/>
      <c r="B48" s="470"/>
      <c r="C48" s="470"/>
      <c r="D48" s="481"/>
      <c r="E48" s="1116"/>
      <c r="F48" s="1106"/>
      <c r="G48" s="1121"/>
      <c r="H48" s="1120"/>
      <c r="I48" s="475"/>
      <c r="J48" s="381"/>
      <c r="K48" s="381">
        <v>2.1800000000000002</v>
      </c>
      <c r="L48" s="363"/>
      <c r="M48" s="363"/>
      <c r="N48" s="363"/>
      <c r="O48" s="367" t="str">
        <f ca="1">IF(L48="","",IF(S48&lt;&gt;"","",IF(AND(S48="",L48-TODAY()&lt;=60),L48-TODAY(),"")))</f>
        <v/>
      </c>
      <c r="P48" s="365" t="str">
        <f>IF(COUNT(L48, S48)=2, L48-S48, "")</f>
        <v/>
      </c>
      <c r="Q48" s="361"/>
      <c r="R48" s="307" t="s">
        <v>27</v>
      </c>
      <c r="S48" s="302"/>
      <c r="T48" s="302"/>
      <c r="U48" s="302"/>
      <c r="V48" s="306"/>
      <c r="W48" s="307"/>
      <c r="X48" s="302"/>
      <c r="Y48" s="306"/>
      <c r="Z48" s="307" t="str">
        <f>IF(X48="","",IF(W48="檢退","檢退",IF(W48="審查同意","審定","檢退")))</f>
        <v/>
      </c>
      <c r="AA48" s="302"/>
      <c r="AB48" s="307"/>
      <c r="AC48" s="307"/>
      <c r="AD48" s="360"/>
    </row>
    <row r="49" spans="1:30" s="355" customFormat="1" ht="25.25" customHeight="1">
      <c r="A49" s="470"/>
      <c r="B49" s="470"/>
      <c r="C49" s="470"/>
      <c r="D49" s="482"/>
      <c r="E49" s="1101"/>
      <c r="F49" s="1100"/>
      <c r="G49" s="1119"/>
      <c r="H49" s="1118"/>
      <c r="I49" s="476"/>
      <c r="J49" s="380"/>
      <c r="K49" s="380"/>
      <c r="L49" s="363"/>
      <c r="M49" s="363"/>
      <c r="N49" s="363"/>
      <c r="O49" s="367" t="str">
        <f ca="1">IF(L49="","",IF(S49&lt;&gt;"","",IF(AND(S49="",L49-TODAY()&lt;=60),L49-TODAY(),"")))</f>
        <v/>
      </c>
      <c r="P49" s="365" t="str">
        <f>IF(COUNT(L49, S49)=2, L49-S49, "")</f>
        <v/>
      </c>
      <c r="Q49" s="361"/>
      <c r="R49" s="307" t="s">
        <v>36</v>
      </c>
      <c r="S49" s="302"/>
      <c r="T49" s="306"/>
      <c r="U49" s="302"/>
      <c r="V49" s="306"/>
      <c r="W49" s="307"/>
      <c r="X49" s="302"/>
      <c r="Y49" s="306"/>
      <c r="Z49" s="307" t="str">
        <f>IF(X49="","",IF(W49="檢退","檢退",IF(W49="審查同意","審定","檢退")))</f>
        <v/>
      </c>
      <c r="AA49" s="302"/>
      <c r="AB49" s="307"/>
      <c r="AC49" s="307"/>
      <c r="AD49" s="360"/>
    </row>
    <row r="50" spans="1:30" s="355" customFormat="1" ht="25.25" customHeight="1">
      <c r="A50" s="470"/>
      <c r="B50" s="470"/>
      <c r="C50" s="470">
        <v>77</v>
      </c>
      <c r="D50" s="480">
        <v>16</v>
      </c>
      <c r="E50" s="483">
        <v>223</v>
      </c>
      <c r="F50" s="471"/>
      <c r="G50" s="477" t="s">
        <v>468</v>
      </c>
      <c r="H50" s="486" t="s">
        <v>346</v>
      </c>
      <c r="I50" s="474" t="s">
        <v>293</v>
      </c>
      <c r="J50" s="382" t="s">
        <v>554</v>
      </c>
      <c r="K50" s="382"/>
      <c r="L50" s="364">
        <f>IF(M50="","",M50-30)</f>
        <v>46325</v>
      </c>
      <c r="M50" s="364">
        <f>IF(N50="","",N50-30)</f>
        <v>46355</v>
      </c>
      <c r="N50" s="363">
        <v>46385</v>
      </c>
      <c r="O50" s="367" t="str">
        <f ca="1">IF(L50="","",IF(S50&lt;&gt;"","",IF(AND(S50="",L50-TODAY()&lt;=60),L50-TODAY(),"")))</f>
        <v/>
      </c>
      <c r="P50" s="365" t="str">
        <f>IF(COUNT(L50, S50)=2, L50-S50, "")</f>
        <v/>
      </c>
      <c r="Q50" s="361"/>
      <c r="R50" s="307" t="s">
        <v>22</v>
      </c>
      <c r="S50" s="302"/>
      <c r="T50" s="306"/>
      <c r="U50" s="302"/>
      <c r="V50" s="306"/>
      <c r="W50" s="307"/>
      <c r="X50" s="302"/>
      <c r="Y50" s="306"/>
      <c r="Z50" s="306"/>
      <c r="AA50" s="302"/>
      <c r="AB50" s="307"/>
      <c r="AC50" s="307"/>
      <c r="AD50" s="360"/>
    </row>
    <row r="51" spans="1:30" s="355" customFormat="1" ht="25.25" customHeight="1">
      <c r="A51" s="470"/>
      <c r="B51" s="470"/>
      <c r="C51" s="470"/>
      <c r="D51" s="481"/>
      <c r="E51" s="484"/>
      <c r="F51" s="472"/>
      <c r="G51" s="478"/>
      <c r="H51" s="487"/>
      <c r="I51" s="475"/>
      <c r="J51" s="381"/>
      <c r="K51" s="381">
        <v>2.1800000000000002</v>
      </c>
      <c r="L51" s="363"/>
      <c r="M51" s="363"/>
      <c r="N51" s="363"/>
      <c r="O51" s="367" t="str">
        <f ca="1">IF(L51="","",IF(S51&lt;&gt;"","",IF(AND(S51="",L51-TODAY()&lt;=60),L51-TODAY(),"")))</f>
        <v/>
      </c>
      <c r="P51" s="365" t="str">
        <f>IF(COUNT(L51, S51)=2, L51-S51, "")</f>
        <v/>
      </c>
      <c r="Q51" s="361"/>
      <c r="R51" s="307" t="s">
        <v>27</v>
      </c>
      <c r="S51" s="302"/>
      <c r="T51" s="302"/>
      <c r="U51" s="302"/>
      <c r="V51" s="306"/>
      <c r="W51" s="307"/>
      <c r="X51" s="302"/>
      <c r="Y51" s="306"/>
      <c r="Z51" s="307" t="str">
        <f>IF(X51="","",IF(W51="檢退","檢退",IF(W51="審查同意","審定","檢退")))</f>
        <v/>
      </c>
      <c r="AA51" s="302"/>
      <c r="AB51" s="307"/>
      <c r="AC51" s="307"/>
      <c r="AD51" s="360"/>
    </row>
    <row r="52" spans="1:30" s="355" customFormat="1" ht="25.25" customHeight="1">
      <c r="A52" s="470"/>
      <c r="B52" s="470"/>
      <c r="C52" s="470"/>
      <c r="D52" s="482"/>
      <c r="E52" s="485"/>
      <c r="F52" s="473"/>
      <c r="G52" s="479"/>
      <c r="H52" s="488"/>
      <c r="I52" s="476"/>
      <c r="J52" s="380"/>
      <c r="K52" s="380"/>
      <c r="L52" s="363"/>
      <c r="M52" s="363"/>
      <c r="N52" s="363"/>
      <c r="O52" s="367" t="str">
        <f ca="1">IF(L52="","",IF(S52&lt;&gt;"","",IF(AND(S52="",L52-TODAY()&lt;=60),L52-TODAY(),"")))</f>
        <v/>
      </c>
      <c r="P52" s="365" t="str">
        <f>IF(COUNT(L52, S52)=2, L52-S52, "")</f>
        <v/>
      </c>
      <c r="Q52" s="361"/>
      <c r="R52" s="307" t="s">
        <v>36</v>
      </c>
      <c r="S52" s="302"/>
      <c r="T52" s="306"/>
      <c r="U52" s="302"/>
      <c r="V52" s="306"/>
      <c r="W52" s="307"/>
      <c r="X52" s="302"/>
      <c r="Y52" s="306"/>
      <c r="Z52" s="307" t="str">
        <f>IF(X52="","",IF(W52="檢退","檢退",IF(W52="審查同意","審定","檢退")))</f>
        <v/>
      </c>
      <c r="AA52" s="302"/>
      <c r="AB52" s="307"/>
      <c r="AC52" s="307"/>
      <c r="AD52" s="360"/>
    </row>
    <row r="53" spans="1:30" s="355" customFormat="1" ht="25.25" customHeight="1">
      <c r="A53" s="470"/>
      <c r="B53" s="470"/>
      <c r="C53" s="1114">
        <v>77</v>
      </c>
      <c r="D53" s="480">
        <v>17</v>
      </c>
      <c r="E53" s="1112">
        <v>249</v>
      </c>
      <c r="F53" s="1111"/>
      <c r="G53" s="1117" t="s">
        <v>1698</v>
      </c>
      <c r="H53" s="1110" t="s">
        <v>1697</v>
      </c>
      <c r="I53" s="474" t="s">
        <v>293</v>
      </c>
      <c r="J53" s="382" t="s">
        <v>554</v>
      </c>
      <c r="K53" s="382"/>
      <c r="L53" s="364">
        <f>IF(M53="","",M53-30)</f>
        <v>46325</v>
      </c>
      <c r="M53" s="364">
        <f>IF(N53="","",N53-30)</f>
        <v>46355</v>
      </c>
      <c r="N53" s="363">
        <v>46385</v>
      </c>
      <c r="O53" s="367" t="str">
        <f ca="1">IF(L53="","",IF(S53&lt;&gt;"","",IF(AND(S53="",L53-TODAY()&lt;=60),L53-TODAY(),"")))</f>
        <v/>
      </c>
      <c r="P53" s="365" t="str">
        <f>IF(COUNT(L53, S53)=2, L53-S53, "")</f>
        <v/>
      </c>
      <c r="Q53" s="361"/>
      <c r="R53" s="307" t="s">
        <v>22</v>
      </c>
      <c r="S53" s="302"/>
      <c r="T53" s="306"/>
      <c r="U53" s="302"/>
      <c r="V53" s="306"/>
      <c r="W53" s="307"/>
      <c r="X53" s="302"/>
      <c r="Y53" s="306"/>
      <c r="Z53" s="306"/>
      <c r="AA53" s="302"/>
      <c r="AB53" s="307"/>
      <c r="AC53" s="307"/>
      <c r="AD53" s="360"/>
    </row>
    <row r="54" spans="1:30" s="355" customFormat="1" ht="25.25" customHeight="1">
      <c r="A54" s="470"/>
      <c r="B54" s="470"/>
      <c r="C54" s="1114"/>
      <c r="D54" s="481"/>
      <c r="E54" s="1116"/>
      <c r="F54" s="1106"/>
      <c r="G54" s="1115"/>
      <c r="H54" s="1104"/>
      <c r="I54" s="475"/>
      <c r="J54" s="381"/>
      <c r="K54" s="381">
        <v>2.1800000000000002</v>
      </c>
      <c r="L54" s="363"/>
      <c r="M54" s="363"/>
      <c r="N54" s="363"/>
      <c r="O54" s="367" t="str">
        <f ca="1">IF(L54="","",IF(S54&lt;&gt;"","",IF(AND(S54="",L54-TODAY()&lt;=60),L54-TODAY(),"")))</f>
        <v/>
      </c>
      <c r="P54" s="365" t="str">
        <f>IF(COUNT(L54, S54)=2, L54-S54, "")</f>
        <v/>
      </c>
      <c r="Q54" s="361"/>
      <c r="R54" s="307" t="s">
        <v>27</v>
      </c>
      <c r="S54" s="302"/>
      <c r="T54" s="302"/>
      <c r="U54" s="302"/>
      <c r="V54" s="306"/>
      <c r="W54" s="307"/>
      <c r="X54" s="302"/>
      <c r="Y54" s="306"/>
      <c r="Z54" s="307" t="str">
        <f>IF(X54="","",IF(W54="檢退","檢退",IF(W54="審查同意","審定","檢退")))</f>
        <v/>
      </c>
      <c r="AA54" s="302"/>
      <c r="AB54" s="307"/>
      <c r="AC54" s="307"/>
      <c r="AD54" s="360"/>
    </row>
    <row r="55" spans="1:30" s="355" customFormat="1" ht="25.25" customHeight="1">
      <c r="A55" s="470"/>
      <c r="B55" s="470"/>
      <c r="C55" s="1114"/>
      <c r="D55" s="482"/>
      <c r="E55" s="1101"/>
      <c r="F55" s="1100"/>
      <c r="G55" s="1113"/>
      <c r="H55" s="1099"/>
      <c r="I55" s="476"/>
      <c r="J55" s="380"/>
      <c r="K55" s="380"/>
      <c r="L55" s="363"/>
      <c r="M55" s="363"/>
      <c r="N55" s="363"/>
      <c r="O55" s="367" t="str">
        <f ca="1">IF(L55="","",IF(S55&lt;&gt;"","",IF(AND(S55="",L55-TODAY()&lt;=60),L55-TODAY(),"")))</f>
        <v/>
      </c>
      <c r="P55" s="365" t="str">
        <f>IF(COUNT(L55, S55)=2, L55-S55, "")</f>
        <v/>
      </c>
      <c r="Q55" s="361"/>
      <c r="R55" s="307" t="s">
        <v>36</v>
      </c>
      <c r="S55" s="302"/>
      <c r="T55" s="306"/>
      <c r="U55" s="302"/>
      <c r="V55" s="306"/>
      <c r="W55" s="307"/>
      <c r="X55" s="302"/>
      <c r="Y55" s="306"/>
      <c r="Z55" s="307" t="str">
        <f>IF(X55="","",IF(W55="檢退","檢退",IF(W55="審查同意","審定","檢退")))</f>
        <v/>
      </c>
      <c r="AA55" s="302"/>
      <c r="AB55" s="307"/>
      <c r="AC55" s="307"/>
      <c r="AD55" s="360"/>
    </row>
    <row r="56" spans="1:30" s="355" customFormat="1" ht="25.25" customHeight="1">
      <c r="A56" s="470"/>
      <c r="B56" s="470"/>
      <c r="C56" s="470">
        <v>151</v>
      </c>
      <c r="D56" s="480">
        <v>18</v>
      </c>
      <c r="E56" s="483">
        <v>231</v>
      </c>
      <c r="F56" s="471"/>
      <c r="G56" s="477" t="s">
        <v>1696</v>
      </c>
      <c r="H56" s="486" t="s">
        <v>1695</v>
      </c>
      <c r="I56" s="474" t="s">
        <v>293</v>
      </c>
      <c r="J56" s="382"/>
      <c r="K56" s="1108"/>
      <c r="L56" s="364">
        <f>IF(M56="","",M56-30)</f>
        <v>46325</v>
      </c>
      <c r="M56" s="364">
        <f>IF(N56="","",N56-30)</f>
        <v>46355</v>
      </c>
      <c r="N56" s="363">
        <v>46385</v>
      </c>
      <c r="O56" s="367" t="str">
        <f ca="1">IF(L56="","",IF(S56&lt;&gt;"","",IF(AND(S56="",L56-TODAY()&lt;=60),L56-TODAY(),"")))</f>
        <v/>
      </c>
      <c r="P56" s="365" t="str">
        <f>IF(COUNT(L56, S56)=2, L56-S56, "")</f>
        <v/>
      </c>
      <c r="Q56" s="361"/>
      <c r="R56" s="307" t="s">
        <v>22</v>
      </c>
      <c r="S56" s="302"/>
      <c r="T56" s="306"/>
      <c r="U56" s="302"/>
      <c r="V56" s="306"/>
      <c r="W56" s="307"/>
      <c r="X56" s="302"/>
      <c r="Y56" s="306"/>
      <c r="Z56" s="306"/>
      <c r="AA56" s="302"/>
      <c r="AB56" s="307"/>
      <c r="AC56" s="307"/>
      <c r="AD56" s="360"/>
    </row>
    <row r="57" spans="1:30" s="355" customFormat="1" ht="25.25" customHeight="1">
      <c r="A57" s="470"/>
      <c r="B57" s="470"/>
      <c r="C57" s="470"/>
      <c r="D57" s="481"/>
      <c r="E57" s="484"/>
      <c r="F57" s="472"/>
      <c r="G57" s="478"/>
      <c r="H57" s="487"/>
      <c r="I57" s="475"/>
      <c r="J57" s="381" t="s">
        <v>1694</v>
      </c>
      <c r="K57" s="1102">
        <v>2.29</v>
      </c>
      <c r="L57" s="363"/>
      <c r="M57" s="363"/>
      <c r="N57" s="363"/>
      <c r="O57" s="367" t="str">
        <f ca="1">IF(L57="","",IF(S57&lt;&gt;"","",IF(AND(S57="",L57-TODAY()&lt;=60),L57-TODAY(),"")))</f>
        <v/>
      </c>
      <c r="P57" s="365" t="str">
        <f>IF(COUNT(L57, S57)=2, L57-S57, "")</f>
        <v/>
      </c>
      <c r="Q57" s="361"/>
      <c r="R57" s="307" t="s">
        <v>27</v>
      </c>
      <c r="S57" s="302"/>
      <c r="T57" s="302"/>
      <c r="U57" s="302"/>
      <c r="V57" s="306"/>
      <c r="W57" s="307"/>
      <c r="X57" s="302"/>
      <c r="Y57" s="306"/>
      <c r="Z57" s="307" t="str">
        <f>IF(X57="","",IF(W57="檢退","檢退",IF(W57="審查同意","審定","檢退")))</f>
        <v/>
      </c>
      <c r="AA57" s="302"/>
      <c r="AB57" s="307"/>
      <c r="AC57" s="307"/>
      <c r="AD57" s="360"/>
    </row>
    <row r="58" spans="1:30" s="355" customFormat="1" ht="25.25" customHeight="1">
      <c r="A58" s="470"/>
      <c r="B58" s="470"/>
      <c r="C58" s="470"/>
      <c r="D58" s="482"/>
      <c r="E58" s="485"/>
      <c r="F58" s="473"/>
      <c r="G58" s="479"/>
      <c r="H58" s="488"/>
      <c r="I58" s="476"/>
      <c r="J58" s="380"/>
      <c r="K58" s="1097"/>
      <c r="L58" s="363"/>
      <c r="M58" s="363"/>
      <c r="N58" s="363"/>
      <c r="O58" s="367" t="str">
        <f ca="1">IF(L58="","",IF(S58&lt;&gt;"","",IF(AND(S58="",L58-TODAY()&lt;=60),L58-TODAY(),"")))</f>
        <v/>
      </c>
      <c r="P58" s="365" t="str">
        <f>IF(COUNT(L58, S58)=2, L58-S58, "")</f>
        <v/>
      </c>
      <c r="Q58" s="361"/>
      <c r="R58" s="307" t="s">
        <v>36</v>
      </c>
      <c r="S58" s="302"/>
      <c r="T58" s="306"/>
      <c r="U58" s="302"/>
      <c r="V58" s="306"/>
      <c r="W58" s="307"/>
      <c r="X58" s="302"/>
      <c r="Y58" s="306"/>
      <c r="Z58" s="307" t="str">
        <f>IF(X58="","",IF(W58="檢退","檢退",IF(W58="審查同意","審定","檢退")))</f>
        <v/>
      </c>
      <c r="AA58" s="302"/>
      <c r="AB58" s="307"/>
      <c r="AC58" s="307"/>
      <c r="AD58" s="360"/>
    </row>
    <row r="59" spans="1:30" s="355" customFormat="1" ht="25.25" customHeight="1">
      <c r="A59" s="470"/>
      <c r="B59" s="470"/>
      <c r="C59" s="470">
        <v>242</v>
      </c>
      <c r="D59" s="480">
        <v>19</v>
      </c>
      <c r="E59" s="483">
        <v>241</v>
      </c>
      <c r="F59" s="471"/>
      <c r="G59" s="477" t="s">
        <v>1693</v>
      </c>
      <c r="H59" s="1110" t="s">
        <v>1692</v>
      </c>
      <c r="I59" s="474" t="s">
        <v>293</v>
      </c>
      <c r="J59" s="382"/>
      <c r="K59" s="382"/>
      <c r="L59" s="364">
        <f>IF(M59="","",M59-30)</f>
        <v>46325</v>
      </c>
      <c r="M59" s="364">
        <f>IF(N59="","",N59-30)</f>
        <v>46355</v>
      </c>
      <c r="N59" s="363">
        <v>46385</v>
      </c>
      <c r="O59" s="367" t="str">
        <f ca="1">IF(L59="","",IF(S59&lt;&gt;"","",IF(AND(S59="",L59-TODAY()&lt;=60),L59-TODAY(),"")))</f>
        <v/>
      </c>
      <c r="P59" s="365" t="str">
        <f>IF(COUNT(L59, S59)=2, L59-S59, "")</f>
        <v/>
      </c>
      <c r="Q59" s="361"/>
      <c r="R59" s="307" t="s">
        <v>22</v>
      </c>
      <c r="S59" s="302"/>
      <c r="T59" s="306"/>
      <c r="U59" s="302"/>
      <c r="V59" s="306"/>
      <c r="W59" s="307"/>
      <c r="X59" s="302"/>
      <c r="Y59" s="306"/>
      <c r="Z59" s="306"/>
      <c r="AA59" s="302"/>
      <c r="AB59" s="307"/>
      <c r="AC59" s="307"/>
      <c r="AD59" s="360"/>
    </row>
    <row r="60" spans="1:30" s="355" customFormat="1" ht="25.25" customHeight="1">
      <c r="A60" s="470"/>
      <c r="B60" s="470"/>
      <c r="C60" s="470"/>
      <c r="D60" s="481"/>
      <c r="E60" s="484"/>
      <c r="F60" s="472"/>
      <c r="G60" s="478"/>
      <c r="H60" s="1104"/>
      <c r="I60" s="475"/>
      <c r="J60" s="381" t="s">
        <v>554</v>
      </c>
      <c r="K60" s="1102" t="s">
        <v>1691</v>
      </c>
      <c r="L60" s="364"/>
      <c r="M60" s="364"/>
      <c r="N60" s="363"/>
      <c r="O60" s="367" t="str">
        <f ca="1">IF(L60="","",IF(S60&lt;&gt;"","",IF(AND(S60="",L60-TODAY()&lt;=60),L60-TODAY(),"")))</f>
        <v/>
      </c>
      <c r="P60" s="365" t="str">
        <f>IF(COUNT(L60, S60)=2, L60-S60, "")</f>
        <v/>
      </c>
      <c r="Q60" s="361"/>
      <c r="R60" s="307" t="s">
        <v>27</v>
      </c>
      <c r="S60" s="302"/>
      <c r="T60" s="302"/>
      <c r="U60" s="302"/>
      <c r="V60" s="306"/>
      <c r="W60" s="307"/>
      <c r="X60" s="302"/>
      <c r="Y60" s="306"/>
      <c r="Z60" s="307" t="str">
        <f>IF(X60="","",IF(W60="檢退","檢退",IF(W60="審查同意","審定","檢退")))</f>
        <v/>
      </c>
      <c r="AA60" s="302"/>
      <c r="AB60" s="307"/>
      <c r="AC60" s="307"/>
      <c r="AD60" s="360"/>
    </row>
    <row r="61" spans="1:30" s="355" customFormat="1" ht="25.25" customHeight="1">
      <c r="A61" s="470"/>
      <c r="B61" s="470"/>
      <c r="C61" s="470"/>
      <c r="D61" s="482"/>
      <c r="E61" s="485"/>
      <c r="F61" s="473"/>
      <c r="G61" s="479"/>
      <c r="H61" s="488"/>
      <c r="I61" s="476"/>
      <c r="J61" s="380"/>
      <c r="K61" s="380"/>
      <c r="L61" s="363"/>
      <c r="M61" s="363"/>
      <c r="N61" s="363"/>
      <c r="O61" s="367" t="str">
        <f ca="1">IF(L61="","",IF(S61&lt;&gt;"","",IF(AND(S61="",L61-TODAY()&lt;=60),L61-TODAY(),"")))</f>
        <v/>
      </c>
      <c r="P61" s="365" t="str">
        <f>IF(COUNT(L61, S61)=2, L61-S61, "")</f>
        <v/>
      </c>
      <c r="Q61" s="361"/>
      <c r="R61" s="307" t="s">
        <v>36</v>
      </c>
      <c r="S61" s="302"/>
      <c r="T61" s="306"/>
      <c r="U61" s="302"/>
      <c r="V61" s="306"/>
      <c r="W61" s="307"/>
      <c r="X61" s="302"/>
      <c r="Y61" s="306"/>
      <c r="Z61" s="307" t="str">
        <f>IF(X61="","",IF(W61="檢退","檢退",IF(W61="審查同意","審定","檢退")))</f>
        <v/>
      </c>
      <c r="AA61" s="302"/>
      <c r="AB61" s="307"/>
      <c r="AC61" s="307"/>
      <c r="AD61" s="360"/>
    </row>
    <row r="62" spans="1:30" s="355" customFormat="1" ht="25.25" customHeight="1">
      <c r="A62" s="470"/>
      <c r="B62" s="470"/>
      <c r="C62" s="470">
        <v>78</v>
      </c>
      <c r="D62" s="480">
        <v>20</v>
      </c>
      <c r="E62" s="483">
        <v>243</v>
      </c>
      <c r="F62" s="471"/>
      <c r="G62" s="1109" t="s">
        <v>1690</v>
      </c>
      <c r="H62" s="486" t="s">
        <v>347</v>
      </c>
      <c r="I62" s="474" t="s">
        <v>293</v>
      </c>
      <c r="J62" s="382"/>
      <c r="K62" s="382"/>
      <c r="L62" s="364">
        <f>IF(M62="","",M62-30)</f>
        <v>46325</v>
      </c>
      <c r="M62" s="364">
        <f>IF(N62="","",N62-30)</f>
        <v>46355</v>
      </c>
      <c r="N62" s="363">
        <v>46385</v>
      </c>
      <c r="O62" s="367" t="str">
        <f ca="1">IF(L62="","",IF(S62&lt;&gt;"","",IF(AND(S62="",L62-TODAY()&lt;=60),L62-TODAY(),"")))</f>
        <v/>
      </c>
      <c r="P62" s="365" t="str">
        <f>IF(COUNT(L62, S62)=2, L62-S62, "")</f>
        <v/>
      </c>
      <c r="Q62" s="361"/>
      <c r="R62" s="307" t="s">
        <v>22</v>
      </c>
      <c r="S62" s="302"/>
      <c r="T62" s="306"/>
      <c r="U62" s="302"/>
      <c r="V62" s="306"/>
      <c r="W62" s="307"/>
      <c r="X62" s="302"/>
      <c r="Y62" s="306"/>
      <c r="Z62" s="306"/>
      <c r="AA62" s="302"/>
      <c r="AB62" s="307"/>
      <c r="AC62" s="307"/>
      <c r="AD62" s="360"/>
    </row>
    <row r="63" spans="1:30" s="355" customFormat="1" ht="25.25" customHeight="1">
      <c r="A63" s="470"/>
      <c r="B63" s="470"/>
      <c r="C63" s="470"/>
      <c r="D63" s="481"/>
      <c r="E63" s="484"/>
      <c r="F63" s="472"/>
      <c r="G63" s="475"/>
      <c r="H63" s="487"/>
      <c r="I63" s="475"/>
      <c r="J63" s="381" t="s">
        <v>554</v>
      </c>
      <c r="K63" s="381">
        <v>2.6</v>
      </c>
      <c r="L63" s="363"/>
      <c r="M63" s="363"/>
      <c r="N63" s="363"/>
      <c r="O63" s="367" t="str">
        <f ca="1">IF(L63="","",IF(S63&lt;&gt;"","",IF(AND(S63="",L63-TODAY()&lt;=60),L63-TODAY(),"")))</f>
        <v/>
      </c>
      <c r="P63" s="365" t="str">
        <f>IF(COUNT(L63, S63)=2, L63-S63, "")</f>
        <v/>
      </c>
      <c r="Q63" s="361"/>
      <c r="R63" s="307" t="s">
        <v>27</v>
      </c>
      <c r="S63" s="302"/>
      <c r="T63" s="302"/>
      <c r="U63" s="302"/>
      <c r="V63" s="306"/>
      <c r="W63" s="307"/>
      <c r="X63" s="302"/>
      <c r="Y63" s="306"/>
      <c r="Z63" s="307" t="str">
        <f>IF(X63="","",IF(W63="檢退","檢退",IF(W63="審查同意","審定","檢退")))</f>
        <v/>
      </c>
      <c r="AA63" s="302"/>
      <c r="AB63" s="307"/>
      <c r="AC63" s="307"/>
      <c r="AD63" s="360"/>
    </row>
    <row r="64" spans="1:30" s="355" customFormat="1" ht="25.25" customHeight="1">
      <c r="A64" s="470"/>
      <c r="B64" s="470"/>
      <c r="C64" s="470"/>
      <c r="D64" s="482"/>
      <c r="E64" s="485"/>
      <c r="F64" s="473"/>
      <c r="G64" s="476"/>
      <c r="H64" s="488"/>
      <c r="I64" s="476"/>
      <c r="J64" s="380"/>
      <c r="K64" s="380"/>
      <c r="L64" s="363"/>
      <c r="M64" s="363"/>
      <c r="N64" s="363"/>
      <c r="O64" s="367" t="str">
        <f ca="1">IF(L64="","",IF(S64&lt;&gt;"","",IF(AND(S64="",L64-TODAY()&lt;=60),L64-TODAY(),"")))</f>
        <v/>
      </c>
      <c r="P64" s="365" t="str">
        <f>IF(COUNT(L64, S64)=2, L64-S64, "")</f>
        <v/>
      </c>
      <c r="Q64" s="361"/>
      <c r="R64" s="307" t="s">
        <v>36</v>
      </c>
      <c r="S64" s="302"/>
      <c r="T64" s="306"/>
      <c r="U64" s="302"/>
      <c r="V64" s="306"/>
      <c r="W64" s="307"/>
      <c r="X64" s="302"/>
      <c r="Y64" s="306"/>
      <c r="Z64" s="307" t="str">
        <f>IF(X64="","",IF(W64="檢退","檢退",IF(W64="審查同意","審定","檢退")))</f>
        <v/>
      </c>
      <c r="AA64" s="302"/>
      <c r="AB64" s="307"/>
      <c r="AC64" s="307"/>
      <c r="AD64" s="360"/>
    </row>
    <row r="65" spans="1:30" s="355" customFormat="1" ht="25.25" customHeight="1">
      <c r="A65" s="470"/>
      <c r="B65" s="470"/>
      <c r="C65" s="470">
        <v>36</v>
      </c>
      <c r="D65" s="480">
        <v>21</v>
      </c>
      <c r="E65" s="483">
        <v>244</v>
      </c>
      <c r="F65" s="471"/>
      <c r="G65" s="474" t="s">
        <v>469</v>
      </c>
      <c r="H65" s="486" t="s">
        <v>348</v>
      </c>
      <c r="I65" s="474" t="s">
        <v>293</v>
      </c>
      <c r="J65" s="382"/>
      <c r="K65" s="382"/>
      <c r="L65" s="364">
        <f>IF(M65="","",M65-30)</f>
        <v>46311</v>
      </c>
      <c r="M65" s="364">
        <f>IF(N65="","",N65-30)</f>
        <v>46341</v>
      </c>
      <c r="N65" s="363">
        <v>46371</v>
      </c>
      <c r="O65" s="367" t="str">
        <f ca="1">IF(L65="","",IF(S65&lt;&gt;"","",IF(AND(S65="",L65-TODAY()&lt;=60),L65-TODAY(),"")))</f>
        <v/>
      </c>
      <c r="P65" s="365" t="str">
        <f>IF(COUNT(L65, S65)=2, L65-S65, "")</f>
        <v/>
      </c>
      <c r="Q65" s="361"/>
      <c r="R65" s="307" t="s">
        <v>22</v>
      </c>
      <c r="S65" s="302"/>
      <c r="T65" s="306"/>
      <c r="U65" s="302"/>
      <c r="V65" s="306"/>
      <c r="W65" s="307"/>
      <c r="X65" s="302"/>
      <c r="Y65" s="306"/>
      <c r="Z65" s="306"/>
      <c r="AA65" s="302"/>
      <c r="AB65" s="307"/>
      <c r="AC65" s="307"/>
      <c r="AD65" s="360"/>
    </row>
    <row r="66" spans="1:30" s="355" customFormat="1" ht="25.25" customHeight="1">
      <c r="A66" s="470"/>
      <c r="B66" s="470"/>
      <c r="C66" s="470"/>
      <c r="D66" s="481"/>
      <c r="E66" s="484"/>
      <c r="F66" s="472"/>
      <c r="G66" s="475"/>
      <c r="H66" s="487"/>
      <c r="I66" s="475"/>
      <c r="J66" s="381" t="s">
        <v>554</v>
      </c>
      <c r="K66" s="381">
        <v>2.14</v>
      </c>
      <c r="L66" s="363"/>
      <c r="M66" s="363"/>
      <c r="N66" s="363"/>
      <c r="O66" s="367" t="str">
        <f ca="1">IF(L66="","",IF(S66&lt;&gt;"","",IF(AND(S66="",L66-TODAY()&lt;=60),L66-TODAY(),"")))</f>
        <v/>
      </c>
      <c r="P66" s="365" t="str">
        <f>IF(COUNT(L66, S66)=2, L66-S66, "")</f>
        <v/>
      </c>
      <c r="Q66" s="361"/>
      <c r="R66" s="307" t="s">
        <v>27</v>
      </c>
      <c r="S66" s="302"/>
      <c r="T66" s="302"/>
      <c r="U66" s="302"/>
      <c r="V66" s="306"/>
      <c r="W66" s="307"/>
      <c r="X66" s="302"/>
      <c r="Y66" s="306"/>
      <c r="Z66" s="307" t="str">
        <f>IF(X66="","",IF(W66="檢退","檢退",IF(W66="審查同意","審定","檢退")))</f>
        <v/>
      </c>
      <c r="AA66" s="302"/>
      <c r="AB66" s="307"/>
      <c r="AC66" s="307"/>
      <c r="AD66" s="360"/>
    </row>
    <row r="67" spans="1:30" s="355" customFormat="1" ht="25.25" customHeight="1">
      <c r="A67" s="470"/>
      <c r="B67" s="470"/>
      <c r="C67" s="470"/>
      <c r="D67" s="482"/>
      <c r="E67" s="485"/>
      <c r="F67" s="473"/>
      <c r="G67" s="476"/>
      <c r="H67" s="488"/>
      <c r="I67" s="476"/>
      <c r="J67" s="380"/>
      <c r="K67" s="380"/>
      <c r="L67" s="363"/>
      <c r="M67" s="363"/>
      <c r="N67" s="363"/>
      <c r="O67" s="367" t="str">
        <f ca="1">IF(L67="","",IF(S67&lt;&gt;"","",IF(AND(S67="",L67-TODAY()&lt;=60),L67-TODAY(),"")))</f>
        <v/>
      </c>
      <c r="P67" s="365" t="str">
        <f>IF(COUNT(L67, S67)=2, L67-S67, "")</f>
        <v/>
      </c>
      <c r="Q67" s="361"/>
      <c r="R67" s="307" t="s">
        <v>36</v>
      </c>
      <c r="S67" s="302"/>
      <c r="T67" s="306"/>
      <c r="U67" s="302"/>
      <c r="V67" s="306"/>
      <c r="W67" s="307"/>
      <c r="X67" s="302"/>
      <c r="Y67" s="306"/>
      <c r="Z67" s="307" t="str">
        <f>IF(X67="","",IF(W67="檢退","檢退",IF(W67="審查同意","審定","檢退")))</f>
        <v/>
      </c>
      <c r="AA67" s="302"/>
      <c r="AB67" s="307"/>
      <c r="AC67" s="307"/>
      <c r="AD67" s="360"/>
    </row>
    <row r="68" spans="1:30" s="355" customFormat="1" ht="25.25" customHeight="1">
      <c r="A68" s="470"/>
      <c r="B68" s="470"/>
      <c r="C68" s="470">
        <v>148</v>
      </c>
      <c r="D68" s="480">
        <v>22</v>
      </c>
      <c r="E68" s="483">
        <v>245</v>
      </c>
      <c r="F68" s="471"/>
      <c r="G68" s="1109" t="s">
        <v>1689</v>
      </c>
      <c r="H68" s="486" t="s">
        <v>1497</v>
      </c>
      <c r="I68" s="474" t="s">
        <v>293</v>
      </c>
      <c r="J68" s="382"/>
      <c r="K68" s="382"/>
      <c r="L68" s="364">
        <f>IF(M68="","",M68-30)</f>
        <v>46325</v>
      </c>
      <c r="M68" s="364">
        <f>IF(N68="","",N68-30)</f>
        <v>46355</v>
      </c>
      <c r="N68" s="363">
        <v>46385</v>
      </c>
      <c r="O68" s="367" t="str">
        <f ca="1">IF(L68="","",IF(S68&lt;&gt;"","",IF(AND(S68="",L68-TODAY()&lt;=60),L68-TODAY(),"")))</f>
        <v/>
      </c>
      <c r="P68" s="365" t="str">
        <f>IF(COUNT(L68, S68)=2, L68-S68, "")</f>
        <v/>
      </c>
      <c r="Q68" s="361"/>
      <c r="R68" s="307" t="s">
        <v>22</v>
      </c>
      <c r="S68" s="302"/>
      <c r="T68" s="306"/>
      <c r="U68" s="302"/>
      <c r="V68" s="306"/>
      <c r="W68" s="307"/>
      <c r="X68" s="302"/>
      <c r="Y68" s="306"/>
      <c r="Z68" s="306"/>
      <c r="AA68" s="302"/>
      <c r="AB68" s="307"/>
      <c r="AC68" s="307"/>
      <c r="AD68" s="360"/>
    </row>
    <row r="69" spans="1:30" s="355" customFormat="1" ht="25.25" customHeight="1">
      <c r="A69" s="470"/>
      <c r="B69" s="470"/>
      <c r="C69" s="470"/>
      <c r="D69" s="481"/>
      <c r="E69" s="484"/>
      <c r="F69" s="472"/>
      <c r="G69" s="475"/>
      <c r="H69" s="487"/>
      <c r="I69" s="475"/>
      <c r="J69" s="381" t="s">
        <v>554</v>
      </c>
      <c r="K69" s="381">
        <v>2.1</v>
      </c>
      <c r="L69" s="363"/>
      <c r="M69" s="363"/>
      <c r="N69" s="363"/>
      <c r="O69" s="367" t="str">
        <f ca="1">IF(L69="","",IF(S69&lt;&gt;"","",IF(AND(S69="",L69-TODAY()&lt;=60),L69-TODAY(),"")))</f>
        <v/>
      </c>
      <c r="P69" s="365" t="str">
        <f>IF(COUNT(L69, S69)=2, L69-S69, "")</f>
        <v/>
      </c>
      <c r="Q69" s="361"/>
      <c r="R69" s="307" t="s">
        <v>27</v>
      </c>
      <c r="S69" s="302"/>
      <c r="T69" s="302"/>
      <c r="U69" s="302"/>
      <c r="V69" s="306"/>
      <c r="W69" s="307"/>
      <c r="X69" s="302"/>
      <c r="Y69" s="306"/>
      <c r="Z69" s="307" t="str">
        <f>IF(X69="","",IF(W69="檢退","檢退",IF(W69="審查同意","審定","檢退")))</f>
        <v/>
      </c>
      <c r="AA69" s="302"/>
      <c r="AB69" s="307"/>
      <c r="AC69" s="307"/>
      <c r="AD69" s="360"/>
    </row>
    <row r="70" spans="1:30" s="355" customFormat="1" ht="25.25" customHeight="1">
      <c r="A70" s="470"/>
      <c r="B70" s="470"/>
      <c r="C70" s="470"/>
      <c r="D70" s="482"/>
      <c r="E70" s="485"/>
      <c r="F70" s="473"/>
      <c r="G70" s="476"/>
      <c r="H70" s="488"/>
      <c r="I70" s="476"/>
      <c r="J70" s="380"/>
      <c r="K70" s="380"/>
      <c r="L70" s="363"/>
      <c r="M70" s="363"/>
      <c r="N70" s="363"/>
      <c r="O70" s="367" t="str">
        <f ca="1">IF(L70="","",IF(S70&lt;&gt;"","",IF(AND(S70="",L70-TODAY()&lt;=60),L70-TODAY(),"")))</f>
        <v/>
      </c>
      <c r="P70" s="365" t="str">
        <f>IF(COUNT(L70, S70)=2, L70-S70, "")</f>
        <v/>
      </c>
      <c r="Q70" s="361"/>
      <c r="R70" s="307" t="s">
        <v>36</v>
      </c>
      <c r="S70" s="302"/>
      <c r="T70" s="306"/>
      <c r="U70" s="302"/>
      <c r="V70" s="306"/>
      <c r="W70" s="307"/>
      <c r="X70" s="302"/>
      <c r="Y70" s="306"/>
      <c r="Z70" s="307" t="str">
        <f>IF(X70="","",IF(W70="檢退","檢退",IF(W70="審查同意","審定","檢退")))</f>
        <v/>
      </c>
      <c r="AA70" s="302"/>
      <c r="AB70" s="307"/>
      <c r="AC70" s="307"/>
      <c r="AD70" s="360"/>
    </row>
    <row r="71" spans="1:30" s="355" customFormat="1" ht="25.25" customHeight="1">
      <c r="A71" s="465"/>
      <c r="B71" s="465"/>
      <c r="C71" s="465"/>
      <c r="D71" s="480">
        <v>23</v>
      </c>
      <c r="E71" s="1112">
        <v>260</v>
      </c>
      <c r="F71" s="1111"/>
      <c r="G71" s="1109" t="s">
        <v>1688</v>
      </c>
      <c r="H71" s="1110" t="s">
        <v>1687</v>
      </c>
      <c r="I71" s="1109" t="s">
        <v>293</v>
      </c>
      <c r="J71" s="1108"/>
      <c r="K71" s="382"/>
      <c r="L71" s="364">
        <f>IF(M71="","",M71-30)</f>
        <v>46311</v>
      </c>
      <c r="M71" s="364">
        <f>IF(N71="","",N71-30)</f>
        <v>46341</v>
      </c>
      <c r="N71" s="363">
        <v>46371</v>
      </c>
      <c r="O71" s="367" t="str">
        <f ca="1">IF(L71="","",IF(S71&lt;&gt;"","",IF(AND(S71="",L71-TODAY()&lt;=60),L71-TODAY(),"")))</f>
        <v/>
      </c>
      <c r="P71" s="365" t="str">
        <f>IF(COUNT(L71, S71)=2, L71-S71, "")</f>
        <v/>
      </c>
      <c r="Q71" s="361"/>
      <c r="R71" s="307" t="s">
        <v>22</v>
      </c>
      <c r="S71" s="302"/>
      <c r="T71" s="306"/>
      <c r="U71" s="302"/>
      <c r="V71" s="306"/>
      <c r="W71" s="307"/>
      <c r="X71" s="302"/>
      <c r="Y71" s="306"/>
      <c r="Z71" s="306"/>
      <c r="AA71" s="302"/>
      <c r="AB71" s="307"/>
      <c r="AC71" s="307"/>
      <c r="AD71" s="360"/>
    </row>
    <row r="72" spans="1:30" s="355" customFormat="1" ht="25.25" customHeight="1">
      <c r="A72" s="466"/>
      <c r="B72" s="466"/>
      <c r="C72" s="466"/>
      <c r="D72" s="481"/>
      <c r="E72" s="1107"/>
      <c r="F72" s="1106"/>
      <c r="G72" s="1105"/>
      <c r="H72" s="1104"/>
      <c r="I72" s="1103"/>
      <c r="J72" s="1102" t="s">
        <v>554</v>
      </c>
      <c r="K72" s="1102">
        <v>2.33</v>
      </c>
      <c r="L72" s="363"/>
      <c r="M72" s="363"/>
      <c r="N72" s="363"/>
      <c r="O72" s="367" t="str">
        <f ca="1">IF(L72="","",IF(S72&lt;&gt;"","",IF(AND(S72="",L72-TODAY()&lt;=60),L72-TODAY(),"")))</f>
        <v/>
      </c>
      <c r="P72" s="365" t="str">
        <f>IF(COUNT(L72, S72)=2, L72-S72, "")</f>
        <v/>
      </c>
      <c r="Q72" s="361"/>
      <c r="R72" s="307" t="s">
        <v>27</v>
      </c>
      <c r="S72" s="302"/>
      <c r="T72" s="302"/>
      <c r="U72" s="302"/>
      <c r="V72" s="306"/>
      <c r="W72" s="307"/>
      <c r="X72" s="302"/>
      <c r="Y72" s="306"/>
      <c r="Z72" s="307" t="str">
        <f>IF(X72="","",IF(W72="檢退","檢退",IF(W72="審查同意","審定","檢退")))</f>
        <v/>
      </c>
      <c r="AA72" s="302"/>
      <c r="AB72" s="307"/>
      <c r="AC72" s="307"/>
      <c r="AD72" s="360"/>
    </row>
    <row r="73" spans="1:30" s="355" customFormat="1" ht="25.25" customHeight="1">
      <c r="A73" s="467"/>
      <c r="B73" s="467"/>
      <c r="C73" s="467"/>
      <c r="D73" s="482"/>
      <c r="E73" s="1101"/>
      <c r="F73" s="1100"/>
      <c r="G73" s="1098"/>
      <c r="H73" s="1099"/>
      <c r="I73" s="1098"/>
      <c r="J73" s="1097"/>
      <c r="K73" s="380"/>
      <c r="L73" s="363"/>
      <c r="M73" s="363"/>
      <c r="N73" s="363"/>
      <c r="O73" s="367" t="str">
        <f ca="1">IF(L73="","",IF(S73&lt;&gt;"","",IF(AND(S73="",L73-TODAY()&lt;=60),L73-TODAY(),"")))</f>
        <v/>
      </c>
      <c r="P73" s="365" t="str">
        <f>IF(COUNT(L73, S73)=2, L73-S73, "")</f>
        <v/>
      </c>
      <c r="Q73" s="361"/>
      <c r="R73" s="307" t="s">
        <v>36</v>
      </c>
      <c r="S73" s="302"/>
      <c r="T73" s="306"/>
      <c r="U73" s="302"/>
      <c r="V73" s="306"/>
      <c r="W73" s="307"/>
      <c r="X73" s="302"/>
      <c r="Y73" s="306"/>
      <c r="Z73" s="307" t="str">
        <f>IF(X73="","",IF(W73="檢退","檢退",IF(W73="審查同意","審定","檢退")))</f>
        <v/>
      </c>
      <c r="AA73" s="302"/>
      <c r="AB73" s="307"/>
      <c r="AC73" s="307"/>
      <c r="AD73" s="360"/>
    </row>
    <row r="74" spans="1:30" s="355" customFormat="1" ht="25.25" customHeight="1">
      <c r="A74" s="465"/>
      <c r="B74" s="465"/>
      <c r="C74" s="465"/>
      <c r="D74" s="480">
        <v>24</v>
      </c>
      <c r="E74" s="1112">
        <v>248</v>
      </c>
      <c r="F74" s="1111"/>
      <c r="G74" s="1109" t="s">
        <v>1686</v>
      </c>
      <c r="H74" s="1110" t="s">
        <v>1685</v>
      </c>
      <c r="I74" s="1109" t="s">
        <v>293</v>
      </c>
      <c r="J74" s="1108"/>
      <c r="K74" s="382"/>
      <c r="L74" s="364">
        <f>IF(M74="","",M74-30)</f>
        <v>46311</v>
      </c>
      <c r="M74" s="364">
        <f>IF(N74="","",N74-30)</f>
        <v>46341</v>
      </c>
      <c r="N74" s="363">
        <v>46371</v>
      </c>
      <c r="O74" s="367" t="str">
        <f ca="1">IF(L74="","",IF(S74&lt;&gt;"","",IF(AND(S74="",L74-TODAY()&lt;=60),L74-TODAY(),"")))</f>
        <v/>
      </c>
      <c r="P74" s="365" t="str">
        <f>IF(COUNT(L74, S74)=2, L74-S74, "")</f>
        <v/>
      </c>
      <c r="Q74" s="361"/>
      <c r="R74" s="307" t="s">
        <v>22</v>
      </c>
      <c r="S74" s="302"/>
      <c r="T74" s="306"/>
      <c r="U74" s="302"/>
      <c r="V74" s="306"/>
      <c r="W74" s="307"/>
      <c r="X74" s="302"/>
      <c r="Y74" s="306"/>
      <c r="Z74" s="306"/>
      <c r="AA74" s="302"/>
      <c r="AB74" s="307"/>
      <c r="AC74" s="307"/>
      <c r="AD74" s="360"/>
    </row>
    <row r="75" spans="1:30" s="355" customFormat="1" ht="25.25" customHeight="1">
      <c r="A75" s="466"/>
      <c r="B75" s="466"/>
      <c r="C75" s="466"/>
      <c r="D75" s="481"/>
      <c r="E75" s="1107"/>
      <c r="F75" s="1106"/>
      <c r="G75" s="1105"/>
      <c r="H75" s="1104"/>
      <c r="I75" s="1103"/>
      <c r="J75" s="1102" t="s">
        <v>554</v>
      </c>
      <c r="K75" s="1102" t="s">
        <v>1684</v>
      </c>
      <c r="L75" s="363"/>
      <c r="M75" s="363"/>
      <c r="N75" s="363"/>
      <c r="O75" s="367" t="str">
        <f ca="1">IF(L75="","",IF(S75&lt;&gt;"","",IF(AND(S75="",L75-TODAY()&lt;=60),L75-TODAY(),"")))</f>
        <v/>
      </c>
      <c r="P75" s="365" t="str">
        <f>IF(COUNT(L75, S75)=2, L75-S75, "")</f>
        <v/>
      </c>
      <c r="Q75" s="361"/>
      <c r="R75" s="307" t="s">
        <v>27</v>
      </c>
      <c r="S75" s="302"/>
      <c r="T75" s="302"/>
      <c r="U75" s="302"/>
      <c r="V75" s="306"/>
      <c r="W75" s="307"/>
      <c r="X75" s="302"/>
      <c r="Y75" s="306"/>
      <c r="Z75" s="307" t="str">
        <f>IF(X75="","",IF(W75="檢退","檢退",IF(W75="審查同意","審定","檢退")))</f>
        <v/>
      </c>
      <c r="AA75" s="302"/>
      <c r="AB75" s="307"/>
      <c r="AC75" s="307"/>
      <c r="AD75" s="360"/>
    </row>
    <row r="76" spans="1:30" s="355" customFormat="1" ht="25.25" customHeight="1">
      <c r="A76" s="467"/>
      <c r="B76" s="467"/>
      <c r="C76" s="467"/>
      <c r="D76" s="482"/>
      <c r="E76" s="1101"/>
      <c r="F76" s="1100"/>
      <c r="G76" s="1098"/>
      <c r="H76" s="1099"/>
      <c r="I76" s="1098"/>
      <c r="J76" s="1097"/>
      <c r="K76" s="380"/>
      <c r="L76" s="363"/>
      <c r="M76" s="363"/>
      <c r="N76" s="363"/>
      <c r="O76" s="367" t="str">
        <f ca="1">IF(L76="","",IF(S76&lt;&gt;"","",IF(AND(S76="",L76-TODAY()&lt;=60),L76-TODAY(),"")))</f>
        <v/>
      </c>
      <c r="P76" s="365" t="str">
        <f>IF(COUNT(L76, S76)=2, L76-S76, "")</f>
        <v/>
      </c>
      <c r="Q76" s="361"/>
      <c r="R76" s="307" t="s">
        <v>36</v>
      </c>
      <c r="S76" s="302"/>
      <c r="T76" s="306"/>
      <c r="U76" s="302"/>
      <c r="V76" s="306"/>
      <c r="W76" s="307"/>
      <c r="X76" s="302"/>
      <c r="Y76" s="306"/>
      <c r="Z76" s="307" t="str">
        <f>IF(X76="","",IF(W76="檢退","檢退",IF(W76="審查同意","審定","檢退")))</f>
        <v/>
      </c>
      <c r="AA76" s="302"/>
      <c r="AB76" s="307"/>
      <c r="AC76" s="307"/>
      <c r="AD76" s="360"/>
    </row>
    <row r="77" spans="1:30" s="355" customFormat="1" ht="25.25" customHeight="1">
      <c r="A77" s="470"/>
      <c r="B77" s="470"/>
      <c r="C77" s="470"/>
      <c r="D77" s="480">
        <v>25</v>
      </c>
      <c r="E77" s="483"/>
      <c r="F77" s="505"/>
      <c r="G77" s="471"/>
      <c r="H77" s="506" t="s">
        <v>66</v>
      </c>
      <c r="I77" s="474" t="s">
        <v>1052</v>
      </c>
      <c r="J77" s="477" t="s">
        <v>554</v>
      </c>
      <c r="K77" s="477"/>
      <c r="L77" s="364">
        <f>IF(M77="","",M77-30)</f>
        <v>46325</v>
      </c>
      <c r="M77" s="364">
        <f>IF(N77="","",N77-30)</f>
        <v>46355</v>
      </c>
      <c r="N77" s="363">
        <v>46385</v>
      </c>
      <c r="O77" s="362" t="str">
        <f ca="1">IF(L77="","",IF(S77&lt;&gt;"","",IF(AND(S77="",L77-TODAY()&lt;=60),L77-TODAY(),"")))</f>
        <v/>
      </c>
      <c r="P77" s="365" t="str">
        <f>IF(COUNT(L77, S77)=2, L77-S77, "")</f>
        <v/>
      </c>
      <c r="Q77" s="361"/>
      <c r="R77" s="307" t="s">
        <v>22</v>
      </c>
      <c r="S77" s="302"/>
      <c r="T77" s="306"/>
      <c r="U77" s="302"/>
      <c r="V77" s="306"/>
      <c r="W77" s="307"/>
      <c r="X77" s="302"/>
      <c r="Y77" s="306"/>
      <c r="Z77" s="306"/>
      <c r="AA77" s="302"/>
      <c r="AB77" s="307"/>
      <c r="AC77" s="307"/>
      <c r="AD77" s="360"/>
    </row>
    <row r="78" spans="1:30" s="355" customFormat="1" ht="25.25" customHeight="1">
      <c r="A78" s="470"/>
      <c r="B78" s="470"/>
      <c r="C78" s="470"/>
      <c r="D78" s="481"/>
      <c r="E78" s="484"/>
      <c r="F78" s="505"/>
      <c r="G78" s="513"/>
      <c r="H78" s="506"/>
      <c r="I78" s="475"/>
      <c r="J78" s="478"/>
      <c r="K78" s="478"/>
      <c r="L78" s="363"/>
      <c r="M78" s="363"/>
      <c r="N78" s="363"/>
      <c r="O78" s="362" t="str">
        <f ca="1">IF(L78="","",IF(S78&lt;&gt;"","",IF(AND(S78="",L78-TODAY()&lt;=60),L78-TODAY(),"")))</f>
        <v/>
      </c>
      <c r="P78" s="365" t="str">
        <f>IF(COUNT(L78, S78)=2, L78-S78, "")</f>
        <v/>
      </c>
      <c r="Q78" s="361"/>
      <c r="R78" s="307" t="s">
        <v>27</v>
      </c>
      <c r="S78" s="302"/>
      <c r="T78" s="302"/>
      <c r="U78" s="302"/>
      <c r="V78" s="306"/>
      <c r="W78" s="307"/>
      <c r="X78" s="302"/>
      <c r="Y78" s="306"/>
      <c r="Z78" s="307" t="str">
        <f>IF(X78="","",IF(W78="檢退","檢退",IF(W78="審查同意","審定","檢退")))</f>
        <v/>
      </c>
      <c r="AA78" s="302"/>
      <c r="AB78" s="307"/>
      <c r="AC78" s="307"/>
      <c r="AD78" s="360"/>
    </row>
    <row r="79" spans="1:30" s="355" customFormat="1" ht="25.25" customHeight="1">
      <c r="A79" s="470"/>
      <c r="B79" s="470"/>
      <c r="C79" s="470"/>
      <c r="D79" s="482"/>
      <c r="E79" s="485"/>
      <c r="F79" s="505"/>
      <c r="G79" s="514"/>
      <c r="H79" s="506"/>
      <c r="I79" s="476"/>
      <c r="J79" s="479"/>
      <c r="K79" s="479"/>
      <c r="L79" s="363"/>
      <c r="M79" s="363"/>
      <c r="N79" s="363"/>
      <c r="O79" s="362" t="str">
        <f ca="1">IF(L79="","",IF(S79&lt;&gt;"","",IF(AND(S79="",L79-TODAY()&lt;=60),L79-TODAY(),"")))</f>
        <v/>
      </c>
      <c r="P79" s="365" t="str">
        <f>IF(COUNT(L79, S79)=2, L79-S79, "")</f>
        <v/>
      </c>
      <c r="Q79" s="361"/>
      <c r="R79" s="307" t="s">
        <v>36</v>
      </c>
      <c r="S79" s="302"/>
      <c r="T79" s="306"/>
      <c r="U79" s="302"/>
      <c r="V79" s="306"/>
      <c r="W79" s="307"/>
      <c r="X79" s="302"/>
      <c r="Y79" s="306"/>
      <c r="Z79" s="307" t="str">
        <f>IF(X79="","",IF(W79="檢退","檢退",IF(W79="審查同意","審定","檢退")))</f>
        <v/>
      </c>
      <c r="AA79" s="302"/>
      <c r="AB79" s="307"/>
      <c r="AC79" s="307"/>
      <c r="AD79" s="360"/>
    </row>
    <row r="80" spans="1:30" s="355" customFormat="1" ht="25.25" customHeight="1">
      <c r="A80" s="366"/>
      <c r="B80" s="366"/>
      <c r="C80" s="366"/>
      <c r="D80" s="480">
        <v>26</v>
      </c>
      <c r="E80" s="483"/>
      <c r="F80" s="471"/>
      <c r="G80" s="471" t="s">
        <v>1051</v>
      </c>
      <c r="H80" s="486" t="s">
        <v>67</v>
      </c>
      <c r="I80" s="474" t="s">
        <v>1052</v>
      </c>
      <c r="J80" s="477" t="s">
        <v>554</v>
      </c>
      <c r="K80" s="477"/>
      <c r="L80" s="364">
        <f>IF(M80="","",M80-30)</f>
        <v>46325</v>
      </c>
      <c r="M80" s="364">
        <f>IF(N80="","",N80-30)</f>
        <v>46355</v>
      </c>
      <c r="N80" s="363">
        <v>46385</v>
      </c>
      <c r="O80" s="362" t="str">
        <f ca="1">IF(L80="","",IF(S80&lt;&gt;"","",IF(AND(S80="",L80-TODAY()&lt;=60),L80-TODAY(),"")))</f>
        <v/>
      </c>
      <c r="P80" s="365" t="str">
        <f>IF(COUNT(L80, S80)=2, L80-S80, "")</f>
        <v/>
      </c>
      <c r="Q80" s="361"/>
      <c r="R80" s="307" t="s">
        <v>22</v>
      </c>
      <c r="S80" s="302"/>
      <c r="T80" s="306"/>
      <c r="U80" s="302"/>
      <c r="V80" s="306"/>
      <c r="W80" s="307"/>
      <c r="X80" s="302"/>
      <c r="Y80" s="306"/>
      <c r="Z80" s="306"/>
      <c r="AA80" s="302"/>
      <c r="AB80" s="307"/>
      <c r="AC80" s="307"/>
      <c r="AD80" s="360"/>
    </row>
    <row r="81" spans="1:30" s="355" customFormat="1" ht="25.25" customHeight="1">
      <c r="A81" s="470"/>
      <c r="B81" s="470"/>
      <c r="C81" s="465"/>
      <c r="D81" s="481"/>
      <c r="E81" s="484"/>
      <c r="F81" s="472"/>
      <c r="G81" s="513"/>
      <c r="H81" s="487"/>
      <c r="I81" s="475"/>
      <c r="J81" s="478"/>
      <c r="K81" s="478"/>
      <c r="L81" s="363"/>
      <c r="M81" s="363"/>
      <c r="N81" s="363"/>
      <c r="O81" s="362" t="str">
        <f ca="1">IF(L81="","",IF(S81&lt;&gt;"","",IF(AND(S81="",L81-TODAY()&lt;=60),L81-TODAY(),"")))</f>
        <v/>
      </c>
      <c r="P81" s="365" t="str">
        <f>IF(COUNT(L81, S81)=2, L81-S81, "")</f>
        <v/>
      </c>
      <c r="Q81" s="361"/>
      <c r="R81" s="307" t="s">
        <v>27</v>
      </c>
      <c r="S81" s="302"/>
      <c r="T81" s="302"/>
      <c r="U81" s="302"/>
      <c r="V81" s="306"/>
      <c r="W81" s="307"/>
      <c r="X81" s="302"/>
      <c r="Y81" s="306"/>
      <c r="Z81" s="307" t="str">
        <f>IF(X81="","",IF(W81="檢退","檢退",IF(W81="審查同意","審定","檢退")))</f>
        <v/>
      </c>
      <c r="AA81" s="302"/>
      <c r="AB81" s="307"/>
      <c r="AC81" s="307"/>
      <c r="AD81" s="360"/>
    </row>
    <row r="82" spans="1:30" s="355" customFormat="1" ht="25.25" customHeight="1">
      <c r="A82" s="470"/>
      <c r="B82" s="470"/>
      <c r="C82" s="467"/>
      <c r="D82" s="482"/>
      <c r="E82" s="485"/>
      <c r="F82" s="473"/>
      <c r="G82" s="514"/>
      <c r="H82" s="488"/>
      <c r="I82" s="476"/>
      <c r="J82" s="479"/>
      <c r="K82" s="479"/>
      <c r="L82" s="363"/>
      <c r="M82" s="363"/>
      <c r="N82" s="363"/>
      <c r="O82" s="362" t="str">
        <f ca="1">IF(L82="","",IF(S82&lt;&gt;"","",IF(AND(S82="",L82-TODAY()&lt;=60),L82-TODAY(),"")))</f>
        <v/>
      </c>
      <c r="P82" s="365" t="str">
        <f>IF(COUNT(L82, S82)=2, L82-S82, "")</f>
        <v/>
      </c>
      <c r="Q82" s="361"/>
      <c r="R82" s="307" t="s">
        <v>36</v>
      </c>
      <c r="S82" s="302"/>
      <c r="T82" s="306"/>
      <c r="U82" s="302"/>
      <c r="V82" s="306"/>
      <c r="W82" s="307"/>
      <c r="X82" s="302"/>
      <c r="Y82" s="306"/>
      <c r="Z82" s="307" t="str">
        <f>IF(X82="","",IF(W82="檢退","檢退",IF(W82="審查同意","審定","檢退")))</f>
        <v/>
      </c>
      <c r="AA82" s="302"/>
      <c r="AB82" s="307"/>
      <c r="AC82" s="307"/>
      <c r="AD82" s="360"/>
    </row>
    <row r="83" spans="1:30" s="355" customFormat="1" ht="25.25" customHeight="1">
      <c r="A83" s="470"/>
      <c r="B83" s="470"/>
      <c r="C83" s="470"/>
      <c r="D83" s="480">
        <v>27</v>
      </c>
      <c r="E83" s="470"/>
      <c r="F83" s="471"/>
      <c r="G83" s="471" t="s">
        <v>1053</v>
      </c>
      <c r="H83" s="486" t="s">
        <v>68</v>
      </c>
      <c r="I83" s="474" t="s">
        <v>1052</v>
      </c>
      <c r="J83" s="477" t="s">
        <v>554</v>
      </c>
      <c r="K83" s="477"/>
      <c r="L83" s="364">
        <f>IF(M83="","",M83-30)</f>
        <v>46325</v>
      </c>
      <c r="M83" s="364">
        <f>IF(N83="","",N83-30)</f>
        <v>46355</v>
      </c>
      <c r="N83" s="363">
        <v>46385</v>
      </c>
      <c r="O83" s="362" t="str">
        <f ca="1">IF(L83="","",IF(S83&lt;&gt;"","",IF(AND(S83="",L83-TODAY()&lt;=60),L83-TODAY(),"")))</f>
        <v/>
      </c>
      <c r="P83" s="365" t="str">
        <f>IF(COUNT(L83, S83)=2, L83-S83, "")</f>
        <v/>
      </c>
      <c r="Q83" s="361"/>
      <c r="R83" s="307" t="s">
        <v>22</v>
      </c>
      <c r="S83" s="302"/>
      <c r="T83" s="306"/>
      <c r="U83" s="302"/>
      <c r="V83" s="306"/>
      <c r="W83" s="307"/>
      <c r="X83" s="302"/>
      <c r="Y83" s="306"/>
      <c r="Z83" s="306"/>
      <c r="AA83" s="302"/>
      <c r="AB83" s="307"/>
      <c r="AC83" s="307"/>
      <c r="AD83" s="360"/>
    </row>
    <row r="84" spans="1:30" s="355" customFormat="1" ht="25.25" customHeight="1">
      <c r="A84" s="470"/>
      <c r="B84" s="470"/>
      <c r="C84" s="470"/>
      <c r="D84" s="481"/>
      <c r="E84" s="470"/>
      <c r="F84" s="472"/>
      <c r="G84" s="513"/>
      <c r="H84" s="487"/>
      <c r="I84" s="475"/>
      <c r="J84" s="478"/>
      <c r="K84" s="478"/>
      <c r="L84" s="363"/>
      <c r="M84" s="363"/>
      <c r="N84" s="363"/>
      <c r="O84" s="362" t="str">
        <f ca="1">IF(L84="","",IF(S84&lt;&gt;"","",IF(AND(S84="",L84-TODAY()&lt;=60),L84-TODAY(),"")))</f>
        <v/>
      </c>
      <c r="P84" s="365" t="str">
        <f>IF(COUNT(L84, S84)=2, L84-S84, "")</f>
        <v/>
      </c>
      <c r="Q84" s="361"/>
      <c r="R84" s="307" t="s">
        <v>27</v>
      </c>
      <c r="S84" s="302"/>
      <c r="T84" s="302"/>
      <c r="U84" s="302"/>
      <c r="V84" s="306"/>
      <c r="W84" s="307"/>
      <c r="X84" s="302"/>
      <c r="Y84" s="306"/>
      <c r="Z84" s="307" t="str">
        <f>IF(X84="","",IF(W84="檢退","檢退",IF(W84="審查同意","審定","檢退")))</f>
        <v/>
      </c>
      <c r="AA84" s="302"/>
      <c r="AB84" s="307"/>
      <c r="AC84" s="307"/>
      <c r="AD84" s="360"/>
    </row>
    <row r="85" spans="1:30" s="355" customFormat="1" ht="25.25" customHeight="1">
      <c r="A85" s="470"/>
      <c r="B85" s="470"/>
      <c r="C85" s="470"/>
      <c r="D85" s="482"/>
      <c r="E85" s="470"/>
      <c r="F85" s="473"/>
      <c r="G85" s="514"/>
      <c r="H85" s="488"/>
      <c r="I85" s="476"/>
      <c r="J85" s="479"/>
      <c r="K85" s="479"/>
      <c r="L85" s="363"/>
      <c r="M85" s="363"/>
      <c r="N85" s="363"/>
      <c r="O85" s="362" t="str">
        <f ca="1">IF(L85="","",IF(S85&lt;&gt;"","",IF(AND(S85="",L85-TODAY()&lt;=60),L85-TODAY(),"")))</f>
        <v/>
      </c>
      <c r="P85" s="365" t="str">
        <f>IF(COUNT(L85, S85)=2, L85-S85, "")</f>
        <v/>
      </c>
      <c r="Q85" s="361"/>
      <c r="R85" s="307" t="s">
        <v>36</v>
      </c>
      <c r="S85" s="302"/>
      <c r="T85" s="306"/>
      <c r="U85" s="302"/>
      <c r="V85" s="306"/>
      <c r="W85" s="307"/>
      <c r="X85" s="302"/>
      <c r="Y85" s="306"/>
      <c r="Z85" s="307" t="str">
        <f>IF(X85="","",IF(W85="檢退","檢退",IF(W85="審查同意","審定","檢退")))</f>
        <v/>
      </c>
      <c r="AA85" s="302"/>
      <c r="AB85" s="307"/>
      <c r="AC85" s="307"/>
      <c r="AD85" s="360"/>
    </row>
    <row r="86" spans="1:30" s="355" customFormat="1" ht="25.25" customHeight="1">
      <c r="A86" s="470"/>
      <c r="B86" s="470"/>
      <c r="C86" s="470"/>
      <c r="D86" s="480">
        <v>28</v>
      </c>
      <c r="E86" s="483"/>
      <c r="F86" s="471"/>
      <c r="G86" s="471" t="s">
        <v>1054</v>
      </c>
      <c r="H86" s="486" t="s">
        <v>69</v>
      </c>
      <c r="I86" s="474" t="s">
        <v>1052</v>
      </c>
      <c r="J86" s="477" t="s">
        <v>554</v>
      </c>
      <c r="K86" s="477"/>
      <c r="L86" s="364">
        <f>IF(M86="","",M86-30)</f>
        <v>46325</v>
      </c>
      <c r="M86" s="364">
        <f>IF(N86="","",N86-30)</f>
        <v>46355</v>
      </c>
      <c r="N86" s="363">
        <v>46385</v>
      </c>
      <c r="O86" s="362" t="str">
        <f ca="1">IF(L86="","",IF(S86&lt;&gt;"","",IF(AND(S86="",L86-TODAY()&lt;=60),L86-TODAY(),"")))</f>
        <v/>
      </c>
      <c r="P86" s="365" t="str">
        <f>IF(COUNT(L86, S86)=2, L86-S86, "")</f>
        <v/>
      </c>
      <c r="Q86" s="361"/>
      <c r="R86" s="307" t="s">
        <v>22</v>
      </c>
      <c r="S86" s="302"/>
      <c r="T86" s="306"/>
      <c r="U86" s="302"/>
      <c r="V86" s="306"/>
      <c r="W86" s="307"/>
      <c r="X86" s="302"/>
      <c r="Y86" s="306"/>
      <c r="Z86" s="306"/>
      <c r="AA86" s="302"/>
      <c r="AB86" s="307"/>
      <c r="AC86" s="307"/>
      <c r="AD86" s="360"/>
    </row>
    <row r="87" spans="1:30" s="355" customFormat="1" ht="25.25" customHeight="1">
      <c r="A87" s="470"/>
      <c r="B87" s="470"/>
      <c r="C87" s="470"/>
      <c r="D87" s="481"/>
      <c r="E87" s="484"/>
      <c r="F87" s="472"/>
      <c r="G87" s="513"/>
      <c r="H87" s="487"/>
      <c r="I87" s="475"/>
      <c r="J87" s="478"/>
      <c r="K87" s="478"/>
      <c r="L87" s="363"/>
      <c r="M87" s="363"/>
      <c r="N87" s="363"/>
      <c r="O87" s="362" t="str">
        <f ca="1">IF(L87="","",IF(S87&lt;&gt;"","",IF(AND(S87="",L87-TODAY()&lt;=60),L87-TODAY(),"")))</f>
        <v/>
      </c>
      <c r="P87" s="365" t="str">
        <f>IF(COUNT(L87, S87)=2, L87-S87, "")</f>
        <v/>
      </c>
      <c r="Q87" s="361"/>
      <c r="R87" s="307" t="s">
        <v>27</v>
      </c>
      <c r="S87" s="302"/>
      <c r="T87" s="302"/>
      <c r="U87" s="302"/>
      <c r="V87" s="306"/>
      <c r="W87" s="307"/>
      <c r="X87" s="302"/>
      <c r="Y87" s="306"/>
      <c r="Z87" s="307" t="str">
        <f>IF(X87="","",IF(W87="檢退","檢退",IF(W87="審查同意","審定","檢退")))</f>
        <v/>
      </c>
      <c r="AA87" s="302"/>
      <c r="AB87" s="307"/>
      <c r="AC87" s="307"/>
      <c r="AD87" s="360"/>
    </row>
    <row r="88" spans="1:30" s="355" customFormat="1" ht="25.25" customHeight="1">
      <c r="A88" s="470"/>
      <c r="B88" s="470"/>
      <c r="C88" s="470"/>
      <c r="D88" s="482"/>
      <c r="E88" s="485"/>
      <c r="F88" s="473"/>
      <c r="G88" s="514"/>
      <c r="H88" s="488"/>
      <c r="I88" s="476"/>
      <c r="J88" s="479"/>
      <c r="K88" s="479"/>
      <c r="L88" s="363"/>
      <c r="M88" s="363"/>
      <c r="N88" s="363"/>
      <c r="O88" s="362" t="str">
        <f ca="1">IF(L88="","",IF(S88&lt;&gt;"","",IF(AND(S88="",L88-TODAY()&lt;=60),L88-TODAY(),"")))</f>
        <v/>
      </c>
      <c r="P88" s="365" t="str">
        <f>IF(COUNT(L88, S88)=2, L88-S88, "")</f>
        <v/>
      </c>
      <c r="Q88" s="361"/>
      <c r="R88" s="307" t="s">
        <v>36</v>
      </c>
      <c r="S88" s="302"/>
      <c r="T88" s="306"/>
      <c r="U88" s="302"/>
      <c r="V88" s="306"/>
      <c r="W88" s="307"/>
      <c r="X88" s="302"/>
      <c r="Y88" s="306"/>
      <c r="Z88" s="307" t="str">
        <f>IF(X88="","",IF(W88="檢退","檢退",IF(W88="審查同意","審定","檢退")))</f>
        <v/>
      </c>
      <c r="AA88" s="302"/>
      <c r="AB88" s="307"/>
      <c r="AC88" s="307"/>
      <c r="AD88" s="360"/>
    </row>
    <row r="89" spans="1:30" s="355" customFormat="1" ht="25.25" customHeight="1">
      <c r="A89" s="470"/>
      <c r="B89" s="470"/>
      <c r="C89" s="470"/>
      <c r="D89" s="480">
        <v>29</v>
      </c>
      <c r="E89" s="483"/>
      <c r="F89" s="471"/>
      <c r="G89" s="471" t="s">
        <v>1055</v>
      </c>
      <c r="H89" s="486" t="s">
        <v>70</v>
      </c>
      <c r="I89" s="474" t="s">
        <v>1052</v>
      </c>
      <c r="J89" s="477" t="s">
        <v>554</v>
      </c>
      <c r="K89" s="477"/>
      <c r="L89" s="364">
        <f>IF(M89="","",M89-30)</f>
        <v>46325</v>
      </c>
      <c r="M89" s="364">
        <f>IF(N89="","",N89-30)</f>
        <v>46355</v>
      </c>
      <c r="N89" s="363">
        <v>46385</v>
      </c>
      <c r="O89" s="362" t="str">
        <f ca="1">IF(L89="","",IF(S89&lt;&gt;"","",IF(AND(S89="",L89-TODAY()&lt;=60),L89-TODAY(),"")))</f>
        <v/>
      </c>
      <c r="P89" s="365" t="str">
        <f>IF(COUNT(L89, S89)=2, L89-S89, "")</f>
        <v/>
      </c>
      <c r="Q89" s="361"/>
      <c r="R89" s="307" t="s">
        <v>22</v>
      </c>
      <c r="S89" s="302"/>
      <c r="T89" s="306"/>
      <c r="U89" s="302"/>
      <c r="V89" s="306"/>
      <c r="W89" s="307"/>
      <c r="X89" s="302"/>
      <c r="Y89" s="306"/>
      <c r="Z89" s="306"/>
      <c r="AA89" s="302"/>
      <c r="AB89" s="307"/>
      <c r="AC89" s="307"/>
      <c r="AD89" s="360"/>
    </row>
    <row r="90" spans="1:30" s="355" customFormat="1" ht="25.25" customHeight="1">
      <c r="A90" s="470"/>
      <c r="B90" s="470"/>
      <c r="C90" s="470"/>
      <c r="D90" s="481"/>
      <c r="E90" s="484"/>
      <c r="F90" s="472"/>
      <c r="G90" s="513"/>
      <c r="H90" s="487"/>
      <c r="I90" s="475"/>
      <c r="J90" s="478"/>
      <c r="K90" s="478"/>
      <c r="L90" s="363"/>
      <c r="M90" s="363"/>
      <c r="N90" s="363"/>
      <c r="O90" s="362" t="str">
        <f ca="1">IF(L90="","",IF(S90&lt;&gt;"","",IF(AND(S90="",L90-TODAY()&lt;=60),L90-TODAY(),"")))</f>
        <v/>
      </c>
      <c r="P90" s="365" t="str">
        <f>IF(COUNT(L90, S90)=2, L90-S90, "")</f>
        <v/>
      </c>
      <c r="Q90" s="361"/>
      <c r="R90" s="307" t="s">
        <v>27</v>
      </c>
      <c r="S90" s="302"/>
      <c r="T90" s="302"/>
      <c r="U90" s="302"/>
      <c r="V90" s="306"/>
      <c r="W90" s="307"/>
      <c r="X90" s="302"/>
      <c r="Y90" s="306"/>
      <c r="Z90" s="307" t="str">
        <f>IF(X90="","",IF(W90="檢退","檢退",IF(W90="審查同意","審定","檢退")))</f>
        <v/>
      </c>
      <c r="AA90" s="302"/>
      <c r="AB90" s="307"/>
      <c r="AC90" s="307"/>
      <c r="AD90" s="360"/>
    </row>
    <row r="91" spans="1:30" s="355" customFormat="1" ht="25.25" customHeight="1">
      <c r="A91" s="470"/>
      <c r="B91" s="470"/>
      <c r="C91" s="470"/>
      <c r="D91" s="482"/>
      <c r="E91" s="485"/>
      <c r="F91" s="473"/>
      <c r="G91" s="514"/>
      <c r="H91" s="488"/>
      <c r="I91" s="476"/>
      <c r="J91" s="479"/>
      <c r="K91" s="479"/>
      <c r="L91" s="363"/>
      <c r="M91" s="363"/>
      <c r="N91" s="363"/>
      <c r="O91" s="362" t="str">
        <f ca="1">IF(L91="","",IF(S91&lt;&gt;"","",IF(AND(S91="",L91-TODAY()&lt;=60),L91-TODAY(),"")))</f>
        <v/>
      </c>
      <c r="P91" s="365" t="str">
        <f>IF(COUNT(L91, S91)=2, L91-S91, "")</f>
        <v/>
      </c>
      <c r="Q91" s="361"/>
      <c r="R91" s="307" t="s">
        <v>36</v>
      </c>
      <c r="S91" s="302"/>
      <c r="T91" s="306"/>
      <c r="U91" s="302"/>
      <c r="V91" s="306"/>
      <c r="W91" s="307"/>
      <c r="X91" s="302"/>
      <c r="Y91" s="306"/>
      <c r="Z91" s="307" t="str">
        <f>IF(X91="","",IF(W91="檢退","檢退",IF(W91="審查同意","審定","檢退")))</f>
        <v/>
      </c>
      <c r="AA91" s="302"/>
      <c r="AB91" s="307"/>
      <c r="AC91" s="307"/>
      <c r="AD91" s="360"/>
    </row>
    <row r="92" spans="1:30" s="355" customFormat="1" ht="25.25" customHeight="1">
      <c r="A92" s="470"/>
      <c r="B92" s="470"/>
      <c r="C92" s="470"/>
      <c r="D92" s="480">
        <v>30</v>
      </c>
      <c r="E92" s="483"/>
      <c r="F92" s="471"/>
      <c r="G92" s="471" t="s">
        <v>1056</v>
      </c>
      <c r="H92" s="486" t="s">
        <v>71</v>
      </c>
      <c r="I92" s="474" t="s">
        <v>1052</v>
      </c>
      <c r="J92" s="477" t="s">
        <v>554</v>
      </c>
      <c r="K92" s="477"/>
      <c r="L92" s="364">
        <f>IF(M92="","",M92-30)</f>
        <v>46325</v>
      </c>
      <c r="M92" s="364">
        <f>IF(N92="","",N92-30)</f>
        <v>46355</v>
      </c>
      <c r="N92" s="363">
        <v>46385</v>
      </c>
      <c r="O92" s="362" t="str">
        <f ca="1">IF(L92="","",IF(S92&lt;&gt;"","",IF(AND(S92="",L92-TODAY()&lt;=60),L92-TODAY(),"")))</f>
        <v/>
      </c>
      <c r="P92" s="365" t="str">
        <f>IF(COUNT(L92, S92)=2, L92-S92, "")</f>
        <v/>
      </c>
      <c r="Q92" s="361"/>
      <c r="R92" s="307" t="s">
        <v>22</v>
      </c>
      <c r="S92" s="302"/>
      <c r="T92" s="306"/>
      <c r="U92" s="302"/>
      <c r="V92" s="306"/>
      <c r="W92" s="307"/>
      <c r="X92" s="302"/>
      <c r="Y92" s="306"/>
      <c r="Z92" s="306"/>
      <c r="AA92" s="302"/>
      <c r="AB92" s="307"/>
      <c r="AC92" s="307"/>
      <c r="AD92" s="360"/>
    </row>
    <row r="93" spans="1:30" s="355" customFormat="1" ht="25.25" customHeight="1">
      <c r="A93" s="470"/>
      <c r="B93" s="470"/>
      <c r="C93" s="470"/>
      <c r="D93" s="481"/>
      <c r="E93" s="484"/>
      <c r="F93" s="472"/>
      <c r="G93" s="513"/>
      <c r="H93" s="487"/>
      <c r="I93" s="475"/>
      <c r="J93" s="478"/>
      <c r="K93" s="478"/>
      <c r="L93" s="363"/>
      <c r="M93" s="363"/>
      <c r="N93" s="363"/>
      <c r="O93" s="362" t="str">
        <f ca="1">IF(L93="","",IF(S93&lt;&gt;"","",IF(AND(S93="",L93-TODAY()&lt;=60),L93-TODAY(),"")))</f>
        <v/>
      </c>
      <c r="P93" s="365" t="str">
        <f>IF(COUNT(L93, S93)=2, L93-S93, "")</f>
        <v/>
      </c>
      <c r="Q93" s="361"/>
      <c r="R93" s="307" t="s">
        <v>27</v>
      </c>
      <c r="S93" s="302"/>
      <c r="T93" s="302"/>
      <c r="U93" s="302"/>
      <c r="V93" s="306"/>
      <c r="W93" s="307"/>
      <c r="X93" s="302"/>
      <c r="Y93" s="306"/>
      <c r="Z93" s="307" t="str">
        <f>IF(X93="","",IF(W93="檢退","檢退",IF(W93="審查同意","審定","檢退")))</f>
        <v/>
      </c>
      <c r="AA93" s="302"/>
      <c r="AB93" s="307"/>
      <c r="AC93" s="307"/>
      <c r="AD93" s="360"/>
    </row>
    <row r="94" spans="1:30" s="355" customFormat="1" ht="25.25" customHeight="1">
      <c r="A94" s="470"/>
      <c r="B94" s="470"/>
      <c r="C94" s="470"/>
      <c r="D94" s="482"/>
      <c r="E94" s="485"/>
      <c r="F94" s="473"/>
      <c r="G94" s="514"/>
      <c r="H94" s="488"/>
      <c r="I94" s="476"/>
      <c r="J94" s="479"/>
      <c r="K94" s="479"/>
      <c r="L94" s="363"/>
      <c r="M94" s="363"/>
      <c r="N94" s="363"/>
      <c r="O94" s="362" t="str">
        <f ca="1">IF(L94="","",IF(S94&lt;&gt;"","",IF(AND(S94="",L94-TODAY()&lt;=60),L94-TODAY(),"")))</f>
        <v/>
      </c>
      <c r="P94" s="365" t="str">
        <f>IF(COUNT(L94, S94)=2, L94-S94, "")</f>
        <v/>
      </c>
      <c r="Q94" s="361"/>
      <c r="R94" s="307" t="s">
        <v>36</v>
      </c>
      <c r="S94" s="302"/>
      <c r="T94" s="306"/>
      <c r="U94" s="302"/>
      <c r="V94" s="306"/>
      <c r="W94" s="307"/>
      <c r="X94" s="302"/>
      <c r="Y94" s="306"/>
      <c r="Z94" s="307" t="str">
        <f>IF(X94="","",IF(W94="檢退","檢退",IF(W94="審查同意","審定","檢退")))</f>
        <v/>
      </c>
      <c r="AA94" s="302"/>
      <c r="AB94" s="307"/>
      <c r="AC94" s="307"/>
      <c r="AD94" s="360"/>
    </row>
    <row r="95" spans="1:30" s="355" customFormat="1" ht="25.25" customHeight="1">
      <c r="A95" s="470"/>
      <c r="B95" s="470"/>
      <c r="C95" s="470"/>
      <c r="D95" s="480">
        <v>31</v>
      </c>
      <c r="E95" s="483"/>
      <c r="F95" s="471"/>
      <c r="G95" s="471" t="s">
        <v>1057</v>
      </c>
      <c r="H95" s="486" t="s">
        <v>72</v>
      </c>
      <c r="I95" s="474" t="s">
        <v>1052</v>
      </c>
      <c r="J95" s="477" t="s">
        <v>554</v>
      </c>
      <c r="K95" s="477"/>
      <c r="L95" s="364">
        <f>IF(M95="","",M95-30)</f>
        <v>46325</v>
      </c>
      <c r="M95" s="364">
        <f>IF(N95="","",N95-30)</f>
        <v>46355</v>
      </c>
      <c r="N95" s="363">
        <v>46385</v>
      </c>
      <c r="O95" s="362" t="str">
        <f ca="1">IF(L95="","",IF(S95&lt;&gt;"","",IF(AND(S95="",L95-TODAY()&lt;=60),L95-TODAY(),"")))</f>
        <v/>
      </c>
      <c r="P95" s="365" t="str">
        <f>IF(COUNT(L95, S95)=2, L95-S95, "")</f>
        <v/>
      </c>
      <c r="Q95" s="361"/>
      <c r="R95" s="307" t="s">
        <v>22</v>
      </c>
      <c r="S95" s="302"/>
      <c r="T95" s="306"/>
      <c r="U95" s="302"/>
      <c r="V95" s="306"/>
      <c r="W95" s="307"/>
      <c r="X95" s="302"/>
      <c r="Y95" s="306"/>
      <c r="Z95" s="306"/>
      <c r="AA95" s="302"/>
      <c r="AB95" s="307"/>
      <c r="AC95" s="307"/>
      <c r="AD95" s="360"/>
    </row>
    <row r="96" spans="1:30" s="355" customFormat="1" ht="25.25" customHeight="1">
      <c r="A96" s="470"/>
      <c r="B96" s="470"/>
      <c r="C96" s="470"/>
      <c r="D96" s="481"/>
      <c r="E96" s="484"/>
      <c r="F96" s="472"/>
      <c r="G96" s="513"/>
      <c r="H96" s="487"/>
      <c r="I96" s="475"/>
      <c r="J96" s="478"/>
      <c r="K96" s="478"/>
      <c r="L96" s="363"/>
      <c r="M96" s="363"/>
      <c r="N96" s="363"/>
      <c r="O96" s="362" t="str">
        <f ca="1">IF(L96="","",IF(S96&lt;&gt;"","",IF(AND(S96="",L96-TODAY()&lt;=60),L96-TODAY(),"")))</f>
        <v/>
      </c>
      <c r="P96" s="365" t="str">
        <f>IF(COUNT(L96, S96)=2, L96-S96, "")</f>
        <v/>
      </c>
      <c r="Q96" s="361"/>
      <c r="R96" s="307" t="s">
        <v>27</v>
      </c>
      <c r="S96" s="302"/>
      <c r="T96" s="302"/>
      <c r="U96" s="302"/>
      <c r="V96" s="306"/>
      <c r="W96" s="307"/>
      <c r="X96" s="302"/>
      <c r="Y96" s="306"/>
      <c r="Z96" s="307" t="str">
        <f>IF(X96="","",IF(W96="檢退","檢退",IF(W96="審查同意","審定","檢退")))</f>
        <v/>
      </c>
      <c r="AA96" s="302"/>
      <c r="AB96" s="307"/>
      <c r="AC96" s="307"/>
      <c r="AD96" s="360"/>
    </row>
    <row r="97" spans="1:30" s="355" customFormat="1" ht="25.25" customHeight="1">
      <c r="A97" s="470"/>
      <c r="B97" s="470"/>
      <c r="C97" s="470"/>
      <c r="D97" s="482"/>
      <c r="E97" s="485"/>
      <c r="F97" s="473"/>
      <c r="G97" s="514"/>
      <c r="H97" s="488"/>
      <c r="I97" s="476"/>
      <c r="J97" s="479"/>
      <c r="K97" s="479"/>
      <c r="L97" s="363"/>
      <c r="M97" s="363"/>
      <c r="N97" s="363"/>
      <c r="O97" s="362" t="str">
        <f ca="1">IF(L97="","",IF(S97&lt;&gt;"","",IF(AND(S97="",L97-TODAY()&lt;=60),L97-TODAY(),"")))</f>
        <v/>
      </c>
      <c r="P97" s="365" t="str">
        <f>IF(COUNT(L97, S97)=2, L97-S97, "")</f>
        <v/>
      </c>
      <c r="Q97" s="361"/>
      <c r="R97" s="307" t="s">
        <v>36</v>
      </c>
      <c r="S97" s="302"/>
      <c r="T97" s="306"/>
      <c r="U97" s="302"/>
      <c r="V97" s="306"/>
      <c r="W97" s="307"/>
      <c r="X97" s="302"/>
      <c r="Y97" s="306"/>
      <c r="Z97" s="307" t="str">
        <f>IF(X97="","",IF(W97="檢退","檢退",IF(W97="審查同意","審定","檢退")))</f>
        <v/>
      </c>
      <c r="AA97" s="302"/>
      <c r="AB97" s="307"/>
      <c r="AC97" s="307"/>
      <c r="AD97" s="360"/>
    </row>
    <row r="98" spans="1:30" s="355" customFormat="1" ht="25.25" customHeight="1">
      <c r="A98" s="470"/>
      <c r="B98" s="470"/>
      <c r="C98" s="470"/>
      <c r="D98" s="480">
        <v>32</v>
      </c>
      <c r="E98" s="483"/>
      <c r="F98" s="471"/>
      <c r="G98" s="471"/>
      <c r="H98" s="486" t="s">
        <v>178</v>
      </c>
      <c r="I98" s="474" t="s">
        <v>1058</v>
      </c>
      <c r="J98" s="477" t="s">
        <v>554</v>
      </c>
      <c r="K98" s="477"/>
      <c r="L98" s="364">
        <f>IF(M98="","",M98-30)</f>
        <v>46325</v>
      </c>
      <c r="M98" s="364">
        <f>IF(N98="","",N98-30)</f>
        <v>46355</v>
      </c>
      <c r="N98" s="363">
        <v>46385</v>
      </c>
      <c r="O98" s="362" t="str">
        <f ca="1">IF(L98="","",IF(S98&lt;&gt;"","",IF(AND(S98="",L98-TODAY()&lt;=60),L98-TODAY(),"")))</f>
        <v/>
      </c>
      <c r="P98" s="365" t="str">
        <f>IF(COUNT(L98, S98)=2, L98-S98, "")</f>
        <v/>
      </c>
      <c r="Q98" s="361"/>
      <c r="R98" s="307" t="s">
        <v>22</v>
      </c>
      <c r="S98" s="302"/>
      <c r="T98" s="306"/>
      <c r="U98" s="302"/>
      <c r="V98" s="306"/>
      <c r="W98" s="307"/>
      <c r="X98" s="302"/>
      <c r="Y98" s="306"/>
      <c r="Z98" s="306"/>
      <c r="AA98" s="302"/>
      <c r="AB98" s="307"/>
      <c r="AC98" s="307"/>
      <c r="AD98" s="360"/>
    </row>
    <row r="99" spans="1:30" s="355" customFormat="1" ht="25.25" customHeight="1">
      <c r="A99" s="470"/>
      <c r="B99" s="470"/>
      <c r="C99" s="470"/>
      <c r="D99" s="481"/>
      <c r="E99" s="484"/>
      <c r="F99" s="472"/>
      <c r="G99" s="513"/>
      <c r="H99" s="487"/>
      <c r="I99" s="475"/>
      <c r="J99" s="478"/>
      <c r="K99" s="478"/>
      <c r="L99" s="363"/>
      <c r="M99" s="363"/>
      <c r="N99" s="363"/>
      <c r="O99" s="362" t="str">
        <f ca="1">IF(L99="","",IF(S99&lt;&gt;"","",IF(AND(S99="",L99-TODAY()&lt;=60),L99-TODAY(),"")))</f>
        <v/>
      </c>
      <c r="P99" s="365" t="str">
        <f>IF(COUNT(L99, S99)=2, L99-S99, "")</f>
        <v/>
      </c>
      <c r="Q99" s="361"/>
      <c r="R99" s="307" t="s">
        <v>27</v>
      </c>
      <c r="S99" s="302"/>
      <c r="T99" s="302"/>
      <c r="U99" s="302"/>
      <c r="V99" s="306"/>
      <c r="W99" s="307"/>
      <c r="X99" s="302"/>
      <c r="Y99" s="306"/>
      <c r="Z99" s="307" t="str">
        <f>IF(X99="","",IF(W99="檢退","檢退",IF(W99="審查同意","審定","檢退")))</f>
        <v/>
      </c>
      <c r="AA99" s="302"/>
      <c r="AB99" s="307"/>
      <c r="AC99" s="307"/>
      <c r="AD99" s="360"/>
    </row>
    <row r="100" spans="1:30" s="355" customFormat="1" ht="25.25" customHeight="1">
      <c r="A100" s="470"/>
      <c r="B100" s="470"/>
      <c r="C100" s="470"/>
      <c r="D100" s="482"/>
      <c r="E100" s="485"/>
      <c r="F100" s="473"/>
      <c r="G100" s="514"/>
      <c r="H100" s="488"/>
      <c r="I100" s="476"/>
      <c r="J100" s="479"/>
      <c r="K100" s="479"/>
      <c r="L100" s="363"/>
      <c r="M100" s="363"/>
      <c r="N100" s="363"/>
      <c r="O100" s="362" t="str">
        <f ca="1">IF(L100="","",IF(S100&lt;&gt;"","",IF(AND(S100="",L100-TODAY()&lt;=60),L100-TODAY(),"")))</f>
        <v/>
      </c>
      <c r="P100" s="365" t="str">
        <f>IF(COUNT(L100, S100)=2, L100-S100, "")</f>
        <v/>
      </c>
      <c r="Q100" s="361"/>
      <c r="R100" s="307" t="s">
        <v>36</v>
      </c>
      <c r="S100" s="302"/>
      <c r="T100" s="306"/>
      <c r="U100" s="302"/>
      <c r="V100" s="306"/>
      <c r="W100" s="307"/>
      <c r="X100" s="302"/>
      <c r="Y100" s="306"/>
      <c r="Z100" s="307" t="str">
        <f>IF(X100="","",IF(W100="檢退","檢退",IF(W100="審查同意","審定","檢退")))</f>
        <v/>
      </c>
      <c r="AA100" s="302"/>
      <c r="AB100" s="307"/>
      <c r="AC100" s="307"/>
      <c r="AD100" s="360"/>
    </row>
    <row r="101" spans="1:30" s="355" customFormat="1" ht="25.25" customHeight="1">
      <c r="A101" s="470"/>
      <c r="B101" s="470"/>
      <c r="C101" s="470"/>
      <c r="D101" s="480">
        <v>33</v>
      </c>
      <c r="E101" s="483"/>
      <c r="F101" s="471"/>
      <c r="G101" s="471"/>
      <c r="H101" s="486" t="s">
        <v>1041</v>
      </c>
      <c r="I101" s="474" t="s">
        <v>294</v>
      </c>
      <c r="J101" s="477" t="s">
        <v>556</v>
      </c>
      <c r="K101" s="477"/>
      <c r="L101" s="364">
        <f>IF(M101="","",M101-30)</f>
        <v>46295</v>
      </c>
      <c r="M101" s="364">
        <f>IF(N101="","",N101-30)</f>
        <v>46325</v>
      </c>
      <c r="N101" s="363">
        <v>46355</v>
      </c>
      <c r="O101" s="367" t="str">
        <f ca="1">IF(L101="","",IF(S101&lt;&gt;"","",IF(AND(S101="",L101-TODAY()&lt;=60),L101-TODAY(),"")))</f>
        <v/>
      </c>
      <c r="P101" s="365" t="str">
        <f>IF(COUNT(L101, S101)=2, L101-S101, "")</f>
        <v/>
      </c>
      <c r="Q101" s="361"/>
      <c r="R101" s="307" t="s">
        <v>22</v>
      </c>
      <c r="S101" s="302"/>
      <c r="T101" s="306"/>
      <c r="U101" s="302"/>
      <c r="V101" s="306"/>
      <c r="W101" s="307"/>
      <c r="X101" s="302"/>
      <c r="Y101" s="306"/>
      <c r="Z101" s="306"/>
      <c r="AA101" s="302"/>
      <c r="AB101" s="307"/>
      <c r="AC101" s="307"/>
      <c r="AD101" s="360"/>
    </row>
    <row r="102" spans="1:30" s="355" customFormat="1" ht="25.25" customHeight="1">
      <c r="A102" s="470"/>
      <c r="B102" s="470"/>
      <c r="C102" s="470"/>
      <c r="D102" s="481"/>
      <c r="E102" s="484"/>
      <c r="F102" s="472"/>
      <c r="G102" s="513"/>
      <c r="H102" s="487"/>
      <c r="I102" s="475"/>
      <c r="J102" s="478"/>
      <c r="K102" s="478"/>
      <c r="L102" s="363"/>
      <c r="M102" s="363"/>
      <c r="N102" s="363"/>
      <c r="O102" s="367" t="str">
        <f ca="1">IF(L102="","",IF(S102&lt;&gt;"","",IF(AND(S102="",L102-TODAY()&lt;=60),L102-TODAY(),"")))</f>
        <v/>
      </c>
      <c r="P102" s="365" t="str">
        <f>IF(COUNT(L102, S102)=2, L102-S102, "")</f>
        <v/>
      </c>
      <c r="Q102" s="361"/>
      <c r="R102" s="307" t="s">
        <v>27</v>
      </c>
      <c r="S102" s="302"/>
      <c r="T102" s="302"/>
      <c r="U102" s="302"/>
      <c r="V102" s="306"/>
      <c r="W102" s="307"/>
      <c r="X102" s="302"/>
      <c r="Y102" s="306"/>
      <c r="Z102" s="307" t="str">
        <f>IF(X102="","",IF(W102="檢退","檢退",IF(W102="審查同意","審定","檢退")))</f>
        <v/>
      </c>
      <c r="AA102" s="302"/>
      <c r="AB102" s="307"/>
      <c r="AC102" s="307"/>
      <c r="AD102" s="360"/>
    </row>
    <row r="103" spans="1:30" s="355" customFormat="1" ht="25.25" customHeight="1">
      <c r="A103" s="470"/>
      <c r="B103" s="470"/>
      <c r="C103" s="470"/>
      <c r="D103" s="482"/>
      <c r="E103" s="485"/>
      <c r="F103" s="473"/>
      <c r="G103" s="514"/>
      <c r="H103" s="488"/>
      <c r="I103" s="476"/>
      <c r="J103" s="479"/>
      <c r="K103" s="479"/>
      <c r="L103" s="363"/>
      <c r="M103" s="363"/>
      <c r="N103" s="363"/>
      <c r="O103" s="367" t="str">
        <f ca="1">IF(L103="","",IF(S103&lt;&gt;"","",IF(AND(S103="",L103-TODAY()&lt;=60),L103-TODAY(),"")))</f>
        <v/>
      </c>
      <c r="P103" s="365" t="str">
        <f>IF(COUNT(L103, S103)=2, L103-S103, "")</f>
        <v/>
      </c>
      <c r="Q103" s="361"/>
      <c r="R103" s="307" t="s">
        <v>36</v>
      </c>
      <c r="S103" s="302"/>
      <c r="T103" s="306"/>
      <c r="U103" s="302"/>
      <c r="V103" s="306"/>
      <c r="W103" s="307"/>
      <c r="X103" s="302"/>
      <c r="Y103" s="306"/>
      <c r="Z103" s="307" t="str">
        <f>IF(X103="","",IF(W103="檢退","檢退",IF(W103="審查同意","審定","檢退")))</f>
        <v/>
      </c>
      <c r="AA103" s="302"/>
      <c r="AB103" s="307"/>
      <c r="AC103" s="307"/>
      <c r="AD103" s="360"/>
    </row>
    <row r="104" spans="1:30" s="355" customFormat="1" ht="25.25" customHeight="1">
      <c r="A104" s="470"/>
      <c r="B104" s="470"/>
      <c r="C104" s="470"/>
      <c r="D104" s="480">
        <v>34</v>
      </c>
      <c r="E104" s="483"/>
      <c r="F104" s="471"/>
      <c r="G104" s="471" t="s">
        <v>1042</v>
      </c>
      <c r="H104" s="486" t="s">
        <v>359</v>
      </c>
      <c r="I104" s="474" t="s">
        <v>296</v>
      </c>
      <c r="J104" s="477" t="s">
        <v>556</v>
      </c>
      <c r="K104" s="477"/>
      <c r="L104" s="364">
        <f>IF(M104="","",M104-30)</f>
        <v>46295</v>
      </c>
      <c r="M104" s="364">
        <f>IF(N104="","",N104-30)</f>
        <v>46325</v>
      </c>
      <c r="N104" s="363">
        <v>46355</v>
      </c>
      <c r="O104" s="367" t="str">
        <f ca="1">IF(L104="","",IF(S104&lt;&gt;"","",IF(AND(S104="",L104-TODAY()&lt;=60),L104-TODAY(),"")))</f>
        <v/>
      </c>
      <c r="P104" s="365" t="str">
        <f>IF(COUNT(L104, S104)=2, L104-S104, "")</f>
        <v/>
      </c>
      <c r="Q104" s="361"/>
      <c r="R104" s="307" t="s">
        <v>22</v>
      </c>
      <c r="S104" s="302"/>
      <c r="T104" s="306"/>
      <c r="U104" s="302"/>
      <c r="V104" s="306"/>
      <c r="W104" s="307"/>
      <c r="X104" s="302"/>
      <c r="Y104" s="306"/>
      <c r="Z104" s="306"/>
      <c r="AA104" s="302"/>
      <c r="AB104" s="307"/>
      <c r="AC104" s="307"/>
      <c r="AD104" s="360"/>
    </row>
    <row r="105" spans="1:30" s="355" customFormat="1" ht="25.25" customHeight="1">
      <c r="A105" s="470"/>
      <c r="B105" s="470"/>
      <c r="C105" s="470"/>
      <c r="D105" s="481"/>
      <c r="E105" s="484"/>
      <c r="F105" s="472"/>
      <c r="G105" s="513"/>
      <c r="H105" s="487"/>
      <c r="I105" s="475"/>
      <c r="J105" s="478"/>
      <c r="K105" s="478"/>
      <c r="L105" s="363"/>
      <c r="M105" s="363"/>
      <c r="N105" s="363"/>
      <c r="O105" s="367" t="str">
        <f ca="1">IF(L105="","",IF(S105&lt;&gt;"","",IF(AND(S105="",L105-TODAY()&lt;=60),L105-TODAY(),"")))</f>
        <v/>
      </c>
      <c r="P105" s="365" t="str">
        <f>IF(COUNT(L105, S105)=2, L105-S105, "")</f>
        <v/>
      </c>
      <c r="Q105" s="361"/>
      <c r="R105" s="307" t="s">
        <v>27</v>
      </c>
      <c r="S105" s="302"/>
      <c r="T105" s="302"/>
      <c r="U105" s="302"/>
      <c r="V105" s="306"/>
      <c r="W105" s="307"/>
      <c r="X105" s="302"/>
      <c r="Y105" s="306"/>
      <c r="Z105" s="307" t="str">
        <f>IF(X105="","",IF(W105="檢退","檢退",IF(W105="審查同意","審定","檢退")))</f>
        <v/>
      </c>
      <c r="AA105" s="302"/>
      <c r="AB105" s="307"/>
      <c r="AC105" s="307"/>
      <c r="AD105" s="360"/>
    </row>
    <row r="106" spans="1:30" s="355" customFormat="1" ht="25.25" customHeight="1">
      <c r="A106" s="470"/>
      <c r="B106" s="470"/>
      <c r="C106" s="470"/>
      <c r="D106" s="482"/>
      <c r="E106" s="485"/>
      <c r="F106" s="473"/>
      <c r="G106" s="514"/>
      <c r="H106" s="488"/>
      <c r="I106" s="476"/>
      <c r="J106" s="479"/>
      <c r="K106" s="479"/>
      <c r="L106" s="363"/>
      <c r="M106" s="363"/>
      <c r="N106" s="363"/>
      <c r="O106" s="367" t="str">
        <f ca="1">IF(L106="","",IF(S106&lt;&gt;"","",IF(AND(S106="",L106-TODAY()&lt;=60),L106-TODAY(),"")))</f>
        <v/>
      </c>
      <c r="P106" s="365" t="str">
        <f>IF(COUNT(L106, S106)=2, L106-S106, "")</f>
        <v/>
      </c>
      <c r="Q106" s="361"/>
      <c r="R106" s="307" t="s">
        <v>36</v>
      </c>
      <c r="S106" s="302"/>
      <c r="T106" s="306"/>
      <c r="U106" s="302"/>
      <c r="V106" s="306"/>
      <c r="W106" s="307"/>
      <c r="X106" s="302"/>
      <c r="Y106" s="306"/>
      <c r="Z106" s="307" t="str">
        <f>IF(X106="","",IF(W106="檢退","檢退",IF(W106="審查同意","審定","檢退")))</f>
        <v/>
      </c>
      <c r="AA106" s="302"/>
      <c r="AB106" s="307"/>
      <c r="AC106" s="307"/>
      <c r="AD106" s="360"/>
    </row>
    <row r="107" spans="1:30" s="355" customFormat="1" ht="25.25" customHeight="1">
      <c r="A107" s="470"/>
      <c r="B107" s="470"/>
      <c r="C107" s="470">
        <v>171</v>
      </c>
      <c r="D107" s="480">
        <v>35</v>
      </c>
      <c r="E107" s="483">
        <v>404</v>
      </c>
      <c r="F107" s="471"/>
      <c r="G107" s="474" t="s">
        <v>470</v>
      </c>
      <c r="H107" s="486" t="s">
        <v>363</v>
      </c>
      <c r="I107" s="474" t="s">
        <v>297</v>
      </c>
      <c r="J107" s="382"/>
      <c r="K107" s="382"/>
      <c r="L107" s="31">
        <f>IF(N107="","",N107-60)</f>
        <v>46311</v>
      </c>
      <c r="M107" s="31">
        <f>IF(N107="","",N107-30)</f>
        <v>46341</v>
      </c>
      <c r="N107" s="17">
        <v>46371</v>
      </c>
      <c r="O107" s="367" t="str">
        <f ca="1">IF(L107="","",IF(S107&lt;&gt;"","",IF(AND(S107="",L107-TODAY()&lt;=60),L107-TODAY(),"")))</f>
        <v/>
      </c>
      <c r="P107" s="365" t="str">
        <f>IF(COUNT(L107, S107)=2, L107-S107, "")</f>
        <v/>
      </c>
      <c r="Q107" s="361"/>
      <c r="R107" s="307" t="s">
        <v>22</v>
      </c>
      <c r="S107" s="302"/>
      <c r="T107" s="306"/>
      <c r="U107" s="302"/>
      <c r="V107" s="306"/>
      <c r="W107" s="307"/>
      <c r="X107" s="302"/>
      <c r="Y107" s="306"/>
      <c r="Z107" s="306"/>
      <c r="AA107" s="302"/>
      <c r="AB107" s="307"/>
      <c r="AC107" s="307"/>
      <c r="AD107" s="360"/>
    </row>
    <row r="108" spans="1:30" s="355" customFormat="1" ht="25.25" customHeight="1">
      <c r="A108" s="470"/>
      <c r="B108" s="470"/>
      <c r="C108" s="470"/>
      <c r="D108" s="481"/>
      <c r="E108" s="484"/>
      <c r="F108" s="472"/>
      <c r="G108" s="475"/>
      <c r="H108" s="487"/>
      <c r="I108" s="475"/>
      <c r="J108" s="381" t="s">
        <v>555</v>
      </c>
      <c r="K108" s="381"/>
      <c r="L108" s="31">
        <f>IF(N108="","",N108-60)</f>
        <v>46189</v>
      </c>
      <c r="M108" s="31">
        <f>IF(N108="","",N108-30)</f>
        <v>46219</v>
      </c>
      <c r="N108" s="17">
        <v>46249</v>
      </c>
      <c r="O108" s="296">
        <f ca="1">IF(L108="","",IF(S108&lt;&gt;"","",IF(AND(S108="",L108-TODAY()&lt;=60),L108-TODAY(),"")))</f>
        <v>20</v>
      </c>
      <c r="P108" s="365" t="str">
        <f>IF(COUNT(L108, S108)=2, L108-S108, "")</f>
        <v/>
      </c>
      <c r="Q108" s="361"/>
      <c r="R108" s="307" t="s">
        <v>27</v>
      </c>
      <c r="S108" s="302"/>
      <c r="T108" s="302"/>
      <c r="U108" s="302"/>
      <c r="V108" s="306"/>
      <c r="W108" s="307"/>
      <c r="X108" s="302"/>
      <c r="Y108" s="306"/>
      <c r="Z108" s="307" t="str">
        <f>IF(X108="","",IF(W108="檢退","檢退",IF(W108="審查同意","審定","檢退")))</f>
        <v/>
      </c>
      <c r="AA108" s="302"/>
      <c r="AB108" s="307"/>
      <c r="AC108" s="307"/>
      <c r="AD108" s="360"/>
    </row>
    <row r="109" spans="1:30" s="355" customFormat="1" ht="25.25" customHeight="1">
      <c r="A109" s="470"/>
      <c r="B109" s="470"/>
      <c r="C109" s="470"/>
      <c r="D109" s="482"/>
      <c r="E109" s="485"/>
      <c r="F109" s="473"/>
      <c r="G109" s="476"/>
      <c r="H109" s="488"/>
      <c r="I109" s="476"/>
      <c r="J109" s="380"/>
      <c r="K109" s="380"/>
      <c r="L109" s="363"/>
      <c r="M109" s="363"/>
      <c r="N109" s="363"/>
      <c r="O109" s="367" t="str">
        <f ca="1">IF(L109="","",IF(S109&lt;&gt;"","",IF(AND(S109="",L109-TODAY()&lt;=60),L109-TODAY(),"")))</f>
        <v/>
      </c>
      <c r="P109" s="365" t="str">
        <f>IF(COUNT(L109, S109)=2, L109-S109, "")</f>
        <v/>
      </c>
      <c r="Q109" s="361"/>
      <c r="R109" s="307" t="s">
        <v>36</v>
      </c>
      <c r="S109" s="302"/>
      <c r="T109" s="306"/>
      <c r="U109" s="302"/>
      <c r="V109" s="306"/>
      <c r="W109" s="307"/>
      <c r="X109" s="302"/>
      <c r="Y109" s="306"/>
      <c r="Z109" s="307" t="str">
        <f>IF(X109="","",IF(W109="檢退","檢退",IF(W109="審查同意","審定","檢退")))</f>
        <v/>
      </c>
      <c r="AA109" s="302"/>
      <c r="AB109" s="307"/>
      <c r="AC109" s="307"/>
      <c r="AD109" s="360"/>
    </row>
    <row r="110" spans="1:30" s="327" customFormat="1" ht="25.25" customHeight="1">
      <c r="A110" s="470"/>
      <c r="B110" s="470"/>
      <c r="C110" s="470"/>
      <c r="D110" s="480">
        <v>36</v>
      </c>
      <c r="E110" s="496"/>
      <c r="F110" s="562" t="s">
        <v>1683</v>
      </c>
      <c r="G110" s="378"/>
      <c r="H110" s="553" t="s">
        <v>1043</v>
      </c>
      <c r="I110" s="550" t="s">
        <v>299</v>
      </c>
      <c r="J110" s="377"/>
      <c r="K110" s="377"/>
      <c r="L110" s="31">
        <f>IF(N110="","",N110-60)</f>
        <v>46171</v>
      </c>
      <c r="M110" s="31">
        <f>IF(N110="","",N110-30)</f>
        <v>46201</v>
      </c>
      <c r="N110" s="17">
        <v>46231</v>
      </c>
      <c r="O110" s="296" t="str">
        <f ca="1">IF(L110="","",IF(S110&lt;&gt;"","",IF(AND(S110="",L110-TODAY()&lt;=60),L110-TODAY(),"")))</f>
        <v/>
      </c>
      <c r="P110" s="365">
        <f>IF(COUNT(L110, S110)=2, L110-S110, "")</f>
        <v>189</v>
      </c>
      <c r="Q110" s="361"/>
      <c r="R110" s="307" t="s">
        <v>22</v>
      </c>
      <c r="S110" s="302">
        <v>45982</v>
      </c>
      <c r="T110" s="302" t="s">
        <v>35</v>
      </c>
      <c r="U110" s="302">
        <v>45999</v>
      </c>
      <c r="V110" s="306" t="s">
        <v>153</v>
      </c>
      <c r="W110" s="307" t="s">
        <v>140</v>
      </c>
      <c r="X110" s="302"/>
      <c r="Y110" s="306"/>
      <c r="Z110" s="307" t="str">
        <f>IF(X110="","",IF(W110="檢退","檢退",IF(W110="審查同意","審定","檢退")))</f>
        <v/>
      </c>
      <c r="AA110" s="302"/>
      <c r="AB110" s="307"/>
      <c r="AC110" s="307"/>
      <c r="AD110" s="360"/>
    </row>
    <row r="111" spans="1:30" s="327" customFormat="1" ht="25.25" customHeight="1">
      <c r="A111" s="470"/>
      <c r="B111" s="470"/>
      <c r="C111" s="470"/>
      <c r="D111" s="481"/>
      <c r="E111" s="497"/>
      <c r="F111" s="563"/>
      <c r="G111" s="376"/>
      <c r="H111" s="554"/>
      <c r="I111" s="551"/>
      <c r="J111" s="375" t="s">
        <v>540</v>
      </c>
      <c r="K111" s="375"/>
      <c r="L111" s="363"/>
      <c r="M111" s="364"/>
      <c r="N111" s="379"/>
      <c r="O111" s="362" t="str">
        <f ca="1">IF(L111="","",IF(S111&lt;&gt;"","",IF(AND(S111="",L111-TODAY()&lt;=60),L111-TODAY(),"")))</f>
        <v/>
      </c>
      <c r="P111" s="365" t="str">
        <f>IF(COUNT(L111, S111)=2, L111-S111, "")</f>
        <v/>
      </c>
      <c r="Q111" s="361" t="s">
        <v>26</v>
      </c>
      <c r="R111" s="307" t="s">
        <v>45</v>
      </c>
      <c r="S111" s="302">
        <v>46017</v>
      </c>
      <c r="T111" s="306" t="s">
        <v>154</v>
      </c>
      <c r="U111" s="302">
        <v>46021</v>
      </c>
      <c r="V111" s="306" t="s">
        <v>155</v>
      </c>
      <c r="W111" s="307" t="s">
        <v>30</v>
      </c>
      <c r="X111" s="302">
        <v>46028</v>
      </c>
      <c r="Y111" s="306" t="s">
        <v>156</v>
      </c>
      <c r="Z111" s="307" t="str">
        <f>IF(X111="","",IF(W111="檢退","檢退",IF(W111="審查同意","審定","檢退")))</f>
        <v>審定</v>
      </c>
      <c r="AA111" s="302">
        <v>46038</v>
      </c>
      <c r="AB111" s="307" t="s">
        <v>157</v>
      </c>
      <c r="AC111" s="361" t="s">
        <v>26</v>
      </c>
      <c r="AD111" s="360"/>
    </row>
    <row r="112" spans="1:30" s="327" customFormat="1" ht="25.25" customHeight="1">
      <c r="A112" s="470"/>
      <c r="B112" s="470"/>
      <c r="C112" s="470"/>
      <c r="D112" s="482"/>
      <c r="E112" s="498"/>
      <c r="F112" s="564"/>
      <c r="G112" s="374"/>
      <c r="H112" s="555"/>
      <c r="I112" s="552"/>
      <c r="J112" s="373"/>
      <c r="K112" s="373"/>
      <c r="L112" s="363"/>
      <c r="M112" s="364"/>
      <c r="N112" s="379"/>
      <c r="O112" s="362" t="str">
        <f ca="1">IF(L112="","",IF(S112&lt;&gt;"","",IF(AND(S112="",L112-TODAY()&lt;=60),L112-TODAY(),"")))</f>
        <v/>
      </c>
      <c r="P112" s="365" t="str">
        <f>IF(COUNT(L112, S112)=2, L112-S112, "")</f>
        <v/>
      </c>
      <c r="Q112" s="361"/>
      <c r="R112" s="307"/>
      <c r="S112" s="302"/>
      <c r="T112" s="306"/>
      <c r="U112" s="302"/>
      <c r="V112" s="306"/>
      <c r="W112" s="307"/>
      <c r="X112" s="302"/>
      <c r="Y112" s="306"/>
      <c r="Z112" s="307" t="str">
        <f>IF(X112="","",IF(W112="檢退","檢退",IF(W112="審查同意","審定","檢退")))</f>
        <v/>
      </c>
      <c r="AA112" s="302"/>
      <c r="AB112" s="307"/>
      <c r="AC112" s="307"/>
      <c r="AD112" s="360"/>
    </row>
    <row r="113" spans="1:30" s="355" customFormat="1" ht="25.25" customHeight="1">
      <c r="A113" s="470"/>
      <c r="B113" s="470" t="s">
        <v>1496</v>
      </c>
      <c r="C113" s="470"/>
      <c r="D113" s="480">
        <v>37</v>
      </c>
      <c r="E113" s="492"/>
      <c r="F113" s="515" t="s">
        <v>1495</v>
      </c>
      <c r="G113" s="515"/>
      <c r="H113" s="507" t="s">
        <v>316</v>
      </c>
      <c r="I113" s="535" t="s">
        <v>300</v>
      </c>
      <c r="J113" s="558" t="s">
        <v>540</v>
      </c>
      <c r="K113" s="558" t="s">
        <v>1494</v>
      </c>
      <c r="L113" s="364">
        <f>IF(M113="","",M113-30)</f>
        <v>46203</v>
      </c>
      <c r="M113" s="364">
        <f>IF(N113="","",N113-30)</f>
        <v>46233</v>
      </c>
      <c r="N113" s="363">
        <v>46263</v>
      </c>
      <c r="O113" s="367" t="str">
        <f ca="1">IF(L113="","",IF(S113&lt;&gt;"","",IF(AND(S113="",L113-TODAY()&lt;=60),L113-TODAY(),"")))</f>
        <v/>
      </c>
      <c r="P113" s="365">
        <f>IF(COUNT(L113, S113)=2, L113-S113, "")</f>
        <v>48</v>
      </c>
      <c r="Q113" s="361" t="s">
        <v>1532</v>
      </c>
      <c r="R113" s="307" t="s">
        <v>22</v>
      </c>
      <c r="S113" s="303">
        <v>46155</v>
      </c>
      <c r="T113" s="303" t="s">
        <v>1665</v>
      </c>
      <c r="U113" s="302"/>
      <c r="V113" s="306"/>
      <c r="W113" s="307"/>
      <c r="X113" s="302"/>
      <c r="Y113" s="306"/>
      <c r="Z113" s="306"/>
      <c r="AA113" s="302"/>
      <c r="AB113" s="307"/>
      <c r="AC113" s="307"/>
      <c r="AD113" s="360" t="s">
        <v>1489</v>
      </c>
    </row>
    <row r="114" spans="1:30" s="355" customFormat="1" ht="25.25" customHeight="1">
      <c r="A114" s="470"/>
      <c r="B114" s="470"/>
      <c r="C114" s="470"/>
      <c r="D114" s="481"/>
      <c r="E114" s="493"/>
      <c r="F114" s="516"/>
      <c r="G114" s="518"/>
      <c r="H114" s="508"/>
      <c r="I114" s="536"/>
      <c r="J114" s="559"/>
      <c r="K114" s="559"/>
      <c r="L114" s="363"/>
      <c r="M114" s="363"/>
      <c r="N114" s="363"/>
      <c r="O114" s="367" t="str">
        <f ca="1">IF(L114="","",IF(S114&lt;&gt;"","",IF(AND(S114="",L114-TODAY()&lt;=60),L114-TODAY(),"")))</f>
        <v/>
      </c>
      <c r="P114" s="365" t="str">
        <f>IF(COUNT(L114, S114)=2, L114-S114, "")</f>
        <v/>
      </c>
      <c r="Q114" s="361"/>
      <c r="R114" s="307" t="s">
        <v>27</v>
      </c>
      <c r="S114" s="302"/>
      <c r="T114" s="302"/>
      <c r="U114" s="302"/>
      <c r="V114" s="306"/>
      <c r="W114" s="307"/>
      <c r="X114" s="302"/>
      <c r="Y114" s="306"/>
      <c r="Z114" s="307" t="str">
        <f>IF(X114="","",IF(W114="檢退","檢退",IF(W114="審查同意","審定","檢退")))</f>
        <v/>
      </c>
      <c r="AA114" s="302"/>
      <c r="AB114" s="307"/>
      <c r="AC114" s="307"/>
      <c r="AD114" s="360"/>
    </row>
    <row r="115" spans="1:30" s="355" customFormat="1" ht="25.25" customHeight="1">
      <c r="A115" s="470"/>
      <c r="B115" s="470"/>
      <c r="C115" s="470"/>
      <c r="D115" s="482"/>
      <c r="E115" s="494"/>
      <c r="F115" s="517"/>
      <c r="G115" s="519"/>
      <c r="H115" s="509"/>
      <c r="I115" s="537"/>
      <c r="J115" s="560"/>
      <c r="K115" s="560"/>
      <c r="L115" s="363"/>
      <c r="M115" s="363"/>
      <c r="N115" s="363"/>
      <c r="O115" s="367" t="str">
        <f ca="1">IF(L115="","",IF(S115&lt;&gt;"","",IF(AND(S115="",L115-TODAY()&lt;=60),L115-TODAY(),"")))</f>
        <v/>
      </c>
      <c r="P115" s="365" t="str">
        <f>IF(COUNT(L115, S115)=2, L115-S115, "")</f>
        <v/>
      </c>
      <c r="Q115" s="361"/>
      <c r="R115" s="307" t="s">
        <v>36</v>
      </c>
      <c r="S115" s="302"/>
      <c r="T115" s="306"/>
      <c r="U115" s="302"/>
      <c r="V115" s="306"/>
      <c r="W115" s="307"/>
      <c r="X115" s="302"/>
      <c r="Y115" s="306"/>
      <c r="Z115" s="307" t="str">
        <f>IF(X115="","",IF(W115="檢退","檢退",IF(W115="審查同意","審定","檢退")))</f>
        <v/>
      </c>
      <c r="AA115" s="302"/>
      <c r="AB115" s="307"/>
      <c r="AC115" s="307"/>
      <c r="AD115" s="360"/>
    </row>
    <row r="116" spans="1:30" s="355" customFormat="1" ht="25.25" customHeight="1">
      <c r="A116" s="470"/>
      <c r="B116" s="470" t="s">
        <v>1493</v>
      </c>
      <c r="C116" s="470"/>
      <c r="D116" s="480">
        <v>38</v>
      </c>
      <c r="E116" s="492"/>
      <c r="F116" s="515" t="s">
        <v>1448</v>
      </c>
      <c r="G116" s="515"/>
      <c r="H116" s="507" t="s">
        <v>1492</v>
      </c>
      <c r="I116" s="535" t="s">
        <v>1491</v>
      </c>
      <c r="J116" s="558" t="s">
        <v>540</v>
      </c>
      <c r="K116" s="558" t="s">
        <v>1490</v>
      </c>
      <c r="L116" s="364">
        <f>IF(M116="","",M116-30)</f>
        <v>46203</v>
      </c>
      <c r="M116" s="364">
        <f>IF(N116="","",N116-30)</f>
        <v>46233</v>
      </c>
      <c r="N116" s="363">
        <v>46263</v>
      </c>
      <c r="O116" s="367" t="str">
        <f ca="1">IF(L116="","",IF(S116&lt;&gt;"","",IF(AND(S116="",L116-TODAY()&lt;=60),L116-TODAY(),"")))</f>
        <v/>
      </c>
      <c r="P116" s="365">
        <f>IF(COUNT(L116, S116)=2, L116-S116, "")</f>
        <v>41</v>
      </c>
      <c r="Q116" s="361" t="s">
        <v>1532</v>
      </c>
      <c r="R116" s="307" t="s">
        <v>22</v>
      </c>
      <c r="S116" s="303">
        <v>46162</v>
      </c>
      <c r="T116" s="303" t="s">
        <v>1682</v>
      </c>
      <c r="U116" s="302"/>
      <c r="V116" s="306"/>
      <c r="W116" s="307"/>
      <c r="X116" s="302"/>
      <c r="Y116" s="306"/>
      <c r="Z116" s="306"/>
      <c r="AA116" s="302"/>
      <c r="AB116" s="307"/>
      <c r="AC116" s="307"/>
      <c r="AD116" s="360" t="s">
        <v>1489</v>
      </c>
    </row>
    <row r="117" spans="1:30" s="355" customFormat="1" ht="25.25" customHeight="1">
      <c r="A117" s="470" t="s">
        <v>1488</v>
      </c>
      <c r="B117" s="470"/>
      <c r="C117" s="470">
        <v>103</v>
      </c>
      <c r="D117" s="481"/>
      <c r="E117" s="493"/>
      <c r="F117" s="516"/>
      <c r="G117" s="518"/>
      <c r="H117" s="508"/>
      <c r="I117" s="536"/>
      <c r="J117" s="559"/>
      <c r="K117" s="559"/>
      <c r="L117" s="363"/>
      <c r="M117" s="363"/>
      <c r="N117" s="363"/>
      <c r="O117" s="367" t="str">
        <f ca="1">IF(L117="","",IF(S117&lt;&gt;"","",IF(AND(S117="",L117-TODAY()&lt;=60),L117-TODAY(),"")))</f>
        <v/>
      </c>
      <c r="P117" s="365" t="str">
        <f>IF(COUNT(L117, S117)=2, L117-S117, "")</f>
        <v/>
      </c>
      <c r="Q117" s="361"/>
      <c r="R117" s="307" t="s">
        <v>27</v>
      </c>
      <c r="S117" s="302"/>
      <c r="T117" s="302"/>
      <c r="U117" s="302"/>
      <c r="V117" s="306"/>
      <c r="W117" s="307"/>
      <c r="X117" s="302"/>
      <c r="Y117" s="306"/>
      <c r="Z117" s="307" t="str">
        <f>IF(X117="","",IF(W117="檢退","檢退",IF(W117="審查同意","審定","檢退")))</f>
        <v/>
      </c>
      <c r="AA117" s="302"/>
      <c r="AB117" s="307"/>
      <c r="AC117" s="307"/>
      <c r="AD117" s="360"/>
    </row>
    <row r="118" spans="1:30" s="355" customFormat="1" ht="25.25" customHeight="1">
      <c r="A118" s="470"/>
      <c r="B118" s="470"/>
      <c r="C118" s="470"/>
      <c r="D118" s="482"/>
      <c r="E118" s="494"/>
      <c r="F118" s="517"/>
      <c r="G118" s="519"/>
      <c r="H118" s="509"/>
      <c r="I118" s="537"/>
      <c r="J118" s="560"/>
      <c r="K118" s="560"/>
      <c r="L118" s="363"/>
      <c r="M118" s="363"/>
      <c r="N118" s="363"/>
      <c r="O118" s="367" t="str">
        <f ca="1">IF(L118="","",IF(S118&lt;&gt;"","",IF(AND(S118="",L118-TODAY()&lt;=60),L118-TODAY(),"")))</f>
        <v/>
      </c>
      <c r="P118" s="365" t="str">
        <f>IF(COUNT(L118, S118)=2, L118-S118, "")</f>
        <v/>
      </c>
      <c r="Q118" s="361"/>
      <c r="R118" s="307" t="s">
        <v>36</v>
      </c>
      <c r="S118" s="302"/>
      <c r="T118" s="306"/>
      <c r="U118" s="302"/>
      <c r="V118" s="306"/>
      <c r="W118" s="307"/>
      <c r="X118" s="302"/>
      <c r="Y118" s="306"/>
      <c r="Z118" s="307" t="str">
        <f>IF(X118="","",IF(W118="檢退","檢退",IF(W118="審查同意","審定","檢退")))</f>
        <v/>
      </c>
      <c r="AA118" s="302"/>
      <c r="AB118" s="307"/>
      <c r="AC118" s="307"/>
      <c r="AD118" s="360"/>
    </row>
    <row r="119" spans="1:30" s="355" customFormat="1" ht="25.25" customHeight="1">
      <c r="A119" s="470"/>
      <c r="B119" s="470"/>
      <c r="C119" s="470"/>
      <c r="D119" s="480">
        <v>39</v>
      </c>
      <c r="E119" s="492" t="s">
        <v>351</v>
      </c>
      <c r="F119" s="515" t="s">
        <v>1681</v>
      </c>
      <c r="G119" s="515" t="s">
        <v>529</v>
      </c>
      <c r="H119" s="507" t="s">
        <v>411</v>
      </c>
      <c r="I119" s="535" t="s">
        <v>301</v>
      </c>
      <c r="J119" s="558" t="s">
        <v>540</v>
      </c>
      <c r="K119" s="558" t="s">
        <v>528</v>
      </c>
      <c r="L119" s="364">
        <f>IF(M119="","",M119-30)</f>
        <v>46184</v>
      </c>
      <c r="M119" s="364">
        <f>IF(N119="","",N119-30)</f>
        <v>46214</v>
      </c>
      <c r="N119" s="363">
        <v>46244</v>
      </c>
      <c r="O119" s="367" t="str">
        <f ca="1">IF(L119="","",IF(S119&lt;&gt;"","",IF(AND(S119="",L119-TODAY()&lt;=60),L119-TODAY(),"")))</f>
        <v/>
      </c>
      <c r="P119" s="365">
        <f>IF(COUNT(L119, S119)=2, L119-S119, "")</f>
        <v>122</v>
      </c>
      <c r="Q119" s="361" t="s">
        <v>1532</v>
      </c>
      <c r="R119" s="307" t="s">
        <v>22</v>
      </c>
      <c r="S119" s="302">
        <v>46062</v>
      </c>
      <c r="T119" s="306" t="s">
        <v>410</v>
      </c>
      <c r="U119" s="302" t="s">
        <v>1487</v>
      </c>
      <c r="V119" s="306" t="s">
        <v>1486</v>
      </c>
      <c r="W119" s="307" t="s">
        <v>30</v>
      </c>
      <c r="X119" s="302"/>
      <c r="Y119" s="306"/>
      <c r="Z119" s="306"/>
      <c r="AA119" s="302"/>
      <c r="AB119" s="307"/>
      <c r="AC119" s="307"/>
      <c r="AD119" s="360"/>
    </row>
    <row r="120" spans="1:30" s="355" customFormat="1" ht="25.25" customHeight="1">
      <c r="A120" s="470"/>
      <c r="B120" s="470"/>
      <c r="C120" s="470"/>
      <c r="D120" s="481"/>
      <c r="E120" s="493"/>
      <c r="F120" s="516"/>
      <c r="G120" s="518"/>
      <c r="H120" s="508"/>
      <c r="I120" s="536"/>
      <c r="J120" s="559"/>
      <c r="K120" s="559"/>
      <c r="L120" s="363"/>
      <c r="M120" s="363"/>
      <c r="N120" s="363"/>
      <c r="O120" s="367" t="str">
        <f ca="1">IF(L120="","",IF(S120&lt;&gt;"","",IF(AND(S120="",L120-TODAY()&lt;=60),L120-TODAY(),"")))</f>
        <v/>
      </c>
      <c r="P120" s="365" t="str">
        <f>IF(COUNT(L120, S120)=2, L120-S120, "")</f>
        <v/>
      </c>
      <c r="Q120" s="361"/>
      <c r="R120" s="307" t="s">
        <v>27</v>
      </c>
      <c r="S120" s="302"/>
      <c r="T120" s="302"/>
      <c r="U120" s="302"/>
      <c r="V120" s="306"/>
      <c r="W120" s="307"/>
      <c r="X120" s="302"/>
      <c r="Y120" s="306"/>
      <c r="Z120" s="307" t="str">
        <f>IF(X120="","",IF(W120="檢退","檢退",IF(W120="審查同意","審定","檢退")))</f>
        <v/>
      </c>
      <c r="AA120" s="302"/>
      <c r="AB120" s="307"/>
      <c r="AC120" s="307"/>
      <c r="AD120" s="360"/>
    </row>
    <row r="121" spans="1:30" s="355" customFormat="1" ht="25.25" customHeight="1">
      <c r="A121" s="470"/>
      <c r="B121" s="470"/>
      <c r="C121" s="470"/>
      <c r="D121" s="482"/>
      <c r="E121" s="494"/>
      <c r="F121" s="517"/>
      <c r="G121" s="519"/>
      <c r="H121" s="509"/>
      <c r="I121" s="537"/>
      <c r="J121" s="560"/>
      <c r="K121" s="560"/>
      <c r="L121" s="363"/>
      <c r="M121" s="363"/>
      <c r="N121" s="363"/>
      <c r="O121" s="367" t="str">
        <f ca="1">IF(L121="","",IF(S121&lt;&gt;"","",IF(AND(S121="",L121-TODAY()&lt;=60),L121-TODAY(),"")))</f>
        <v/>
      </c>
      <c r="P121" s="365" t="str">
        <f>IF(COUNT(L121, S121)=2, L121-S121, "")</f>
        <v/>
      </c>
      <c r="Q121" s="361"/>
      <c r="R121" s="307" t="s">
        <v>36</v>
      </c>
      <c r="S121" s="302"/>
      <c r="T121" s="306"/>
      <c r="U121" s="302"/>
      <c r="V121" s="306"/>
      <c r="W121" s="307"/>
      <c r="X121" s="302"/>
      <c r="Y121" s="306"/>
      <c r="Z121" s="307" t="str">
        <f>IF(X121="","",IF(W121="檢退","檢退",IF(W121="審查同意","審定","檢退")))</f>
        <v/>
      </c>
      <c r="AA121" s="302"/>
      <c r="AB121" s="307"/>
      <c r="AC121" s="307"/>
      <c r="AD121" s="360"/>
    </row>
    <row r="122" spans="1:30" s="355" customFormat="1" ht="25.25" customHeight="1">
      <c r="A122" s="470"/>
      <c r="B122" s="470"/>
      <c r="C122" s="470"/>
      <c r="D122" s="480">
        <v>40</v>
      </c>
      <c r="E122" s="496"/>
      <c r="F122" s="562" t="s">
        <v>1680</v>
      </c>
      <c r="G122" s="378"/>
      <c r="H122" s="553" t="s">
        <v>187</v>
      </c>
      <c r="I122" s="550" t="s">
        <v>302</v>
      </c>
      <c r="J122" s="377"/>
      <c r="K122" s="377"/>
      <c r="L122" s="364" t="str">
        <f>IF(M122="","",M122-30)</f>
        <v/>
      </c>
      <c r="M122" s="364" t="str">
        <f>IF(N122="","",N122-30)</f>
        <v/>
      </c>
      <c r="N122" s="363"/>
      <c r="O122" s="367" t="str">
        <f ca="1">IF(L122="","",IF(S122&lt;&gt;"","",IF(AND(S122="",L122-TODAY()&lt;=60),L122-TODAY(),"")))</f>
        <v/>
      </c>
      <c r="P122" s="365" t="str">
        <f>IF(COUNT(L122, S122)=2, L122-S122, "")</f>
        <v/>
      </c>
      <c r="Q122" s="361"/>
      <c r="R122" s="307" t="s">
        <v>50</v>
      </c>
      <c r="S122" s="302" t="s">
        <v>188</v>
      </c>
      <c r="T122" s="302" t="s">
        <v>189</v>
      </c>
      <c r="U122" s="302">
        <v>45999</v>
      </c>
      <c r="V122" s="306" t="s">
        <v>190</v>
      </c>
      <c r="W122" s="307" t="s">
        <v>140</v>
      </c>
      <c r="X122" s="302"/>
      <c r="Y122" s="306"/>
      <c r="Z122" s="307"/>
      <c r="AA122" s="302"/>
      <c r="AB122" s="307"/>
      <c r="AC122" s="307"/>
      <c r="AD122" s="360"/>
    </row>
    <row r="123" spans="1:30" s="355" customFormat="1" ht="25.25" customHeight="1">
      <c r="A123" s="470"/>
      <c r="B123" s="470"/>
      <c r="C123" s="470"/>
      <c r="D123" s="481"/>
      <c r="E123" s="497"/>
      <c r="F123" s="563"/>
      <c r="G123" s="376"/>
      <c r="H123" s="554"/>
      <c r="I123" s="551"/>
      <c r="J123" s="375" t="s">
        <v>540</v>
      </c>
      <c r="K123" s="375"/>
      <c r="L123" s="363"/>
      <c r="M123" s="363"/>
      <c r="N123" s="363"/>
      <c r="O123" s="367" t="str">
        <f ca="1">IF(L123="","",IF(S123&lt;&gt;"","",IF(AND(S123="",L123-TODAY()&lt;=60),L123-TODAY(),"")))</f>
        <v/>
      </c>
      <c r="P123" s="365" t="str">
        <f>IF(COUNT(L123, S123)=2, L123-S123, "")</f>
        <v/>
      </c>
      <c r="Q123" s="361" t="s">
        <v>26</v>
      </c>
      <c r="R123" s="307" t="s">
        <v>45</v>
      </c>
      <c r="S123" s="302">
        <v>46017</v>
      </c>
      <c r="T123" s="306" t="s">
        <v>1485</v>
      </c>
      <c r="U123" s="302">
        <v>46027</v>
      </c>
      <c r="V123" s="306" t="s">
        <v>1484</v>
      </c>
      <c r="W123" s="307" t="s">
        <v>30</v>
      </c>
      <c r="X123" s="302">
        <v>46031</v>
      </c>
      <c r="Y123" s="306" t="s">
        <v>1483</v>
      </c>
      <c r="Z123" s="307" t="s">
        <v>44</v>
      </c>
      <c r="AA123" s="302">
        <v>46038</v>
      </c>
      <c r="AB123" s="307" t="s">
        <v>1679</v>
      </c>
      <c r="AC123" s="307" t="s">
        <v>26</v>
      </c>
      <c r="AD123" s="360"/>
    </row>
    <row r="124" spans="1:30" s="355" customFormat="1" ht="25.25" customHeight="1">
      <c r="A124" s="470"/>
      <c r="B124" s="470"/>
      <c r="C124" s="470"/>
      <c r="D124" s="482"/>
      <c r="E124" s="498"/>
      <c r="F124" s="564"/>
      <c r="G124" s="374"/>
      <c r="H124" s="555"/>
      <c r="I124" s="552"/>
      <c r="J124" s="373"/>
      <c r="K124" s="373"/>
      <c r="L124" s="363"/>
      <c r="M124" s="363"/>
      <c r="N124" s="363"/>
      <c r="O124" s="367" t="str">
        <f ca="1">IF(L124="","",IF(S124&lt;&gt;"","",IF(AND(S124="",L124-TODAY()&lt;=60),L124-TODAY(),"")))</f>
        <v/>
      </c>
      <c r="P124" s="365" t="str">
        <f>IF(COUNT(L124, S124)=2, L124-S124, "")</f>
        <v/>
      </c>
      <c r="Q124" s="361"/>
      <c r="R124" s="307"/>
      <c r="S124" s="302"/>
      <c r="T124" s="306"/>
      <c r="U124" s="302"/>
      <c r="V124" s="306"/>
      <c r="W124" s="307"/>
      <c r="X124" s="302"/>
      <c r="Y124" s="306"/>
      <c r="Z124" s="307" t="str">
        <f>IF(X124="","",IF(W124="檢退","檢退",IF(W124="審查同意","審定","檢退")))</f>
        <v/>
      </c>
      <c r="AA124" s="302"/>
      <c r="AB124" s="307"/>
      <c r="AC124" s="307"/>
      <c r="AD124" s="360"/>
    </row>
    <row r="125" spans="1:30" s="355" customFormat="1" ht="25.25" customHeight="1">
      <c r="A125" s="366"/>
      <c r="B125" s="366"/>
      <c r="C125" s="366"/>
      <c r="D125" s="480">
        <v>41</v>
      </c>
      <c r="E125" s="496"/>
      <c r="F125" s="562" t="s">
        <v>408</v>
      </c>
      <c r="G125" s="529"/>
      <c r="H125" s="553" t="s">
        <v>409</v>
      </c>
      <c r="I125" s="550" t="s">
        <v>302</v>
      </c>
      <c r="J125" s="571" t="s">
        <v>540</v>
      </c>
      <c r="K125" s="571"/>
      <c r="L125" s="31">
        <f>IF(M125="","",M125-30)</f>
        <v>46158</v>
      </c>
      <c r="M125" s="31">
        <f>IF(N125="","",N125-30)</f>
        <v>46188</v>
      </c>
      <c r="N125" s="17">
        <v>46218</v>
      </c>
      <c r="O125" s="296" t="str">
        <f ca="1">IF(L125="","",IF(S125&lt;&gt;"","",IF(AND(S125="",L125-TODAY()&lt;=60),L125-TODAY(),"")))</f>
        <v/>
      </c>
      <c r="P125" s="365">
        <f>IF(COUNT(L125, S125)=2, L125-S125, "")</f>
        <v>106</v>
      </c>
      <c r="Q125" s="361"/>
      <c r="R125" s="307" t="s">
        <v>50</v>
      </c>
      <c r="S125" s="302">
        <v>46052</v>
      </c>
      <c r="T125" s="302" t="s">
        <v>1482</v>
      </c>
      <c r="U125" s="302">
        <v>46076</v>
      </c>
      <c r="V125" s="306" t="s">
        <v>1481</v>
      </c>
      <c r="W125" s="307" t="s">
        <v>25</v>
      </c>
      <c r="X125" s="302"/>
      <c r="Y125" s="306"/>
      <c r="Z125" s="307"/>
      <c r="AA125" s="302">
        <v>46126</v>
      </c>
      <c r="AB125" s="307" t="s">
        <v>1480</v>
      </c>
      <c r="AC125" s="307" t="s">
        <v>26</v>
      </c>
      <c r="AD125" s="360"/>
    </row>
    <row r="126" spans="1:30" s="355" customFormat="1" ht="25.25" customHeight="1">
      <c r="A126" s="470"/>
      <c r="B126" s="470"/>
      <c r="C126" s="470"/>
      <c r="D126" s="481"/>
      <c r="E126" s="497"/>
      <c r="F126" s="563"/>
      <c r="G126" s="565"/>
      <c r="H126" s="554"/>
      <c r="I126" s="551"/>
      <c r="J126" s="572"/>
      <c r="K126" s="572"/>
      <c r="L126" s="363"/>
      <c r="M126" s="363"/>
      <c r="N126" s="363"/>
      <c r="O126" s="367" t="str">
        <f ca="1">IF(L126="","",IF(S126&lt;&gt;"","",IF(AND(S126="",L126-TODAY()&lt;=60),L126-TODAY(),"")))</f>
        <v/>
      </c>
      <c r="P126" s="365" t="str">
        <f>IF(COUNT(L126, S126)=2, L126-S126, "")</f>
        <v/>
      </c>
      <c r="Q126" s="361" t="s">
        <v>1532</v>
      </c>
      <c r="R126" s="307" t="s">
        <v>27</v>
      </c>
      <c r="S126" s="302" t="s">
        <v>1479</v>
      </c>
      <c r="T126" s="302" t="s">
        <v>1478</v>
      </c>
      <c r="U126" s="302">
        <v>46111</v>
      </c>
      <c r="V126" s="306" t="s">
        <v>1477</v>
      </c>
      <c r="W126" s="307" t="s">
        <v>30</v>
      </c>
      <c r="X126" s="302"/>
      <c r="Y126" s="306"/>
      <c r="Z126" s="307"/>
      <c r="AA126" s="302"/>
      <c r="AB126" s="307"/>
      <c r="AC126" s="307"/>
      <c r="AD126" s="360"/>
    </row>
    <row r="127" spans="1:30" s="355" customFormat="1" ht="25.25" customHeight="1">
      <c r="A127" s="470"/>
      <c r="B127" s="470"/>
      <c r="C127" s="470"/>
      <c r="D127" s="482"/>
      <c r="E127" s="498"/>
      <c r="F127" s="564"/>
      <c r="G127" s="566"/>
      <c r="H127" s="555"/>
      <c r="I127" s="552"/>
      <c r="J127" s="573"/>
      <c r="K127" s="573"/>
      <c r="L127" s="363"/>
      <c r="M127" s="363"/>
      <c r="N127" s="363"/>
      <c r="O127" s="367" t="str">
        <f ca="1">IF(L127="","",IF(S127&lt;&gt;"","",IF(AND(S127="",L127-TODAY()&lt;=60),L127-TODAY(),"")))</f>
        <v/>
      </c>
      <c r="P127" s="365" t="str">
        <f>IF(COUNT(L127, S127)=2, L127-S127, "")</f>
        <v/>
      </c>
      <c r="Q127" s="361"/>
      <c r="R127" s="307" t="s">
        <v>36</v>
      </c>
      <c r="S127" s="302"/>
      <c r="T127" s="306"/>
      <c r="U127" s="302"/>
      <c r="V127" s="306"/>
      <c r="W127" s="307"/>
      <c r="X127" s="302"/>
      <c r="Y127" s="306"/>
      <c r="Z127" s="307" t="str">
        <f>IF(X127="","",IF(W127="檢退","檢退",IF(W127="審查同意","審定","檢退")))</f>
        <v/>
      </c>
      <c r="AA127" s="302"/>
      <c r="AB127" s="307"/>
      <c r="AC127" s="307"/>
      <c r="AD127" s="360"/>
    </row>
    <row r="128" spans="1:30" s="355" customFormat="1" ht="25.25" customHeight="1">
      <c r="A128" s="470"/>
      <c r="B128" s="470" t="s">
        <v>1476</v>
      </c>
      <c r="C128" s="470">
        <v>216</v>
      </c>
      <c r="D128" s="480">
        <v>42</v>
      </c>
      <c r="E128" s="492" t="s">
        <v>349</v>
      </c>
      <c r="F128" s="515" t="s">
        <v>1678</v>
      </c>
      <c r="G128" s="558" t="s">
        <v>473</v>
      </c>
      <c r="H128" s="507" t="s">
        <v>1475</v>
      </c>
      <c r="I128" s="535" t="s">
        <v>303</v>
      </c>
      <c r="J128" s="371"/>
      <c r="K128" s="371" t="s">
        <v>536</v>
      </c>
      <c r="L128" s="364">
        <f>IF(M128="","",M128-30)</f>
        <v>46235</v>
      </c>
      <c r="M128" s="364">
        <f>IF(N128="","",N128-30)</f>
        <v>46265</v>
      </c>
      <c r="N128" s="363">
        <v>46295</v>
      </c>
      <c r="O128" s="296" t="str">
        <f ca="1">IF(L128="","",IF(S128&lt;&gt;"","",IF(AND(S128="",L128-TODAY()&lt;=60),L128-TODAY(),"")))</f>
        <v/>
      </c>
      <c r="P128" s="365">
        <f>IF(COUNT(L128, S128)=2, L128-S128, "")</f>
        <v>96</v>
      </c>
      <c r="Q128" s="361" t="s">
        <v>1532</v>
      </c>
      <c r="R128" s="307" t="s">
        <v>22</v>
      </c>
      <c r="S128" s="1096">
        <v>46139</v>
      </c>
      <c r="T128" s="1096" t="s">
        <v>1474</v>
      </c>
      <c r="U128" s="302"/>
      <c r="V128" s="306"/>
      <c r="W128" s="307"/>
      <c r="X128" s="302"/>
      <c r="Y128" s="306"/>
      <c r="Z128" s="306"/>
      <c r="AA128" s="302"/>
      <c r="AB128" s="307"/>
      <c r="AC128" s="307"/>
      <c r="AD128" s="360"/>
    </row>
    <row r="129" spans="1:30" s="355" customFormat="1" ht="25.25" customHeight="1">
      <c r="A129" s="470"/>
      <c r="B129" s="470"/>
      <c r="C129" s="470"/>
      <c r="D129" s="481"/>
      <c r="E129" s="493"/>
      <c r="F129" s="516"/>
      <c r="G129" s="559"/>
      <c r="H129" s="508"/>
      <c r="I129" s="536"/>
      <c r="J129" s="370" t="s">
        <v>540</v>
      </c>
      <c r="K129" s="370"/>
      <c r="L129" s="363"/>
      <c r="M129" s="363"/>
      <c r="N129" s="363"/>
      <c r="O129" s="367" t="str">
        <f ca="1">IF(L129="","",IF(S129&lt;&gt;"","",IF(AND(S129="",L129-TODAY()&lt;=60),L129-TODAY(),"")))</f>
        <v/>
      </c>
      <c r="P129" s="365" t="str">
        <f>IF(COUNT(L129, S129)=2, L129-S129, "")</f>
        <v/>
      </c>
      <c r="Q129" s="361"/>
      <c r="R129" s="307" t="s">
        <v>27</v>
      </c>
      <c r="S129" s="302"/>
      <c r="T129" s="302"/>
      <c r="U129" s="302"/>
      <c r="V129" s="306"/>
      <c r="W129" s="307"/>
      <c r="X129" s="302"/>
      <c r="Y129" s="306"/>
      <c r="Z129" s="307" t="str">
        <f>IF(X129="","",IF(W129="檢退","檢退",IF(W129="審查同意","審定","檢退")))</f>
        <v/>
      </c>
      <c r="AA129" s="302"/>
      <c r="AB129" s="307"/>
      <c r="AC129" s="307"/>
      <c r="AD129" s="360"/>
    </row>
    <row r="130" spans="1:30" s="355" customFormat="1" ht="25.25" customHeight="1">
      <c r="A130" s="470"/>
      <c r="B130" s="470"/>
      <c r="C130" s="470"/>
      <c r="D130" s="482"/>
      <c r="E130" s="494"/>
      <c r="F130" s="517"/>
      <c r="G130" s="560"/>
      <c r="H130" s="509"/>
      <c r="I130" s="537"/>
      <c r="J130" s="368"/>
      <c r="K130" s="368"/>
      <c r="L130" s="363"/>
      <c r="M130" s="363"/>
      <c r="N130" s="363"/>
      <c r="O130" s="367" t="str">
        <f ca="1">IF(L130="","",IF(S130&lt;&gt;"","",IF(AND(S130="",L130-TODAY()&lt;=60),L130-TODAY(),"")))</f>
        <v/>
      </c>
      <c r="P130" s="365" t="str">
        <f>IF(COUNT(L130, S130)=2, L130-S130, "")</f>
        <v/>
      </c>
      <c r="Q130" s="361"/>
      <c r="R130" s="307" t="s">
        <v>36</v>
      </c>
      <c r="S130" s="302"/>
      <c r="T130" s="306"/>
      <c r="U130" s="302"/>
      <c r="V130" s="306"/>
      <c r="W130" s="307"/>
      <c r="X130" s="302"/>
      <c r="Y130" s="306"/>
      <c r="Z130" s="307" t="str">
        <f>IF(X130="","",IF(W130="檢退","檢退",IF(W130="審查同意","審定","檢退")))</f>
        <v/>
      </c>
      <c r="AA130" s="302"/>
      <c r="AB130" s="307"/>
      <c r="AC130" s="307"/>
      <c r="AD130" s="360"/>
    </row>
    <row r="131" spans="1:30" s="355" customFormat="1" ht="25.25" customHeight="1">
      <c r="A131" s="470"/>
      <c r="B131" s="470"/>
      <c r="C131" s="470"/>
      <c r="D131" s="480">
        <v>43</v>
      </c>
      <c r="E131" s="499" t="s">
        <v>350</v>
      </c>
      <c r="F131" s="489" t="s">
        <v>1473</v>
      </c>
      <c r="G131" s="568" t="s">
        <v>538</v>
      </c>
      <c r="H131" s="520" t="s">
        <v>535</v>
      </c>
      <c r="I131" s="510" t="s">
        <v>303</v>
      </c>
      <c r="J131" s="568" t="s">
        <v>540</v>
      </c>
      <c r="K131" s="568" t="s">
        <v>1472</v>
      </c>
      <c r="L131" s="31">
        <f>IF(M131="","",M131-30)</f>
        <v>46234</v>
      </c>
      <c r="M131" s="31">
        <f>IF(N131="","",N131-30)</f>
        <v>46264</v>
      </c>
      <c r="N131" s="17">
        <v>46294</v>
      </c>
      <c r="O131" s="296" t="str">
        <f ca="1">IF(L131="","",IF(S131&lt;&gt;"","",IF(AND(S131="",L131-TODAY()&lt;=60),L131-TODAY(),"")))</f>
        <v/>
      </c>
      <c r="P131" s="365" t="str">
        <f>IF(COUNT(L131, S131)=2, L131-S131, "")</f>
        <v/>
      </c>
      <c r="Q131" s="361"/>
      <c r="R131" s="307" t="s">
        <v>22</v>
      </c>
      <c r="S131" s="302"/>
      <c r="T131" s="306"/>
      <c r="U131" s="302"/>
      <c r="V131" s="306"/>
      <c r="W131" s="307"/>
      <c r="X131" s="302"/>
      <c r="Y131" s="306"/>
      <c r="Z131" s="306"/>
      <c r="AA131" s="302"/>
      <c r="AB131" s="307"/>
      <c r="AC131" s="307"/>
      <c r="AD131" s="360"/>
    </row>
    <row r="132" spans="1:30" s="355" customFormat="1" ht="25.25" customHeight="1">
      <c r="A132" s="470"/>
      <c r="B132" s="470"/>
      <c r="C132" s="470"/>
      <c r="D132" s="481"/>
      <c r="E132" s="500"/>
      <c r="F132" s="490"/>
      <c r="G132" s="569"/>
      <c r="H132" s="521"/>
      <c r="I132" s="511"/>
      <c r="J132" s="569"/>
      <c r="K132" s="569"/>
      <c r="L132" s="363"/>
      <c r="M132" s="363"/>
      <c r="N132" s="363"/>
      <c r="O132" s="367" t="str">
        <f ca="1">IF(L132="","",IF(S132&lt;&gt;"","",IF(AND(S132="",L132-TODAY()&lt;=60),L132-TODAY(),"")))</f>
        <v/>
      </c>
      <c r="P132" s="365" t="str">
        <f>IF(COUNT(L132, S132)=2, L132-S132, "")</f>
        <v/>
      </c>
      <c r="Q132" s="361"/>
      <c r="R132" s="307" t="s">
        <v>27</v>
      </c>
      <c r="S132" s="302"/>
      <c r="T132" s="302"/>
      <c r="U132" s="302"/>
      <c r="V132" s="306"/>
      <c r="W132" s="307"/>
      <c r="X132" s="302"/>
      <c r="Y132" s="306"/>
      <c r="Z132" s="307" t="str">
        <f>IF(X132="","",IF(W132="檢退","檢退",IF(W132="審查同意","審定","檢退")))</f>
        <v/>
      </c>
      <c r="AA132" s="302"/>
      <c r="AB132" s="307"/>
      <c r="AC132" s="307"/>
      <c r="AD132" s="360"/>
    </row>
    <row r="133" spans="1:30" s="355" customFormat="1" ht="25.25" customHeight="1">
      <c r="A133" s="470"/>
      <c r="B133" s="470"/>
      <c r="C133" s="470"/>
      <c r="D133" s="482"/>
      <c r="E133" s="501"/>
      <c r="F133" s="491"/>
      <c r="G133" s="570"/>
      <c r="H133" s="522"/>
      <c r="I133" s="512"/>
      <c r="J133" s="570"/>
      <c r="K133" s="570"/>
      <c r="L133" s="363"/>
      <c r="M133" s="363"/>
      <c r="N133" s="363"/>
      <c r="O133" s="367" t="str">
        <f ca="1">IF(L133="","",IF(S133&lt;&gt;"","",IF(AND(S133="",L133-TODAY()&lt;=60),L133-TODAY(),"")))</f>
        <v/>
      </c>
      <c r="P133" s="365" t="str">
        <f>IF(COUNT(L133, S133)=2, L133-S133, "")</f>
        <v/>
      </c>
      <c r="Q133" s="361"/>
      <c r="R133" s="307" t="s">
        <v>36</v>
      </c>
      <c r="S133" s="302"/>
      <c r="T133" s="306"/>
      <c r="U133" s="302"/>
      <c r="V133" s="306"/>
      <c r="W133" s="307"/>
      <c r="X133" s="302"/>
      <c r="Y133" s="306"/>
      <c r="Z133" s="307" t="str">
        <f>IF(X133="","",IF(W133="檢退","檢退",IF(W133="審查同意","審定","檢退")))</f>
        <v/>
      </c>
      <c r="AA133" s="302"/>
      <c r="AB133" s="307"/>
      <c r="AC133" s="307"/>
      <c r="AD133" s="360"/>
    </row>
    <row r="134" spans="1:30" s="355" customFormat="1" ht="25.25" customHeight="1">
      <c r="A134" s="470"/>
      <c r="B134" s="470"/>
      <c r="C134" s="470">
        <v>96</v>
      </c>
      <c r="D134" s="480">
        <v>44</v>
      </c>
      <c r="E134" s="492"/>
      <c r="F134" s="557" t="s">
        <v>141</v>
      </c>
      <c r="G134" s="515"/>
      <c r="H134" s="556" t="s">
        <v>142</v>
      </c>
      <c r="I134" s="535" t="s">
        <v>304</v>
      </c>
      <c r="J134" s="558" t="s">
        <v>556</v>
      </c>
      <c r="K134" s="558"/>
      <c r="L134" s="364">
        <f>IF(M134="","",M134-30)</f>
        <v>46295</v>
      </c>
      <c r="M134" s="364">
        <f>IF(N134="","",N134-30)</f>
        <v>46325</v>
      </c>
      <c r="N134" s="363">
        <v>46355</v>
      </c>
      <c r="O134" s="367" t="str">
        <f ca="1">IF(L134="","",IF(S134&lt;&gt;"","",IF(AND(S134="",L134-TODAY()&lt;=60),L134-TODAY(),"")))</f>
        <v/>
      </c>
      <c r="P134" s="365"/>
      <c r="Q134" s="361"/>
      <c r="R134" s="307" t="s">
        <v>22</v>
      </c>
      <c r="S134" s="302">
        <v>46034</v>
      </c>
      <c r="T134" s="306" t="s">
        <v>1471</v>
      </c>
      <c r="U134" s="302">
        <v>46043</v>
      </c>
      <c r="V134" s="306" t="s">
        <v>1470</v>
      </c>
      <c r="W134" s="307" t="s">
        <v>140</v>
      </c>
      <c r="X134" s="302"/>
      <c r="Y134" s="306"/>
      <c r="Z134" s="306"/>
      <c r="AA134" s="302"/>
      <c r="AB134" s="307"/>
      <c r="AC134" s="307"/>
      <c r="AD134" s="360"/>
    </row>
    <row r="135" spans="1:30" s="355" customFormat="1" ht="25.25" customHeight="1">
      <c r="A135" s="470"/>
      <c r="B135" s="470"/>
      <c r="C135" s="470"/>
      <c r="D135" s="481"/>
      <c r="E135" s="493"/>
      <c r="F135" s="557"/>
      <c r="G135" s="518"/>
      <c r="H135" s="556"/>
      <c r="I135" s="536"/>
      <c r="J135" s="559"/>
      <c r="K135" s="559"/>
      <c r="L135" s="363"/>
      <c r="M135" s="363"/>
      <c r="N135" s="363"/>
      <c r="O135" s="367" t="str">
        <f ca="1">IF(L135="","",IF(S135&lt;&gt;"","",IF(AND(S135="",L135-TODAY()&lt;=60),L135-TODAY(),"")))</f>
        <v/>
      </c>
      <c r="P135" s="365" t="str">
        <f>IF(COUNT(L135, S135)=2, L135-S135, "")</f>
        <v/>
      </c>
      <c r="Q135" s="361" t="s">
        <v>1532</v>
      </c>
      <c r="R135" s="305" t="s">
        <v>27</v>
      </c>
      <c r="S135" s="303">
        <v>46162</v>
      </c>
      <c r="T135" s="304" t="s">
        <v>1677</v>
      </c>
      <c r="U135" s="302"/>
      <c r="V135" s="306"/>
      <c r="W135" s="307"/>
      <c r="X135" s="302"/>
      <c r="Y135" s="306"/>
      <c r="Z135" s="307" t="str">
        <f>IF(X135="","",IF(W135="檢退","檢退",IF(W135="審查同意","審定","檢退")))</f>
        <v/>
      </c>
      <c r="AA135" s="302"/>
      <c r="AB135" s="307"/>
      <c r="AC135" s="307"/>
      <c r="AD135" s="360"/>
    </row>
    <row r="136" spans="1:30" s="355" customFormat="1" ht="25.25" customHeight="1">
      <c r="A136" s="470"/>
      <c r="B136" s="470"/>
      <c r="C136" s="470"/>
      <c r="D136" s="482"/>
      <c r="E136" s="494"/>
      <c r="F136" s="557"/>
      <c r="G136" s="519"/>
      <c r="H136" s="556"/>
      <c r="I136" s="537"/>
      <c r="J136" s="560"/>
      <c r="K136" s="560"/>
      <c r="L136" s="363"/>
      <c r="M136" s="363"/>
      <c r="N136" s="363"/>
      <c r="O136" s="367" t="str">
        <f ca="1">IF(L136="","",IF(S136&lt;&gt;"","",IF(AND(S136="",L136-TODAY()&lt;=60),L136-TODAY(),"")))</f>
        <v/>
      </c>
      <c r="P136" s="365" t="str">
        <f>IF(COUNT(L136, S136)=2, L136-S136, "")</f>
        <v/>
      </c>
      <c r="Q136" s="361"/>
      <c r="R136" s="307" t="s">
        <v>36</v>
      </c>
      <c r="S136" s="302"/>
      <c r="T136" s="306"/>
      <c r="U136" s="302"/>
      <c r="V136" s="306"/>
      <c r="W136" s="307"/>
      <c r="X136" s="302"/>
      <c r="Y136" s="306"/>
      <c r="Z136" s="307" t="str">
        <f>IF(X136="","",IF(W136="檢退","檢退",IF(W136="審查同意","審定","檢退")))</f>
        <v/>
      </c>
      <c r="AA136" s="302"/>
      <c r="AB136" s="307"/>
      <c r="AC136" s="307"/>
      <c r="AD136" s="360"/>
    </row>
    <row r="137" spans="1:30" s="355" customFormat="1" ht="25.25" customHeight="1">
      <c r="A137" s="470"/>
      <c r="B137" s="470"/>
      <c r="C137" s="470">
        <v>80</v>
      </c>
      <c r="D137" s="480">
        <v>45</v>
      </c>
      <c r="E137" s="567">
        <v>310</v>
      </c>
      <c r="F137" s="561" t="s">
        <v>1469</v>
      </c>
      <c r="G137" s="535" t="s">
        <v>472</v>
      </c>
      <c r="H137" s="507" t="s">
        <v>1468</v>
      </c>
      <c r="I137" s="535" t="s">
        <v>305</v>
      </c>
      <c r="J137" s="371"/>
      <c r="K137" s="371" t="s">
        <v>537</v>
      </c>
      <c r="L137" s="364">
        <f>IF(M137="","",M137-30)</f>
        <v>46235</v>
      </c>
      <c r="M137" s="364">
        <f>IF(N137="","",N137-30)</f>
        <v>46265</v>
      </c>
      <c r="N137" s="363">
        <v>46295</v>
      </c>
      <c r="O137" s="367" t="str">
        <f ca="1">IF(L137="","",IF(S137&lt;&gt;"","",IF(AND(S137="",L137-TODAY()&lt;=60),L137-TODAY(),"")))</f>
        <v/>
      </c>
      <c r="P137" s="365">
        <f>IF(COUNT(L137, S137)=2, L137-S137, "")</f>
        <v>96</v>
      </c>
      <c r="Q137" s="361" t="s">
        <v>1034</v>
      </c>
      <c r="R137" s="307" t="s">
        <v>22</v>
      </c>
      <c r="S137" s="302">
        <v>46139</v>
      </c>
      <c r="T137" s="306" t="s">
        <v>1467</v>
      </c>
      <c r="U137" s="1096">
        <v>46156</v>
      </c>
      <c r="V137" s="1095" t="s">
        <v>1676</v>
      </c>
      <c r="W137" s="1094" t="s">
        <v>1675</v>
      </c>
      <c r="X137" s="302"/>
      <c r="Y137" s="306"/>
      <c r="Z137" s="306"/>
      <c r="AA137" s="302"/>
      <c r="AB137" s="307"/>
      <c r="AC137" s="307"/>
      <c r="AD137" s="360"/>
    </row>
    <row r="138" spans="1:30" s="355" customFormat="1" ht="25.25" customHeight="1">
      <c r="A138" s="470"/>
      <c r="B138" s="470"/>
      <c r="C138" s="470"/>
      <c r="D138" s="481"/>
      <c r="E138" s="493"/>
      <c r="F138" s="516"/>
      <c r="G138" s="536"/>
      <c r="H138" s="508"/>
      <c r="I138" s="536"/>
      <c r="J138" s="370" t="s">
        <v>540</v>
      </c>
      <c r="K138" s="370"/>
      <c r="L138" s="363"/>
      <c r="M138" s="363"/>
      <c r="N138" s="363"/>
      <c r="O138" s="367" t="str">
        <f ca="1">IF(L138="","",IF(S138&lt;&gt;"","",IF(AND(S138="",L138-TODAY()&lt;=60),L138-TODAY(),"")))</f>
        <v/>
      </c>
      <c r="P138" s="365" t="str">
        <f>IF(COUNT(L138, S138)=2, L138-S138, "")</f>
        <v/>
      </c>
      <c r="Q138" s="361"/>
      <c r="R138" s="307" t="s">
        <v>27</v>
      </c>
      <c r="S138" s="302"/>
      <c r="T138" s="302"/>
      <c r="U138" s="302"/>
      <c r="V138" s="306"/>
      <c r="W138" s="307"/>
      <c r="X138" s="302"/>
      <c r="Y138" s="306"/>
      <c r="Z138" s="307" t="str">
        <f>IF(X138="","",IF(W138="檢退","檢退",IF(W138="審查同意","審定","檢退")))</f>
        <v/>
      </c>
      <c r="AA138" s="302"/>
      <c r="AB138" s="307"/>
      <c r="AC138" s="307"/>
      <c r="AD138" s="360"/>
    </row>
    <row r="139" spans="1:30" s="355" customFormat="1" ht="25.25" customHeight="1">
      <c r="A139" s="470"/>
      <c r="B139" s="470"/>
      <c r="C139" s="470"/>
      <c r="D139" s="482"/>
      <c r="E139" s="494"/>
      <c r="F139" s="517"/>
      <c r="G139" s="537"/>
      <c r="H139" s="509"/>
      <c r="I139" s="537"/>
      <c r="J139" s="368"/>
      <c r="K139" s="368"/>
      <c r="L139" s="363"/>
      <c r="M139" s="363"/>
      <c r="N139" s="363"/>
      <c r="O139" s="367" t="str">
        <f ca="1">IF(L139="","",IF(S139&lt;&gt;"","",IF(AND(S139="",L139-TODAY()&lt;=60),L139-TODAY(),"")))</f>
        <v/>
      </c>
      <c r="P139" s="365" t="str">
        <f>IF(COUNT(L139, S139)=2, L139-S139, "")</f>
        <v/>
      </c>
      <c r="Q139" s="361"/>
      <c r="R139" s="307" t="s">
        <v>36</v>
      </c>
      <c r="S139" s="302"/>
      <c r="T139" s="306"/>
      <c r="U139" s="302"/>
      <c r="V139" s="306"/>
      <c r="W139" s="307"/>
      <c r="X139" s="302"/>
      <c r="Y139" s="306"/>
      <c r="Z139" s="307" t="str">
        <f>IF(X139="","",IF(W139="檢退","檢退",IF(W139="審查同意","審定","檢退")))</f>
        <v/>
      </c>
      <c r="AA139" s="302"/>
      <c r="AB139" s="307"/>
      <c r="AC139" s="307"/>
      <c r="AD139" s="360"/>
    </row>
    <row r="140" spans="1:30" s="355" customFormat="1" ht="25.25" customHeight="1">
      <c r="A140" s="470"/>
      <c r="B140" s="470"/>
      <c r="C140" s="470">
        <v>189</v>
      </c>
      <c r="D140" s="480">
        <v>46</v>
      </c>
      <c r="E140" s="492" t="s">
        <v>1464</v>
      </c>
      <c r="F140" s="561" t="s">
        <v>1466</v>
      </c>
      <c r="G140" s="535" t="s">
        <v>471</v>
      </c>
      <c r="H140" s="507" t="s">
        <v>1465</v>
      </c>
      <c r="I140" s="535" t="s">
        <v>306</v>
      </c>
      <c r="J140" s="371"/>
      <c r="K140" s="464" t="s">
        <v>1460</v>
      </c>
      <c r="L140" s="31">
        <f>IF(N140="","",N140-60)</f>
        <v>46233</v>
      </c>
      <c r="M140" s="31">
        <f>IF(N140="","",N140-30)</f>
        <v>46263</v>
      </c>
      <c r="N140" s="17">
        <v>46293</v>
      </c>
      <c r="O140" s="367" t="str">
        <f ca="1">IF(L140="","",IF(S140&lt;&gt;"","",IF(AND(S140="",L140-TODAY()&lt;=60),L140-TODAY(),"")))</f>
        <v/>
      </c>
      <c r="P140" s="365">
        <f>IF(COUNT(L140, S140)=2, L140-S140, "")</f>
        <v>71</v>
      </c>
      <c r="Q140" s="361" t="s">
        <v>1532</v>
      </c>
      <c r="R140" s="305" t="s">
        <v>22</v>
      </c>
      <c r="S140" s="303">
        <v>46162</v>
      </c>
      <c r="T140" s="304" t="s">
        <v>1674</v>
      </c>
      <c r="U140" s="302"/>
      <c r="V140" s="306"/>
      <c r="W140" s="307"/>
      <c r="X140" s="302"/>
      <c r="Y140" s="306"/>
      <c r="Z140" s="306"/>
      <c r="AA140" s="302"/>
      <c r="AB140" s="307"/>
      <c r="AC140" s="307"/>
      <c r="AD140" s="360"/>
    </row>
    <row r="141" spans="1:30" s="355" customFormat="1" ht="25.25" customHeight="1">
      <c r="A141" s="470"/>
      <c r="B141" s="470"/>
      <c r="C141" s="470"/>
      <c r="D141" s="481"/>
      <c r="E141" s="493"/>
      <c r="F141" s="516"/>
      <c r="G141" s="536"/>
      <c r="H141" s="508"/>
      <c r="I141" s="536"/>
      <c r="J141" s="370" t="s">
        <v>555</v>
      </c>
      <c r="K141" s="370"/>
      <c r="L141" s="363"/>
      <c r="M141" s="363"/>
      <c r="N141" s="363"/>
      <c r="O141" s="296" t="str">
        <f ca="1">IF(L141="","",IF(S141&lt;&gt;"","",IF(AND(S141="",L141-TODAY()&lt;=60),L141-TODAY(),"")))</f>
        <v/>
      </c>
      <c r="P141" s="365" t="str">
        <f>IF(COUNT(L141, S141)=2, L141-S141, "")</f>
        <v/>
      </c>
      <c r="Q141" s="361"/>
      <c r="R141" s="307" t="s">
        <v>27</v>
      </c>
      <c r="S141" s="302"/>
      <c r="T141" s="302"/>
      <c r="U141" s="302"/>
      <c r="V141" s="306"/>
      <c r="W141" s="307"/>
      <c r="X141" s="302"/>
      <c r="Y141" s="306"/>
      <c r="Z141" s="307" t="str">
        <f>IF(X141="","",IF(W141="檢退","檢退",IF(W141="審查同意","審定","檢退")))</f>
        <v/>
      </c>
      <c r="AA141" s="302"/>
      <c r="AB141" s="307"/>
      <c r="AC141" s="307"/>
      <c r="AD141" s="360"/>
    </row>
    <row r="142" spans="1:30" s="355" customFormat="1" ht="25.25" customHeight="1">
      <c r="A142" s="470"/>
      <c r="B142" s="470"/>
      <c r="C142" s="470"/>
      <c r="D142" s="482"/>
      <c r="E142" s="494"/>
      <c r="F142" s="517"/>
      <c r="G142" s="537"/>
      <c r="H142" s="509"/>
      <c r="I142" s="537"/>
      <c r="J142" s="368"/>
      <c r="K142" s="368"/>
      <c r="L142" s="363"/>
      <c r="M142" s="363"/>
      <c r="N142" s="363"/>
      <c r="O142" s="367" t="str">
        <f ca="1">IF(L142="","",IF(S142&lt;&gt;"","",IF(AND(S142="",L142-TODAY()&lt;=60),L142-TODAY(),"")))</f>
        <v/>
      </c>
      <c r="P142" s="365" t="str">
        <f>IF(COUNT(L142, S142)=2, L142-S142, "")</f>
        <v/>
      </c>
      <c r="Q142" s="361"/>
      <c r="R142" s="307" t="s">
        <v>36</v>
      </c>
      <c r="S142" s="302"/>
      <c r="T142" s="306"/>
      <c r="U142" s="302"/>
      <c r="V142" s="306"/>
      <c r="W142" s="307"/>
      <c r="X142" s="302"/>
      <c r="Y142" s="306"/>
      <c r="Z142" s="307" t="str">
        <f>IF(X142="","",IF(W142="檢退","檢退",IF(W142="審查同意","審定","檢退")))</f>
        <v/>
      </c>
      <c r="AA142" s="302"/>
      <c r="AB142" s="307"/>
      <c r="AC142" s="307"/>
      <c r="AD142" s="360"/>
    </row>
    <row r="143" spans="1:30" s="355" customFormat="1" ht="25.25" customHeight="1">
      <c r="A143" s="470"/>
      <c r="B143" s="470"/>
      <c r="C143" s="470">
        <v>211</v>
      </c>
      <c r="D143" s="480">
        <v>47</v>
      </c>
      <c r="E143" s="492" t="s">
        <v>1464</v>
      </c>
      <c r="F143" s="561" t="s">
        <v>1463</v>
      </c>
      <c r="G143" s="535" t="s">
        <v>1462</v>
      </c>
      <c r="H143" s="507" t="s">
        <v>1461</v>
      </c>
      <c r="I143" s="535" t="s">
        <v>474</v>
      </c>
      <c r="J143" s="371"/>
      <c r="K143" s="464" t="s">
        <v>1460</v>
      </c>
      <c r="L143" s="364">
        <f>IF(M143="","",M143-30)</f>
        <v>46234</v>
      </c>
      <c r="M143" s="364">
        <f>IF(N143="","",N143-30)</f>
        <v>46264</v>
      </c>
      <c r="N143" s="363">
        <v>46294</v>
      </c>
      <c r="O143" s="367" t="str">
        <f ca="1">IF(L143="","",IF(S143&lt;&gt;"","",IF(AND(S143="",L143-TODAY()&lt;=60),L143-TODAY(),"")))</f>
        <v/>
      </c>
      <c r="P143" s="365">
        <f>IF(COUNT(L143, S143)=2, L143-S143, "")</f>
        <v>72</v>
      </c>
      <c r="Q143" s="361" t="s">
        <v>1532</v>
      </c>
      <c r="R143" s="305" t="s">
        <v>22</v>
      </c>
      <c r="S143" s="303">
        <v>46162</v>
      </c>
      <c r="T143" s="304" t="s">
        <v>1673</v>
      </c>
      <c r="U143" s="302"/>
      <c r="V143" s="306"/>
      <c r="W143" s="307"/>
      <c r="X143" s="302"/>
      <c r="Y143" s="306"/>
      <c r="Z143" s="306"/>
      <c r="AA143" s="302"/>
      <c r="AB143" s="307"/>
      <c r="AC143" s="307"/>
      <c r="AD143" s="360"/>
    </row>
    <row r="144" spans="1:30" s="355" customFormat="1" ht="25.25" customHeight="1">
      <c r="A144" s="470"/>
      <c r="B144" s="470"/>
      <c r="C144" s="470"/>
      <c r="D144" s="481"/>
      <c r="E144" s="493"/>
      <c r="F144" s="516"/>
      <c r="G144" s="536"/>
      <c r="H144" s="508"/>
      <c r="I144" s="536"/>
      <c r="J144" s="370"/>
      <c r="K144" s="370"/>
      <c r="L144" s="363"/>
      <c r="M144" s="363"/>
      <c r="N144" s="363"/>
      <c r="O144" s="367" t="str">
        <f ca="1">IF(L144="","",IF(S144&lt;&gt;"","",IF(AND(S144="",L144-TODAY()&lt;=60),L144-TODAY(),"")))</f>
        <v/>
      </c>
      <c r="P144" s="365" t="str">
        <f>IF(COUNT(L144, S144)=2, L144-S144, "")</f>
        <v/>
      </c>
      <c r="Q144" s="361"/>
      <c r="R144" s="307" t="s">
        <v>27</v>
      </c>
      <c r="S144" s="302"/>
      <c r="T144" s="302"/>
      <c r="U144" s="302"/>
      <c r="V144" s="306"/>
      <c r="W144" s="307"/>
      <c r="X144" s="302"/>
      <c r="Y144" s="306"/>
      <c r="Z144" s="307" t="str">
        <f>IF(X144="","",IF(W144="檢退","檢退",IF(W144="審查同意","審定","檢退")))</f>
        <v/>
      </c>
      <c r="AA144" s="302"/>
      <c r="AB144" s="307"/>
      <c r="AC144" s="307"/>
      <c r="AD144" s="360"/>
    </row>
    <row r="145" spans="1:30" s="355" customFormat="1" ht="25.25" customHeight="1">
      <c r="A145" s="470"/>
      <c r="B145" s="470"/>
      <c r="C145" s="470"/>
      <c r="D145" s="482"/>
      <c r="E145" s="494"/>
      <c r="F145" s="517"/>
      <c r="G145" s="537"/>
      <c r="H145" s="509"/>
      <c r="I145" s="537"/>
      <c r="J145" s="368" t="s">
        <v>555</v>
      </c>
      <c r="K145" s="368"/>
      <c r="L145" s="31"/>
      <c r="M145" s="31"/>
      <c r="N145" s="17"/>
      <c r="O145" s="296" t="str">
        <f ca="1">IF(L145="","",IF(S145&lt;&gt;"","",IF(AND(S145="",L145-TODAY()&lt;=60),L145-TODAY(),"")))</f>
        <v/>
      </c>
      <c r="P145" s="365" t="str">
        <f>IF(COUNT(L145, S145)=2, L145-S145, "")</f>
        <v/>
      </c>
      <c r="Q145" s="361"/>
      <c r="R145" s="307" t="s">
        <v>36</v>
      </c>
      <c r="S145" s="302"/>
      <c r="T145" s="306"/>
      <c r="U145" s="302"/>
      <c r="V145" s="306"/>
      <c r="W145" s="307"/>
      <c r="X145" s="302"/>
      <c r="Y145" s="306"/>
      <c r="Z145" s="307" t="str">
        <f>IF(X145="","",IF(W145="檢退","檢退",IF(W145="審查同意","審定","檢退")))</f>
        <v/>
      </c>
      <c r="AA145" s="302"/>
      <c r="AB145" s="307"/>
      <c r="AC145" s="307"/>
      <c r="AD145" s="360"/>
    </row>
    <row r="146" spans="1:30" s="355" customFormat="1" ht="25.25" customHeight="1">
      <c r="A146" s="366"/>
      <c r="B146" s="366"/>
      <c r="C146" s="366"/>
      <c r="D146" s="480">
        <v>48</v>
      </c>
      <c r="E146" s="496"/>
      <c r="F146" s="529" t="s">
        <v>1672</v>
      </c>
      <c r="G146" s="529" t="s">
        <v>530</v>
      </c>
      <c r="H146" s="532" t="s">
        <v>319</v>
      </c>
      <c r="I146" s="550" t="s">
        <v>1454</v>
      </c>
      <c r="J146" s="571" t="s">
        <v>540</v>
      </c>
      <c r="K146" s="571" t="s">
        <v>532</v>
      </c>
      <c r="L146" s="364">
        <f>IF(M146="","",M146-30)</f>
        <v>46173</v>
      </c>
      <c r="M146" s="364">
        <f>IF(N146="","",N146-30)</f>
        <v>46203</v>
      </c>
      <c r="N146" s="363">
        <v>46233</v>
      </c>
      <c r="O146" s="367" t="str">
        <f ca="1">IF(L146="","",IF(S146&lt;&gt;"","",IF(AND(S146="",L146-TODAY()&lt;=60),L146-TODAY(),"")))</f>
        <v/>
      </c>
      <c r="P146" s="365">
        <f>IF(COUNT(L146, S146)=2, L146-S146, "")</f>
        <v>131</v>
      </c>
      <c r="Q146" s="361"/>
      <c r="R146" s="307" t="s">
        <v>22</v>
      </c>
      <c r="S146" s="302">
        <v>46042</v>
      </c>
      <c r="T146" s="306" t="s">
        <v>1044</v>
      </c>
      <c r="U146" s="302">
        <v>46055</v>
      </c>
      <c r="V146" s="306" t="s">
        <v>1045</v>
      </c>
      <c r="W146" s="307" t="s">
        <v>140</v>
      </c>
      <c r="X146" s="302"/>
      <c r="Y146" s="306"/>
      <c r="Z146" s="306"/>
      <c r="AA146" s="302"/>
      <c r="AB146" s="307"/>
      <c r="AC146" s="307"/>
      <c r="AD146" s="360"/>
    </row>
    <row r="147" spans="1:30" s="355" customFormat="1" ht="25.25" customHeight="1">
      <c r="A147" s="470"/>
      <c r="B147" s="470"/>
      <c r="C147" s="470"/>
      <c r="D147" s="481"/>
      <c r="E147" s="497"/>
      <c r="F147" s="530"/>
      <c r="G147" s="565"/>
      <c r="H147" s="533"/>
      <c r="I147" s="551"/>
      <c r="J147" s="572"/>
      <c r="K147" s="572"/>
      <c r="L147" s="363"/>
      <c r="M147" s="363"/>
      <c r="N147" s="363"/>
      <c r="O147" s="367" t="str">
        <f ca="1">IF(L147="","",IF(S147&lt;&gt;"","",IF(AND(S147="",L147-TODAY()&lt;=60),L147-TODAY(),"")))</f>
        <v/>
      </c>
      <c r="P147" s="365" t="str">
        <f>IF(COUNT(L147, S147)=2, L147-S147, "")</f>
        <v/>
      </c>
      <c r="Q147" s="361" t="s">
        <v>26</v>
      </c>
      <c r="R147" s="307" t="s">
        <v>27</v>
      </c>
      <c r="S147" s="302">
        <v>46065</v>
      </c>
      <c r="T147" s="302" t="s">
        <v>1062</v>
      </c>
      <c r="U147" s="302">
        <v>46122</v>
      </c>
      <c r="V147" s="306" t="s">
        <v>1063</v>
      </c>
      <c r="W147" s="307" t="s">
        <v>38</v>
      </c>
      <c r="X147" s="302"/>
      <c r="Y147" s="306"/>
      <c r="Z147" s="307" t="str">
        <f>IF(X147="","",IF(W147="檢退","檢退",IF(W147="審查同意","審定","檢退")))</f>
        <v/>
      </c>
      <c r="AA147" s="302" t="s">
        <v>1453</v>
      </c>
      <c r="AB147" s="307" t="s">
        <v>1459</v>
      </c>
      <c r="AC147" s="307" t="s">
        <v>196</v>
      </c>
      <c r="AD147" s="360"/>
    </row>
    <row r="148" spans="1:30" s="355" customFormat="1" ht="25.25" customHeight="1">
      <c r="A148" s="470"/>
      <c r="B148" s="470"/>
      <c r="C148" s="470"/>
      <c r="D148" s="482"/>
      <c r="E148" s="498"/>
      <c r="F148" s="531"/>
      <c r="G148" s="566"/>
      <c r="H148" s="534"/>
      <c r="I148" s="552"/>
      <c r="J148" s="573"/>
      <c r="K148" s="573"/>
      <c r="L148" s="363"/>
      <c r="M148" s="363"/>
      <c r="N148" s="363"/>
      <c r="O148" s="367" t="str">
        <f ca="1">IF(L148="","",IF(S148&lt;&gt;"","",IF(AND(S148="",L148-TODAY()&lt;=60),L148-TODAY(),"")))</f>
        <v/>
      </c>
      <c r="P148" s="365" t="str">
        <f>IF(COUNT(L148, S148)=2, L148-S148, "")</f>
        <v/>
      </c>
      <c r="Q148" s="361"/>
      <c r="R148" s="307" t="s">
        <v>36</v>
      </c>
      <c r="S148" s="302"/>
      <c r="T148" s="306"/>
      <c r="U148" s="302"/>
      <c r="V148" s="306"/>
      <c r="W148" s="307"/>
      <c r="X148" s="302"/>
      <c r="Y148" s="306"/>
      <c r="Z148" s="307" t="str">
        <f>IF(X148="","",IF(W148="檢退","檢退",IF(W148="審查同意","審定","檢退")))</f>
        <v/>
      </c>
      <c r="AA148" s="302"/>
      <c r="AB148" s="307"/>
      <c r="AC148" s="307"/>
      <c r="AD148" s="360"/>
    </row>
    <row r="149" spans="1:30" s="355" customFormat="1" ht="25.25" customHeight="1">
      <c r="A149" s="470"/>
      <c r="B149" s="470"/>
      <c r="C149" s="470"/>
      <c r="D149" s="480">
        <v>49</v>
      </c>
      <c r="E149" s="492"/>
      <c r="F149" s="515" t="s">
        <v>320</v>
      </c>
      <c r="G149" s="515"/>
      <c r="H149" s="507" t="s">
        <v>321</v>
      </c>
      <c r="I149" s="535" t="s">
        <v>307</v>
      </c>
      <c r="J149" s="558" t="s">
        <v>540</v>
      </c>
      <c r="K149" s="558" t="s">
        <v>527</v>
      </c>
      <c r="L149" s="364">
        <f>IF(M149="","",M149-30)</f>
        <v>46173</v>
      </c>
      <c r="M149" s="364">
        <f>IF(N149="","",N149-30)</f>
        <v>46203</v>
      </c>
      <c r="N149" s="363">
        <v>46233</v>
      </c>
      <c r="O149" s="367" t="str">
        <f ca="1">IF(L149="","",IF(S149&lt;&gt;"","",IF(AND(S149="",L149-TODAY()&lt;=60),L149-TODAY(),"")))</f>
        <v/>
      </c>
      <c r="P149" s="365">
        <f>IF(COUNT(L149, S149)=2, L149-S149, "")</f>
        <v>131</v>
      </c>
      <c r="Q149" s="361"/>
      <c r="R149" s="307" t="s">
        <v>22</v>
      </c>
      <c r="S149" s="302">
        <v>46042</v>
      </c>
      <c r="T149" s="306" t="s">
        <v>322</v>
      </c>
      <c r="U149" s="302">
        <v>46055</v>
      </c>
      <c r="V149" s="306" t="s">
        <v>435</v>
      </c>
      <c r="W149" s="307" t="s">
        <v>140</v>
      </c>
      <c r="X149" s="302"/>
      <c r="Y149" s="306"/>
      <c r="Z149" s="306"/>
      <c r="AA149" s="366"/>
      <c r="AB149" s="366"/>
      <c r="AC149" s="366"/>
      <c r="AD149" s="360" t="s">
        <v>1456</v>
      </c>
    </row>
    <row r="150" spans="1:30" s="355" customFormat="1" ht="25.25" customHeight="1">
      <c r="A150" s="470"/>
      <c r="B150" s="470"/>
      <c r="C150" s="470"/>
      <c r="D150" s="481"/>
      <c r="E150" s="493"/>
      <c r="F150" s="516"/>
      <c r="G150" s="518"/>
      <c r="H150" s="508"/>
      <c r="I150" s="536"/>
      <c r="J150" s="559"/>
      <c r="K150" s="559"/>
      <c r="L150" s="363"/>
      <c r="M150" s="363"/>
      <c r="N150" s="363"/>
      <c r="O150" s="367" t="str">
        <f ca="1">IF(L150="","",IF(S150&lt;&gt;"","",IF(AND(S150="",L150-TODAY()&lt;=60),L150-TODAY(),"")))</f>
        <v/>
      </c>
      <c r="P150" s="365" t="str">
        <f>IF(COUNT(L150, S150)=2, L150-S150, "")</f>
        <v/>
      </c>
      <c r="Q150" s="361"/>
      <c r="R150" s="307" t="s">
        <v>27</v>
      </c>
      <c r="S150" s="302">
        <v>46065</v>
      </c>
      <c r="T150" s="302" t="s">
        <v>434</v>
      </c>
      <c r="U150" s="303">
        <v>46133</v>
      </c>
      <c r="V150" s="304" t="s">
        <v>1455</v>
      </c>
      <c r="W150" s="307" t="s">
        <v>38</v>
      </c>
      <c r="X150" s="303">
        <v>46133</v>
      </c>
      <c r="Y150" s="304" t="s">
        <v>1455</v>
      </c>
      <c r="Z150" s="307" t="s">
        <v>38</v>
      </c>
      <c r="AA150" s="303" t="s">
        <v>1458</v>
      </c>
      <c r="AB150" s="305" t="s">
        <v>1457</v>
      </c>
      <c r="AC150" s="305" t="s">
        <v>61</v>
      </c>
      <c r="AD150" s="360"/>
    </row>
    <row r="151" spans="1:30" s="355" customFormat="1" ht="25.25" customHeight="1">
      <c r="A151" s="470"/>
      <c r="B151" s="470"/>
      <c r="C151" s="470"/>
      <c r="D151" s="482"/>
      <c r="E151" s="494"/>
      <c r="F151" s="517"/>
      <c r="G151" s="519"/>
      <c r="H151" s="509"/>
      <c r="I151" s="537"/>
      <c r="J151" s="560"/>
      <c r="K151" s="560"/>
      <c r="L151" s="363"/>
      <c r="M151" s="363"/>
      <c r="N151" s="363"/>
      <c r="O151" s="367" t="str">
        <f ca="1">IF(L151="","",IF(S151&lt;&gt;"","",IF(AND(S151="",L151-TODAY()&lt;=60),L151-TODAY(),"")))</f>
        <v/>
      </c>
      <c r="P151" s="365" t="str">
        <f>IF(COUNT(L151, S151)=2, L151-S151, "")</f>
        <v/>
      </c>
      <c r="Q151" s="361" t="s">
        <v>1532</v>
      </c>
      <c r="R151" s="307" t="s">
        <v>36</v>
      </c>
      <c r="S151" s="303">
        <v>46150</v>
      </c>
      <c r="T151" s="303" t="s">
        <v>1671</v>
      </c>
      <c r="U151" s="302"/>
      <c r="V151" s="306"/>
      <c r="W151" s="307"/>
      <c r="X151" s="302"/>
      <c r="Y151" s="306"/>
      <c r="Z151" s="307" t="str">
        <f>IF(X151="","",IF(W151="檢退","檢退",IF(W151="審查同意","審定","檢退")))</f>
        <v/>
      </c>
      <c r="AA151" s="303"/>
      <c r="AB151" s="305"/>
      <c r="AC151" s="305"/>
      <c r="AD151" s="360"/>
    </row>
    <row r="152" spans="1:30" s="355" customFormat="1" ht="25.25" customHeight="1">
      <c r="A152" s="470"/>
      <c r="B152" s="470"/>
      <c r="C152" s="470"/>
      <c r="D152" s="480">
        <v>50</v>
      </c>
      <c r="E152" s="492"/>
      <c r="F152" s="523" t="s">
        <v>323</v>
      </c>
      <c r="G152" s="515" t="s">
        <v>531</v>
      </c>
      <c r="H152" s="526" t="s">
        <v>324</v>
      </c>
      <c r="I152" s="535" t="s">
        <v>1454</v>
      </c>
      <c r="J152" s="558" t="s">
        <v>540</v>
      </c>
      <c r="K152" s="558" t="s">
        <v>532</v>
      </c>
      <c r="L152" s="364">
        <f>IF(M152="","",M152-30)</f>
        <v>46173</v>
      </c>
      <c r="M152" s="364">
        <f>IF(N152="","",N152-30)</f>
        <v>46203</v>
      </c>
      <c r="N152" s="363">
        <v>46233</v>
      </c>
      <c r="O152" s="367" t="str">
        <f ca="1">IF(L152="","",IF(S152&lt;&gt;"","",IF(AND(S152="",L152-TODAY()&lt;=60),L152-TODAY(),"")))</f>
        <v/>
      </c>
      <c r="P152" s="365">
        <f>IF(COUNT(L152, S152)=2, L152-S152, "")</f>
        <v>123</v>
      </c>
      <c r="Q152" s="372"/>
      <c r="R152" s="307" t="s">
        <v>22</v>
      </c>
      <c r="S152" s="302">
        <v>46050</v>
      </c>
      <c r="T152" s="306" t="s">
        <v>1046</v>
      </c>
      <c r="U152" s="302">
        <v>46063</v>
      </c>
      <c r="V152" s="306" t="s">
        <v>1047</v>
      </c>
      <c r="W152" s="307" t="s">
        <v>140</v>
      </c>
      <c r="X152" s="302"/>
      <c r="Y152" s="306"/>
      <c r="Z152" s="306"/>
      <c r="AA152" s="303" t="s">
        <v>1453</v>
      </c>
      <c r="AB152" s="305" t="s">
        <v>1452</v>
      </c>
      <c r="AC152" s="305" t="s">
        <v>61</v>
      </c>
      <c r="AD152" s="360" t="s">
        <v>1451</v>
      </c>
    </row>
    <row r="153" spans="1:30" s="355" customFormat="1" ht="25.25" customHeight="1">
      <c r="A153" s="470"/>
      <c r="B153" s="470"/>
      <c r="C153" s="470"/>
      <c r="D153" s="481"/>
      <c r="E153" s="493"/>
      <c r="F153" s="524"/>
      <c r="G153" s="518"/>
      <c r="H153" s="527"/>
      <c r="I153" s="536"/>
      <c r="J153" s="559"/>
      <c r="K153" s="559"/>
      <c r="L153" s="363"/>
      <c r="M153" s="363"/>
      <c r="N153" s="363"/>
      <c r="O153" s="367" t="str">
        <f ca="1">IF(L153="","",IF(S153&lt;&gt;"","",IF(AND(S153="",L153-TODAY()&lt;=60),L153-TODAY(),"")))</f>
        <v/>
      </c>
      <c r="P153" s="365" t="str">
        <f>IF(COUNT(L153, S153)=2, L153-S153, "")</f>
        <v/>
      </c>
      <c r="Q153" s="361" t="s">
        <v>1532</v>
      </c>
      <c r="R153" s="307" t="s">
        <v>27</v>
      </c>
      <c r="S153" s="302" t="s">
        <v>1450</v>
      </c>
      <c r="T153" s="302" t="s">
        <v>1449</v>
      </c>
      <c r="U153" s="302">
        <v>46125</v>
      </c>
      <c r="V153" s="306" t="s">
        <v>1064</v>
      </c>
      <c r="W153" s="307" t="s">
        <v>38</v>
      </c>
      <c r="X153" s="302"/>
      <c r="Y153" s="306"/>
      <c r="Z153" s="307" t="str">
        <f>IF(X153="","",IF(W153="檢退","檢退",IF(W153="審查同意","審定","檢退")))</f>
        <v/>
      </c>
      <c r="AA153" s="302"/>
      <c r="AB153" s="307"/>
      <c r="AC153" s="307"/>
      <c r="AD153" s="360"/>
    </row>
    <row r="154" spans="1:30" s="355" customFormat="1" ht="25.25" customHeight="1">
      <c r="A154" s="470"/>
      <c r="B154" s="470"/>
      <c r="C154" s="470"/>
      <c r="D154" s="482"/>
      <c r="E154" s="494"/>
      <c r="F154" s="525"/>
      <c r="G154" s="519"/>
      <c r="H154" s="528"/>
      <c r="I154" s="537"/>
      <c r="J154" s="560"/>
      <c r="K154" s="560"/>
      <c r="L154" s="363"/>
      <c r="M154" s="363"/>
      <c r="N154" s="363"/>
      <c r="O154" s="367" t="str">
        <f ca="1">IF(L154="","",IF(S154&lt;&gt;"","",IF(AND(S154="",L154-TODAY()&lt;=60),L154-TODAY(),"")))</f>
        <v/>
      </c>
      <c r="P154" s="365" t="str">
        <f>IF(COUNT(L154, S154)=2, L154-S154, "")</f>
        <v/>
      </c>
      <c r="Q154" s="361"/>
      <c r="R154" s="307" t="s">
        <v>36</v>
      </c>
      <c r="S154" s="302"/>
      <c r="T154" s="306"/>
      <c r="U154" s="302"/>
      <c r="V154" s="306"/>
      <c r="W154" s="307"/>
      <c r="X154" s="302"/>
      <c r="Y154" s="306"/>
      <c r="Z154" s="307" t="str">
        <f>IF(X154="","",IF(W154="檢退","檢退",IF(W154="審查同意","審定","檢退")))</f>
        <v/>
      </c>
      <c r="AA154" s="302"/>
      <c r="AB154" s="307"/>
      <c r="AC154" s="307"/>
      <c r="AD154" s="360"/>
    </row>
    <row r="155" spans="1:30" s="355" customFormat="1" ht="25.25" customHeight="1">
      <c r="A155" s="470"/>
      <c r="B155" s="470"/>
      <c r="C155" s="470">
        <v>162</v>
      </c>
      <c r="D155" s="480">
        <v>51</v>
      </c>
      <c r="E155" s="492">
        <v>304</v>
      </c>
      <c r="F155" s="523" t="s">
        <v>1670</v>
      </c>
      <c r="G155" s="535" t="s">
        <v>475</v>
      </c>
      <c r="H155" s="507" t="s">
        <v>356</v>
      </c>
      <c r="I155" s="535" t="s">
        <v>308</v>
      </c>
      <c r="J155" s="371"/>
      <c r="K155" s="371" t="s">
        <v>1447</v>
      </c>
      <c r="L155" s="31">
        <f>IF(N155="","",N155-60)</f>
        <v>46233</v>
      </c>
      <c r="M155" s="31">
        <f>IF(N155="","",N155-30)</f>
        <v>46263</v>
      </c>
      <c r="N155" s="17">
        <v>46293</v>
      </c>
      <c r="O155" s="367" t="str">
        <f ca="1">IF(L155="","",IF(S155&lt;&gt;"","",IF(AND(S155="",L155-TODAY()&lt;=60),L155-TODAY(),"")))</f>
        <v/>
      </c>
      <c r="P155" s="365">
        <f>IF(COUNT(L155, S155)=2, L155-S155, "")</f>
        <v>69</v>
      </c>
      <c r="Q155" s="361" t="s">
        <v>1532</v>
      </c>
      <c r="R155" s="307" t="s">
        <v>22</v>
      </c>
      <c r="S155" s="303">
        <v>46164</v>
      </c>
      <c r="T155" s="303" t="s">
        <v>1669</v>
      </c>
      <c r="U155" s="302"/>
      <c r="V155" s="306"/>
      <c r="W155" s="307"/>
      <c r="X155" s="302"/>
      <c r="Y155" s="306"/>
      <c r="Z155" s="306"/>
      <c r="AA155" s="302"/>
      <c r="AB155" s="307"/>
      <c r="AC155" s="307"/>
      <c r="AD155" s="360"/>
    </row>
    <row r="156" spans="1:30" s="355" customFormat="1" ht="25.25" customHeight="1">
      <c r="A156" s="470"/>
      <c r="B156" s="470"/>
      <c r="C156" s="470"/>
      <c r="D156" s="481"/>
      <c r="E156" s="493"/>
      <c r="F156" s="524"/>
      <c r="G156" s="536"/>
      <c r="H156" s="508"/>
      <c r="I156" s="536"/>
      <c r="J156" s="370" t="s">
        <v>555</v>
      </c>
      <c r="K156" s="370"/>
      <c r="L156" s="363"/>
      <c r="M156" s="363"/>
      <c r="N156" s="363"/>
      <c r="O156" s="296" t="str">
        <f ca="1">IF(L156="","",IF(S156&lt;&gt;"","",IF(AND(S156="",L156-TODAY()&lt;=60),L156-TODAY(),"")))</f>
        <v/>
      </c>
      <c r="P156" s="365" t="str">
        <f>IF(COUNT(L156, S156)=2, L156-S156, "")</f>
        <v/>
      </c>
      <c r="Q156" s="361"/>
      <c r="R156" s="307" t="s">
        <v>27</v>
      </c>
      <c r="S156" s="302"/>
      <c r="T156" s="302"/>
      <c r="U156" s="302"/>
      <c r="V156" s="306"/>
      <c r="W156" s="307"/>
      <c r="X156" s="302"/>
      <c r="Y156" s="306"/>
      <c r="Z156" s="307" t="str">
        <f>IF(X156="","",IF(W156="檢退","檢退",IF(W156="審查同意","審定","檢退")))</f>
        <v/>
      </c>
      <c r="AA156" s="302"/>
      <c r="AB156" s="307"/>
      <c r="AC156" s="307"/>
      <c r="AD156" s="360"/>
    </row>
    <row r="157" spans="1:30" s="355" customFormat="1" ht="25.25" customHeight="1">
      <c r="A157" s="470"/>
      <c r="B157" s="470"/>
      <c r="C157" s="470"/>
      <c r="D157" s="482"/>
      <c r="E157" s="494"/>
      <c r="F157" s="525"/>
      <c r="G157" s="537"/>
      <c r="H157" s="509"/>
      <c r="I157" s="537"/>
      <c r="J157" s="368"/>
      <c r="K157" s="368"/>
      <c r="L157" s="363"/>
      <c r="M157" s="363"/>
      <c r="N157" s="363"/>
      <c r="O157" s="367" t="str">
        <f ca="1">IF(L157="","",IF(S157&lt;&gt;"","",IF(AND(S157="",L157-TODAY()&lt;=60),L157-TODAY(),"")))</f>
        <v/>
      </c>
      <c r="P157" s="365" t="str">
        <f>IF(COUNT(L157, S157)=2, L157-S157, "")</f>
        <v/>
      </c>
      <c r="Q157" s="361"/>
      <c r="R157" s="307" t="s">
        <v>36</v>
      </c>
      <c r="S157" s="302"/>
      <c r="T157" s="306"/>
      <c r="U157" s="302"/>
      <c r="V157" s="306"/>
      <c r="W157" s="307"/>
      <c r="X157" s="302"/>
      <c r="Y157" s="306"/>
      <c r="Z157" s="307" t="str">
        <f>IF(X157="","",IF(W157="檢退","檢退",IF(W157="審查同意","審定","檢退")))</f>
        <v/>
      </c>
      <c r="AA157" s="302"/>
      <c r="AB157" s="307"/>
      <c r="AC157" s="307"/>
      <c r="AD157" s="360"/>
    </row>
    <row r="158" spans="1:30" s="355" customFormat="1" ht="25.25" customHeight="1">
      <c r="A158" s="470"/>
      <c r="B158" s="470"/>
      <c r="C158" s="470"/>
      <c r="D158" s="480">
        <v>52</v>
      </c>
      <c r="E158" s="492" t="s">
        <v>1048</v>
      </c>
      <c r="F158" s="515" t="s">
        <v>1668</v>
      </c>
      <c r="G158" s="515" t="s">
        <v>1049</v>
      </c>
      <c r="H158" s="507" t="s">
        <v>362</v>
      </c>
      <c r="I158" s="535" t="s">
        <v>309</v>
      </c>
      <c r="J158" s="558" t="s">
        <v>540</v>
      </c>
      <c r="K158" s="558" t="s">
        <v>527</v>
      </c>
      <c r="L158" s="364">
        <f>IF(M158="","",M158-30)</f>
        <v>46203</v>
      </c>
      <c r="M158" s="364">
        <f>IF(N158="","",N158-30)</f>
        <v>46233</v>
      </c>
      <c r="N158" s="363">
        <v>46263</v>
      </c>
      <c r="O158" s="367" t="str">
        <f ca="1">IF(L158="","",IF(S158&lt;&gt;"","",IF(AND(S158="",L158-TODAY()&lt;=60),L158-TODAY(),"")))</f>
        <v/>
      </c>
      <c r="P158" s="365" t="str">
        <f>IF(COUNT(L158, S158)=2, L158-S158, "")</f>
        <v/>
      </c>
      <c r="Q158" s="361"/>
      <c r="R158" s="307" t="s">
        <v>22</v>
      </c>
      <c r="S158" s="302" t="s">
        <v>1435</v>
      </c>
      <c r="T158" s="369" t="s">
        <v>1446</v>
      </c>
      <c r="U158" s="302">
        <v>46119</v>
      </c>
      <c r="V158" s="306" t="s">
        <v>1445</v>
      </c>
      <c r="W158" s="307" t="s">
        <v>25</v>
      </c>
      <c r="X158" s="302"/>
      <c r="Y158" s="306"/>
      <c r="Z158" s="306"/>
      <c r="AA158" s="302"/>
      <c r="AB158" s="307"/>
      <c r="AC158" s="307"/>
      <c r="AD158" s="360"/>
    </row>
    <row r="159" spans="1:30" s="355" customFormat="1" ht="25.25" customHeight="1">
      <c r="A159" s="470"/>
      <c r="B159" s="470"/>
      <c r="C159" s="470"/>
      <c r="D159" s="481"/>
      <c r="E159" s="493"/>
      <c r="F159" s="516"/>
      <c r="G159" s="518"/>
      <c r="H159" s="508"/>
      <c r="I159" s="536"/>
      <c r="J159" s="559"/>
      <c r="K159" s="559"/>
      <c r="L159" s="363"/>
      <c r="M159" s="363"/>
      <c r="N159" s="363"/>
      <c r="O159" s="367" t="str">
        <f ca="1">IF(L159="","",IF(S159&lt;&gt;"","",IF(AND(S159="",L159-TODAY()&lt;=60),L159-TODAY(),"")))</f>
        <v/>
      </c>
      <c r="P159" s="365" t="str">
        <f>IF(COUNT(L159, S159)=2, L159-S159, "")</f>
        <v/>
      </c>
      <c r="Q159" s="361" t="s">
        <v>1532</v>
      </c>
      <c r="R159" s="307" t="s">
        <v>27</v>
      </c>
      <c r="S159" s="302" t="s">
        <v>1432</v>
      </c>
      <c r="T159" s="369" t="s">
        <v>1444</v>
      </c>
      <c r="U159" s="302"/>
      <c r="V159" s="306"/>
      <c r="W159" s="307"/>
      <c r="X159" s="302"/>
      <c r="Y159" s="306"/>
      <c r="Z159" s="307" t="str">
        <f>IF(X159="","",IF(W159="檢退","檢退",IF(W159="審查同意","審定","檢退")))</f>
        <v/>
      </c>
      <c r="AA159" s="302"/>
      <c r="AB159" s="307"/>
      <c r="AC159" s="307"/>
      <c r="AD159" s="360"/>
    </row>
    <row r="160" spans="1:30" s="355" customFormat="1" ht="25.25" customHeight="1">
      <c r="A160" s="470"/>
      <c r="B160" s="470"/>
      <c r="C160" s="470"/>
      <c r="D160" s="482"/>
      <c r="E160" s="494"/>
      <c r="F160" s="517"/>
      <c r="G160" s="519"/>
      <c r="H160" s="509"/>
      <c r="I160" s="537"/>
      <c r="J160" s="560"/>
      <c r="K160" s="560"/>
      <c r="L160" s="363"/>
      <c r="M160" s="363"/>
      <c r="N160" s="363"/>
      <c r="O160" s="367" t="str">
        <f ca="1">IF(L160="","",IF(S160&lt;&gt;"","",IF(AND(S160="",L160-TODAY()&lt;=60),L160-TODAY(),"")))</f>
        <v/>
      </c>
      <c r="P160" s="365" t="str">
        <f>IF(COUNT(L160, S160)=2, L160-S160, "")</f>
        <v/>
      </c>
      <c r="Q160" s="361"/>
      <c r="R160" s="307" t="s">
        <v>36</v>
      </c>
      <c r="S160" s="302"/>
      <c r="T160" s="306"/>
      <c r="U160" s="302"/>
      <c r="V160" s="306"/>
      <c r="W160" s="307"/>
      <c r="X160" s="302"/>
      <c r="Y160" s="306"/>
      <c r="Z160" s="307" t="str">
        <f>IF(X160="","",IF(W160="檢退","檢退",IF(W160="審查同意","審定","檢退")))</f>
        <v/>
      </c>
      <c r="AA160" s="302"/>
      <c r="AB160" s="307"/>
      <c r="AC160" s="307"/>
      <c r="AD160" s="360"/>
    </row>
    <row r="161" spans="1:30" s="355" customFormat="1" ht="25.25" customHeight="1">
      <c r="A161" s="470"/>
      <c r="B161" s="470"/>
      <c r="C161" s="470"/>
      <c r="D161" s="480">
        <v>53</v>
      </c>
      <c r="E161" s="492"/>
      <c r="F161" s="515" t="s">
        <v>1667</v>
      </c>
      <c r="G161" s="515" t="s">
        <v>1666</v>
      </c>
      <c r="H161" s="507" t="s">
        <v>360</v>
      </c>
      <c r="I161" s="535" t="s">
        <v>310</v>
      </c>
      <c r="J161" s="558" t="s">
        <v>540</v>
      </c>
      <c r="K161" s="558" t="s">
        <v>539</v>
      </c>
      <c r="L161" s="364">
        <f>IF(M161="","",M161-30)</f>
        <v>46203</v>
      </c>
      <c r="M161" s="364">
        <f>IF(N161="","",N161-30)</f>
        <v>46233</v>
      </c>
      <c r="N161" s="363">
        <v>46263</v>
      </c>
      <c r="O161" s="367" t="str">
        <f ca="1">IF(L161="","",IF(S161&lt;&gt;"","",IF(AND(S161="",L161-TODAY()&lt;=60),L161-TODAY(),"")))</f>
        <v/>
      </c>
      <c r="P161" s="365" t="str">
        <f>IF(COUNT(L161, S161)=2, L161-S161, "")</f>
        <v/>
      </c>
      <c r="Q161" s="361"/>
      <c r="R161" s="307" t="s">
        <v>22</v>
      </c>
      <c r="S161" s="302" t="s">
        <v>1435</v>
      </c>
      <c r="T161" s="369" t="s">
        <v>1443</v>
      </c>
      <c r="U161" s="302">
        <v>46119</v>
      </c>
      <c r="V161" s="306" t="s">
        <v>1442</v>
      </c>
      <c r="W161" s="307" t="s">
        <v>25</v>
      </c>
      <c r="X161" s="302"/>
      <c r="Y161" s="306"/>
      <c r="Z161" s="306"/>
      <c r="AA161" s="302"/>
      <c r="AB161" s="307"/>
      <c r="AC161" s="307"/>
      <c r="AD161" s="360"/>
    </row>
    <row r="162" spans="1:30" s="355" customFormat="1" ht="25.25" customHeight="1">
      <c r="A162" s="470"/>
      <c r="B162" s="470"/>
      <c r="C162" s="470"/>
      <c r="D162" s="481"/>
      <c r="E162" s="493"/>
      <c r="F162" s="516"/>
      <c r="G162" s="518"/>
      <c r="H162" s="508"/>
      <c r="I162" s="536"/>
      <c r="J162" s="559"/>
      <c r="K162" s="559"/>
      <c r="L162" s="363"/>
      <c r="M162" s="363"/>
      <c r="N162" s="363"/>
      <c r="O162" s="367" t="str">
        <f ca="1">IF(L162="","",IF(S162&lt;&gt;"","",IF(AND(S162="",L162-TODAY()&lt;=60),L162-TODAY(),"")))</f>
        <v/>
      </c>
      <c r="P162" s="365" t="str">
        <f>IF(COUNT(L162, S162)=2, L162-S162, "")</f>
        <v/>
      </c>
      <c r="Q162" s="361" t="s">
        <v>1532</v>
      </c>
      <c r="R162" s="307" t="s">
        <v>27</v>
      </c>
      <c r="S162" s="302" t="s">
        <v>1432</v>
      </c>
      <c r="T162" s="369" t="s">
        <v>1441</v>
      </c>
      <c r="U162" s="302"/>
      <c r="V162" s="306"/>
      <c r="W162" s="307"/>
      <c r="X162" s="302"/>
      <c r="Y162" s="306"/>
      <c r="Z162" s="307" t="str">
        <f>IF(X162="","",IF(W162="檢退","檢退",IF(W162="審查同意","審定","檢退")))</f>
        <v/>
      </c>
      <c r="AA162" s="302"/>
      <c r="AB162" s="307"/>
      <c r="AC162" s="307"/>
      <c r="AD162" s="360"/>
    </row>
    <row r="163" spans="1:30" s="355" customFormat="1" ht="25.25" customHeight="1">
      <c r="A163" s="470"/>
      <c r="B163" s="470"/>
      <c r="C163" s="470"/>
      <c r="D163" s="482"/>
      <c r="E163" s="494"/>
      <c r="F163" s="517"/>
      <c r="G163" s="519"/>
      <c r="H163" s="509"/>
      <c r="I163" s="537"/>
      <c r="J163" s="560"/>
      <c r="K163" s="560"/>
      <c r="L163" s="363"/>
      <c r="M163" s="363"/>
      <c r="N163" s="363"/>
      <c r="O163" s="367" t="str">
        <f ca="1">IF(L163="","",IF(S163&lt;&gt;"","",IF(AND(S163="",L163-TODAY()&lt;=60),L163-TODAY(),"")))</f>
        <v/>
      </c>
      <c r="P163" s="365" t="str">
        <f>IF(COUNT(L163, S163)=2, L163-S163, "")</f>
        <v/>
      </c>
      <c r="Q163" s="361"/>
      <c r="R163" s="307" t="s">
        <v>36</v>
      </c>
      <c r="S163" s="302"/>
      <c r="T163" s="306"/>
      <c r="U163" s="302"/>
      <c r="V163" s="306"/>
      <c r="W163" s="307"/>
      <c r="X163" s="302"/>
      <c r="Y163" s="306"/>
      <c r="Z163" s="307" t="str">
        <f>IF(X163="","",IF(W163="檢退","檢退",IF(W163="審查同意","審定","檢退")))</f>
        <v/>
      </c>
      <c r="AA163" s="302"/>
      <c r="AB163" s="307"/>
      <c r="AC163" s="307"/>
      <c r="AD163" s="360"/>
    </row>
    <row r="164" spans="1:30" s="355" customFormat="1" ht="25.25" customHeight="1">
      <c r="A164" s="470"/>
      <c r="B164" s="470"/>
      <c r="C164" s="470">
        <v>217</v>
      </c>
      <c r="D164" s="480">
        <v>54</v>
      </c>
      <c r="E164" s="492">
        <v>306</v>
      </c>
      <c r="F164" s="515" t="s">
        <v>1440</v>
      </c>
      <c r="G164" s="535" t="s">
        <v>1439</v>
      </c>
      <c r="H164" s="507" t="s">
        <v>355</v>
      </c>
      <c r="I164" s="535" t="s">
        <v>311</v>
      </c>
      <c r="J164" s="558" t="s">
        <v>540</v>
      </c>
      <c r="K164" s="558" t="s">
        <v>1438</v>
      </c>
      <c r="L164" s="364">
        <f>IF(M164="","",M164-30)</f>
        <v>46234</v>
      </c>
      <c r="M164" s="364">
        <f>IF(N164="","",N164-30)</f>
        <v>46264</v>
      </c>
      <c r="N164" s="363">
        <v>46294</v>
      </c>
      <c r="O164" s="367" t="str">
        <f ca="1">IF(L164="","",IF(S164&lt;&gt;"","",IF(AND(S164="",L164-TODAY()&lt;=60),L164-TODAY(),"")))</f>
        <v/>
      </c>
      <c r="P164" s="365">
        <f>IF(COUNT(L164, S164)=2, L164-S164, "")</f>
        <v>79</v>
      </c>
      <c r="Q164" s="361" t="s">
        <v>1532</v>
      </c>
      <c r="R164" s="307" t="s">
        <v>22</v>
      </c>
      <c r="S164" s="303">
        <v>46155</v>
      </c>
      <c r="T164" s="303" t="s">
        <v>1665</v>
      </c>
      <c r="U164" s="302"/>
      <c r="V164" s="306"/>
      <c r="W164" s="307"/>
      <c r="X164" s="302"/>
      <c r="Y164" s="306"/>
      <c r="Z164" s="306"/>
      <c r="AA164" s="302"/>
      <c r="AB164" s="307"/>
      <c r="AC164" s="307"/>
      <c r="AD164" s="360"/>
    </row>
    <row r="165" spans="1:30" s="355" customFormat="1" ht="25.25" customHeight="1">
      <c r="A165" s="470"/>
      <c r="B165" s="470"/>
      <c r="C165" s="470"/>
      <c r="D165" s="481"/>
      <c r="E165" s="493"/>
      <c r="F165" s="516"/>
      <c r="G165" s="536"/>
      <c r="H165" s="508"/>
      <c r="I165" s="536"/>
      <c r="J165" s="559"/>
      <c r="K165" s="559"/>
      <c r="L165" s="363"/>
      <c r="M165" s="363"/>
      <c r="N165" s="363"/>
      <c r="O165" s="367" t="str">
        <f ca="1">IF(L165="","",IF(S165&lt;&gt;"","",IF(AND(S165="",L165-TODAY()&lt;=60),L165-TODAY(),"")))</f>
        <v/>
      </c>
      <c r="P165" s="365" t="str">
        <f>IF(COUNT(L165, S165)=2, L165-S165, "")</f>
        <v/>
      </c>
      <c r="Q165" s="361"/>
      <c r="R165" s="307" t="s">
        <v>27</v>
      </c>
      <c r="S165" s="302"/>
      <c r="T165" s="302"/>
      <c r="U165" s="302"/>
      <c r="V165" s="306"/>
      <c r="W165" s="307"/>
      <c r="X165" s="302"/>
      <c r="Y165" s="306"/>
      <c r="Z165" s="307" t="str">
        <f>IF(X165="","",IF(W165="檢退","檢退",IF(W165="審查同意","審定","檢退")))</f>
        <v/>
      </c>
      <c r="AA165" s="302"/>
      <c r="AB165" s="307"/>
      <c r="AC165" s="307"/>
      <c r="AD165" s="360"/>
    </row>
    <row r="166" spans="1:30" s="355" customFormat="1" ht="25.25" customHeight="1">
      <c r="A166" s="470"/>
      <c r="B166" s="470"/>
      <c r="C166" s="470"/>
      <c r="D166" s="482"/>
      <c r="E166" s="494"/>
      <c r="F166" s="517"/>
      <c r="G166" s="537"/>
      <c r="H166" s="509"/>
      <c r="I166" s="537"/>
      <c r="J166" s="560"/>
      <c r="K166" s="560"/>
      <c r="L166" s="363"/>
      <c r="M166" s="363"/>
      <c r="N166" s="363"/>
      <c r="O166" s="367" t="str">
        <f ca="1">IF(L166="","",IF(S166&lt;&gt;"","",IF(AND(S166="",L166-TODAY()&lt;=60),L166-TODAY(),"")))</f>
        <v/>
      </c>
      <c r="P166" s="365" t="str">
        <f>IF(COUNT(L166, S166)=2, L166-S166, "")</f>
        <v/>
      </c>
      <c r="Q166" s="361"/>
      <c r="R166" s="307" t="s">
        <v>36</v>
      </c>
      <c r="S166" s="302"/>
      <c r="T166" s="306"/>
      <c r="U166" s="302"/>
      <c r="V166" s="306"/>
      <c r="W166" s="307"/>
      <c r="X166" s="302"/>
      <c r="Y166" s="306"/>
      <c r="Z166" s="307" t="str">
        <f>IF(X166="","",IF(W166="檢退","檢退",IF(W166="審查同意","審定","檢退")))</f>
        <v/>
      </c>
      <c r="AA166" s="302"/>
      <c r="AB166" s="307"/>
      <c r="AC166" s="307"/>
      <c r="AD166" s="360"/>
    </row>
    <row r="167" spans="1:30" s="355" customFormat="1" ht="25.25" customHeight="1">
      <c r="A167" s="470"/>
      <c r="B167" s="470"/>
      <c r="C167" s="470">
        <v>85</v>
      </c>
      <c r="D167" s="480">
        <v>55</v>
      </c>
      <c r="E167" s="507" t="s">
        <v>352</v>
      </c>
      <c r="F167" s="507" t="s">
        <v>1437</v>
      </c>
      <c r="G167" s="515" t="s">
        <v>533</v>
      </c>
      <c r="H167" s="507" t="s">
        <v>353</v>
      </c>
      <c r="I167" s="535" t="s">
        <v>312</v>
      </c>
      <c r="J167" s="558" t="s">
        <v>540</v>
      </c>
      <c r="K167" s="558" t="s">
        <v>534</v>
      </c>
      <c r="L167" s="364">
        <f>IF(M167="","",M167-30)</f>
        <v>46189</v>
      </c>
      <c r="M167" s="364">
        <f>IF(N167="","",N167-30)</f>
        <v>46219</v>
      </c>
      <c r="N167" s="363">
        <v>46249</v>
      </c>
      <c r="O167" s="367" t="str">
        <f ca="1">IF(L167="","",IF(S167&lt;&gt;"","",IF(AND(S167="",L167-TODAY()&lt;=60),L167-TODAY(),"")))</f>
        <v/>
      </c>
      <c r="P167" s="365">
        <f>IF(COUNT(L167, S167)=2, L167-S167, "")</f>
        <v>25</v>
      </c>
      <c r="Q167" s="361" t="s">
        <v>1532</v>
      </c>
      <c r="R167" s="307" t="s">
        <v>22</v>
      </c>
      <c r="S167" s="303">
        <v>46164</v>
      </c>
      <c r="T167" s="303" t="s">
        <v>1664</v>
      </c>
      <c r="U167" s="302"/>
      <c r="V167" s="306"/>
      <c r="W167" s="307"/>
      <c r="X167" s="302"/>
      <c r="Y167" s="306"/>
      <c r="Z167" s="306"/>
      <c r="AA167" s="302"/>
      <c r="AB167" s="307"/>
      <c r="AC167" s="307"/>
      <c r="AD167" s="360"/>
    </row>
    <row r="168" spans="1:30" s="355" customFormat="1" ht="25.25" customHeight="1">
      <c r="A168" s="470"/>
      <c r="B168" s="470"/>
      <c r="C168" s="470"/>
      <c r="D168" s="481"/>
      <c r="E168" s="508"/>
      <c r="F168" s="508"/>
      <c r="G168" s="518"/>
      <c r="H168" s="508"/>
      <c r="I168" s="536"/>
      <c r="J168" s="559"/>
      <c r="K168" s="559"/>
      <c r="L168" s="363"/>
      <c r="M168" s="363"/>
      <c r="N168" s="363"/>
      <c r="O168" s="367" t="str">
        <f ca="1">IF(L168="","",IF(S168&lt;&gt;"","",IF(AND(S168="",L168-TODAY()&lt;=60),L168-TODAY(),"")))</f>
        <v/>
      </c>
      <c r="P168" s="365" t="str">
        <f>IF(COUNT(L168, S168)=2, L168-S168, "")</f>
        <v/>
      </c>
      <c r="Q168" s="361"/>
      <c r="R168" s="307" t="s">
        <v>27</v>
      </c>
      <c r="S168" s="302"/>
      <c r="T168" s="302"/>
      <c r="U168" s="302"/>
      <c r="V168" s="306"/>
      <c r="W168" s="307"/>
      <c r="X168" s="302"/>
      <c r="Y168" s="306"/>
      <c r="Z168" s="307" t="str">
        <f>IF(X168="","",IF(W168="檢退","檢退",IF(W168="審查同意","審定","檢退")))</f>
        <v/>
      </c>
      <c r="AA168" s="302"/>
      <c r="AB168" s="307"/>
      <c r="AC168" s="307"/>
      <c r="AD168" s="360"/>
    </row>
    <row r="169" spans="1:30" s="355" customFormat="1" ht="25.25" customHeight="1">
      <c r="A169" s="470"/>
      <c r="B169" s="470"/>
      <c r="C169" s="470"/>
      <c r="D169" s="482"/>
      <c r="E169" s="509"/>
      <c r="F169" s="509"/>
      <c r="G169" s="519"/>
      <c r="H169" s="509"/>
      <c r="I169" s="537"/>
      <c r="J169" s="560"/>
      <c r="K169" s="560"/>
      <c r="L169" s="363"/>
      <c r="M169" s="363"/>
      <c r="N169" s="363"/>
      <c r="O169" s="367" t="str">
        <f ca="1">IF(L169="","",IF(S169&lt;&gt;"","",IF(AND(S169="",L169-TODAY()&lt;=60),L169-TODAY(),"")))</f>
        <v/>
      </c>
      <c r="P169" s="365" t="str">
        <f>IF(COUNT(L169, S169)=2, L169-S169, "")</f>
        <v/>
      </c>
      <c r="Q169" s="361"/>
      <c r="R169" s="307" t="s">
        <v>36</v>
      </c>
      <c r="S169" s="302"/>
      <c r="T169" s="306"/>
      <c r="U169" s="302"/>
      <c r="V169" s="306"/>
      <c r="W169" s="307"/>
      <c r="X169" s="302"/>
      <c r="Y169" s="306"/>
      <c r="Z169" s="307" t="str">
        <f>IF(X169="","",IF(W169="檢退","檢退",IF(W169="審查同意","審定","檢退")))</f>
        <v/>
      </c>
      <c r="AA169" s="302"/>
      <c r="AB169" s="307"/>
      <c r="AC169" s="307"/>
      <c r="AD169" s="360"/>
    </row>
    <row r="170" spans="1:30" s="355" customFormat="1" ht="25.25" customHeight="1">
      <c r="A170" s="470"/>
      <c r="B170" s="470"/>
      <c r="C170" s="470">
        <v>172</v>
      </c>
      <c r="D170" s="480">
        <v>56</v>
      </c>
      <c r="E170" s="492">
        <v>302</v>
      </c>
      <c r="F170" s="515" t="s">
        <v>1663</v>
      </c>
      <c r="G170" s="535" t="s">
        <v>471</v>
      </c>
      <c r="H170" s="507" t="s">
        <v>354</v>
      </c>
      <c r="I170" s="535" t="s">
        <v>1436</v>
      </c>
      <c r="J170" s="371"/>
      <c r="K170" s="371" t="s">
        <v>527</v>
      </c>
      <c r="L170" s="364">
        <f>IF(M170="","",M170-30)</f>
        <v>46172</v>
      </c>
      <c r="M170" s="364">
        <f>IF(N170="","",N170-30)</f>
        <v>46202</v>
      </c>
      <c r="N170" s="363">
        <v>46232</v>
      </c>
      <c r="O170" s="367" t="str">
        <f ca="1">IF(L170="","",IF(S170&lt;&gt;"","",IF(AND(S170="",L170-TODAY()&lt;=60),L170-TODAY(),"")))</f>
        <v/>
      </c>
      <c r="P170" s="365" t="str">
        <f>IF(COUNT(L170, S170)=2, L170-S170, "")</f>
        <v/>
      </c>
      <c r="Q170" s="361"/>
      <c r="R170" s="307" t="s">
        <v>22</v>
      </c>
      <c r="S170" s="302" t="s">
        <v>1435</v>
      </c>
      <c r="T170" s="369" t="s">
        <v>1434</v>
      </c>
      <c r="U170" s="302">
        <v>46119</v>
      </c>
      <c r="V170" s="306" t="s">
        <v>1433</v>
      </c>
      <c r="W170" s="307" t="s">
        <v>25</v>
      </c>
      <c r="X170" s="302"/>
      <c r="Y170" s="306"/>
      <c r="Z170" s="306"/>
      <c r="AA170" s="302"/>
      <c r="AB170" s="307"/>
      <c r="AC170" s="307"/>
      <c r="AD170" s="360"/>
    </row>
    <row r="171" spans="1:30" s="355" customFormat="1" ht="25.25" customHeight="1">
      <c r="A171" s="470"/>
      <c r="B171" s="470"/>
      <c r="C171" s="470"/>
      <c r="D171" s="481"/>
      <c r="E171" s="493"/>
      <c r="F171" s="516"/>
      <c r="G171" s="536"/>
      <c r="H171" s="508"/>
      <c r="I171" s="536"/>
      <c r="J171" s="370" t="s">
        <v>540</v>
      </c>
      <c r="K171" s="370"/>
      <c r="L171" s="363"/>
      <c r="M171" s="363"/>
      <c r="N171" s="363"/>
      <c r="O171" s="367" t="str">
        <f ca="1">IF(L171="","",IF(S171&lt;&gt;"","",IF(AND(S171="",L171-TODAY()&lt;=60),L171-TODAY(),"")))</f>
        <v/>
      </c>
      <c r="P171" s="365" t="str">
        <f>IF(COUNT(L171, S171)=2, L171-S171, "")</f>
        <v/>
      </c>
      <c r="Q171" s="361" t="s">
        <v>1532</v>
      </c>
      <c r="R171" s="307" t="s">
        <v>27</v>
      </c>
      <c r="S171" s="302" t="s">
        <v>1432</v>
      </c>
      <c r="T171" s="369" t="s">
        <v>1431</v>
      </c>
      <c r="U171" s="302"/>
      <c r="V171" s="306"/>
      <c r="W171" s="307"/>
      <c r="X171" s="302"/>
      <c r="Y171" s="306"/>
      <c r="Z171" s="307" t="str">
        <f>IF(X171="","",IF(W171="檢退","檢退",IF(W171="審查同意","審定","檢退")))</f>
        <v/>
      </c>
      <c r="AA171" s="302"/>
      <c r="AB171" s="307"/>
      <c r="AC171" s="307"/>
      <c r="AD171" s="360"/>
    </row>
    <row r="172" spans="1:30" s="355" customFormat="1" ht="25.25" customHeight="1">
      <c r="A172" s="470"/>
      <c r="B172" s="470"/>
      <c r="C172" s="470"/>
      <c r="D172" s="482"/>
      <c r="E172" s="494"/>
      <c r="F172" s="517"/>
      <c r="G172" s="537"/>
      <c r="H172" s="509"/>
      <c r="I172" s="537"/>
      <c r="J172" s="368"/>
      <c r="K172" s="368"/>
      <c r="L172" s="363"/>
      <c r="M172" s="363"/>
      <c r="N172" s="363"/>
      <c r="O172" s="367" t="str">
        <f ca="1">IF(L172="","",IF(S172&lt;&gt;"","",IF(AND(S172="",L172-TODAY()&lt;=60),L172-TODAY(),"")))</f>
        <v/>
      </c>
      <c r="P172" s="365" t="str">
        <f>IF(COUNT(L172, S172)=2, L172-S172, "")</f>
        <v/>
      </c>
      <c r="Q172" s="361"/>
      <c r="R172" s="307" t="s">
        <v>36</v>
      </c>
      <c r="S172" s="302"/>
      <c r="T172" s="306"/>
      <c r="U172" s="302"/>
      <c r="V172" s="306"/>
      <c r="W172" s="307"/>
      <c r="X172" s="302"/>
      <c r="Y172" s="306"/>
      <c r="Z172" s="307" t="str">
        <f>IF(X172="","",IF(W172="檢退","檢退",IF(W172="審查同意","審定","檢退")))</f>
        <v/>
      </c>
      <c r="AA172" s="302"/>
      <c r="AB172" s="307"/>
      <c r="AC172" s="307"/>
      <c r="AD172" s="360"/>
    </row>
    <row r="173" spans="1:30" s="355" customFormat="1" ht="25.25" customHeight="1">
      <c r="A173" s="470"/>
      <c r="B173" s="470"/>
      <c r="C173" s="470"/>
      <c r="D173" s="480">
        <v>57</v>
      </c>
      <c r="E173" s="483"/>
      <c r="F173" s="471"/>
      <c r="G173" s="471"/>
      <c r="H173" s="486" t="s">
        <v>361</v>
      </c>
      <c r="I173" s="474" t="s">
        <v>313</v>
      </c>
      <c r="J173" s="477" t="s">
        <v>556</v>
      </c>
      <c r="K173" s="477"/>
      <c r="L173" s="364">
        <f>IF(M173="","",M173-30)</f>
        <v>46295</v>
      </c>
      <c r="M173" s="364">
        <f>IF(N173="","",N173-30)</f>
        <v>46325</v>
      </c>
      <c r="N173" s="363">
        <v>46355</v>
      </c>
      <c r="O173" s="367" t="str">
        <f ca="1">IF(L173="","",IF(S173&lt;&gt;"","",IF(AND(S173="",L173-TODAY()&lt;=60),L173-TODAY(),"")))</f>
        <v/>
      </c>
      <c r="P173" s="365" t="str">
        <f>IF(COUNT(L173, S173)=2, L173-S173, "")</f>
        <v/>
      </c>
      <c r="Q173" s="361"/>
      <c r="R173" s="307" t="s">
        <v>22</v>
      </c>
      <c r="S173" s="302"/>
      <c r="T173" s="306"/>
      <c r="U173" s="302"/>
      <c r="V173" s="306"/>
      <c r="W173" s="307"/>
      <c r="X173" s="302"/>
      <c r="Y173" s="306"/>
      <c r="Z173" s="306"/>
      <c r="AA173" s="302"/>
      <c r="AB173" s="307"/>
      <c r="AC173" s="307"/>
      <c r="AD173" s="360"/>
    </row>
    <row r="174" spans="1:30" s="355" customFormat="1" ht="25.25" customHeight="1">
      <c r="A174" s="470"/>
      <c r="B174" s="470"/>
      <c r="C174" s="470"/>
      <c r="D174" s="481"/>
      <c r="E174" s="484"/>
      <c r="F174" s="472"/>
      <c r="G174" s="513"/>
      <c r="H174" s="487"/>
      <c r="I174" s="475"/>
      <c r="J174" s="478"/>
      <c r="K174" s="478"/>
      <c r="L174" s="363"/>
      <c r="M174" s="363"/>
      <c r="N174" s="363"/>
      <c r="O174" s="367" t="str">
        <f ca="1">IF(L174="","",IF(S174&lt;&gt;"","",IF(AND(S174="",L174-TODAY()&lt;=60),L174-TODAY(),"")))</f>
        <v/>
      </c>
      <c r="P174" s="365" t="str">
        <f>IF(COUNT(L174, S174)=2, L174-S174, "")</f>
        <v/>
      </c>
      <c r="Q174" s="361"/>
      <c r="R174" s="307" t="s">
        <v>27</v>
      </c>
      <c r="S174" s="302"/>
      <c r="T174" s="302"/>
      <c r="U174" s="302"/>
      <c r="V174" s="306"/>
      <c r="W174" s="307"/>
      <c r="X174" s="302"/>
      <c r="Y174" s="306"/>
      <c r="Z174" s="307" t="str">
        <f>IF(X174="","",IF(W174="檢退","檢退",IF(W174="審查同意","審定","檢退")))</f>
        <v/>
      </c>
      <c r="AA174" s="302"/>
      <c r="AB174" s="307"/>
      <c r="AC174" s="307"/>
      <c r="AD174" s="360"/>
    </row>
    <row r="175" spans="1:30" s="355" customFormat="1" ht="25.25" customHeight="1">
      <c r="A175" s="470"/>
      <c r="B175" s="470"/>
      <c r="C175" s="470"/>
      <c r="D175" s="482"/>
      <c r="E175" s="485"/>
      <c r="F175" s="473"/>
      <c r="G175" s="514"/>
      <c r="H175" s="488"/>
      <c r="I175" s="476"/>
      <c r="J175" s="479"/>
      <c r="K175" s="479"/>
      <c r="L175" s="363"/>
      <c r="M175" s="363"/>
      <c r="N175" s="363"/>
      <c r="O175" s="367" t="str">
        <f ca="1">IF(L175="","",IF(S175&lt;&gt;"","",IF(AND(S175="",L175-TODAY()&lt;=60),L175-TODAY(),"")))</f>
        <v/>
      </c>
      <c r="P175" s="365" t="str">
        <f>IF(COUNT(L175, S175)=2, L175-S175, "")</f>
        <v/>
      </c>
      <c r="Q175" s="361"/>
      <c r="R175" s="307" t="s">
        <v>36</v>
      </c>
      <c r="S175" s="302"/>
      <c r="T175" s="306"/>
      <c r="U175" s="302"/>
      <c r="V175" s="306"/>
      <c r="W175" s="307"/>
      <c r="X175" s="302"/>
      <c r="Y175" s="306"/>
      <c r="Z175" s="307" t="str">
        <f>IF(X175="","",IF(W175="檢退","檢退",IF(W175="審查同意","審定","檢退")))</f>
        <v/>
      </c>
      <c r="AA175" s="302"/>
      <c r="AB175" s="307"/>
      <c r="AC175" s="307"/>
      <c r="AD175" s="360"/>
    </row>
    <row r="176" spans="1:30" s="355" customFormat="1" ht="25.25" customHeight="1">
      <c r="A176" s="470"/>
      <c r="B176" s="470"/>
      <c r="C176" s="470"/>
      <c r="D176" s="480">
        <v>58</v>
      </c>
      <c r="E176" s="483"/>
      <c r="F176" s="471"/>
      <c r="G176" s="471"/>
      <c r="H176" s="486" t="s">
        <v>358</v>
      </c>
      <c r="I176" s="474" t="s">
        <v>314</v>
      </c>
      <c r="J176" s="477" t="s">
        <v>555</v>
      </c>
      <c r="K176" s="477"/>
      <c r="L176" s="364">
        <f>IF(M176="","",M176-30)</f>
        <v>46264</v>
      </c>
      <c r="M176" s="364">
        <f>IF(N176="","",N176-30)</f>
        <v>46294</v>
      </c>
      <c r="N176" s="363">
        <v>46324</v>
      </c>
      <c r="O176" s="367" t="str">
        <f ca="1">IF(L176="","",IF(S176&lt;&gt;"","",IF(AND(S176="",L176-TODAY()&lt;=60),L176-TODAY(),"")))</f>
        <v/>
      </c>
      <c r="P176" s="365" t="str">
        <f>IF(COUNT(L176, S176)=2, L176-S176, "")</f>
        <v/>
      </c>
      <c r="Q176" s="361"/>
      <c r="R176" s="307" t="s">
        <v>22</v>
      </c>
      <c r="S176" s="302"/>
      <c r="T176" s="306"/>
      <c r="U176" s="302"/>
      <c r="V176" s="306"/>
      <c r="W176" s="307"/>
      <c r="X176" s="302"/>
      <c r="Y176" s="306"/>
      <c r="Z176" s="306"/>
      <c r="AA176" s="302"/>
      <c r="AB176" s="307"/>
      <c r="AC176" s="307"/>
      <c r="AD176" s="360"/>
    </row>
    <row r="177" spans="1:30" s="355" customFormat="1" ht="25.25" customHeight="1">
      <c r="A177" s="470"/>
      <c r="B177" s="470"/>
      <c r="C177" s="470"/>
      <c r="D177" s="481"/>
      <c r="E177" s="484"/>
      <c r="F177" s="472"/>
      <c r="G177" s="513"/>
      <c r="H177" s="487"/>
      <c r="I177" s="475"/>
      <c r="J177" s="478"/>
      <c r="K177" s="478"/>
      <c r="L177" s="363"/>
      <c r="M177" s="363"/>
      <c r="N177" s="363"/>
      <c r="O177" s="367" t="str">
        <f ca="1">IF(L177="","",IF(S177&lt;&gt;"","",IF(AND(S177="",L177-TODAY()&lt;=60),L177-TODAY(),"")))</f>
        <v/>
      </c>
      <c r="P177" s="365" t="str">
        <f>IF(COUNT(L177, S177)=2, L177-S177, "")</f>
        <v/>
      </c>
      <c r="Q177" s="361"/>
      <c r="R177" s="307" t="s">
        <v>27</v>
      </c>
      <c r="S177" s="302"/>
      <c r="T177" s="302"/>
      <c r="U177" s="302"/>
      <c r="V177" s="306"/>
      <c r="W177" s="307"/>
      <c r="X177" s="302"/>
      <c r="Y177" s="306"/>
      <c r="Z177" s="307" t="str">
        <f>IF(X177="","",IF(W177="檢退","檢退",IF(W177="審查同意","審定","檢退")))</f>
        <v/>
      </c>
      <c r="AA177" s="302"/>
      <c r="AB177" s="307"/>
      <c r="AC177" s="307"/>
      <c r="AD177" s="360"/>
    </row>
    <row r="178" spans="1:30" s="355" customFormat="1" ht="25.25" customHeight="1">
      <c r="A178" s="470"/>
      <c r="B178" s="470"/>
      <c r="C178" s="470"/>
      <c r="D178" s="482"/>
      <c r="E178" s="485"/>
      <c r="F178" s="473"/>
      <c r="G178" s="514"/>
      <c r="H178" s="488"/>
      <c r="I178" s="476"/>
      <c r="J178" s="479"/>
      <c r="K178" s="479"/>
      <c r="L178" s="363"/>
      <c r="M178" s="363"/>
      <c r="N178" s="363"/>
      <c r="O178" s="367" t="str">
        <f ca="1">IF(L178="","",IF(S178&lt;&gt;"","",IF(AND(S178="",L178-TODAY()&lt;=60),L178-TODAY(),"")))</f>
        <v/>
      </c>
      <c r="P178" s="365" t="str">
        <f>IF(COUNT(L178, S178)=2, L178-S178, "")</f>
        <v/>
      </c>
      <c r="Q178" s="361"/>
      <c r="R178" s="307" t="s">
        <v>36</v>
      </c>
      <c r="S178" s="302"/>
      <c r="T178" s="306"/>
      <c r="U178" s="302"/>
      <c r="V178" s="306"/>
      <c r="W178" s="307"/>
      <c r="X178" s="302"/>
      <c r="Y178" s="306"/>
      <c r="Z178" s="307" t="str">
        <f>IF(X178="","",IF(W178="檢退","檢退",IF(W178="審查同意","審定","檢退")))</f>
        <v/>
      </c>
      <c r="AA178" s="302"/>
      <c r="AB178" s="307"/>
      <c r="AC178" s="307"/>
      <c r="AD178" s="360"/>
    </row>
    <row r="179" spans="1:30" s="355" customFormat="1" ht="25.25" customHeight="1">
      <c r="A179" s="470"/>
      <c r="B179" s="470"/>
      <c r="C179" s="470"/>
      <c r="D179" s="480">
        <v>59</v>
      </c>
      <c r="E179" s="483"/>
      <c r="F179" s="471"/>
      <c r="G179" s="471"/>
      <c r="H179" s="486" t="s">
        <v>357</v>
      </c>
      <c r="I179" s="474" t="s">
        <v>315</v>
      </c>
      <c r="J179" s="477" t="s">
        <v>555</v>
      </c>
      <c r="K179" s="477"/>
      <c r="L179" s="364">
        <f>IF(M179="","",M179-30)</f>
        <v>46264</v>
      </c>
      <c r="M179" s="364">
        <f>IF(N179="","",N179-30)</f>
        <v>46294</v>
      </c>
      <c r="N179" s="363">
        <v>46324</v>
      </c>
      <c r="O179" s="367" t="str">
        <f ca="1">IF(L179="","",IF(S179&lt;&gt;"","",IF(AND(S179="",L179-TODAY()&lt;=60),L179-TODAY(),"")))</f>
        <v/>
      </c>
      <c r="P179" s="365" t="str">
        <f>IF(COUNT(L179, S179)=2, L179-S179, "")</f>
        <v/>
      </c>
      <c r="Q179" s="361"/>
      <c r="R179" s="307" t="s">
        <v>22</v>
      </c>
      <c r="S179" s="302"/>
      <c r="T179" s="306"/>
      <c r="U179" s="302"/>
      <c r="V179" s="306"/>
      <c r="W179" s="307"/>
      <c r="X179" s="302"/>
      <c r="Y179" s="306"/>
      <c r="Z179" s="306"/>
      <c r="AA179" s="302"/>
      <c r="AB179" s="307"/>
      <c r="AC179" s="307"/>
      <c r="AD179" s="360"/>
    </row>
    <row r="180" spans="1:30" s="355" customFormat="1" ht="25.25" customHeight="1">
      <c r="A180" s="470"/>
      <c r="B180" s="470"/>
      <c r="C180" s="470"/>
      <c r="D180" s="481"/>
      <c r="E180" s="484"/>
      <c r="F180" s="472"/>
      <c r="G180" s="513"/>
      <c r="H180" s="487"/>
      <c r="I180" s="475"/>
      <c r="J180" s="478"/>
      <c r="K180" s="478"/>
      <c r="L180" s="363"/>
      <c r="M180" s="363"/>
      <c r="N180" s="363"/>
      <c r="O180" s="367" t="str">
        <f ca="1">IF(L180="","",IF(S180&lt;&gt;"","",IF(AND(S180="",L180-TODAY()&lt;=60),L180-TODAY(),"")))</f>
        <v/>
      </c>
      <c r="P180" s="365" t="str">
        <f>IF(COUNT(L180, S180)=2, L180-S180, "")</f>
        <v/>
      </c>
      <c r="Q180" s="361"/>
      <c r="R180" s="307" t="s">
        <v>27</v>
      </c>
      <c r="S180" s="302"/>
      <c r="T180" s="302"/>
      <c r="U180" s="302"/>
      <c r="V180" s="306"/>
      <c r="W180" s="307"/>
      <c r="X180" s="302"/>
      <c r="Y180" s="306"/>
      <c r="Z180" s="307" t="str">
        <f>IF(X180="","",IF(W180="檢退","檢退",IF(W180="審查同意","審定","檢退")))</f>
        <v/>
      </c>
      <c r="AA180" s="302"/>
      <c r="AB180" s="307"/>
      <c r="AC180" s="307"/>
      <c r="AD180" s="360"/>
    </row>
    <row r="181" spans="1:30" s="355" customFormat="1" ht="25.25" customHeight="1">
      <c r="A181" s="470"/>
      <c r="B181" s="470"/>
      <c r="C181" s="470"/>
      <c r="D181" s="482"/>
      <c r="E181" s="485"/>
      <c r="F181" s="473"/>
      <c r="G181" s="514"/>
      <c r="H181" s="488"/>
      <c r="I181" s="476"/>
      <c r="J181" s="479"/>
      <c r="K181" s="479"/>
      <c r="L181" s="363"/>
      <c r="M181" s="363"/>
      <c r="N181" s="363"/>
      <c r="O181" s="367" t="str">
        <f ca="1">IF(L181="","",IF(S181&lt;&gt;"","",IF(AND(S181="",L181-TODAY()&lt;=60),L181-TODAY(),"")))</f>
        <v/>
      </c>
      <c r="P181" s="365" t="str">
        <f>IF(COUNT(L181, S181)=2, L181-S181, "")</f>
        <v/>
      </c>
      <c r="Q181" s="361"/>
      <c r="R181" s="307" t="s">
        <v>36</v>
      </c>
      <c r="S181" s="302"/>
      <c r="T181" s="306"/>
      <c r="U181" s="302"/>
      <c r="V181" s="306"/>
      <c r="W181" s="307"/>
      <c r="X181" s="302"/>
      <c r="Y181" s="306"/>
      <c r="Z181" s="307" t="str">
        <f>IF(X181="","",IF(W181="檢退","檢退",IF(W181="審查同意","審定","檢退")))</f>
        <v/>
      </c>
      <c r="AA181" s="302"/>
      <c r="AB181" s="307"/>
      <c r="AC181" s="307"/>
      <c r="AD181" s="360"/>
    </row>
    <row r="182" spans="1:30" s="355" customFormat="1" ht="25.25" customHeight="1">
      <c r="A182" s="470"/>
      <c r="B182" s="470"/>
      <c r="C182" s="470">
        <v>198</v>
      </c>
      <c r="D182" s="480">
        <v>60</v>
      </c>
      <c r="E182" s="504">
        <v>401</v>
      </c>
      <c r="F182" s="505"/>
      <c r="G182" s="471" t="s">
        <v>476</v>
      </c>
      <c r="H182" s="506" t="s">
        <v>173</v>
      </c>
      <c r="I182" s="474" t="s">
        <v>1050</v>
      </c>
      <c r="J182" s="477" t="s">
        <v>555</v>
      </c>
      <c r="K182" s="477"/>
      <c r="L182" s="364">
        <f>IF(M182="","",M182-30)</f>
        <v>46264</v>
      </c>
      <c r="M182" s="364">
        <f>IF(N182="","",N182-30)</f>
        <v>46294</v>
      </c>
      <c r="N182" s="363">
        <v>46324</v>
      </c>
      <c r="O182" s="362" t="str">
        <f ca="1">IF(L182="","",IF(S182&lt;&gt;"","",IF(AND(S182="",L182-TODAY()&lt;=60),L182-TODAY(),"")))</f>
        <v/>
      </c>
      <c r="P182" s="365" t="str">
        <f>IF(COUNT(L182, S182)=2, L182-S182, "")</f>
        <v/>
      </c>
      <c r="Q182" s="361"/>
      <c r="R182" s="307" t="s">
        <v>22</v>
      </c>
      <c r="S182" s="302"/>
      <c r="T182" s="306"/>
      <c r="U182" s="302"/>
      <c r="V182" s="306"/>
      <c r="W182" s="307"/>
      <c r="X182" s="302"/>
      <c r="Y182" s="306"/>
      <c r="Z182" s="306"/>
      <c r="AA182" s="302"/>
      <c r="AB182" s="307"/>
      <c r="AC182" s="307"/>
      <c r="AD182" s="360"/>
    </row>
    <row r="183" spans="1:30" s="355" customFormat="1" ht="25.25" customHeight="1">
      <c r="A183" s="470"/>
      <c r="B183" s="470"/>
      <c r="C183" s="470">
        <v>198</v>
      </c>
      <c r="D183" s="481"/>
      <c r="E183" s="504"/>
      <c r="F183" s="505"/>
      <c r="G183" s="502"/>
      <c r="H183" s="506"/>
      <c r="I183" s="475"/>
      <c r="J183" s="478"/>
      <c r="K183" s="478"/>
      <c r="L183" s="363"/>
      <c r="M183" s="363"/>
      <c r="N183" s="363"/>
      <c r="O183" s="362" t="str">
        <f ca="1">IF(L183="","",IF(S183&lt;&gt;"","",IF(AND(S183="",L183-TODAY()&lt;=60),L183-TODAY(),"")))</f>
        <v/>
      </c>
      <c r="P183" s="365" t="str">
        <f>IF(COUNT(L183, S183)=2, L183-S183, "")</f>
        <v/>
      </c>
      <c r="Q183" s="361"/>
      <c r="R183" s="307" t="s">
        <v>27</v>
      </c>
      <c r="S183" s="302"/>
      <c r="T183" s="302"/>
      <c r="U183" s="302"/>
      <c r="V183" s="306"/>
      <c r="W183" s="307"/>
      <c r="X183" s="302"/>
      <c r="Y183" s="306"/>
      <c r="Z183" s="307" t="str">
        <f>IF(X183="","",IF(W183="檢退","檢退",IF(W183="審查同意","審定","檢退")))</f>
        <v/>
      </c>
      <c r="AA183" s="302"/>
      <c r="AB183" s="307"/>
      <c r="AC183" s="307"/>
      <c r="AD183" s="360"/>
    </row>
    <row r="184" spans="1:30" s="355" customFormat="1" ht="25.25" customHeight="1">
      <c r="A184" s="470"/>
      <c r="B184" s="470"/>
      <c r="C184" s="470"/>
      <c r="D184" s="482"/>
      <c r="E184" s="504"/>
      <c r="F184" s="505"/>
      <c r="G184" s="503"/>
      <c r="H184" s="506"/>
      <c r="I184" s="476"/>
      <c r="J184" s="479"/>
      <c r="K184" s="479"/>
      <c r="L184" s="363"/>
      <c r="M184" s="363"/>
      <c r="N184" s="363"/>
      <c r="O184" s="362" t="str">
        <f ca="1">IF(L184="","",IF(S184&lt;&gt;"","",IF(AND(S184="",L184-TODAY()&lt;=60),L184-TODAY(),"")))</f>
        <v/>
      </c>
      <c r="P184" s="365" t="str">
        <f>IF(COUNT(L184, S184)=2, L184-S184, "")</f>
        <v/>
      </c>
      <c r="Q184" s="361"/>
      <c r="R184" s="307" t="s">
        <v>36</v>
      </c>
      <c r="S184" s="302"/>
      <c r="T184" s="306"/>
      <c r="U184" s="302"/>
      <c r="V184" s="306"/>
      <c r="W184" s="307"/>
      <c r="X184" s="302"/>
      <c r="Y184" s="306"/>
      <c r="Z184" s="307" t="str">
        <f>IF(X184="","",IF(W184="檢退","檢退",IF(W184="審查同意","審定","檢退")))</f>
        <v/>
      </c>
      <c r="AA184" s="302"/>
      <c r="AB184" s="307"/>
      <c r="AC184" s="307"/>
      <c r="AD184" s="360"/>
    </row>
    <row r="185" spans="1:30" s="355" customFormat="1" ht="25.25" customHeight="1">
      <c r="A185" s="470"/>
      <c r="B185" s="470"/>
      <c r="C185" s="470">
        <v>199</v>
      </c>
      <c r="D185" s="480">
        <v>61</v>
      </c>
      <c r="E185" s="504">
        <v>402</v>
      </c>
      <c r="F185" s="505"/>
      <c r="G185" s="474" t="s">
        <v>477</v>
      </c>
      <c r="H185" s="506" t="s">
        <v>174</v>
      </c>
      <c r="I185" s="474" t="s">
        <v>1050</v>
      </c>
      <c r="J185" s="477" t="s">
        <v>556</v>
      </c>
      <c r="K185" s="477"/>
      <c r="L185" s="364">
        <f>IF(M185="","",M185-30)</f>
        <v>46295</v>
      </c>
      <c r="M185" s="364">
        <f>IF(N185="","",N185-30)</f>
        <v>46325</v>
      </c>
      <c r="N185" s="363">
        <v>46355</v>
      </c>
      <c r="O185" s="362" t="str">
        <f ca="1">IF(L185="","",IF(S185&lt;&gt;"","",IF(AND(S185="",L185-TODAY()&lt;=60),L185-TODAY(),"")))</f>
        <v/>
      </c>
      <c r="P185" s="365" t="str">
        <f>IF(COUNT(L185, S185)=2, L185-S185, "")</f>
        <v/>
      </c>
      <c r="Q185" s="361"/>
      <c r="R185" s="307" t="s">
        <v>22</v>
      </c>
      <c r="S185" s="302"/>
      <c r="T185" s="306"/>
      <c r="U185" s="302"/>
      <c r="V185" s="306"/>
      <c r="W185" s="307"/>
      <c r="X185" s="302"/>
      <c r="Y185" s="306"/>
      <c r="Z185" s="306"/>
      <c r="AA185" s="302"/>
      <c r="AB185" s="307"/>
      <c r="AC185" s="307"/>
      <c r="AD185" s="360"/>
    </row>
    <row r="186" spans="1:30" s="355" customFormat="1" ht="25.25" customHeight="1">
      <c r="A186" s="470"/>
      <c r="B186" s="470"/>
      <c r="C186" s="470"/>
      <c r="D186" s="481"/>
      <c r="E186" s="504"/>
      <c r="F186" s="505"/>
      <c r="G186" s="475"/>
      <c r="H186" s="506"/>
      <c r="I186" s="475"/>
      <c r="J186" s="478"/>
      <c r="K186" s="478"/>
      <c r="L186" s="363"/>
      <c r="M186" s="363"/>
      <c r="N186" s="363"/>
      <c r="O186" s="362" t="str">
        <f ca="1">IF(L186="","",IF(S186&lt;&gt;"","",IF(AND(S186="",L186-TODAY()&lt;=60),L186-TODAY(),"")))</f>
        <v/>
      </c>
      <c r="P186" s="365" t="str">
        <f>IF(COUNT(L186, S186)=2, L186-S186, "")</f>
        <v/>
      </c>
      <c r="Q186" s="361"/>
      <c r="R186" s="307" t="s">
        <v>27</v>
      </c>
      <c r="S186" s="302"/>
      <c r="T186" s="302"/>
      <c r="U186" s="302"/>
      <c r="V186" s="306"/>
      <c r="W186" s="307"/>
      <c r="X186" s="302"/>
      <c r="Y186" s="306"/>
      <c r="Z186" s="307" t="str">
        <f>IF(X186="","",IF(W186="檢退","檢退",IF(W186="審查同意","審定","檢退")))</f>
        <v/>
      </c>
      <c r="AA186" s="302"/>
      <c r="AB186" s="307"/>
      <c r="AC186" s="307"/>
      <c r="AD186" s="360"/>
    </row>
    <row r="187" spans="1:30" s="355" customFormat="1" ht="25.25" customHeight="1">
      <c r="A187" s="470"/>
      <c r="B187" s="470"/>
      <c r="C187" s="470"/>
      <c r="D187" s="482"/>
      <c r="E187" s="504"/>
      <c r="F187" s="505"/>
      <c r="G187" s="476"/>
      <c r="H187" s="506"/>
      <c r="I187" s="476"/>
      <c r="J187" s="479"/>
      <c r="K187" s="479"/>
      <c r="L187" s="363"/>
      <c r="M187" s="363"/>
      <c r="N187" s="363"/>
      <c r="O187" s="362" t="str">
        <f ca="1">IF(L187="","",IF(S187&lt;&gt;"","",IF(AND(S187="",L187-TODAY()&lt;=60),L187-TODAY(),"")))</f>
        <v/>
      </c>
      <c r="P187" s="365" t="str">
        <f>IF(COUNT(L187, S187)=2, L187-S187, "")</f>
        <v/>
      </c>
      <c r="Q187" s="361"/>
      <c r="R187" s="307" t="s">
        <v>36</v>
      </c>
      <c r="S187" s="302"/>
      <c r="T187" s="306"/>
      <c r="U187" s="302"/>
      <c r="V187" s="306"/>
      <c r="W187" s="307"/>
      <c r="X187" s="302"/>
      <c r="Y187" s="306"/>
      <c r="Z187" s="307" t="str">
        <f>IF(X187="","",IF(W187="檢退","檢退",IF(W187="審查同意","審定","檢退")))</f>
        <v/>
      </c>
      <c r="AA187" s="302"/>
      <c r="AB187" s="307"/>
      <c r="AC187" s="307"/>
      <c r="AD187" s="360"/>
    </row>
    <row r="188" spans="1:30" s="355" customFormat="1" ht="25.25" customHeight="1">
      <c r="A188" s="470"/>
      <c r="B188" s="470"/>
      <c r="C188" s="470">
        <v>200</v>
      </c>
      <c r="D188" s="480">
        <v>62</v>
      </c>
      <c r="E188" s="504">
        <v>403</v>
      </c>
      <c r="F188" s="505"/>
      <c r="G188" s="474" t="s">
        <v>477</v>
      </c>
      <c r="H188" s="506" t="s">
        <v>175</v>
      </c>
      <c r="I188" s="474" t="s">
        <v>1050</v>
      </c>
      <c r="J188" s="477" t="s">
        <v>555</v>
      </c>
      <c r="K188" s="477"/>
      <c r="L188" s="364">
        <f>IF(M188="","",M188-30)</f>
        <v>46264</v>
      </c>
      <c r="M188" s="364">
        <f>IF(N188="","",N188-30)</f>
        <v>46294</v>
      </c>
      <c r="N188" s="363">
        <v>46324</v>
      </c>
      <c r="O188" s="362" t="str">
        <f ca="1">IF(L188="","",IF(S188&lt;&gt;"","",IF(AND(S188="",L188-TODAY()&lt;=60),L188-TODAY(),"")))</f>
        <v/>
      </c>
      <c r="P188" s="365" t="str">
        <f>IF(COUNT(L188, S188)=2, L188-S188, "")</f>
        <v/>
      </c>
      <c r="Q188" s="361"/>
      <c r="R188" s="307" t="s">
        <v>22</v>
      </c>
      <c r="S188" s="302"/>
      <c r="T188" s="306"/>
      <c r="U188" s="302"/>
      <c r="V188" s="306"/>
      <c r="W188" s="307"/>
      <c r="X188" s="302"/>
      <c r="Y188" s="306"/>
      <c r="Z188" s="306"/>
      <c r="AA188" s="302"/>
      <c r="AB188" s="307"/>
      <c r="AC188" s="307"/>
      <c r="AD188" s="360"/>
    </row>
    <row r="189" spans="1:30" s="355" customFormat="1" ht="25.25" customHeight="1">
      <c r="A189" s="470"/>
      <c r="B189" s="470"/>
      <c r="C189" s="470"/>
      <c r="D189" s="481"/>
      <c r="E189" s="504"/>
      <c r="F189" s="505"/>
      <c r="G189" s="475"/>
      <c r="H189" s="506"/>
      <c r="I189" s="475"/>
      <c r="J189" s="478"/>
      <c r="K189" s="478"/>
      <c r="L189" s="363"/>
      <c r="M189" s="363"/>
      <c r="N189" s="363"/>
      <c r="O189" s="362" t="str">
        <f ca="1">IF(L189="","",IF(S189&lt;&gt;"","",IF(AND(S189="",L189-TODAY()&lt;=60),L189-TODAY(),"")))</f>
        <v/>
      </c>
      <c r="P189" s="365" t="str">
        <f>IF(COUNT(L189, S189)=2, L189-S189, "")</f>
        <v/>
      </c>
      <c r="Q189" s="361"/>
      <c r="R189" s="307" t="s">
        <v>27</v>
      </c>
      <c r="S189" s="302"/>
      <c r="T189" s="302"/>
      <c r="U189" s="302"/>
      <c r="V189" s="306"/>
      <c r="W189" s="307"/>
      <c r="X189" s="302"/>
      <c r="Y189" s="306"/>
      <c r="Z189" s="307" t="str">
        <f>IF(X189="","",IF(W189="檢退","檢退",IF(W189="審查同意","審定","檢退")))</f>
        <v/>
      </c>
      <c r="AA189" s="302"/>
      <c r="AB189" s="307"/>
      <c r="AC189" s="307"/>
      <c r="AD189" s="360"/>
    </row>
    <row r="190" spans="1:30" s="355" customFormat="1" ht="25.25" customHeight="1">
      <c r="A190" s="470"/>
      <c r="B190" s="470"/>
      <c r="C190" s="470"/>
      <c r="D190" s="482"/>
      <c r="E190" s="504"/>
      <c r="F190" s="505"/>
      <c r="G190" s="476"/>
      <c r="H190" s="506"/>
      <c r="I190" s="476"/>
      <c r="J190" s="479"/>
      <c r="K190" s="479"/>
      <c r="L190" s="363"/>
      <c r="M190" s="363"/>
      <c r="N190" s="363"/>
      <c r="O190" s="362" t="str">
        <f ca="1">IF(L190="","",IF(S190&lt;&gt;"","",IF(AND(S190="",L190-TODAY()&lt;=60),L190-TODAY(),"")))</f>
        <v/>
      </c>
      <c r="P190" s="365" t="str">
        <f>IF(COUNT(L190, S190)=2, L190-S190, "")</f>
        <v/>
      </c>
      <c r="Q190" s="361"/>
      <c r="R190" s="307" t="s">
        <v>36</v>
      </c>
      <c r="S190" s="302"/>
      <c r="T190" s="306"/>
      <c r="U190" s="302"/>
      <c r="V190" s="306"/>
      <c r="W190" s="307"/>
      <c r="X190" s="302"/>
      <c r="Y190" s="306"/>
      <c r="Z190" s="307" t="str">
        <f>IF(X190="","",IF(W190="檢退","檢退",IF(W190="審查同意","審定","檢退")))</f>
        <v/>
      </c>
      <c r="AA190" s="302"/>
      <c r="AB190" s="307"/>
      <c r="AC190" s="307"/>
      <c r="AD190" s="360"/>
    </row>
    <row r="191" spans="1:30" s="355" customFormat="1" ht="25.25" customHeight="1">
      <c r="A191" s="470"/>
      <c r="B191" s="470"/>
      <c r="C191" s="470"/>
      <c r="D191" s="480">
        <v>63</v>
      </c>
      <c r="E191" s="483"/>
      <c r="F191" s="471"/>
      <c r="G191" s="471" t="s">
        <v>523</v>
      </c>
      <c r="H191" s="486" t="s">
        <v>524</v>
      </c>
      <c r="I191" s="474"/>
      <c r="J191" s="477" t="s">
        <v>555</v>
      </c>
      <c r="K191" s="477"/>
      <c r="L191" s="364">
        <f>IF(M191="","",M191-30)</f>
        <v>46234</v>
      </c>
      <c r="M191" s="364">
        <f>IF(N191="","",N191-30)</f>
        <v>46264</v>
      </c>
      <c r="N191" s="363">
        <v>46294</v>
      </c>
      <c r="O191" s="362" t="str">
        <f ca="1">IF(L191="","",IF(S191&lt;&gt;"","",IF(AND(S191="",L191-TODAY()&lt;=60),L191-TODAY(),"")))</f>
        <v/>
      </c>
      <c r="P191" s="365" t="str">
        <f>IF(COUNT(L191, S191)=2, L191-S191, "")</f>
        <v/>
      </c>
      <c r="Q191" s="361"/>
      <c r="R191" s="307" t="s">
        <v>22</v>
      </c>
      <c r="S191" s="302"/>
      <c r="T191" s="306"/>
      <c r="U191" s="302"/>
      <c r="V191" s="306"/>
      <c r="W191" s="307"/>
      <c r="X191" s="302"/>
      <c r="Y191" s="306"/>
      <c r="Z191" s="306"/>
      <c r="AA191" s="302"/>
      <c r="AB191" s="307"/>
      <c r="AC191" s="307"/>
      <c r="AD191" s="360"/>
    </row>
    <row r="192" spans="1:30" s="355" customFormat="1" ht="25.25" customHeight="1">
      <c r="A192" s="470"/>
      <c r="B192" s="470"/>
      <c r="C192" s="470"/>
      <c r="D192" s="481"/>
      <c r="E192" s="484"/>
      <c r="F192" s="472"/>
      <c r="G192" s="472"/>
      <c r="H192" s="487"/>
      <c r="I192" s="475"/>
      <c r="J192" s="478"/>
      <c r="K192" s="478"/>
      <c r="L192" s="363"/>
      <c r="M192" s="363"/>
      <c r="N192" s="363"/>
      <c r="O192" s="362" t="str">
        <f ca="1">IF(L192="","",IF(S192&lt;&gt;"","",IF(AND(S192="",L192-TODAY()&lt;=60),L192-TODAY(),"")))</f>
        <v/>
      </c>
      <c r="P192" s="365" t="str">
        <f>IF(COUNT(L192, S192)=2, L192-S192, "")</f>
        <v/>
      </c>
      <c r="Q192" s="361"/>
      <c r="R192" s="307" t="s">
        <v>27</v>
      </c>
      <c r="S192" s="302"/>
      <c r="T192" s="302"/>
      <c r="U192" s="302"/>
      <c r="V192" s="306"/>
      <c r="W192" s="307"/>
      <c r="X192" s="302"/>
      <c r="Y192" s="306"/>
      <c r="Z192" s="307" t="str">
        <f>IF(X192="","",IF(W192="檢退","檢退",IF(W192="審查同意","審定","檢退")))</f>
        <v/>
      </c>
      <c r="AA192" s="302"/>
      <c r="AB192" s="307"/>
      <c r="AC192" s="307"/>
      <c r="AD192" s="360"/>
    </row>
    <row r="193" spans="1:30" s="355" customFormat="1" ht="25.25" customHeight="1">
      <c r="A193" s="470"/>
      <c r="B193" s="470"/>
      <c r="C193" s="470"/>
      <c r="D193" s="482"/>
      <c r="E193" s="485"/>
      <c r="F193" s="473"/>
      <c r="G193" s="473"/>
      <c r="H193" s="488"/>
      <c r="I193" s="476"/>
      <c r="J193" s="479"/>
      <c r="K193" s="479"/>
      <c r="L193" s="363"/>
      <c r="M193" s="363"/>
      <c r="N193" s="363"/>
      <c r="O193" s="362" t="str">
        <f ca="1">IF(L193="","",IF(S193&lt;&gt;"","",IF(AND(S193="",L193-TODAY()&lt;=60),L193-TODAY(),"")))</f>
        <v/>
      </c>
      <c r="P193" s="365" t="str">
        <f>IF(COUNT(L193, S193)=2, L193-S193, "")</f>
        <v/>
      </c>
      <c r="Q193" s="361"/>
      <c r="R193" s="307" t="s">
        <v>36</v>
      </c>
      <c r="S193" s="302"/>
      <c r="T193" s="306"/>
      <c r="U193" s="302"/>
      <c r="V193" s="306"/>
      <c r="W193" s="307"/>
      <c r="X193" s="302"/>
      <c r="Y193" s="306"/>
      <c r="Z193" s="307" t="str">
        <f>IF(X193="","",IF(W193="檢退","檢退",IF(W193="審查同意","審定","檢退")))</f>
        <v/>
      </c>
      <c r="AA193" s="302"/>
      <c r="AB193" s="307"/>
      <c r="AC193" s="307"/>
      <c r="AD193" s="360"/>
    </row>
    <row r="194" spans="1:30" s="355" customFormat="1" ht="25.25" customHeight="1">
      <c r="A194" s="470"/>
      <c r="B194" s="470"/>
      <c r="C194" s="470">
        <v>29</v>
      </c>
      <c r="D194" s="480">
        <v>64</v>
      </c>
      <c r="E194" s="483"/>
      <c r="F194" s="471"/>
      <c r="G194" s="471" t="s">
        <v>1430</v>
      </c>
      <c r="H194" s="486" t="s">
        <v>1713</v>
      </c>
      <c r="I194" s="474" t="s">
        <v>1059</v>
      </c>
      <c r="J194" s="477" t="s">
        <v>555</v>
      </c>
      <c r="K194" s="477"/>
      <c r="L194" s="364">
        <f>IF(M194="","",M194-30)</f>
        <v>46295</v>
      </c>
      <c r="M194" s="364">
        <f>IF(N194="","",N194-30)</f>
        <v>46325</v>
      </c>
      <c r="N194" s="363">
        <v>46355</v>
      </c>
      <c r="O194" s="362" t="str">
        <f ca="1">IF(L194="","",IF(S194&lt;&gt;"","",IF(AND(S194="",L194-TODAY()&lt;=60),L194-TODAY(),"")))</f>
        <v/>
      </c>
      <c r="P194" s="365"/>
      <c r="Q194" s="361"/>
      <c r="R194" s="307" t="s">
        <v>22</v>
      </c>
      <c r="S194" s="302"/>
      <c r="T194" s="306"/>
      <c r="U194" s="302"/>
      <c r="V194" s="306"/>
      <c r="W194" s="307"/>
      <c r="X194" s="302"/>
      <c r="Y194" s="306"/>
      <c r="Z194" s="307"/>
      <c r="AA194" s="302"/>
      <c r="AB194" s="307"/>
      <c r="AC194" s="307"/>
      <c r="AD194" s="360"/>
    </row>
    <row r="195" spans="1:30" s="355" customFormat="1" ht="25.25" customHeight="1">
      <c r="A195" s="470"/>
      <c r="B195" s="470"/>
      <c r="C195" s="470"/>
      <c r="D195" s="481"/>
      <c r="E195" s="484"/>
      <c r="F195" s="472"/>
      <c r="G195" s="472"/>
      <c r="H195" s="487"/>
      <c r="I195" s="475"/>
      <c r="J195" s="478"/>
      <c r="K195" s="478"/>
      <c r="L195" s="363"/>
      <c r="M195" s="363"/>
      <c r="N195" s="363"/>
      <c r="O195" s="362"/>
      <c r="P195" s="365"/>
      <c r="Q195" s="361"/>
      <c r="R195" s="307" t="s">
        <v>27</v>
      </c>
      <c r="S195" s="302"/>
      <c r="T195" s="306"/>
      <c r="U195" s="302"/>
      <c r="V195" s="306"/>
      <c r="W195" s="307"/>
      <c r="X195" s="302"/>
      <c r="Y195" s="306"/>
      <c r="Z195" s="307"/>
      <c r="AA195" s="302"/>
      <c r="AB195" s="307"/>
      <c r="AC195" s="307"/>
      <c r="AD195" s="360"/>
    </row>
    <row r="196" spans="1:30" s="355" customFormat="1" ht="25.25" customHeight="1">
      <c r="A196" s="470"/>
      <c r="B196" s="470"/>
      <c r="C196" s="470"/>
      <c r="D196" s="482"/>
      <c r="E196" s="485"/>
      <c r="F196" s="473"/>
      <c r="G196" s="473"/>
      <c r="H196" s="488"/>
      <c r="I196" s="476"/>
      <c r="J196" s="479"/>
      <c r="K196" s="479"/>
      <c r="L196" s="363"/>
      <c r="M196" s="363"/>
      <c r="N196" s="363"/>
      <c r="O196" s="362"/>
      <c r="P196" s="365"/>
      <c r="Q196" s="361"/>
      <c r="R196" s="307" t="s">
        <v>36</v>
      </c>
      <c r="S196" s="302"/>
      <c r="T196" s="306"/>
      <c r="U196" s="302"/>
      <c r="V196" s="306"/>
      <c r="W196" s="307"/>
      <c r="X196" s="302"/>
      <c r="Y196" s="306"/>
      <c r="Z196" s="307"/>
      <c r="AA196" s="302"/>
      <c r="AB196" s="307"/>
      <c r="AC196" s="307"/>
      <c r="AD196" s="360"/>
    </row>
    <row r="197" spans="1:30" s="355" customFormat="1" ht="25.25" customHeight="1">
      <c r="A197" s="470"/>
      <c r="B197" s="470"/>
      <c r="C197" s="470"/>
      <c r="D197" s="480">
        <v>65</v>
      </c>
      <c r="E197" s="483"/>
      <c r="F197" s="471"/>
      <c r="G197" s="471" t="s">
        <v>1429</v>
      </c>
      <c r="H197" s="486" t="s">
        <v>1428</v>
      </c>
      <c r="I197" s="474" t="s">
        <v>1059</v>
      </c>
      <c r="J197" s="477" t="s">
        <v>554</v>
      </c>
      <c r="K197" s="477"/>
      <c r="L197" s="364">
        <f>IF(M197="","",M197-30)</f>
        <v>46325</v>
      </c>
      <c r="M197" s="364">
        <f>IF(N197="","",N197-30)</f>
        <v>46355</v>
      </c>
      <c r="N197" s="363">
        <v>46385</v>
      </c>
      <c r="O197" s="362" t="str">
        <f ca="1">IF(L197="","",IF(S197&lt;&gt;"","",IF(AND(S197="",L197-TODAY()&lt;=60),L197-TODAY(),"")))</f>
        <v/>
      </c>
      <c r="P197" s="365"/>
      <c r="Q197" s="361"/>
      <c r="R197" s="307" t="s">
        <v>22</v>
      </c>
      <c r="S197" s="302"/>
      <c r="T197" s="306"/>
      <c r="U197" s="302"/>
      <c r="V197" s="306"/>
      <c r="W197" s="307"/>
      <c r="X197" s="302"/>
      <c r="Y197" s="306"/>
      <c r="Z197" s="307"/>
      <c r="AA197" s="302"/>
      <c r="AB197" s="307"/>
      <c r="AC197" s="307"/>
      <c r="AD197" s="360"/>
    </row>
    <row r="198" spans="1:30" s="355" customFormat="1" ht="25.25" customHeight="1">
      <c r="A198" s="470"/>
      <c r="B198" s="470"/>
      <c r="C198" s="470"/>
      <c r="D198" s="481"/>
      <c r="E198" s="484"/>
      <c r="F198" s="472"/>
      <c r="G198" s="472"/>
      <c r="H198" s="487"/>
      <c r="I198" s="475"/>
      <c r="J198" s="478"/>
      <c r="K198" s="478"/>
      <c r="L198" s="363"/>
      <c r="M198" s="363"/>
      <c r="N198" s="363"/>
      <c r="O198" s="362"/>
      <c r="P198" s="365"/>
      <c r="Q198" s="361"/>
      <c r="R198" s="307" t="s">
        <v>27</v>
      </c>
      <c r="S198" s="302"/>
      <c r="T198" s="306"/>
      <c r="U198" s="302"/>
      <c r="V198" s="306"/>
      <c r="W198" s="307"/>
      <c r="X198" s="302"/>
      <c r="Y198" s="306"/>
      <c r="Z198" s="307"/>
      <c r="AA198" s="302"/>
      <c r="AB198" s="307"/>
      <c r="AC198" s="307"/>
      <c r="AD198" s="360"/>
    </row>
    <row r="199" spans="1:30" s="355" customFormat="1" ht="25.25" customHeight="1">
      <c r="A199" s="470"/>
      <c r="B199" s="470"/>
      <c r="C199" s="470"/>
      <c r="D199" s="482"/>
      <c r="E199" s="485"/>
      <c r="F199" s="473"/>
      <c r="G199" s="473"/>
      <c r="H199" s="488"/>
      <c r="I199" s="476"/>
      <c r="J199" s="479"/>
      <c r="K199" s="479"/>
      <c r="L199" s="363"/>
      <c r="M199" s="363"/>
      <c r="N199" s="363"/>
      <c r="O199" s="362"/>
      <c r="P199" s="365"/>
      <c r="Q199" s="361"/>
      <c r="R199" s="307" t="s">
        <v>36</v>
      </c>
      <c r="S199" s="302"/>
      <c r="T199" s="306"/>
      <c r="U199" s="302"/>
      <c r="V199" s="306"/>
      <c r="W199" s="307"/>
      <c r="X199" s="302"/>
      <c r="Y199" s="306"/>
      <c r="Z199" s="307"/>
      <c r="AA199" s="302"/>
      <c r="AB199" s="307"/>
      <c r="AC199" s="307"/>
      <c r="AD199" s="360"/>
    </row>
    <row r="200" spans="1:30" s="355" customFormat="1" ht="25.25" customHeight="1">
      <c r="A200" s="470"/>
      <c r="B200" s="470"/>
      <c r="C200" s="470"/>
      <c r="D200" s="480">
        <v>66</v>
      </c>
      <c r="E200" s="483"/>
      <c r="F200" s="471"/>
      <c r="G200" s="471" t="s">
        <v>1427</v>
      </c>
      <c r="H200" s="486" t="s">
        <v>1426</v>
      </c>
      <c r="I200" s="474"/>
      <c r="J200" s="477" t="s">
        <v>556</v>
      </c>
      <c r="K200" s="477"/>
      <c r="L200" s="364">
        <f>IF(M200="","",M200-30)</f>
        <v>46295</v>
      </c>
      <c r="M200" s="364">
        <f>IF(N200="","",N200-30)</f>
        <v>46325</v>
      </c>
      <c r="N200" s="363">
        <v>46355</v>
      </c>
      <c r="O200" s="362" t="str">
        <f ca="1">IF(L200="","",IF(S200&lt;&gt;"","",IF(AND(S200="",L200-TODAY()&lt;=60),L200-TODAY(),"")))</f>
        <v/>
      </c>
      <c r="P200" s="365"/>
      <c r="Q200" s="361"/>
      <c r="R200" s="307" t="s">
        <v>22</v>
      </c>
      <c r="S200" s="302"/>
      <c r="T200" s="306"/>
      <c r="U200" s="302"/>
      <c r="V200" s="306"/>
      <c r="W200" s="307"/>
      <c r="X200" s="302"/>
      <c r="Y200" s="306"/>
      <c r="Z200" s="307"/>
      <c r="AA200" s="302"/>
      <c r="AB200" s="307"/>
      <c r="AC200" s="307"/>
      <c r="AD200" s="360"/>
    </row>
    <row r="201" spans="1:30" s="355" customFormat="1" ht="25.25" customHeight="1">
      <c r="A201" s="470"/>
      <c r="B201" s="470"/>
      <c r="C201" s="470"/>
      <c r="D201" s="481"/>
      <c r="E201" s="484"/>
      <c r="F201" s="472"/>
      <c r="G201" s="472"/>
      <c r="H201" s="487"/>
      <c r="I201" s="475"/>
      <c r="J201" s="478"/>
      <c r="K201" s="478"/>
      <c r="L201" s="363"/>
      <c r="M201" s="363"/>
      <c r="N201" s="363"/>
      <c r="O201" s="362"/>
      <c r="P201" s="365"/>
      <c r="Q201" s="361"/>
      <c r="R201" s="307" t="s">
        <v>27</v>
      </c>
      <c r="S201" s="302"/>
      <c r="T201" s="306"/>
      <c r="U201" s="302"/>
      <c r="V201" s="306"/>
      <c r="W201" s="307"/>
      <c r="X201" s="302"/>
      <c r="Y201" s="306"/>
      <c r="Z201" s="307"/>
      <c r="AA201" s="302"/>
      <c r="AB201" s="307"/>
      <c r="AC201" s="307"/>
      <c r="AD201" s="360"/>
    </row>
    <row r="202" spans="1:30" s="355" customFormat="1" ht="25.25" customHeight="1">
      <c r="A202" s="470"/>
      <c r="B202" s="470"/>
      <c r="C202" s="470"/>
      <c r="D202" s="482"/>
      <c r="E202" s="485"/>
      <c r="F202" s="473"/>
      <c r="G202" s="473"/>
      <c r="H202" s="488"/>
      <c r="I202" s="476"/>
      <c r="J202" s="479"/>
      <c r="K202" s="479"/>
      <c r="L202" s="363"/>
      <c r="M202" s="363"/>
      <c r="N202" s="363"/>
      <c r="O202" s="362"/>
      <c r="P202" s="365"/>
      <c r="Q202" s="361"/>
      <c r="R202" s="307" t="s">
        <v>36</v>
      </c>
      <c r="S202" s="302"/>
      <c r="T202" s="306"/>
      <c r="U202" s="302"/>
      <c r="V202" s="306"/>
      <c r="W202" s="307"/>
      <c r="X202" s="302"/>
      <c r="Y202" s="306"/>
      <c r="Z202" s="307"/>
      <c r="AA202" s="302"/>
      <c r="AB202" s="307"/>
      <c r="AC202" s="307"/>
      <c r="AD202" s="360"/>
    </row>
    <row r="203" spans="1:30" s="355" customFormat="1" ht="25.25" customHeight="1">
      <c r="A203" s="470"/>
      <c r="B203" s="470"/>
      <c r="C203" s="470"/>
      <c r="D203" s="480">
        <v>67</v>
      </c>
      <c r="E203" s="483"/>
      <c r="F203" s="471"/>
      <c r="G203" s="471" t="s">
        <v>1425</v>
      </c>
      <c r="H203" s="486" t="s">
        <v>1424</v>
      </c>
      <c r="I203" s="474"/>
      <c r="J203" s="477" t="s">
        <v>554</v>
      </c>
      <c r="K203" s="477"/>
      <c r="L203" s="364">
        <f>IF(M203="","",M203-30)</f>
        <v>46325</v>
      </c>
      <c r="M203" s="364">
        <f>IF(N203="","",N203-30)</f>
        <v>46355</v>
      </c>
      <c r="N203" s="363">
        <v>46385</v>
      </c>
      <c r="O203" s="362" t="str">
        <f ca="1">IF(L203="","",IF(S203&lt;&gt;"","",IF(AND(S203="",L203-TODAY()&lt;=60),L203-TODAY(),"")))</f>
        <v/>
      </c>
      <c r="P203" s="365"/>
      <c r="Q203" s="361"/>
      <c r="R203" s="307" t="s">
        <v>22</v>
      </c>
      <c r="S203" s="302"/>
      <c r="T203" s="306"/>
      <c r="U203" s="302"/>
      <c r="V203" s="306"/>
      <c r="W203" s="307"/>
      <c r="X203" s="302"/>
      <c r="Y203" s="306"/>
      <c r="Z203" s="307"/>
      <c r="AA203" s="302"/>
      <c r="AB203" s="307"/>
      <c r="AC203" s="307"/>
      <c r="AD203" s="360"/>
    </row>
    <row r="204" spans="1:30" s="355" customFormat="1" ht="25.25" customHeight="1">
      <c r="A204" s="470"/>
      <c r="B204" s="470"/>
      <c r="C204" s="470"/>
      <c r="D204" s="481"/>
      <c r="E204" s="484"/>
      <c r="F204" s="472"/>
      <c r="G204" s="472"/>
      <c r="H204" s="487"/>
      <c r="I204" s="475"/>
      <c r="J204" s="478"/>
      <c r="K204" s="478"/>
      <c r="L204" s="363"/>
      <c r="M204" s="363"/>
      <c r="N204" s="363"/>
      <c r="O204" s="362"/>
      <c r="P204" s="365"/>
      <c r="Q204" s="361"/>
      <c r="R204" s="307" t="s">
        <v>27</v>
      </c>
      <c r="S204" s="302"/>
      <c r="T204" s="306"/>
      <c r="U204" s="302"/>
      <c r="V204" s="306"/>
      <c r="W204" s="307"/>
      <c r="X204" s="302"/>
      <c r="Y204" s="306"/>
      <c r="Z204" s="307"/>
      <c r="AA204" s="302"/>
      <c r="AB204" s="307"/>
      <c r="AC204" s="307"/>
      <c r="AD204" s="360"/>
    </row>
    <row r="205" spans="1:30" s="355" customFormat="1" ht="25.25" customHeight="1">
      <c r="A205" s="470"/>
      <c r="B205" s="470"/>
      <c r="C205" s="470"/>
      <c r="D205" s="482"/>
      <c r="E205" s="485"/>
      <c r="F205" s="473"/>
      <c r="G205" s="473"/>
      <c r="H205" s="488"/>
      <c r="I205" s="476"/>
      <c r="J205" s="479"/>
      <c r="K205" s="479"/>
      <c r="L205" s="363"/>
      <c r="M205" s="363"/>
      <c r="N205" s="363"/>
      <c r="O205" s="362"/>
      <c r="P205" s="365"/>
      <c r="Q205" s="361"/>
      <c r="R205" s="307" t="s">
        <v>36</v>
      </c>
      <c r="S205" s="302"/>
      <c r="T205" s="306"/>
      <c r="U205" s="302"/>
      <c r="V205" s="306"/>
      <c r="W205" s="307"/>
      <c r="X205" s="302"/>
      <c r="Y205" s="306"/>
      <c r="Z205" s="307"/>
      <c r="AA205" s="302"/>
      <c r="AB205" s="307"/>
      <c r="AC205" s="307"/>
      <c r="AD205" s="360"/>
    </row>
    <row r="206" spans="1:30" s="355" customFormat="1" ht="25.25" customHeight="1">
      <c r="A206" s="470"/>
      <c r="B206" s="470"/>
      <c r="C206" s="470"/>
      <c r="D206" s="480">
        <v>68</v>
      </c>
      <c r="E206" s="483"/>
      <c r="F206" s="471"/>
      <c r="G206" s="471" t="s">
        <v>1423</v>
      </c>
      <c r="H206" s="486" t="s">
        <v>1422</v>
      </c>
      <c r="I206" s="474"/>
      <c r="J206" s="477" t="s">
        <v>556</v>
      </c>
      <c r="K206" s="477"/>
      <c r="L206" s="364">
        <f>IF(M206="","",M206-30)</f>
        <v>46295</v>
      </c>
      <c r="M206" s="364">
        <f>IF(N206="","",N206-30)</f>
        <v>46325</v>
      </c>
      <c r="N206" s="363">
        <v>46355</v>
      </c>
      <c r="O206" s="362" t="str">
        <f ca="1">IF(L206="","",IF(S206&lt;&gt;"","",IF(AND(S206="",L206-TODAY()&lt;=60),L206-TODAY(),"")))</f>
        <v/>
      </c>
      <c r="P206" s="365"/>
      <c r="Q206" s="361"/>
      <c r="R206" s="307" t="s">
        <v>22</v>
      </c>
      <c r="S206" s="302"/>
      <c r="T206" s="306"/>
      <c r="U206" s="302"/>
      <c r="V206" s="306"/>
      <c r="W206" s="307"/>
      <c r="X206" s="302"/>
      <c r="Y206" s="306"/>
      <c r="Z206" s="307"/>
      <c r="AA206" s="302"/>
      <c r="AB206" s="307"/>
      <c r="AC206" s="307"/>
      <c r="AD206" s="360"/>
    </row>
    <row r="207" spans="1:30" s="355" customFormat="1" ht="25.25" customHeight="1">
      <c r="A207" s="470"/>
      <c r="B207" s="470"/>
      <c r="C207" s="470"/>
      <c r="D207" s="481"/>
      <c r="E207" s="484"/>
      <c r="F207" s="472"/>
      <c r="G207" s="472"/>
      <c r="H207" s="487"/>
      <c r="I207" s="475"/>
      <c r="J207" s="478"/>
      <c r="K207" s="478"/>
      <c r="L207" s="363"/>
      <c r="M207" s="363"/>
      <c r="N207" s="363"/>
      <c r="O207" s="362"/>
      <c r="P207" s="365"/>
      <c r="Q207" s="361"/>
      <c r="R207" s="307" t="s">
        <v>27</v>
      </c>
      <c r="S207" s="302"/>
      <c r="T207" s="306"/>
      <c r="U207" s="302"/>
      <c r="V207" s="306"/>
      <c r="W207" s="307"/>
      <c r="X207" s="302"/>
      <c r="Y207" s="306"/>
      <c r="Z207" s="307"/>
      <c r="AA207" s="302"/>
      <c r="AB207" s="307"/>
      <c r="AC207" s="307"/>
      <c r="AD207" s="360"/>
    </row>
    <row r="208" spans="1:30" s="355" customFormat="1" ht="25.25" customHeight="1">
      <c r="A208" s="470"/>
      <c r="B208" s="470"/>
      <c r="C208" s="470"/>
      <c r="D208" s="482"/>
      <c r="E208" s="485"/>
      <c r="F208" s="473"/>
      <c r="G208" s="473"/>
      <c r="H208" s="488"/>
      <c r="I208" s="476"/>
      <c r="J208" s="479"/>
      <c r="K208" s="479"/>
      <c r="L208" s="363"/>
      <c r="M208" s="363"/>
      <c r="N208" s="363"/>
      <c r="O208" s="362"/>
      <c r="P208" s="365"/>
      <c r="Q208" s="361"/>
      <c r="R208" s="307" t="s">
        <v>36</v>
      </c>
      <c r="S208" s="302"/>
      <c r="T208" s="306"/>
      <c r="U208" s="302"/>
      <c r="V208" s="306"/>
      <c r="W208" s="307"/>
      <c r="X208" s="302"/>
      <c r="Y208" s="306"/>
      <c r="Z208" s="307"/>
      <c r="AA208" s="302"/>
      <c r="AB208" s="307"/>
      <c r="AC208" s="307"/>
      <c r="AD208" s="360"/>
    </row>
    <row r="209" spans="1:30" s="355" customFormat="1" ht="25.25" customHeight="1">
      <c r="A209" s="470"/>
      <c r="B209" s="470"/>
      <c r="C209" s="470">
        <v>81</v>
      </c>
      <c r="D209" s="480">
        <v>69</v>
      </c>
      <c r="E209" s="483"/>
      <c r="F209" s="471"/>
      <c r="G209" s="471" t="s">
        <v>1421</v>
      </c>
      <c r="H209" s="486" t="s">
        <v>1420</v>
      </c>
      <c r="I209" s="474" t="s">
        <v>1419</v>
      </c>
      <c r="J209" s="477" t="s">
        <v>555</v>
      </c>
      <c r="K209" s="477"/>
      <c r="L209" s="364">
        <f>IF(M209="","",M209-30)</f>
        <v>46264</v>
      </c>
      <c r="M209" s="364">
        <f>IF(N209="","",N209-30)</f>
        <v>46294</v>
      </c>
      <c r="N209" s="363">
        <v>46324</v>
      </c>
      <c r="O209" s="362" t="str">
        <f ca="1">IF(L209="","",IF(S209&lt;&gt;"","",IF(AND(S209="",L209-TODAY()&lt;=60),L209-TODAY(),"")))</f>
        <v/>
      </c>
      <c r="P209" s="362"/>
      <c r="Q209" s="361"/>
      <c r="R209" s="307" t="s">
        <v>22</v>
      </c>
      <c r="S209" s="302"/>
      <c r="T209" s="306"/>
      <c r="U209" s="302"/>
      <c r="V209" s="306"/>
      <c r="W209" s="307"/>
      <c r="X209" s="302"/>
      <c r="Y209" s="306"/>
      <c r="Z209" s="307"/>
      <c r="AA209" s="302"/>
      <c r="AB209" s="307"/>
      <c r="AC209" s="307"/>
      <c r="AD209" s="360"/>
    </row>
    <row r="210" spans="1:30" s="355" customFormat="1" ht="25.25" customHeight="1">
      <c r="A210" s="470"/>
      <c r="B210" s="470"/>
      <c r="C210" s="470"/>
      <c r="D210" s="481"/>
      <c r="E210" s="484"/>
      <c r="F210" s="472"/>
      <c r="G210" s="472"/>
      <c r="H210" s="487"/>
      <c r="I210" s="475"/>
      <c r="J210" s="478"/>
      <c r="K210" s="478"/>
      <c r="L210" s="363"/>
      <c r="M210" s="363"/>
      <c r="N210" s="363"/>
      <c r="O210" s="362"/>
      <c r="P210" s="362"/>
      <c r="Q210" s="361"/>
      <c r="R210" s="307" t="s">
        <v>27</v>
      </c>
      <c r="S210" s="302"/>
      <c r="T210" s="306"/>
      <c r="U210" s="302"/>
      <c r="V210" s="306"/>
      <c r="W210" s="307"/>
      <c r="X210" s="302"/>
      <c r="Y210" s="306"/>
      <c r="Z210" s="307"/>
      <c r="AA210" s="302"/>
      <c r="AB210" s="307"/>
      <c r="AC210" s="307"/>
      <c r="AD210" s="360"/>
    </row>
    <row r="211" spans="1:30" s="355" customFormat="1" ht="25.25" customHeight="1">
      <c r="A211" s="470"/>
      <c r="B211" s="470"/>
      <c r="C211" s="470"/>
      <c r="D211" s="482"/>
      <c r="E211" s="485"/>
      <c r="F211" s="473"/>
      <c r="G211" s="473"/>
      <c r="H211" s="488"/>
      <c r="I211" s="476"/>
      <c r="J211" s="479"/>
      <c r="K211" s="479"/>
      <c r="L211" s="363"/>
      <c r="M211" s="363"/>
      <c r="N211" s="363"/>
      <c r="O211" s="362"/>
      <c r="P211" s="362"/>
      <c r="Q211" s="361"/>
      <c r="R211" s="307" t="s">
        <v>36</v>
      </c>
      <c r="S211" s="302"/>
      <c r="T211" s="306"/>
      <c r="U211" s="302"/>
      <c r="V211" s="306"/>
      <c r="W211" s="307"/>
      <c r="X211" s="302"/>
      <c r="Y211" s="306"/>
      <c r="Z211" s="307"/>
      <c r="AA211" s="302"/>
      <c r="AB211" s="307"/>
      <c r="AC211" s="307"/>
      <c r="AD211" s="360"/>
    </row>
    <row r="212" spans="1:30" s="355" customFormat="1" ht="25.25" customHeight="1">
      <c r="A212" s="470"/>
      <c r="B212" s="470"/>
      <c r="C212" s="470">
        <v>269</v>
      </c>
      <c r="D212" s="480">
        <v>70</v>
      </c>
      <c r="E212" s="483"/>
      <c r="F212" s="471"/>
      <c r="G212" s="471" t="s">
        <v>1662</v>
      </c>
      <c r="H212" s="486" t="s">
        <v>1661</v>
      </c>
      <c r="I212" s="474" t="s">
        <v>1660</v>
      </c>
      <c r="J212" s="477" t="s">
        <v>555</v>
      </c>
      <c r="K212" s="477"/>
      <c r="L212" s="364">
        <f>IF(M212="","",M212-30)</f>
        <v>46203</v>
      </c>
      <c r="M212" s="364">
        <f>IF(N212="","",N212-30)</f>
        <v>46233</v>
      </c>
      <c r="N212" s="363">
        <v>46263</v>
      </c>
      <c r="O212" s="362">
        <f ca="1">IF(L212="","",IF(S212&lt;&gt;"","",IF(AND(S212="",L212-TODAY()&lt;=60),L212-TODAY(),"")))</f>
        <v>34</v>
      </c>
      <c r="P212" s="362"/>
      <c r="Q212" s="361"/>
      <c r="R212" s="307" t="s">
        <v>22</v>
      </c>
      <c r="S212" s="302"/>
      <c r="T212" s="306"/>
      <c r="U212" s="302"/>
      <c r="V212" s="306"/>
      <c r="W212" s="307"/>
      <c r="X212" s="302"/>
      <c r="Y212" s="306"/>
      <c r="Z212" s="307"/>
      <c r="AA212" s="302"/>
      <c r="AB212" s="307"/>
      <c r="AC212" s="307"/>
      <c r="AD212" s="360"/>
    </row>
    <row r="213" spans="1:30" s="355" customFormat="1" ht="25.25" customHeight="1">
      <c r="A213" s="470"/>
      <c r="B213" s="470"/>
      <c r="C213" s="470"/>
      <c r="D213" s="481"/>
      <c r="E213" s="484"/>
      <c r="F213" s="472"/>
      <c r="G213" s="472"/>
      <c r="H213" s="487"/>
      <c r="I213" s="475"/>
      <c r="J213" s="478"/>
      <c r="K213" s="478"/>
      <c r="L213" s="363"/>
      <c r="M213" s="363"/>
      <c r="N213" s="363"/>
      <c r="O213" s="362"/>
      <c r="P213" s="362"/>
      <c r="Q213" s="361"/>
      <c r="R213" s="307" t="s">
        <v>27</v>
      </c>
      <c r="S213" s="302"/>
      <c r="T213" s="306"/>
      <c r="U213" s="302"/>
      <c r="V213" s="306"/>
      <c r="W213" s="307"/>
      <c r="X213" s="302"/>
      <c r="Y213" s="306"/>
      <c r="Z213" s="307"/>
      <c r="AA213" s="302"/>
      <c r="AB213" s="307"/>
      <c r="AC213" s="307"/>
      <c r="AD213" s="360"/>
    </row>
    <row r="214" spans="1:30" s="355" customFormat="1" ht="25.25" customHeight="1">
      <c r="A214" s="470"/>
      <c r="B214" s="470"/>
      <c r="C214" s="470"/>
      <c r="D214" s="482"/>
      <c r="E214" s="485"/>
      <c r="F214" s="473"/>
      <c r="G214" s="473"/>
      <c r="H214" s="488"/>
      <c r="I214" s="476"/>
      <c r="J214" s="479"/>
      <c r="K214" s="479"/>
      <c r="L214" s="363"/>
      <c r="M214" s="363"/>
      <c r="N214" s="363"/>
      <c r="O214" s="362"/>
      <c r="P214" s="362"/>
      <c r="Q214" s="361"/>
      <c r="R214" s="307" t="s">
        <v>36</v>
      </c>
      <c r="S214" s="302"/>
      <c r="T214" s="306"/>
      <c r="U214" s="302"/>
      <c r="V214" s="306"/>
      <c r="W214" s="307"/>
      <c r="X214" s="302"/>
      <c r="Y214" s="306"/>
      <c r="Z214" s="307"/>
      <c r="AA214" s="302"/>
      <c r="AB214" s="307"/>
      <c r="AC214" s="307"/>
      <c r="AD214" s="360"/>
    </row>
    <row r="215" spans="1:30" s="355" customFormat="1" ht="25.25" customHeight="1">
      <c r="A215" s="465"/>
      <c r="B215" s="465"/>
      <c r="C215" s="465"/>
      <c r="D215" s="480">
        <v>71</v>
      </c>
      <c r="E215" s="483"/>
      <c r="F215" s="471"/>
      <c r="G215" s="471" t="s">
        <v>1418</v>
      </c>
      <c r="H215" s="486" t="s">
        <v>1417</v>
      </c>
      <c r="I215" s="474" t="s">
        <v>1416</v>
      </c>
      <c r="J215" s="477" t="s">
        <v>555</v>
      </c>
      <c r="K215" s="477"/>
      <c r="L215" s="364">
        <f>IF(M215="","",M215-30)</f>
        <v>46264</v>
      </c>
      <c r="M215" s="364">
        <f>IF(N215="","",N215-30)</f>
        <v>46294</v>
      </c>
      <c r="N215" s="363">
        <v>46324</v>
      </c>
      <c r="O215" s="362" t="str">
        <f ca="1">IF(L215="","",IF(S215&lt;&gt;"","",IF(AND(S215="",L215-TODAY()&lt;=60),L215-TODAY(),"")))</f>
        <v/>
      </c>
      <c r="P215" s="362"/>
      <c r="Q215" s="361"/>
      <c r="R215" s="307"/>
      <c r="S215" s="302"/>
      <c r="T215" s="306"/>
      <c r="U215" s="302"/>
      <c r="V215" s="306"/>
      <c r="W215" s="307"/>
      <c r="X215" s="302"/>
      <c r="Y215" s="306"/>
      <c r="Z215" s="307"/>
      <c r="AA215" s="302"/>
      <c r="AB215" s="307"/>
      <c r="AC215" s="307"/>
      <c r="AD215" s="360"/>
    </row>
    <row r="216" spans="1:30" s="355" customFormat="1" ht="25.25" customHeight="1">
      <c r="A216" s="466"/>
      <c r="B216" s="466"/>
      <c r="C216" s="466"/>
      <c r="D216" s="481"/>
      <c r="E216" s="484"/>
      <c r="F216" s="472"/>
      <c r="G216" s="472"/>
      <c r="H216" s="487"/>
      <c r="I216" s="475"/>
      <c r="J216" s="478"/>
      <c r="K216" s="478"/>
      <c r="L216" s="363"/>
      <c r="M216" s="363"/>
      <c r="N216" s="363"/>
      <c r="O216" s="362"/>
      <c r="P216" s="362"/>
      <c r="Q216" s="361"/>
      <c r="R216" s="307"/>
      <c r="S216" s="302"/>
      <c r="T216" s="306"/>
      <c r="U216" s="302"/>
      <c r="V216" s="306"/>
      <c r="W216" s="307"/>
      <c r="X216" s="302"/>
      <c r="Y216" s="306"/>
      <c r="Z216" s="307"/>
      <c r="AA216" s="302"/>
      <c r="AB216" s="307"/>
      <c r="AC216" s="307"/>
      <c r="AD216" s="360"/>
    </row>
    <row r="217" spans="1:30" s="355" customFormat="1" ht="25.25" customHeight="1">
      <c r="A217" s="467"/>
      <c r="B217" s="467"/>
      <c r="C217" s="467"/>
      <c r="D217" s="482"/>
      <c r="E217" s="485"/>
      <c r="F217" s="473"/>
      <c r="G217" s="473"/>
      <c r="H217" s="488"/>
      <c r="I217" s="476"/>
      <c r="J217" s="479"/>
      <c r="K217" s="479"/>
      <c r="L217" s="363"/>
      <c r="M217" s="363"/>
      <c r="N217" s="363"/>
      <c r="O217" s="362"/>
      <c r="P217" s="362"/>
      <c r="Q217" s="361"/>
      <c r="R217" s="307"/>
      <c r="S217" s="302"/>
      <c r="T217" s="306"/>
      <c r="U217" s="302"/>
      <c r="V217" s="306"/>
      <c r="W217" s="307"/>
      <c r="X217" s="302"/>
      <c r="Y217" s="306"/>
      <c r="Z217" s="307"/>
      <c r="AA217" s="302"/>
      <c r="AB217" s="307"/>
      <c r="AC217" s="307"/>
      <c r="AD217" s="360"/>
    </row>
    <row r="218" spans="1:30" s="355" customFormat="1" ht="25.25" customHeight="1">
      <c r="A218" s="465"/>
      <c r="B218" s="465"/>
      <c r="C218" s="465"/>
      <c r="D218" s="480">
        <v>72</v>
      </c>
      <c r="E218" s="483"/>
      <c r="F218" s="471"/>
      <c r="G218" s="471" t="s">
        <v>1415</v>
      </c>
      <c r="H218" s="486" t="s">
        <v>1414</v>
      </c>
      <c r="I218" s="474" t="s">
        <v>1413</v>
      </c>
      <c r="J218" s="477" t="s">
        <v>556</v>
      </c>
      <c r="K218" s="477"/>
      <c r="L218" s="364">
        <f>IF(M218="","",M218-30)</f>
        <v>46264</v>
      </c>
      <c r="M218" s="364">
        <f>IF(N218="","",N218-30)</f>
        <v>46294</v>
      </c>
      <c r="N218" s="363">
        <v>46324</v>
      </c>
      <c r="O218" s="362" t="str">
        <f ca="1">IF(L218="","",IF(S218&lt;&gt;"","",IF(AND(S218="",L218-TODAY()&lt;=60),L218-TODAY(),"")))</f>
        <v/>
      </c>
      <c r="P218" s="362"/>
      <c r="Q218" s="361"/>
      <c r="R218" s="307" t="s">
        <v>22</v>
      </c>
      <c r="S218" s="302"/>
      <c r="T218" s="306"/>
      <c r="U218" s="302"/>
      <c r="V218" s="306"/>
      <c r="W218" s="307"/>
      <c r="X218" s="302"/>
      <c r="Y218" s="306"/>
      <c r="Z218" s="307"/>
      <c r="AA218" s="302"/>
      <c r="AB218" s="307"/>
      <c r="AC218" s="307"/>
      <c r="AD218" s="360"/>
    </row>
    <row r="219" spans="1:30" s="355" customFormat="1" ht="25.25" customHeight="1">
      <c r="A219" s="466"/>
      <c r="B219" s="466"/>
      <c r="C219" s="466"/>
      <c r="D219" s="481"/>
      <c r="E219" s="484"/>
      <c r="F219" s="472"/>
      <c r="G219" s="472"/>
      <c r="H219" s="487"/>
      <c r="I219" s="475"/>
      <c r="J219" s="478"/>
      <c r="K219" s="478"/>
      <c r="L219" s="363"/>
      <c r="M219" s="363"/>
      <c r="N219" s="363"/>
      <c r="O219" s="362"/>
      <c r="P219" s="362"/>
      <c r="Q219" s="361"/>
      <c r="R219" s="307" t="s">
        <v>27</v>
      </c>
      <c r="S219" s="302"/>
      <c r="T219" s="306"/>
      <c r="U219" s="302"/>
      <c r="V219" s="306"/>
      <c r="W219" s="307"/>
      <c r="X219" s="302"/>
      <c r="Y219" s="306"/>
      <c r="Z219" s="307"/>
      <c r="AA219" s="302"/>
      <c r="AB219" s="307"/>
      <c r="AC219" s="307"/>
      <c r="AD219" s="360"/>
    </row>
    <row r="220" spans="1:30" s="355" customFormat="1" ht="25.25" customHeight="1">
      <c r="A220" s="467"/>
      <c r="B220" s="467"/>
      <c r="C220" s="467"/>
      <c r="D220" s="482"/>
      <c r="E220" s="485"/>
      <c r="F220" s="473"/>
      <c r="G220" s="473"/>
      <c r="H220" s="488"/>
      <c r="I220" s="476"/>
      <c r="J220" s="479"/>
      <c r="K220" s="479"/>
      <c r="L220" s="363"/>
      <c r="M220" s="363"/>
      <c r="N220" s="363"/>
      <c r="O220" s="362"/>
      <c r="P220" s="362"/>
      <c r="Q220" s="361"/>
      <c r="R220" s="307" t="s">
        <v>36</v>
      </c>
      <c r="S220" s="302"/>
      <c r="T220" s="306"/>
      <c r="U220" s="302"/>
      <c r="V220" s="306"/>
      <c r="W220" s="307"/>
      <c r="X220" s="302"/>
      <c r="Y220" s="306"/>
      <c r="Z220" s="307"/>
      <c r="AA220" s="302"/>
      <c r="AB220" s="307"/>
      <c r="AC220" s="307"/>
      <c r="AD220" s="360"/>
    </row>
    <row r="221" spans="1:30" s="355" customFormat="1" ht="25.25" customHeight="1">
      <c r="A221" s="465"/>
      <c r="B221" s="465"/>
      <c r="C221" s="465"/>
      <c r="D221" s="480">
        <v>73</v>
      </c>
      <c r="E221" s="483"/>
      <c r="F221" s="471"/>
      <c r="G221" s="471" t="s">
        <v>551</v>
      </c>
      <c r="H221" s="486" t="s">
        <v>552</v>
      </c>
      <c r="I221" s="474" t="s">
        <v>1413</v>
      </c>
      <c r="J221" s="477" t="s">
        <v>556</v>
      </c>
      <c r="K221" s="477"/>
      <c r="L221" s="364">
        <f>IF(M221="","",M221-30)</f>
        <v>46264</v>
      </c>
      <c r="M221" s="364">
        <f>IF(N221="","",N221-30)</f>
        <v>46294</v>
      </c>
      <c r="N221" s="363">
        <v>46324</v>
      </c>
      <c r="O221" s="362" t="str">
        <f ca="1">IF(L221="","",IF(S221&lt;&gt;"","",IF(AND(S221="",L221-TODAY()&lt;=60),L221-TODAY(),"")))</f>
        <v/>
      </c>
      <c r="P221" s="362"/>
      <c r="Q221" s="361"/>
      <c r="R221" s="307" t="s">
        <v>22</v>
      </c>
      <c r="S221" s="302"/>
      <c r="T221" s="306"/>
      <c r="U221" s="302"/>
      <c r="V221" s="306"/>
      <c r="W221" s="307"/>
      <c r="X221" s="302"/>
      <c r="Y221" s="306"/>
      <c r="Z221" s="307"/>
      <c r="AA221" s="302"/>
      <c r="AB221" s="307"/>
      <c r="AC221" s="307"/>
      <c r="AD221" s="360"/>
    </row>
    <row r="222" spans="1:30" s="355" customFormat="1" ht="25.25" customHeight="1">
      <c r="A222" s="466"/>
      <c r="B222" s="466"/>
      <c r="C222" s="466"/>
      <c r="D222" s="481"/>
      <c r="E222" s="484"/>
      <c r="F222" s="472"/>
      <c r="G222" s="472"/>
      <c r="H222" s="487"/>
      <c r="I222" s="475"/>
      <c r="J222" s="478"/>
      <c r="K222" s="478"/>
      <c r="L222" s="363"/>
      <c r="M222" s="363"/>
      <c r="N222" s="363"/>
      <c r="O222" s="362"/>
      <c r="P222" s="362"/>
      <c r="Q222" s="361"/>
      <c r="R222" s="307" t="s">
        <v>27</v>
      </c>
      <c r="S222" s="302"/>
      <c r="T222" s="306"/>
      <c r="U222" s="302"/>
      <c r="V222" s="306"/>
      <c r="W222" s="307"/>
      <c r="X222" s="302"/>
      <c r="Y222" s="306"/>
      <c r="Z222" s="307"/>
      <c r="AA222" s="302"/>
      <c r="AB222" s="307"/>
      <c r="AC222" s="307"/>
      <c r="AD222" s="360"/>
    </row>
    <row r="223" spans="1:30" s="355" customFormat="1" ht="25.25" customHeight="1">
      <c r="A223" s="467"/>
      <c r="B223" s="467"/>
      <c r="C223" s="467"/>
      <c r="D223" s="482"/>
      <c r="E223" s="485"/>
      <c r="F223" s="473"/>
      <c r="G223" s="473"/>
      <c r="H223" s="488"/>
      <c r="I223" s="476"/>
      <c r="J223" s="479"/>
      <c r="K223" s="479"/>
      <c r="L223" s="363"/>
      <c r="M223" s="363"/>
      <c r="N223" s="363"/>
      <c r="O223" s="362"/>
      <c r="P223" s="362"/>
      <c r="Q223" s="361"/>
      <c r="R223" s="307" t="s">
        <v>36</v>
      </c>
      <c r="S223" s="302"/>
      <c r="T223" s="306"/>
      <c r="U223" s="302"/>
      <c r="V223" s="306"/>
      <c r="W223" s="307"/>
      <c r="X223" s="302"/>
      <c r="Y223" s="306"/>
      <c r="Z223" s="307"/>
      <c r="AA223" s="302"/>
      <c r="AB223" s="307"/>
      <c r="AC223" s="307"/>
      <c r="AD223" s="360"/>
    </row>
    <row r="224" spans="1:30" s="355" customFormat="1" ht="25.25" customHeight="1">
      <c r="A224" s="470"/>
      <c r="B224" s="470"/>
      <c r="C224" s="470"/>
      <c r="D224" s="480">
        <v>74</v>
      </c>
      <c r="E224" s="483"/>
      <c r="F224" s="471"/>
      <c r="G224" s="471"/>
      <c r="H224" s="486" t="s">
        <v>317</v>
      </c>
      <c r="I224" s="474" t="s">
        <v>298</v>
      </c>
      <c r="J224" s="477" t="s">
        <v>554</v>
      </c>
      <c r="K224" s="477"/>
      <c r="L224" s="364">
        <f>IF(M224="","",M224-30)</f>
        <v>46325</v>
      </c>
      <c r="M224" s="364">
        <f>IF(N224="","",N224-30)</f>
        <v>46355</v>
      </c>
      <c r="N224" s="363">
        <v>46385</v>
      </c>
      <c r="O224" s="367" t="str">
        <f ca="1">IF(L224="","",IF(S224&lt;&gt;"","",IF(AND(S224="",L224-TODAY()&lt;=60),L224-TODAY(),"")))</f>
        <v/>
      </c>
      <c r="P224" s="365" t="str">
        <f>IF(COUNT(L224, S224)=2, L224-S224, "")</f>
        <v/>
      </c>
      <c r="Q224" s="361"/>
      <c r="R224" s="307" t="s">
        <v>22</v>
      </c>
      <c r="S224" s="302"/>
      <c r="T224" s="306"/>
      <c r="U224" s="302"/>
      <c r="V224" s="306"/>
      <c r="W224" s="307"/>
      <c r="X224" s="302"/>
      <c r="Y224" s="306"/>
      <c r="Z224" s="306"/>
      <c r="AA224" s="302"/>
      <c r="AB224" s="307"/>
      <c r="AC224" s="307"/>
      <c r="AD224" s="360"/>
    </row>
    <row r="225" spans="1:30" s="355" customFormat="1" ht="25.25" customHeight="1">
      <c r="A225" s="470"/>
      <c r="B225" s="470"/>
      <c r="C225" s="470"/>
      <c r="D225" s="481"/>
      <c r="E225" s="484"/>
      <c r="F225" s="472"/>
      <c r="G225" s="513"/>
      <c r="H225" s="487"/>
      <c r="I225" s="475"/>
      <c r="J225" s="478"/>
      <c r="K225" s="478"/>
      <c r="L225" s="363"/>
      <c r="M225" s="363"/>
      <c r="N225" s="363"/>
      <c r="O225" s="367" t="str">
        <f ca="1">IF(L225="","",IF(S225&lt;&gt;"","",IF(AND(S225="",L225-TODAY()&lt;=60),L225-TODAY(),"")))</f>
        <v/>
      </c>
      <c r="P225" s="365" t="str">
        <f>IF(COUNT(L225, S225)=2, L225-S225, "")</f>
        <v/>
      </c>
      <c r="Q225" s="361"/>
      <c r="R225" s="307" t="s">
        <v>27</v>
      </c>
      <c r="S225" s="302"/>
      <c r="T225" s="302"/>
      <c r="U225" s="302"/>
      <c r="V225" s="306"/>
      <c r="W225" s="307"/>
      <c r="X225" s="302"/>
      <c r="Y225" s="306"/>
      <c r="Z225" s="307" t="str">
        <f>IF(X225="","",IF(W225="檢退","檢退",IF(W225="審查同意","審定","檢退")))</f>
        <v/>
      </c>
      <c r="AA225" s="302"/>
      <c r="AB225" s="307"/>
      <c r="AC225" s="307"/>
      <c r="AD225" s="360"/>
    </row>
    <row r="226" spans="1:30" s="355" customFormat="1" ht="25.25" customHeight="1">
      <c r="A226" s="470"/>
      <c r="B226" s="470"/>
      <c r="C226" s="470"/>
      <c r="D226" s="482"/>
      <c r="E226" s="485"/>
      <c r="F226" s="473"/>
      <c r="G226" s="514"/>
      <c r="H226" s="488"/>
      <c r="I226" s="476"/>
      <c r="J226" s="479"/>
      <c r="K226" s="479"/>
      <c r="L226" s="363"/>
      <c r="M226" s="363"/>
      <c r="N226" s="363"/>
      <c r="O226" s="367" t="str">
        <f ca="1">IF(L226="","",IF(S226&lt;&gt;"","",IF(AND(S226="",L226-TODAY()&lt;=60),L226-TODAY(),"")))</f>
        <v/>
      </c>
      <c r="P226" s="365" t="str">
        <f>IF(COUNT(L226, S226)=2, L226-S226, "")</f>
        <v/>
      </c>
      <c r="Q226" s="361"/>
      <c r="R226" s="307" t="s">
        <v>36</v>
      </c>
      <c r="S226" s="302"/>
      <c r="T226" s="306"/>
      <c r="U226" s="302"/>
      <c r="V226" s="306"/>
      <c r="W226" s="307"/>
      <c r="X226" s="302"/>
      <c r="Y226" s="306"/>
      <c r="Z226" s="307" t="str">
        <f>IF(X226="","",IF(W226="檢退","檢退",IF(W226="審查同意","審定","檢退")))</f>
        <v/>
      </c>
      <c r="AA226" s="302"/>
      <c r="AB226" s="307"/>
      <c r="AC226" s="307"/>
      <c r="AD226" s="360"/>
    </row>
    <row r="227" spans="1:30" s="355" customFormat="1" ht="25.25" customHeight="1">
      <c r="A227" s="465"/>
      <c r="B227" s="465"/>
      <c r="C227" s="465"/>
      <c r="D227" s="480">
        <v>75</v>
      </c>
      <c r="E227" s="483"/>
      <c r="F227" s="471"/>
      <c r="G227" s="471" t="s">
        <v>1412</v>
      </c>
      <c r="H227" s="486" t="s">
        <v>1411</v>
      </c>
      <c r="I227" s="474"/>
      <c r="J227" s="477" t="s">
        <v>556</v>
      </c>
      <c r="K227" s="477"/>
      <c r="L227" s="364">
        <f>IF(M227="","",M227-30)</f>
        <v>46295</v>
      </c>
      <c r="M227" s="364">
        <f>IF(N227="","",N227-30)</f>
        <v>46325</v>
      </c>
      <c r="N227" s="363">
        <v>46355</v>
      </c>
      <c r="O227" s="362" t="str">
        <f ca="1">IF(L227="","",IF(S227&lt;&gt;"","",IF(AND(S227="",L227-TODAY()&lt;=60),L227-TODAY(),"")))</f>
        <v/>
      </c>
      <c r="P227" s="362"/>
      <c r="Q227" s="361"/>
      <c r="R227" s="307" t="s">
        <v>22</v>
      </c>
      <c r="S227" s="302"/>
      <c r="T227" s="306"/>
      <c r="U227" s="302"/>
      <c r="V227" s="306"/>
      <c r="W227" s="307"/>
      <c r="X227" s="302"/>
      <c r="Y227" s="306"/>
      <c r="Z227" s="307"/>
      <c r="AA227" s="302"/>
      <c r="AB227" s="307"/>
      <c r="AC227" s="307"/>
      <c r="AD227" s="360"/>
    </row>
    <row r="228" spans="1:30" s="355" customFormat="1" ht="25.25" customHeight="1">
      <c r="A228" s="466"/>
      <c r="B228" s="466"/>
      <c r="C228" s="466">
        <v>109</v>
      </c>
      <c r="D228" s="481"/>
      <c r="E228" s="484"/>
      <c r="F228" s="472"/>
      <c r="G228" s="472"/>
      <c r="H228" s="487"/>
      <c r="I228" s="475"/>
      <c r="J228" s="478"/>
      <c r="K228" s="478"/>
      <c r="L228" s="363"/>
      <c r="M228" s="363"/>
      <c r="N228" s="363"/>
      <c r="O228" s="362"/>
      <c r="P228" s="362"/>
      <c r="Q228" s="361"/>
      <c r="R228" s="307" t="s">
        <v>27</v>
      </c>
      <c r="S228" s="302"/>
      <c r="T228" s="306"/>
      <c r="U228" s="302"/>
      <c r="V228" s="306"/>
      <c r="W228" s="307"/>
      <c r="X228" s="302"/>
      <c r="Y228" s="306"/>
      <c r="Z228" s="307"/>
      <c r="AA228" s="302"/>
      <c r="AB228" s="307"/>
      <c r="AC228" s="307"/>
      <c r="AD228" s="360"/>
    </row>
    <row r="229" spans="1:30" s="355" customFormat="1" ht="25.25" customHeight="1">
      <c r="A229" s="467"/>
      <c r="B229" s="467"/>
      <c r="C229" s="467"/>
      <c r="D229" s="482"/>
      <c r="E229" s="485"/>
      <c r="F229" s="473"/>
      <c r="G229" s="473"/>
      <c r="H229" s="488"/>
      <c r="I229" s="476"/>
      <c r="J229" s="479"/>
      <c r="K229" s="479"/>
      <c r="L229" s="363"/>
      <c r="M229" s="363"/>
      <c r="N229" s="363"/>
      <c r="O229" s="362"/>
      <c r="P229" s="362"/>
      <c r="Q229" s="361"/>
      <c r="R229" s="307" t="s">
        <v>36</v>
      </c>
      <c r="S229" s="302"/>
      <c r="T229" s="306"/>
      <c r="U229" s="302"/>
      <c r="V229" s="306"/>
      <c r="W229" s="307"/>
      <c r="X229" s="302"/>
      <c r="Y229" s="306"/>
      <c r="Z229" s="307"/>
      <c r="AA229" s="302"/>
      <c r="AB229" s="307"/>
      <c r="AC229" s="307"/>
      <c r="AD229" s="360"/>
    </row>
    <row r="230" spans="1:30" s="355" customFormat="1" ht="25.25" customHeight="1">
      <c r="A230" s="465"/>
      <c r="B230" s="465"/>
      <c r="C230" s="465">
        <v>139</v>
      </c>
      <c r="D230" s="480">
        <v>76</v>
      </c>
      <c r="E230" s="483"/>
      <c r="F230" s="471"/>
      <c r="G230" s="471" t="s">
        <v>1410</v>
      </c>
      <c r="H230" s="486" t="s">
        <v>972</v>
      </c>
      <c r="I230" s="474"/>
      <c r="J230" s="477" t="s">
        <v>554</v>
      </c>
      <c r="K230" s="477"/>
      <c r="L230" s="364">
        <f>IF(M230="","",M230-30)</f>
        <v>46325</v>
      </c>
      <c r="M230" s="364">
        <f>IF(N230="","",N230-30)</f>
        <v>46355</v>
      </c>
      <c r="N230" s="363">
        <v>46385</v>
      </c>
      <c r="O230" s="362" t="str">
        <f ca="1">IF(L230="","",IF(S230&lt;&gt;"","",IF(AND(S230="",L230-TODAY()&lt;=60),L230-TODAY(),"")))</f>
        <v/>
      </c>
      <c r="P230" s="362"/>
      <c r="Q230" s="361"/>
      <c r="R230" s="307" t="s">
        <v>22</v>
      </c>
      <c r="S230" s="302"/>
      <c r="T230" s="306"/>
      <c r="U230" s="302"/>
      <c r="V230" s="306"/>
      <c r="W230" s="307"/>
      <c r="X230" s="302"/>
      <c r="Y230" s="306"/>
      <c r="Z230" s="307"/>
      <c r="AA230" s="302"/>
      <c r="AB230" s="307"/>
      <c r="AC230" s="307"/>
      <c r="AD230" s="360"/>
    </row>
    <row r="231" spans="1:30" s="355" customFormat="1" ht="25.25" customHeight="1">
      <c r="A231" s="466"/>
      <c r="B231" s="466"/>
      <c r="C231" s="466"/>
      <c r="D231" s="481"/>
      <c r="E231" s="484"/>
      <c r="F231" s="472"/>
      <c r="G231" s="472"/>
      <c r="H231" s="487"/>
      <c r="I231" s="475"/>
      <c r="J231" s="478"/>
      <c r="K231" s="478"/>
      <c r="L231" s="363"/>
      <c r="M231" s="363"/>
      <c r="N231" s="363"/>
      <c r="O231" s="362"/>
      <c r="P231" s="362"/>
      <c r="Q231" s="361"/>
      <c r="R231" s="307" t="s">
        <v>27</v>
      </c>
      <c r="S231" s="302"/>
      <c r="T231" s="306"/>
      <c r="U231" s="302"/>
      <c r="V231" s="306"/>
      <c r="W231" s="307"/>
      <c r="X231" s="302"/>
      <c r="Y231" s="306"/>
      <c r="Z231" s="307"/>
      <c r="AA231" s="302"/>
      <c r="AB231" s="307"/>
      <c r="AC231" s="307"/>
      <c r="AD231" s="360"/>
    </row>
    <row r="232" spans="1:30" s="355" customFormat="1" ht="25.25" customHeight="1">
      <c r="A232" s="467"/>
      <c r="B232" s="467"/>
      <c r="C232" s="467"/>
      <c r="D232" s="482"/>
      <c r="E232" s="485"/>
      <c r="F232" s="473"/>
      <c r="G232" s="473"/>
      <c r="H232" s="488"/>
      <c r="I232" s="476"/>
      <c r="J232" s="479"/>
      <c r="K232" s="479"/>
      <c r="L232" s="363"/>
      <c r="M232" s="363"/>
      <c r="N232" s="363"/>
      <c r="O232" s="362"/>
      <c r="P232" s="362"/>
      <c r="Q232" s="361"/>
      <c r="R232" s="307" t="s">
        <v>36</v>
      </c>
      <c r="S232" s="302"/>
      <c r="T232" s="306"/>
      <c r="U232" s="302"/>
      <c r="V232" s="306"/>
      <c r="W232" s="307"/>
      <c r="X232" s="302"/>
      <c r="Y232" s="306"/>
      <c r="Z232" s="307"/>
      <c r="AA232" s="302"/>
      <c r="AB232" s="307"/>
      <c r="AC232" s="307"/>
      <c r="AD232" s="360"/>
    </row>
    <row r="233" spans="1:30" s="355" customFormat="1" ht="25.25" customHeight="1">
      <c r="A233" s="465"/>
      <c r="B233" s="465"/>
      <c r="C233" s="465"/>
      <c r="D233" s="480">
        <v>77</v>
      </c>
      <c r="E233" s="483"/>
      <c r="F233" s="471"/>
      <c r="G233" s="471" t="s">
        <v>1409</v>
      </c>
      <c r="H233" s="486" t="s">
        <v>1408</v>
      </c>
      <c r="I233" s="474" t="s">
        <v>1406</v>
      </c>
      <c r="J233" s="477" t="s">
        <v>554</v>
      </c>
      <c r="K233" s="477"/>
      <c r="L233" s="364">
        <f>IF(M233="","",M233-30)</f>
        <v>46325</v>
      </c>
      <c r="M233" s="364">
        <f>IF(N233="","",N233-30)</f>
        <v>46355</v>
      </c>
      <c r="N233" s="363">
        <v>46385</v>
      </c>
      <c r="O233" s="362" t="str">
        <f ca="1">IF(L233="","",IF(S233&lt;&gt;"","",IF(AND(S233="",L233-TODAY()&lt;=60),L233-TODAY(),"")))</f>
        <v/>
      </c>
      <c r="P233" s="362"/>
      <c r="Q233" s="361"/>
      <c r="R233" s="307" t="s">
        <v>22</v>
      </c>
      <c r="S233" s="302"/>
      <c r="T233" s="306"/>
      <c r="U233" s="302"/>
      <c r="V233" s="306"/>
      <c r="W233" s="307"/>
      <c r="X233" s="302"/>
      <c r="Y233" s="306"/>
      <c r="Z233" s="307"/>
      <c r="AA233" s="302"/>
      <c r="AB233" s="307"/>
      <c r="AC233" s="307"/>
      <c r="AD233" s="360"/>
    </row>
    <row r="234" spans="1:30" s="355" customFormat="1" ht="25.25" customHeight="1">
      <c r="A234" s="466"/>
      <c r="B234" s="466"/>
      <c r="C234" s="466"/>
      <c r="D234" s="481"/>
      <c r="E234" s="484"/>
      <c r="F234" s="472"/>
      <c r="G234" s="472"/>
      <c r="H234" s="487"/>
      <c r="I234" s="475"/>
      <c r="J234" s="478"/>
      <c r="K234" s="478"/>
      <c r="L234" s="363"/>
      <c r="M234" s="363"/>
      <c r="N234" s="363"/>
      <c r="O234" s="362"/>
      <c r="P234" s="362"/>
      <c r="Q234" s="361"/>
      <c r="R234" s="307" t="s">
        <v>27</v>
      </c>
      <c r="S234" s="302"/>
      <c r="T234" s="306"/>
      <c r="U234" s="302"/>
      <c r="V234" s="306"/>
      <c r="W234" s="307"/>
      <c r="X234" s="302"/>
      <c r="Y234" s="306"/>
      <c r="Z234" s="307"/>
      <c r="AA234" s="302"/>
      <c r="AB234" s="307"/>
      <c r="AC234" s="307"/>
      <c r="AD234" s="360"/>
    </row>
    <row r="235" spans="1:30" s="355" customFormat="1" ht="25.25" customHeight="1">
      <c r="A235" s="467"/>
      <c r="B235" s="467"/>
      <c r="C235" s="467"/>
      <c r="D235" s="482"/>
      <c r="E235" s="485"/>
      <c r="F235" s="473"/>
      <c r="G235" s="473"/>
      <c r="H235" s="488"/>
      <c r="I235" s="476"/>
      <c r="J235" s="479"/>
      <c r="K235" s="479"/>
      <c r="L235" s="363"/>
      <c r="M235" s="363"/>
      <c r="N235" s="363"/>
      <c r="O235" s="362"/>
      <c r="P235" s="362"/>
      <c r="Q235" s="361"/>
      <c r="R235" s="307" t="s">
        <v>36</v>
      </c>
      <c r="S235" s="302"/>
      <c r="T235" s="306"/>
      <c r="U235" s="302"/>
      <c r="V235" s="306"/>
      <c r="W235" s="307"/>
      <c r="X235" s="302"/>
      <c r="Y235" s="306"/>
      <c r="Z235" s="307"/>
      <c r="AA235" s="302"/>
      <c r="AB235" s="307"/>
      <c r="AC235" s="307"/>
      <c r="AD235" s="360"/>
    </row>
    <row r="236" spans="1:30" s="355" customFormat="1" ht="25.25" customHeight="1">
      <c r="A236" s="465"/>
      <c r="B236" s="465"/>
      <c r="C236" s="465"/>
      <c r="D236" s="480">
        <v>78</v>
      </c>
      <c r="E236" s="483"/>
      <c r="F236" s="471"/>
      <c r="G236" s="471" t="s">
        <v>1407</v>
      </c>
      <c r="H236" s="486" t="s">
        <v>143</v>
      </c>
      <c r="I236" s="474" t="s">
        <v>1406</v>
      </c>
      <c r="J236" s="477" t="s">
        <v>556</v>
      </c>
      <c r="K236" s="477"/>
      <c r="L236" s="364">
        <f>IF(M236="","",M236-30)</f>
        <v>46325</v>
      </c>
      <c r="M236" s="364">
        <f>IF(N236="","",N236-30)</f>
        <v>46355</v>
      </c>
      <c r="N236" s="363">
        <v>46385</v>
      </c>
      <c r="O236" s="362" t="str">
        <f ca="1">IF(L236="","",IF(S236&lt;&gt;"","",IF(AND(S236="",L236-TODAY()&lt;=60),L236-TODAY(),"")))</f>
        <v/>
      </c>
      <c r="P236" s="362"/>
      <c r="Q236" s="361"/>
      <c r="R236" s="307" t="s">
        <v>22</v>
      </c>
      <c r="S236" s="302"/>
      <c r="T236" s="306"/>
      <c r="U236" s="302"/>
      <c r="V236" s="306"/>
      <c r="W236" s="307"/>
      <c r="X236" s="302"/>
      <c r="Y236" s="306"/>
      <c r="Z236" s="307"/>
      <c r="AA236" s="302"/>
      <c r="AB236" s="307"/>
      <c r="AC236" s="307"/>
      <c r="AD236" s="360"/>
    </row>
    <row r="237" spans="1:30" s="355" customFormat="1" ht="25.25" customHeight="1">
      <c r="A237" s="466"/>
      <c r="B237" s="466"/>
      <c r="C237" s="466"/>
      <c r="D237" s="481"/>
      <c r="E237" s="484"/>
      <c r="F237" s="472"/>
      <c r="G237" s="472"/>
      <c r="H237" s="487"/>
      <c r="I237" s="475"/>
      <c r="J237" s="478"/>
      <c r="K237" s="478"/>
      <c r="L237" s="363"/>
      <c r="M237" s="363"/>
      <c r="N237" s="363"/>
      <c r="O237" s="362"/>
      <c r="P237" s="362"/>
      <c r="Q237" s="361"/>
      <c r="R237" s="307" t="s">
        <v>27</v>
      </c>
      <c r="S237" s="302"/>
      <c r="T237" s="306"/>
      <c r="U237" s="302"/>
      <c r="V237" s="306"/>
      <c r="W237" s="307"/>
      <c r="X237" s="302"/>
      <c r="Y237" s="306"/>
      <c r="Z237" s="307"/>
      <c r="AA237" s="302"/>
      <c r="AB237" s="307"/>
      <c r="AC237" s="307"/>
      <c r="AD237" s="360"/>
    </row>
    <row r="238" spans="1:30" s="355" customFormat="1" ht="25.25" customHeight="1">
      <c r="A238" s="467"/>
      <c r="B238" s="467"/>
      <c r="C238" s="467"/>
      <c r="D238" s="482"/>
      <c r="E238" s="485"/>
      <c r="F238" s="473"/>
      <c r="G238" s="473"/>
      <c r="H238" s="488"/>
      <c r="I238" s="476"/>
      <c r="J238" s="479"/>
      <c r="K238" s="479"/>
      <c r="L238" s="363"/>
      <c r="M238" s="363"/>
      <c r="N238" s="363"/>
      <c r="O238" s="362"/>
      <c r="P238" s="362"/>
      <c r="Q238" s="361"/>
      <c r="R238" s="307" t="s">
        <v>36</v>
      </c>
      <c r="S238" s="302"/>
      <c r="T238" s="306"/>
      <c r="U238" s="302"/>
      <c r="V238" s="306"/>
      <c r="W238" s="307"/>
      <c r="X238" s="302"/>
      <c r="Y238" s="306"/>
      <c r="Z238" s="307"/>
      <c r="AA238" s="302"/>
      <c r="AB238" s="307"/>
      <c r="AC238" s="307"/>
      <c r="AD238" s="360"/>
    </row>
    <row r="239" spans="1:30" s="355" customFormat="1" ht="37.5" customHeight="1">
      <c r="A239" s="580"/>
      <c r="B239" s="580"/>
      <c r="C239" s="580"/>
      <c r="D239" s="583">
        <v>79</v>
      </c>
      <c r="E239" s="586"/>
      <c r="F239" s="589"/>
      <c r="G239" s="589"/>
      <c r="H239" s="592" t="s">
        <v>1659</v>
      </c>
      <c r="I239" s="595"/>
      <c r="J239" s="574"/>
      <c r="K239" s="574"/>
      <c r="L239" s="426">
        <f>IF(M239="","",M239-30)</f>
        <v>46325</v>
      </c>
      <c r="M239" s="426">
        <f>IF(N239="","",N239-30)</f>
        <v>46355</v>
      </c>
      <c r="N239" s="427">
        <v>46385</v>
      </c>
      <c r="O239" s="428" t="str">
        <f ca="1">IF(L239="","",IF(S239&lt;&gt;"","",IF(AND(S239="",L239-TODAY()&lt;=60),L239-TODAY(),"")))</f>
        <v/>
      </c>
      <c r="P239" s="428"/>
      <c r="Q239" s="419"/>
      <c r="R239" s="429" t="s">
        <v>22</v>
      </c>
      <c r="S239" s="436"/>
      <c r="T239" s="437"/>
      <c r="U239" s="436"/>
      <c r="V239" s="437"/>
      <c r="W239" s="429"/>
      <c r="X239" s="436"/>
      <c r="Y239" s="437"/>
      <c r="Z239" s="429"/>
      <c r="AA239" s="436"/>
      <c r="AB239" s="429"/>
      <c r="AC239" s="429"/>
      <c r="AD239" s="577" t="s">
        <v>1535</v>
      </c>
    </row>
    <row r="240" spans="1:30" s="355" customFormat="1" ht="37.5" customHeight="1">
      <c r="A240" s="581"/>
      <c r="B240" s="581"/>
      <c r="C240" s="581"/>
      <c r="D240" s="584"/>
      <c r="E240" s="587"/>
      <c r="F240" s="590"/>
      <c r="G240" s="590"/>
      <c r="H240" s="593"/>
      <c r="I240" s="596"/>
      <c r="J240" s="575"/>
      <c r="K240" s="575"/>
      <c r="L240" s="427"/>
      <c r="M240" s="427"/>
      <c r="N240" s="427"/>
      <c r="O240" s="428"/>
      <c r="P240" s="428"/>
      <c r="Q240" s="419"/>
      <c r="R240" s="429" t="s">
        <v>27</v>
      </c>
      <c r="S240" s="436"/>
      <c r="T240" s="437"/>
      <c r="U240" s="436"/>
      <c r="V240" s="437"/>
      <c r="W240" s="429"/>
      <c r="X240" s="436"/>
      <c r="Y240" s="437"/>
      <c r="Z240" s="429"/>
      <c r="AA240" s="436"/>
      <c r="AB240" s="429"/>
      <c r="AC240" s="429"/>
      <c r="AD240" s="578"/>
    </row>
    <row r="241" spans="1:30" s="355" customFormat="1" ht="37.5" customHeight="1">
      <c r="A241" s="582"/>
      <c r="B241" s="582"/>
      <c r="C241" s="582"/>
      <c r="D241" s="585"/>
      <c r="E241" s="588"/>
      <c r="F241" s="591"/>
      <c r="G241" s="591"/>
      <c r="H241" s="594"/>
      <c r="I241" s="597"/>
      <c r="J241" s="576"/>
      <c r="K241" s="576"/>
      <c r="L241" s="427"/>
      <c r="M241" s="427"/>
      <c r="N241" s="427"/>
      <c r="O241" s="428"/>
      <c r="P241" s="428"/>
      <c r="Q241" s="419"/>
      <c r="R241" s="429" t="s">
        <v>36</v>
      </c>
      <c r="S241" s="436"/>
      <c r="T241" s="437"/>
      <c r="U241" s="436"/>
      <c r="V241" s="437"/>
      <c r="W241" s="429"/>
      <c r="X241" s="436"/>
      <c r="Y241" s="437"/>
      <c r="Z241" s="429"/>
      <c r="AA241" s="436"/>
      <c r="AB241" s="429"/>
      <c r="AC241" s="429"/>
      <c r="AD241" s="579"/>
    </row>
    <row r="242" spans="1:30" s="355" customFormat="1" ht="37.5" customHeight="1">
      <c r="A242" s="580"/>
      <c r="B242" s="580"/>
      <c r="C242" s="580"/>
      <c r="D242" s="583">
        <v>80</v>
      </c>
      <c r="E242" s="586"/>
      <c r="F242" s="589"/>
      <c r="G242" s="589"/>
      <c r="H242" s="592" t="s">
        <v>1537</v>
      </c>
      <c r="I242" s="595"/>
      <c r="J242" s="574"/>
      <c r="K242" s="574"/>
      <c r="L242" s="426">
        <f>IF(M242="","",M242-30)</f>
        <v>46325</v>
      </c>
      <c r="M242" s="426">
        <f>IF(N242="","",N242-30)</f>
        <v>46355</v>
      </c>
      <c r="N242" s="427">
        <v>46385</v>
      </c>
      <c r="O242" s="428" t="str">
        <f ca="1">IF(L242="","",IF(S242&lt;&gt;"","",IF(AND(S242="",L242-TODAY()&lt;=60),L242-TODAY(),"")))</f>
        <v/>
      </c>
      <c r="P242" s="428"/>
      <c r="Q242" s="419"/>
      <c r="R242" s="429" t="s">
        <v>22</v>
      </c>
      <c r="S242" s="436"/>
      <c r="T242" s="437"/>
      <c r="U242" s="436"/>
      <c r="V242" s="437"/>
      <c r="W242" s="429"/>
      <c r="X242" s="436"/>
      <c r="Y242" s="437"/>
      <c r="Z242" s="429"/>
      <c r="AA242" s="436"/>
      <c r="AB242" s="429"/>
      <c r="AC242" s="429"/>
      <c r="AD242" s="577" t="s">
        <v>1535</v>
      </c>
    </row>
    <row r="243" spans="1:30" s="355" customFormat="1" ht="37.5" customHeight="1">
      <c r="A243" s="581"/>
      <c r="B243" s="581"/>
      <c r="C243" s="581"/>
      <c r="D243" s="584"/>
      <c r="E243" s="587"/>
      <c r="F243" s="590"/>
      <c r="G243" s="590"/>
      <c r="H243" s="593"/>
      <c r="I243" s="596"/>
      <c r="J243" s="575"/>
      <c r="K243" s="575"/>
      <c r="L243" s="427"/>
      <c r="M243" s="427"/>
      <c r="N243" s="427"/>
      <c r="O243" s="428"/>
      <c r="P243" s="428"/>
      <c r="Q243" s="419"/>
      <c r="R243" s="429" t="s">
        <v>27</v>
      </c>
      <c r="S243" s="436"/>
      <c r="T243" s="437"/>
      <c r="U243" s="436"/>
      <c r="V243" s="437"/>
      <c r="W243" s="429"/>
      <c r="X243" s="436"/>
      <c r="Y243" s="437"/>
      <c r="Z243" s="429"/>
      <c r="AA243" s="436"/>
      <c r="AB243" s="429"/>
      <c r="AC243" s="429"/>
      <c r="AD243" s="578"/>
    </row>
    <row r="244" spans="1:30" s="355" customFormat="1" ht="37.5" customHeight="1">
      <c r="A244" s="582"/>
      <c r="B244" s="582"/>
      <c r="C244" s="582"/>
      <c r="D244" s="585"/>
      <c r="E244" s="588"/>
      <c r="F244" s="591"/>
      <c r="G244" s="591"/>
      <c r="H244" s="594"/>
      <c r="I244" s="597"/>
      <c r="J244" s="576"/>
      <c r="K244" s="576"/>
      <c r="L244" s="427"/>
      <c r="M244" s="427"/>
      <c r="N244" s="427"/>
      <c r="O244" s="428"/>
      <c r="P244" s="428"/>
      <c r="Q244" s="419"/>
      <c r="R244" s="429" t="s">
        <v>36</v>
      </c>
      <c r="S244" s="436"/>
      <c r="T244" s="437"/>
      <c r="U244" s="436"/>
      <c r="V244" s="437"/>
      <c r="W244" s="429"/>
      <c r="X244" s="436"/>
      <c r="Y244" s="437"/>
      <c r="Z244" s="429"/>
      <c r="AA244" s="436"/>
      <c r="AB244" s="429"/>
      <c r="AC244" s="429"/>
      <c r="AD244" s="579"/>
    </row>
    <row r="245" spans="1:30" s="355" customFormat="1" ht="37.5" customHeight="1">
      <c r="A245" s="580"/>
      <c r="B245" s="580"/>
      <c r="C245" s="580"/>
      <c r="D245" s="583">
        <v>81</v>
      </c>
      <c r="E245" s="586"/>
      <c r="F245" s="589"/>
      <c r="G245" s="589"/>
      <c r="H245" s="592" t="s">
        <v>1538</v>
      </c>
      <c r="I245" s="595"/>
      <c r="J245" s="574"/>
      <c r="K245" s="574"/>
      <c r="L245" s="426">
        <f>IF(M245="","",M245-30)</f>
        <v>46325</v>
      </c>
      <c r="M245" s="426">
        <f>IF(N245="","",N245-30)</f>
        <v>46355</v>
      </c>
      <c r="N245" s="427">
        <v>46385</v>
      </c>
      <c r="O245" s="428" t="str">
        <f ca="1">IF(L245="","",IF(S245&lt;&gt;"","",IF(AND(S245="",L245-TODAY()&lt;=60),L245-TODAY(),"")))</f>
        <v/>
      </c>
      <c r="P245" s="428"/>
      <c r="Q245" s="419"/>
      <c r="R245" s="429" t="s">
        <v>22</v>
      </c>
      <c r="S245" s="436"/>
      <c r="T245" s="437"/>
      <c r="U245" s="436"/>
      <c r="V245" s="437"/>
      <c r="W245" s="429"/>
      <c r="X245" s="436"/>
      <c r="Y245" s="437"/>
      <c r="Z245" s="429"/>
      <c r="AA245" s="436"/>
      <c r="AB245" s="429"/>
      <c r="AC245" s="429"/>
      <c r="AD245" s="577" t="s">
        <v>1535</v>
      </c>
    </row>
    <row r="246" spans="1:30" s="355" customFormat="1" ht="37.5" customHeight="1">
      <c r="A246" s="581"/>
      <c r="B246" s="581"/>
      <c r="C246" s="581"/>
      <c r="D246" s="584"/>
      <c r="E246" s="587"/>
      <c r="F246" s="590"/>
      <c r="G246" s="590"/>
      <c r="H246" s="593"/>
      <c r="I246" s="596"/>
      <c r="J246" s="575"/>
      <c r="K246" s="575"/>
      <c r="L246" s="427"/>
      <c r="M246" s="427"/>
      <c r="N246" s="427"/>
      <c r="O246" s="428"/>
      <c r="P246" s="428"/>
      <c r="Q246" s="419"/>
      <c r="R246" s="429" t="s">
        <v>27</v>
      </c>
      <c r="S246" s="436"/>
      <c r="T246" s="437"/>
      <c r="U246" s="436"/>
      <c r="V246" s="437"/>
      <c r="W246" s="429"/>
      <c r="X246" s="436"/>
      <c r="Y246" s="437"/>
      <c r="Z246" s="429"/>
      <c r="AA246" s="436"/>
      <c r="AB246" s="429"/>
      <c r="AC246" s="429"/>
      <c r="AD246" s="578"/>
    </row>
    <row r="247" spans="1:30" s="355" customFormat="1" ht="37.5" customHeight="1">
      <c r="A247" s="582"/>
      <c r="B247" s="582"/>
      <c r="C247" s="582"/>
      <c r="D247" s="585"/>
      <c r="E247" s="588"/>
      <c r="F247" s="591"/>
      <c r="G247" s="591"/>
      <c r="H247" s="594"/>
      <c r="I247" s="597"/>
      <c r="J247" s="576"/>
      <c r="K247" s="576"/>
      <c r="L247" s="427"/>
      <c r="M247" s="427"/>
      <c r="N247" s="427"/>
      <c r="O247" s="428"/>
      <c r="P247" s="428"/>
      <c r="Q247" s="419"/>
      <c r="R247" s="429" t="s">
        <v>36</v>
      </c>
      <c r="S247" s="436"/>
      <c r="T247" s="437"/>
      <c r="U247" s="436"/>
      <c r="V247" s="437"/>
      <c r="W247" s="429"/>
      <c r="X247" s="436"/>
      <c r="Y247" s="437"/>
      <c r="Z247" s="429"/>
      <c r="AA247" s="436"/>
      <c r="AB247" s="429"/>
      <c r="AC247" s="429"/>
      <c r="AD247" s="579"/>
    </row>
    <row r="248" spans="1:30" s="355" customFormat="1" ht="37.5" customHeight="1">
      <c r="A248" s="580"/>
      <c r="B248" s="580"/>
      <c r="C248" s="580"/>
      <c r="D248" s="583">
        <v>82</v>
      </c>
      <c r="E248" s="586"/>
      <c r="F248" s="589"/>
      <c r="G248" s="589"/>
      <c r="H248" s="592" t="s">
        <v>1658</v>
      </c>
      <c r="I248" s="595"/>
      <c r="J248" s="574"/>
      <c r="K248" s="574"/>
      <c r="L248" s="426">
        <f>IF(M248="","",M248-30)</f>
        <v>46325</v>
      </c>
      <c r="M248" s="426">
        <f>IF(N248="","",N248-30)</f>
        <v>46355</v>
      </c>
      <c r="N248" s="427">
        <v>46385</v>
      </c>
      <c r="O248" s="428" t="str">
        <f ca="1">IF(L248="","",IF(S248&lt;&gt;"","",IF(AND(S248="",L248-TODAY()&lt;=60),L248-TODAY(),"")))</f>
        <v/>
      </c>
      <c r="P248" s="428"/>
      <c r="Q248" s="419"/>
      <c r="R248" s="429" t="s">
        <v>22</v>
      </c>
      <c r="S248" s="436"/>
      <c r="T248" s="437"/>
      <c r="U248" s="436"/>
      <c r="V248" s="437"/>
      <c r="W248" s="429"/>
      <c r="X248" s="436"/>
      <c r="Y248" s="437"/>
      <c r="Z248" s="429"/>
      <c r="AA248" s="436"/>
      <c r="AB248" s="429"/>
      <c r="AC248" s="429"/>
      <c r="AD248" s="577" t="s">
        <v>1535</v>
      </c>
    </row>
    <row r="249" spans="1:30" s="355" customFormat="1" ht="37.5" customHeight="1">
      <c r="A249" s="581"/>
      <c r="B249" s="581"/>
      <c r="C249" s="581"/>
      <c r="D249" s="584"/>
      <c r="E249" s="587"/>
      <c r="F249" s="590"/>
      <c r="G249" s="590"/>
      <c r="H249" s="593"/>
      <c r="I249" s="596"/>
      <c r="J249" s="575"/>
      <c r="K249" s="575"/>
      <c r="L249" s="427"/>
      <c r="M249" s="427"/>
      <c r="N249" s="427"/>
      <c r="O249" s="428"/>
      <c r="P249" s="428"/>
      <c r="Q249" s="419"/>
      <c r="R249" s="429" t="s">
        <v>27</v>
      </c>
      <c r="S249" s="436"/>
      <c r="T249" s="437"/>
      <c r="U249" s="436"/>
      <c r="V249" s="437"/>
      <c r="W249" s="429"/>
      <c r="X249" s="436"/>
      <c r="Y249" s="437"/>
      <c r="Z249" s="429"/>
      <c r="AA249" s="436"/>
      <c r="AB249" s="429"/>
      <c r="AC249" s="429"/>
      <c r="AD249" s="578"/>
    </row>
    <row r="250" spans="1:30" s="355" customFormat="1" ht="37.5" customHeight="1">
      <c r="A250" s="582"/>
      <c r="B250" s="582"/>
      <c r="C250" s="582"/>
      <c r="D250" s="585"/>
      <c r="E250" s="588"/>
      <c r="F250" s="591"/>
      <c r="G250" s="591"/>
      <c r="H250" s="594"/>
      <c r="I250" s="597"/>
      <c r="J250" s="576"/>
      <c r="K250" s="576"/>
      <c r="L250" s="427"/>
      <c r="M250" s="427"/>
      <c r="N250" s="427"/>
      <c r="O250" s="428"/>
      <c r="P250" s="428"/>
      <c r="Q250" s="419"/>
      <c r="R250" s="429" t="s">
        <v>36</v>
      </c>
      <c r="S250" s="436"/>
      <c r="T250" s="437"/>
      <c r="U250" s="436"/>
      <c r="V250" s="437"/>
      <c r="W250" s="429"/>
      <c r="X250" s="436"/>
      <c r="Y250" s="437"/>
      <c r="Z250" s="429"/>
      <c r="AA250" s="436"/>
      <c r="AB250" s="429"/>
      <c r="AC250" s="429"/>
      <c r="AD250" s="579"/>
    </row>
    <row r="251" spans="1:30" s="355" customFormat="1" ht="37.5" customHeight="1">
      <c r="D251" s="359"/>
      <c r="E251" s="358"/>
      <c r="F251" s="357"/>
      <c r="G251" s="357"/>
      <c r="H251" s="356"/>
      <c r="I251" s="347"/>
      <c r="J251" s="347"/>
      <c r="K251" s="347"/>
      <c r="L251" s="351"/>
      <c r="M251" s="351"/>
      <c r="N251" s="351"/>
      <c r="O251" s="348"/>
      <c r="P251" s="348"/>
      <c r="Q251" s="347"/>
      <c r="R251" s="344"/>
      <c r="S251" s="345"/>
      <c r="T251" s="346"/>
      <c r="U251" s="345"/>
      <c r="V251" s="346"/>
      <c r="W251" s="344"/>
      <c r="X251" s="345"/>
      <c r="Y251" s="346"/>
      <c r="Z251" s="344"/>
      <c r="AA251" s="345"/>
      <c r="AB251" s="344"/>
      <c r="AC251" s="344"/>
      <c r="AD251" s="343"/>
    </row>
    <row r="252" spans="1:30" s="327" customFormat="1" ht="40.25" customHeight="1">
      <c r="D252" s="354"/>
      <c r="E252" s="354"/>
      <c r="F252" s="353" t="s">
        <v>368</v>
      </c>
      <c r="G252" s="353"/>
      <c r="H252" s="352"/>
      <c r="I252" s="352"/>
      <c r="J252" s="347"/>
      <c r="K252" s="347"/>
      <c r="L252" s="351"/>
      <c r="M252" s="350"/>
      <c r="N252" s="349"/>
      <c r="O252" s="348"/>
      <c r="P252" s="348"/>
      <c r="Q252" s="347"/>
      <c r="R252" s="344"/>
      <c r="S252" s="345"/>
      <c r="T252" s="346"/>
      <c r="U252" s="345"/>
      <c r="V252" s="346"/>
      <c r="W252" s="344"/>
      <c r="X252" s="345"/>
      <c r="Y252" s="346"/>
      <c r="Z252" s="344"/>
      <c r="AA252" s="345"/>
      <c r="AB252" s="344"/>
      <c r="AC252" s="344"/>
      <c r="AD252" s="343"/>
    </row>
    <row r="253" spans="1:30" ht="40.25" customHeight="1">
      <c r="F253" s="333" t="s">
        <v>193</v>
      </c>
      <c r="G253" s="64">
        <f>COUNTA(H5:H250)</f>
        <v>82</v>
      </c>
      <c r="I253" s="342"/>
      <c r="J253" s="341"/>
      <c r="K253" s="341"/>
      <c r="L253" s="335"/>
      <c r="M253" s="340"/>
      <c r="Q253" s="327"/>
      <c r="R253" s="344"/>
      <c r="AC253" s="326"/>
      <c r="AD253" s="325"/>
    </row>
    <row r="254" spans="1:30" ht="40.25" customHeight="1">
      <c r="F254" s="333" t="s">
        <v>240</v>
      </c>
      <c r="G254" s="339">
        <f>G253-G255-G256-G257</f>
        <v>61</v>
      </c>
      <c r="I254" s="338"/>
      <c r="J254" s="334"/>
      <c r="K254" s="334"/>
      <c r="L254" s="335"/>
      <c r="M254" s="334"/>
      <c r="Q254" s="327"/>
      <c r="AC254" s="326"/>
      <c r="AD254" s="325"/>
    </row>
    <row r="255" spans="1:30" ht="45.65" customHeight="1">
      <c r="F255" s="333" t="s">
        <v>194</v>
      </c>
      <c r="G255" s="65">
        <f>COUNTIF(Q5:Q250,"核定")</f>
        <v>4</v>
      </c>
      <c r="I255" s="338"/>
      <c r="J255" s="334"/>
      <c r="K255" s="334"/>
      <c r="L255" s="335"/>
      <c r="M255" s="334"/>
      <c r="Q255" s="327"/>
      <c r="AC255" s="326"/>
      <c r="AD255" s="325"/>
    </row>
    <row r="256" spans="1:30" ht="40.25" customHeight="1">
      <c r="F256" s="333" t="s">
        <v>177</v>
      </c>
      <c r="G256" s="65">
        <f>COUNTIF(Q5:Q250,"審查")</f>
        <v>16</v>
      </c>
      <c r="I256" s="337"/>
      <c r="J256" s="336"/>
      <c r="K256" s="336"/>
      <c r="L256" s="335"/>
      <c r="M256" s="334"/>
      <c r="Q256" s="327"/>
      <c r="AC256" s="326"/>
      <c r="AD256" s="325"/>
    </row>
    <row r="257" spans="4:29" s="326" customFormat="1" ht="34.5" customHeight="1">
      <c r="D257" s="330"/>
      <c r="E257" s="330"/>
      <c r="F257" s="333" t="s">
        <v>1405</v>
      </c>
      <c r="G257" s="65">
        <f>COUNTIF(Q5:Q250,"修正")</f>
        <v>1</v>
      </c>
      <c r="I257" s="332"/>
      <c r="J257" s="331"/>
      <c r="K257" s="331"/>
      <c r="L257" s="329"/>
      <c r="O257" s="329"/>
      <c r="P257" s="328"/>
      <c r="Q257" s="328"/>
      <c r="R257" s="327"/>
      <c r="S257" s="327"/>
      <c r="T257" s="327"/>
      <c r="U257" s="327"/>
      <c r="V257" s="327"/>
      <c r="W257" s="327"/>
      <c r="X257" s="327"/>
      <c r="Y257" s="327"/>
      <c r="Z257" s="327"/>
      <c r="AA257" s="327"/>
      <c r="AB257" s="327"/>
      <c r="AC257" s="327"/>
    </row>
  </sheetData>
  <mergeCells count="862">
    <mergeCell ref="E20:E22"/>
    <mergeCell ref="F20:F22"/>
    <mergeCell ref="G20:G22"/>
    <mergeCell ref="H20:H22"/>
    <mergeCell ref="I20:I22"/>
    <mergeCell ref="A26:A28"/>
    <mergeCell ref="B26:B28"/>
    <mergeCell ref="C26:C28"/>
    <mergeCell ref="D26:D28"/>
    <mergeCell ref="E26:E28"/>
    <mergeCell ref="F26:F28"/>
    <mergeCell ref="G26:G28"/>
    <mergeCell ref="H26:H28"/>
    <mergeCell ref="C23:C25"/>
    <mergeCell ref="D23:D25"/>
    <mergeCell ref="E23:E25"/>
    <mergeCell ref="F23:F25"/>
    <mergeCell ref="G23:G25"/>
    <mergeCell ref="H23:H25"/>
    <mergeCell ref="I23:I25"/>
    <mergeCell ref="E74:E76"/>
    <mergeCell ref="F74:F76"/>
    <mergeCell ref="G74:G76"/>
    <mergeCell ref="H74:H76"/>
    <mergeCell ref="I74:I76"/>
    <mergeCell ref="A71:A73"/>
    <mergeCell ref="B71:B73"/>
    <mergeCell ref="C71:C73"/>
    <mergeCell ref="D71:D73"/>
    <mergeCell ref="E71:E73"/>
    <mergeCell ref="F71:F73"/>
    <mergeCell ref="G71:G73"/>
    <mergeCell ref="H71:H73"/>
    <mergeCell ref="I71:I73"/>
    <mergeCell ref="E56:E58"/>
    <mergeCell ref="F56:F58"/>
    <mergeCell ref="G56:G58"/>
    <mergeCell ref="H56:H58"/>
    <mergeCell ref="I56:I58"/>
    <mergeCell ref="I26:I28"/>
    <mergeCell ref="A29:A31"/>
    <mergeCell ref="B29:B31"/>
    <mergeCell ref="C29:C31"/>
    <mergeCell ref="D29:D31"/>
    <mergeCell ref="C53:C55"/>
    <mergeCell ref="D53:D55"/>
    <mergeCell ref="E53:E55"/>
    <mergeCell ref="F53:F55"/>
    <mergeCell ref="E29:E31"/>
    <mergeCell ref="F29:F31"/>
    <mergeCell ref="G29:G31"/>
    <mergeCell ref="H29:H31"/>
    <mergeCell ref="I29:I31"/>
    <mergeCell ref="H44:H46"/>
    <mergeCell ref="I44:I46"/>
    <mergeCell ref="A47:A49"/>
    <mergeCell ref="E47:E49"/>
    <mergeCell ref="F47:F49"/>
    <mergeCell ref="G47:G49"/>
    <mergeCell ref="H47:H49"/>
    <mergeCell ref="I47:I49"/>
    <mergeCell ref="A44:A46"/>
    <mergeCell ref="B44:B46"/>
    <mergeCell ref="C44:C46"/>
    <mergeCell ref="D44:D46"/>
    <mergeCell ref="E44:E46"/>
    <mergeCell ref="F44:F46"/>
    <mergeCell ref="G44:G46"/>
    <mergeCell ref="H41:H43"/>
    <mergeCell ref="J191:J193"/>
    <mergeCell ref="K191:K193"/>
    <mergeCell ref="J98:J100"/>
    <mergeCell ref="K98:K100"/>
    <mergeCell ref="J188:J190"/>
    <mergeCell ref="K188:K190"/>
    <mergeCell ref="J161:J163"/>
    <mergeCell ref="K161:K163"/>
    <mergeCell ref="J164:J166"/>
    <mergeCell ref="K164:K166"/>
    <mergeCell ref="J167:J169"/>
    <mergeCell ref="K167:K169"/>
    <mergeCell ref="J173:J175"/>
    <mergeCell ref="K173:K175"/>
    <mergeCell ref="J158:J160"/>
    <mergeCell ref="K158:K160"/>
    <mergeCell ref="J185:J187"/>
    <mergeCell ref="K185:K187"/>
    <mergeCell ref="J152:J154"/>
    <mergeCell ref="K152:K154"/>
    <mergeCell ref="K104:K106"/>
    <mergeCell ref="K125:K127"/>
    <mergeCell ref="J92:J94"/>
    <mergeCell ref="K5:K7"/>
    <mergeCell ref="J86:J88"/>
    <mergeCell ref="K86:K88"/>
    <mergeCell ref="J176:J178"/>
    <mergeCell ref="K176:K178"/>
    <mergeCell ref="J179:J181"/>
    <mergeCell ref="K179:K181"/>
    <mergeCell ref="J182:J184"/>
    <mergeCell ref="J131:J133"/>
    <mergeCell ref="K131:K133"/>
    <mergeCell ref="J134:J136"/>
    <mergeCell ref="K134:K136"/>
    <mergeCell ref="J146:J148"/>
    <mergeCell ref="K146:K148"/>
    <mergeCell ref="J149:J151"/>
    <mergeCell ref="K149:K151"/>
    <mergeCell ref="J113:J115"/>
    <mergeCell ref="K113:K115"/>
    <mergeCell ref="K182:K184"/>
    <mergeCell ref="J119:J121"/>
    <mergeCell ref="K119:K121"/>
    <mergeCell ref="J125:J127"/>
    <mergeCell ref="J101:J103"/>
    <mergeCell ref="K101:K103"/>
    <mergeCell ref="K92:K94"/>
    <mergeCell ref="J95:J97"/>
    <mergeCell ref="K95:K97"/>
    <mergeCell ref="J77:J79"/>
    <mergeCell ref="K77:K79"/>
    <mergeCell ref="J80:J82"/>
    <mergeCell ref="K80:K82"/>
    <mergeCell ref="J83:J85"/>
    <mergeCell ref="K83:K85"/>
    <mergeCell ref="J89:J91"/>
    <mergeCell ref="K89:K91"/>
    <mergeCell ref="D191:D193"/>
    <mergeCell ref="E191:E193"/>
    <mergeCell ref="F191:F193"/>
    <mergeCell ref="H191:H193"/>
    <mergeCell ref="I191:I193"/>
    <mergeCell ref="G191:G193"/>
    <mergeCell ref="I155:I157"/>
    <mergeCell ref="I164:I166"/>
    <mergeCell ref="E167:E169"/>
    <mergeCell ref="I167:I169"/>
    <mergeCell ref="I170:I172"/>
    <mergeCell ref="I161:I163"/>
    <mergeCell ref="E185:E187"/>
    <mergeCell ref="F185:F187"/>
    <mergeCell ref="H185:H187"/>
    <mergeCell ref="D188:D190"/>
    <mergeCell ref="F188:F190"/>
    <mergeCell ref="H188:H190"/>
    <mergeCell ref="D155:D157"/>
    <mergeCell ref="D158:D160"/>
    <mergeCell ref="D185:D187"/>
    <mergeCell ref="E182:E184"/>
    <mergeCell ref="F182:F184"/>
    <mergeCell ref="H182:H184"/>
    <mergeCell ref="I152:I154"/>
    <mergeCell ref="E89:E91"/>
    <mergeCell ref="I182:I184"/>
    <mergeCell ref="I185:I187"/>
    <mergeCell ref="I188:I190"/>
    <mergeCell ref="E95:E97"/>
    <mergeCell ref="I143:I145"/>
    <mergeCell ref="I119:I121"/>
    <mergeCell ref="I122:I124"/>
    <mergeCell ref="E128:E130"/>
    <mergeCell ref="H128:H130"/>
    <mergeCell ref="I128:I130"/>
    <mergeCell ref="I125:I127"/>
    <mergeCell ref="I107:I109"/>
    <mergeCell ref="I113:I115"/>
    <mergeCell ref="E122:E124"/>
    <mergeCell ref="E119:E121"/>
    <mergeCell ref="I173:I175"/>
    <mergeCell ref="I176:I178"/>
    <mergeCell ref="I179:I181"/>
    <mergeCell ref="I110:I112"/>
    <mergeCell ref="I95:I97"/>
    <mergeCell ref="E188:E190"/>
    <mergeCell ref="F95:F97"/>
    <mergeCell ref="I140:I142"/>
    <mergeCell ref="E146:E148"/>
    <mergeCell ref="I146:I148"/>
    <mergeCell ref="E155:E157"/>
    <mergeCell ref="I158:I160"/>
    <mergeCell ref="F134:F136"/>
    <mergeCell ref="I134:I136"/>
    <mergeCell ref="E137:E139"/>
    <mergeCell ref="I137:I139"/>
    <mergeCell ref="F155:F157"/>
    <mergeCell ref="H155:H157"/>
    <mergeCell ref="H137:H139"/>
    <mergeCell ref="E158:E160"/>
    <mergeCell ref="G155:G157"/>
    <mergeCell ref="H140:H142"/>
    <mergeCell ref="F158:F160"/>
    <mergeCell ref="H158:H160"/>
    <mergeCell ref="E149:E151"/>
    <mergeCell ref="F149:F151"/>
    <mergeCell ref="H149:H151"/>
    <mergeCell ref="I149:I151"/>
    <mergeCell ref="E152:E154"/>
    <mergeCell ref="F152:F154"/>
    <mergeCell ref="H152:H154"/>
    <mergeCell ref="I131:I133"/>
    <mergeCell ref="I104:I106"/>
    <mergeCell ref="H113:H115"/>
    <mergeCell ref="G50:G52"/>
    <mergeCell ref="H110:H112"/>
    <mergeCell ref="F59:F61"/>
    <mergeCell ref="H59:H61"/>
    <mergeCell ref="G59:G61"/>
    <mergeCell ref="G107:G109"/>
    <mergeCell ref="F131:F133"/>
    <mergeCell ref="H131:H133"/>
    <mergeCell ref="F77:F79"/>
    <mergeCell ref="H77:H79"/>
    <mergeCell ref="F86:F88"/>
    <mergeCell ref="I98:I100"/>
    <mergeCell ref="I68:I70"/>
    <mergeCell ref="G77:G79"/>
    <mergeCell ref="G68:G70"/>
    <mergeCell ref="I8:I10"/>
    <mergeCell ref="I11:I13"/>
    <mergeCell ref="I101:I103"/>
    <mergeCell ref="I17:I19"/>
    <mergeCell ref="I32:I34"/>
    <mergeCell ref="I35:I37"/>
    <mergeCell ref="I38:I40"/>
    <mergeCell ref="E14:E16"/>
    <mergeCell ref="E50:E52"/>
    <mergeCell ref="F50:F52"/>
    <mergeCell ref="I50:I52"/>
    <mergeCell ref="I59:I61"/>
    <mergeCell ref="I65:I67"/>
    <mergeCell ref="I77:I79"/>
    <mergeCell ref="I80:I82"/>
    <mergeCell ref="I83:I85"/>
    <mergeCell ref="I86:I88"/>
    <mergeCell ref="I89:I91"/>
    <mergeCell ref="I92:I94"/>
    <mergeCell ref="H86:H88"/>
    <mergeCell ref="F92:F94"/>
    <mergeCell ref="H92:H94"/>
    <mergeCell ref="E101:E103"/>
    <mergeCell ref="E80:E82"/>
    <mergeCell ref="J5:J7"/>
    <mergeCell ref="J104:J106"/>
    <mergeCell ref="F35:F37"/>
    <mergeCell ref="F32:F34"/>
    <mergeCell ref="F104:F106"/>
    <mergeCell ref="H38:H40"/>
    <mergeCell ref="F14:F16"/>
    <mergeCell ref="F62:F64"/>
    <mergeCell ref="H62:H64"/>
    <mergeCell ref="F101:F103"/>
    <mergeCell ref="F65:F67"/>
    <mergeCell ref="H65:H67"/>
    <mergeCell ref="F68:F70"/>
    <mergeCell ref="I41:I43"/>
    <mergeCell ref="H50:H52"/>
    <mergeCell ref="G5:G7"/>
    <mergeCell ref="G14:G16"/>
    <mergeCell ref="I5:I7"/>
    <mergeCell ref="G11:G13"/>
    <mergeCell ref="G17:G19"/>
    <mergeCell ref="G35:G37"/>
    <mergeCell ref="I14:I16"/>
    <mergeCell ref="H101:H103"/>
    <mergeCell ref="I62:I64"/>
    <mergeCell ref="E11:E13"/>
    <mergeCell ref="D5:D7"/>
    <mergeCell ref="F5:F7"/>
    <mergeCell ref="H5:H7"/>
    <mergeCell ref="D8:D10"/>
    <mergeCell ref="F8:F10"/>
    <mergeCell ref="H8:H10"/>
    <mergeCell ref="D14:D16"/>
    <mergeCell ref="D11:D13"/>
    <mergeCell ref="F11:F13"/>
    <mergeCell ref="H11:H13"/>
    <mergeCell ref="H14:H16"/>
    <mergeCell ref="E5:E7"/>
    <mergeCell ref="E8:E10"/>
    <mergeCell ref="F17:F19"/>
    <mergeCell ref="H17:H19"/>
    <mergeCell ref="E17:E19"/>
    <mergeCell ref="D104:D106"/>
    <mergeCell ref="H68:H70"/>
    <mergeCell ref="D68:D70"/>
    <mergeCell ref="G65:G67"/>
    <mergeCell ref="G62:G64"/>
    <mergeCell ref="D32:D34"/>
    <mergeCell ref="H32:H34"/>
    <mergeCell ref="G32:G34"/>
    <mergeCell ref="G38:G40"/>
    <mergeCell ref="D38:D40"/>
    <mergeCell ref="D35:D37"/>
    <mergeCell ref="F38:F40"/>
    <mergeCell ref="E41:E43"/>
    <mergeCell ref="E35:E37"/>
    <mergeCell ref="E38:E40"/>
    <mergeCell ref="H35:H37"/>
    <mergeCell ref="F41:F43"/>
    <mergeCell ref="E32:E34"/>
    <mergeCell ref="E77:E79"/>
    <mergeCell ref="E83:E85"/>
    <mergeCell ref="F89:F91"/>
    <mergeCell ref="G188:G190"/>
    <mergeCell ref="G185:G187"/>
    <mergeCell ref="D119:D121"/>
    <mergeCell ref="D77:D79"/>
    <mergeCell ref="H122:H124"/>
    <mergeCell ref="H119:H121"/>
    <mergeCell ref="D125:D127"/>
    <mergeCell ref="E125:E127"/>
    <mergeCell ref="F125:F127"/>
    <mergeCell ref="H125:H127"/>
    <mergeCell ref="F119:F121"/>
    <mergeCell ref="H134:H136"/>
    <mergeCell ref="D131:D133"/>
    <mergeCell ref="E131:E133"/>
    <mergeCell ref="D80:D82"/>
    <mergeCell ref="E107:E109"/>
    <mergeCell ref="H107:H109"/>
    <mergeCell ref="H104:H106"/>
    <mergeCell ref="E104:E106"/>
    <mergeCell ref="D152:D154"/>
    <mergeCell ref="D128:D130"/>
    <mergeCell ref="D134:D136"/>
    <mergeCell ref="D107:D109"/>
    <mergeCell ref="H89:H91"/>
    <mergeCell ref="F80:F82"/>
    <mergeCell ref="H80:H82"/>
    <mergeCell ref="F83:F85"/>
    <mergeCell ref="D83:D85"/>
    <mergeCell ref="H83:H85"/>
    <mergeCell ref="D149:D151"/>
    <mergeCell ref="D98:D100"/>
    <mergeCell ref="D113:D115"/>
    <mergeCell ref="D122:D124"/>
    <mergeCell ref="D110:D112"/>
    <mergeCell ref="G125:G127"/>
    <mergeCell ref="F107:F109"/>
    <mergeCell ref="H95:H97"/>
    <mergeCell ref="G89:G91"/>
    <mergeCell ref="G92:G94"/>
    <mergeCell ref="G95:G97"/>
    <mergeCell ref="G86:G88"/>
    <mergeCell ref="G80:G82"/>
    <mergeCell ref="G83:G85"/>
    <mergeCell ref="E86:E88"/>
    <mergeCell ref="E170:E172"/>
    <mergeCell ref="D173:D175"/>
    <mergeCell ref="E173:E175"/>
    <mergeCell ref="F173:F175"/>
    <mergeCell ref="H173:H175"/>
    <mergeCell ref="D164:D166"/>
    <mergeCell ref="F164:F166"/>
    <mergeCell ref="H164:H166"/>
    <mergeCell ref="D167:D169"/>
    <mergeCell ref="G170:G172"/>
    <mergeCell ref="E164:E166"/>
    <mergeCell ref="H167:H169"/>
    <mergeCell ref="D170:D172"/>
    <mergeCell ref="F170:F172"/>
    <mergeCell ref="H170:H172"/>
    <mergeCell ref="F167:F169"/>
    <mergeCell ref="G137:G139"/>
    <mergeCell ref="D143:D145"/>
    <mergeCell ref="E143:E145"/>
    <mergeCell ref="F143:F145"/>
    <mergeCell ref="H143:H145"/>
    <mergeCell ref="D137:D139"/>
    <mergeCell ref="D140:D142"/>
    <mergeCell ref="H161:H163"/>
    <mergeCell ref="G164:G166"/>
    <mergeCell ref="D161:D163"/>
    <mergeCell ref="F161:F163"/>
    <mergeCell ref="E161:E163"/>
    <mergeCell ref="D146:D148"/>
    <mergeCell ref="F146:F148"/>
    <mergeCell ref="E179:E181"/>
    <mergeCell ref="F179:F181"/>
    <mergeCell ref="H179:H181"/>
    <mergeCell ref="E92:E94"/>
    <mergeCell ref="E98:E100"/>
    <mergeCell ref="F98:F100"/>
    <mergeCell ref="H98:H100"/>
    <mergeCell ref="G167:G169"/>
    <mergeCell ref="G128:G130"/>
    <mergeCell ref="G116:G118"/>
    <mergeCell ref="H116:H118"/>
    <mergeCell ref="G143:G145"/>
    <mergeCell ref="F137:F139"/>
    <mergeCell ref="F113:F115"/>
    <mergeCell ref="E140:E142"/>
    <mergeCell ref="G119:G121"/>
    <mergeCell ref="G104:G106"/>
    <mergeCell ref="F140:F142"/>
    <mergeCell ref="F122:F124"/>
    <mergeCell ref="G134:G136"/>
    <mergeCell ref="G131:G133"/>
    <mergeCell ref="E176:E178"/>
    <mergeCell ref="F176:F178"/>
    <mergeCell ref="H176:H178"/>
    <mergeCell ref="E134:E136"/>
    <mergeCell ref="F128:F130"/>
    <mergeCell ref="E110:E112"/>
    <mergeCell ref="F110:F112"/>
    <mergeCell ref="E113:E115"/>
    <mergeCell ref="D116:D118"/>
    <mergeCell ref="E116:E118"/>
    <mergeCell ref="F116:F118"/>
    <mergeCell ref="G113:G115"/>
    <mergeCell ref="A5:A7"/>
    <mergeCell ref="B5:B7"/>
    <mergeCell ref="C5:C7"/>
    <mergeCell ref="C8:C10"/>
    <mergeCell ref="C41:C43"/>
    <mergeCell ref="D182:D184"/>
    <mergeCell ref="D95:D97"/>
    <mergeCell ref="D86:D88"/>
    <mergeCell ref="D89:D91"/>
    <mergeCell ref="D179:D181"/>
    <mergeCell ref="D176:D178"/>
    <mergeCell ref="D17:D19"/>
    <mergeCell ref="B47:B49"/>
    <mergeCell ref="C47:C49"/>
    <mergeCell ref="D47:D49"/>
    <mergeCell ref="C56:C58"/>
    <mergeCell ref="D56:D58"/>
    <mergeCell ref="D74:D76"/>
    <mergeCell ref="C20:C22"/>
    <mergeCell ref="D20:D22"/>
    <mergeCell ref="C62:C64"/>
    <mergeCell ref="C65:C67"/>
    <mergeCell ref="C68:C70"/>
    <mergeCell ref="C107:C109"/>
    <mergeCell ref="C128:C130"/>
    <mergeCell ref="C137:C139"/>
    <mergeCell ref="C140:C142"/>
    <mergeCell ref="C143:C145"/>
    <mergeCell ref="C11:C13"/>
    <mergeCell ref="C14:C16"/>
    <mergeCell ref="C17:C19"/>
    <mergeCell ref="C32:C34"/>
    <mergeCell ref="C35:C37"/>
    <mergeCell ref="C38:C40"/>
    <mergeCell ref="F200:F202"/>
    <mergeCell ref="G200:G202"/>
    <mergeCell ref="H200:H202"/>
    <mergeCell ref="D203:D205"/>
    <mergeCell ref="E203:E205"/>
    <mergeCell ref="F203:F205"/>
    <mergeCell ref="G203:G205"/>
    <mergeCell ref="H203:H205"/>
    <mergeCell ref="D194:D196"/>
    <mergeCell ref="E194:E196"/>
    <mergeCell ref="F194:F196"/>
    <mergeCell ref="G194:G196"/>
    <mergeCell ref="H194:H196"/>
    <mergeCell ref="D197:D199"/>
    <mergeCell ref="E197:E199"/>
    <mergeCell ref="F197:F199"/>
    <mergeCell ref="G197:G199"/>
    <mergeCell ref="H197:H199"/>
    <mergeCell ref="D218:D220"/>
    <mergeCell ref="E218:E220"/>
    <mergeCell ref="F218:F220"/>
    <mergeCell ref="G218:G220"/>
    <mergeCell ref="H218:H220"/>
    <mergeCell ref="D212:D214"/>
    <mergeCell ref="E212:E214"/>
    <mergeCell ref="F212:F214"/>
    <mergeCell ref="G212:G214"/>
    <mergeCell ref="H212:H214"/>
    <mergeCell ref="D230:D232"/>
    <mergeCell ref="E230:E232"/>
    <mergeCell ref="F230:F232"/>
    <mergeCell ref="G230:G232"/>
    <mergeCell ref="H230:H232"/>
    <mergeCell ref="D221:D223"/>
    <mergeCell ref="E221:E223"/>
    <mergeCell ref="F221:F223"/>
    <mergeCell ref="G221:G223"/>
    <mergeCell ref="H221:H223"/>
    <mergeCell ref="D227:D229"/>
    <mergeCell ref="E227:E229"/>
    <mergeCell ref="F227:F229"/>
    <mergeCell ref="G227:G229"/>
    <mergeCell ref="H227:H229"/>
    <mergeCell ref="H224:H226"/>
    <mergeCell ref="G224:G226"/>
    <mergeCell ref="E224:E226"/>
    <mergeCell ref="F224:F226"/>
    <mergeCell ref="D224:D226"/>
    <mergeCell ref="D233:D235"/>
    <mergeCell ref="E233:E235"/>
    <mergeCell ref="F233:F235"/>
    <mergeCell ref="G233:G235"/>
    <mergeCell ref="H233:H235"/>
    <mergeCell ref="D236:D238"/>
    <mergeCell ref="E236:E238"/>
    <mergeCell ref="F236:F238"/>
    <mergeCell ref="G236:G238"/>
    <mergeCell ref="H236:H238"/>
    <mergeCell ref="J236:J238"/>
    <mergeCell ref="K236:K238"/>
    <mergeCell ref="I236:I238"/>
    <mergeCell ref="J194:J196"/>
    <mergeCell ref="K194:K196"/>
    <mergeCell ref="J197:J199"/>
    <mergeCell ref="K197:K199"/>
    <mergeCell ref="J200:J202"/>
    <mergeCell ref="K200:K202"/>
    <mergeCell ref="J203:J205"/>
    <mergeCell ref="K203:K205"/>
    <mergeCell ref="J206:J208"/>
    <mergeCell ref="K206:K208"/>
    <mergeCell ref="J212:J214"/>
    <mergeCell ref="K209:K211"/>
    <mergeCell ref="I209:I211"/>
    <mergeCell ref="K221:K223"/>
    <mergeCell ref="I230:I232"/>
    <mergeCell ref="I194:I196"/>
    <mergeCell ref="I197:I199"/>
    <mergeCell ref="I200:I202"/>
    <mergeCell ref="I203:I205"/>
    <mergeCell ref="I206:I208"/>
    <mergeCell ref="J233:J235"/>
    <mergeCell ref="K233:K235"/>
    <mergeCell ref="J230:J232"/>
    <mergeCell ref="K230:K232"/>
    <mergeCell ref="I233:I235"/>
    <mergeCell ref="I218:I220"/>
    <mergeCell ref="I221:I223"/>
    <mergeCell ref="I227:I229"/>
    <mergeCell ref="J227:J229"/>
    <mergeCell ref="K227:K229"/>
    <mergeCell ref="J218:J220"/>
    <mergeCell ref="K218:K220"/>
    <mergeCell ref="J221:J223"/>
    <mergeCell ref="K224:K226"/>
    <mergeCell ref="I224:I226"/>
    <mergeCell ref="B8:B10"/>
    <mergeCell ref="A8:A10"/>
    <mergeCell ref="A11:A13"/>
    <mergeCell ref="B11:B13"/>
    <mergeCell ref="A14:A16"/>
    <mergeCell ref="B14:B16"/>
    <mergeCell ref="I116:I118"/>
    <mergeCell ref="J116:J118"/>
    <mergeCell ref="K116:K118"/>
    <mergeCell ref="G41:G43"/>
    <mergeCell ref="G101:G103"/>
    <mergeCell ref="D50:D52"/>
    <mergeCell ref="C50:C52"/>
    <mergeCell ref="E68:E70"/>
    <mergeCell ref="D62:D64"/>
    <mergeCell ref="E62:E64"/>
    <mergeCell ref="D101:D103"/>
    <mergeCell ref="D65:D67"/>
    <mergeCell ref="E65:E67"/>
    <mergeCell ref="D41:D43"/>
    <mergeCell ref="D59:D61"/>
    <mergeCell ref="E59:E61"/>
    <mergeCell ref="D92:D94"/>
    <mergeCell ref="C59:C61"/>
    <mergeCell ref="A17:A19"/>
    <mergeCell ref="B17:B19"/>
    <mergeCell ref="A32:A34"/>
    <mergeCell ref="B32:B34"/>
    <mergeCell ref="A35:A37"/>
    <mergeCell ref="B35:B37"/>
    <mergeCell ref="A38:A40"/>
    <mergeCell ref="B38:B40"/>
    <mergeCell ref="A41:A43"/>
    <mergeCell ref="B41:B43"/>
    <mergeCell ref="A23:A25"/>
    <mergeCell ref="B23:B25"/>
    <mergeCell ref="A20:A22"/>
    <mergeCell ref="B20:B22"/>
    <mergeCell ref="A50:A52"/>
    <mergeCell ref="B50:B52"/>
    <mergeCell ref="A59:A61"/>
    <mergeCell ref="B59:B61"/>
    <mergeCell ref="A62:A64"/>
    <mergeCell ref="B62:B64"/>
    <mergeCell ref="A65:A67"/>
    <mergeCell ref="B65:B67"/>
    <mergeCell ref="A53:A55"/>
    <mergeCell ref="B53:B55"/>
    <mergeCell ref="A56:A58"/>
    <mergeCell ref="B56:B58"/>
    <mergeCell ref="A107:A109"/>
    <mergeCell ref="B107:B109"/>
    <mergeCell ref="A110:A112"/>
    <mergeCell ref="B110:B112"/>
    <mergeCell ref="C110:C112"/>
    <mergeCell ref="A113:A115"/>
    <mergeCell ref="B113:B115"/>
    <mergeCell ref="C113:C115"/>
    <mergeCell ref="A68:A70"/>
    <mergeCell ref="B68:B70"/>
    <mergeCell ref="A101:A103"/>
    <mergeCell ref="B101:B103"/>
    <mergeCell ref="C101:C103"/>
    <mergeCell ref="A74:A76"/>
    <mergeCell ref="B74:B76"/>
    <mergeCell ref="C74:C76"/>
    <mergeCell ref="A81:A82"/>
    <mergeCell ref="B81:B82"/>
    <mergeCell ref="C81:C82"/>
    <mergeCell ref="C83:C85"/>
    <mergeCell ref="A83:A85"/>
    <mergeCell ref="B83:B85"/>
    <mergeCell ref="A126:A127"/>
    <mergeCell ref="B126:B127"/>
    <mergeCell ref="C126:C127"/>
    <mergeCell ref="A128:A130"/>
    <mergeCell ref="B128:B130"/>
    <mergeCell ref="A131:A133"/>
    <mergeCell ref="B131:B133"/>
    <mergeCell ref="C131:C133"/>
    <mergeCell ref="A116:A118"/>
    <mergeCell ref="B116:B118"/>
    <mergeCell ref="C116:C118"/>
    <mergeCell ref="A119:A121"/>
    <mergeCell ref="B119:B121"/>
    <mergeCell ref="C119:C121"/>
    <mergeCell ref="A122:A124"/>
    <mergeCell ref="B122:B124"/>
    <mergeCell ref="C122:C124"/>
    <mergeCell ref="A134:A136"/>
    <mergeCell ref="B134:B136"/>
    <mergeCell ref="C134:C136"/>
    <mergeCell ref="A137:A139"/>
    <mergeCell ref="B137:B139"/>
    <mergeCell ref="A140:A142"/>
    <mergeCell ref="B140:B142"/>
    <mergeCell ref="A143:A145"/>
    <mergeCell ref="B143:B145"/>
    <mergeCell ref="A147:A148"/>
    <mergeCell ref="B147:B148"/>
    <mergeCell ref="C147:C148"/>
    <mergeCell ref="A149:A151"/>
    <mergeCell ref="B149:B151"/>
    <mergeCell ref="C149:C151"/>
    <mergeCell ref="A164:A166"/>
    <mergeCell ref="B164:B166"/>
    <mergeCell ref="A167:A169"/>
    <mergeCell ref="B167:B169"/>
    <mergeCell ref="C167:C169"/>
    <mergeCell ref="A152:A154"/>
    <mergeCell ref="B152:B154"/>
    <mergeCell ref="C152:C154"/>
    <mergeCell ref="A155:A157"/>
    <mergeCell ref="B155:B157"/>
    <mergeCell ref="A158:A160"/>
    <mergeCell ref="B158:B160"/>
    <mergeCell ref="C158:C160"/>
    <mergeCell ref="A161:A163"/>
    <mergeCell ref="B161:B163"/>
    <mergeCell ref="C161:C163"/>
    <mergeCell ref="C155:C157"/>
    <mergeCell ref="C164:C166"/>
    <mergeCell ref="A176:A178"/>
    <mergeCell ref="B176:B178"/>
    <mergeCell ref="C176:C178"/>
    <mergeCell ref="A179:A181"/>
    <mergeCell ref="B179:B181"/>
    <mergeCell ref="C179:C181"/>
    <mergeCell ref="A170:A172"/>
    <mergeCell ref="B170:B172"/>
    <mergeCell ref="C170:C172"/>
    <mergeCell ref="A77:A79"/>
    <mergeCell ref="B77:B79"/>
    <mergeCell ref="C77:C79"/>
    <mergeCell ref="A86:A88"/>
    <mergeCell ref="B86:B88"/>
    <mergeCell ref="C86:C88"/>
    <mergeCell ref="A89:A91"/>
    <mergeCell ref="B89:B91"/>
    <mergeCell ref="C89:C91"/>
    <mergeCell ref="A92:A94"/>
    <mergeCell ref="B92:B94"/>
    <mergeCell ref="C92:C94"/>
    <mergeCell ref="A191:A193"/>
    <mergeCell ref="B191:B193"/>
    <mergeCell ref="C191:C193"/>
    <mergeCell ref="A95:A97"/>
    <mergeCell ref="B95:B97"/>
    <mergeCell ref="C95:C97"/>
    <mergeCell ref="A98:A100"/>
    <mergeCell ref="B98:B100"/>
    <mergeCell ref="C98:C100"/>
    <mergeCell ref="A182:A184"/>
    <mergeCell ref="B182:B184"/>
    <mergeCell ref="C182:C184"/>
    <mergeCell ref="A185:A187"/>
    <mergeCell ref="B185:B187"/>
    <mergeCell ref="C185:C187"/>
    <mergeCell ref="A188:A190"/>
    <mergeCell ref="B188:B190"/>
    <mergeCell ref="C188:C190"/>
    <mergeCell ref="A173:A175"/>
    <mergeCell ref="B173:B175"/>
    <mergeCell ref="C173:C175"/>
    <mergeCell ref="J215:J217"/>
    <mergeCell ref="A203:A205"/>
    <mergeCell ref="B203:B205"/>
    <mergeCell ref="C203:C205"/>
    <mergeCell ref="A206:A208"/>
    <mergeCell ref="B206:B208"/>
    <mergeCell ref="C206:C208"/>
    <mergeCell ref="A194:A196"/>
    <mergeCell ref="B194:B196"/>
    <mergeCell ref="C194:C196"/>
    <mergeCell ref="A197:A199"/>
    <mergeCell ref="B197:B199"/>
    <mergeCell ref="C197:C199"/>
    <mergeCell ref="A200:A202"/>
    <mergeCell ref="B200:B202"/>
    <mergeCell ref="C200:C202"/>
    <mergeCell ref="J209:J211"/>
    <mergeCell ref="D206:D208"/>
    <mergeCell ref="E206:E208"/>
    <mergeCell ref="F206:F208"/>
    <mergeCell ref="G206:G208"/>
    <mergeCell ref="H206:H208"/>
    <mergeCell ref="D200:D202"/>
    <mergeCell ref="E200:E202"/>
    <mergeCell ref="C209:C211"/>
    <mergeCell ref="A212:A214"/>
    <mergeCell ref="B212:B214"/>
    <mergeCell ref="C212:C214"/>
    <mergeCell ref="D215:D217"/>
    <mergeCell ref="E215:E217"/>
    <mergeCell ref="F215:F217"/>
    <mergeCell ref="G215:G217"/>
    <mergeCell ref="H215:H217"/>
    <mergeCell ref="D209:D211"/>
    <mergeCell ref="E209:E211"/>
    <mergeCell ref="F209:F211"/>
    <mergeCell ref="G209:G211"/>
    <mergeCell ref="H209:H211"/>
    <mergeCell ref="C236:C238"/>
    <mergeCell ref="K212:K214"/>
    <mergeCell ref="A104:A106"/>
    <mergeCell ref="B104:B106"/>
    <mergeCell ref="C104:C106"/>
    <mergeCell ref="A230:A232"/>
    <mergeCell ref="B230:B232"/>
    <mergeCell ref="C230:C232"/>
    <mergeCell ref="A218:A220"/>
    <mergeCell ref="B218:B220"/>
    <mergeCell ref="C218:C220"/>
    <mergeCell ref="A221:A223"/>
    <mergeCell ref="B221:B223"/>
    <mergeCell ref="C221:C223"/>
    <mergeCell ref="A227:A229"/>
    <mergeCell ref="B227:B229"/>
    <mergeCell ref="C227:C229"/>
    <mergeCell ref="J224:J226"/>
    <mergeCell ref="A215:A217"/>
    <mergeCell ref="B215:B217"/>
    <mergeCell ref="C215:C217"/>
    <mergeCell ref="K215:K217"/>
    <mergeCell ref="A209:A211"/>
    <mergeCell ref="B209:B211"/>
    <mergeCell ref="J248:J250"/>
    <mergeCell ref="K248:K250"/>
    <mergeCell ref="AD248:AD250"/>
    <mergeCell ref="A248:A250"/>
    <mergeCell ref="B248:B250"/>
    <mergeCell ref="C248:C250"/>
    <mergeCell ref="D248:D250"/>
    <mergeCell ref="E248:E250"/>
    <mergeCell ref="F248:F250"/>
    <mergeCell ref="G248:G250"/>
    <mergeCell ref="H248:H250"/>
    <mergeCell ref="I248:I250"/>
    <mergeCell ref="J245:J247"/>
    <mergeCell ref="K245:K247"/>
    <mergeCell ref="AD245:AD247"/>
    <mergeCell ref="A245:A247"/>
    <mergeCell ref="B245:B247"/>
    <mergeCell ref="C245:C247"/>
    <mergeCell ref="D245:D247"/>
    <mergeCell ref="E245:E247"/>
    <mergeCell ref="F245:F247"/>
    <mergeCell ref="G245:G247"/>
    <mergeCell ref="H245:H247"/>
    <mergeCell ref="I245:I247"/>
    <mergeCell ref="J239:J241"/>
    <mergeCell ref="K239:K241"/>
    <mergeCell ref="AD239:AD241"/>
    <mergeCell ref="A242:A244"/>
    <mergeCell ref="B242:B244"/>
    <mergeCell ref="C242:C244"/>
    <mergeCell ref="D242:D244"/>
    <mergeCell ref="E242:E244"/>
    <mergeCell ref="F242:F244"/>
    <mergeCell ref="G242:G244"/>
    <mergeCell ref="H242:H244"/>
    <mergeCell ref="I242:I244"/>
    <mergeCell ref="J242:J244"/>
    <mergeCell ref="K242:K244"/>
    <mergeCell ref="AD242:AD244"/>
    <mergeCell ref="A239:A241"/>
    <mergeCell ref="B239:B241"/>
    <mergeCell ref="C239:C241"/>
    <mergeCell ref="D239:D241"/>
    <mergeCell ref="E239:E241"/>
    <mergeCell ref="F239:F241"/>
    <mergeCell ref="G239:G241"/>
    <mergeCell ref="H239:H241"/>
    <mergeCell ref="I239:I241"/>
    <mergeCell ref="H53:H55"/>
    <mergeCell ref="G53:G55"/>
    <mergeCell ref="I53:I55"/>
    <mergeCell ref="I212:I214"/>
    <mergeCell ref="I215:I217"/>
    <mergeCell ref="G98:G100"/>
    <mergeCell ref="G179:G181"/>
    <mergeCell ref="G182:G184"/>
    <mergeCell ref="G173:G175"/>
    <mergeCell ref="G176:G178"/>
    <mergeCell ref="G146:G148"/>
    <mergeCell ref="G149:G151"/>
    <mergeCell ref="G152:G154"/>
    <mergeCell ref="G158:G160"/>
    <mergeCell ref="G161:G163"/>
    <mergeCell ref="H146:H148"/>
    <mergeCell ref="G140:G142"/>
    <mergeCell ref="S2:AC2"/>
    <mergeCell ref="AD2:AD4"/>
    <mergeCell ref="S3:T3"/>
    <mergeCell ref="U3:W3"/>
    <mergeCell ref="X3:Z3"/>
    <mergeCell ref="AA3:AC3"/>
    <mergeCell ref="Q2:Q4"/>
    <mergeCell ref="R2:R4"/>
    <mergeCell ref="D1:AD1"/>
    <mergeCell ref="D2:D4"/>
    <mergeCell ref="E2:E4"/>
    <mergeCell ref="F2:F4"/>
    <mergeCell ref="H2:H4"/>
    <mergeCell ref="L2:L4"/>
    <mergeCell ref="M2:M4"/>
    <mergeCell ref="N2:N4"/>
    <mergeCell ref="O2:O4"/>
    <mergeCell ref="P2:P4"/>
    <mergeCell ref="G2:G4"/>
    <mergeCell ref="I2:I4"/>
    <mergeCell ref="A2:A4"/>
    <mergeCell ref="C2:C4"/>
    <mergeCell ref="A224:A226"/>
    <mergeCell ref="B224:B226"/>
    <mergeCell ref="C224:C226"/>
    <mergeCell ref="A233:A235"/>
    <mergeCell ref="B233:B235"/>
    <mergeCell ref="C233:C235"/>
    <mergeCell ref="A236:A238"/>
    <mergeCell ref="B236:B238"/>
    <mergeCell ref="B3:B4"/>
  </mergeCells>
  <conditionalFormatting sqref="P5:P208">
    <cfRule type="cellIs" dxfId="5" priority="3" stopIfTrue="1" operator="lessThanOrEqual">
      <formula>0</formula>
    </cfRule>
    <cfRule type="cellIs" dxfId="4" priority="4" stopIfTrue="1" operator="greaterThan">
      <formula>0</formula>
    </cfRule>
  </conditionalFormatting>
  <conditionalFormatting sqref="P224:P226">
    <cfRule type="cellIs" dxfId="3" priority="1" stopIfTrue="1" operator="lessThanOrEqual">
      <formula>0</formula>
    </cfRule>
    <cfRule type="cellIs" dxfId="2" priority="2" stopIfTrue="1" operator="greaterThan">
      <formula>0</formula>
    </cfRule>
  </conditionalFormatting>
  <pageMargins left="0.31496062992125984" right="0.31496062992125984" top="0.74803149606299213" bottom="0.74803149606299213" header="0.3543307086614173" footer="0.3543307086614173"/>
  <pageSetup paperSize="8" scale="49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A4FF8-0CAD-49D4-82DA-08DFD1275650}">
  <sheetPr>
    <tabColor theme="9" tint="0.79998168889431442"/>
    <pageSetUpPr autoPageBreaks="0" fitToPage="1"/>
  </sheetPr>
  <dimension ref="A1:AF68"/>
  <sheetViews>
    <sheetView zoomScale="70" zoomScaleNormal="70" zoomScaleSheetLayoutView="55" zoomScalePageLayoutView="40" workbookViewId="0">
      <pane xSplit="7" ySplit="4" topLeftCell="Q5" activePane="bottomRight" state="frozen"/>
      <selection activeCell="J17" sqref="J17"/>
      <selection pane="topRight" activeCell="J17" sqref="J17"/>
      <selection pane="bottomLeft" activeCell="J17" sqref="J17"/>
      <selection pane="bottomRight" activeCell="V60" sqref="V60"/>
    </sheetView>
  </sheetViews>
  <sheetFormatPr defaultColWidth="8" defaultRowHeight="16"/>
  <cols>
    <col min="1" max="1" width="14.08984375" style="1" customWidth="1"/>
    <col min="2" max="2" width="12" style="1" customWidth="1"/>
    <col min="3" max="3" width="10.90625" style="48" customWidth="1"/>
    <col min="4" max="4" width="14.90625" style="48" bestFit="1" customWidth="1"/>
    <col min="5" max="5" width="19" style="2" customWidth="1"/>
    <col min="6" max="6" width="29.08984375" style="2" customWidth="1"/>
    <col min="7" max="7" width="29.453125" style="52" customWidth="1"/>
    <col min="8" max="8" width="15.453125" style="162" customWidth="1"/>
    <col min="9" max="10" width="15.6328125" style="162" customWidth="1"/>
    <col min="11" max="13" width="29.453125" style="52" customWidth="1"/>
    <col min="14" max="14" width="17.453125" style="53" bestFit="1" customWidth="1"/>
    <col min="15" max="15" width="17.453125" style="52" customWidth="1"/>
    <col min="16" max="16" width="16.453125" style="52" bestFit="1" customWidth="1"/>
    <col min="17" max="17" width="20.08984375" style="53" customWidth="1"/>
    <col min="18" max="18" width="14.08984375" style="54" customWidth="1"/>
    <col min="19" max="19" width="11.453125" style="54" customWidth="1"/>
    <col min="20" max="20" width="14.08984375" style="2" customWidth="1"/>
    <col min="21" max="21" width="16.453125" style="2" customWidth="1"/>
    <col min="22" max="22" width="24.453125" style="2" customWidth="1"/>
    <col min="23" max="23" width="16.08984375" style="2" bestFit="1" customWidth="1"/>
    <col min="24" max="24" width="24.453125" style="2" customWidth="1"/>
    <col min="25" max="25" width="18.453125" style="2" customWidth="1"/>
    <col min="26" max="26" width="16.08984375" style="2" bestFit="1" customWidth="1"/>
    <col min="27" max="27" width="20.453125" style="2" bestFit="1" customWidth="1"/>
    <col min="28" max="28" width="14.08984375" style="2" bestFit="1" customWidth="1"/>
    <col min="29" max="29" width="16.08984375" style="2" bestFit="1" customWidth="1"/>
    <col min="30" max="30" width="23" style="2" bestFit="1" customWidth="1"/>
    <col min="31" max="31" width="14.08984375" style="2" bestFit="1" customWidth="1"/>
    <col min="32" max="32" width="23.08984375" style="52" customWidth="1"/>
    <col min="33" max="16384" width="8" style="1"/>
  </cols>
  <sheetData>
    <row r="1" spans="1:32" ht="40.4" customHeight="1">
      <c r="C1" s="608" t="s">
        <v>366</v>
      </c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  <c r="AF1" s="608"/>
    </row>
    <row r="2" spans="1:32" s="2" customFormat="1" ht="25.4" customHeight="1">
      <c r="A2" s="690" t="s">
        <v>522</v>
      </c>
      <c r="B2" s="693" t="s">
        <v>521</v>
      </c>
      <c r="C2" s="609" t="s">
        <v>1</v>
      </c>
      <c r="D2" s="632" t="s">
        <v>2</v>
      </c>
      <c r="E2" s="610" t="s">
        <v>3</v>
      </c>
      <c r="F2" s="860" t="s">
        <v>491</v>
      </c>
      <c r="G2" s="610" t="s">
        <v>4</v>
      </c>
      <c r="H2" s="102"/>
      <c r="I2" s="860" t="s">
        <v>491</v>
      </c>
      <c r="J2" s="860" t="s">
        <v>230</v>
      </c>
      <c r="K2" s="632" t="s">
        <v>255</v>
      </c>
      <c r="L2" s="634" t="s">
        <v>562</v>
      </c>
      <c r="M2" s="102"/>
      <c r="N2" s="617" t="s">
        <v>5</v>
      </c>
      <c r="O2" s="614" t="s">
        <v>6</v>
      </c>
      <c r="P2" s="614" t="s">
        <v>7</v>
      </c>
      <c r="Q2" s="617" t="s">
        <v>8</v>
      </c>
      <c r="R2" s="611" t="s">
        <v>9</v>
      </c>
      <c r="S2" s="610" t="s">
        <v>10</v>
      </c>
      <c r="T2" s="610" t="s">
        <v>11</v>
      </c>
      <c r="U2" s="618" t="s">
        <v>12</v>
      </c>
      <c r="V2" s="618"/>
      <c r="W2" s="618"/>
      <c r="X2" s="618"/>
      <c r="Y2" s="618"/>
      <c r="Z2" s="618"/>
      <c r="AA2" s="618"/>
      <c r="AB2" s="618"/>
      <c r="AC2" s="618"/>
      <c r="AD2" s="618"/>
      <c r="AE2" s="618"/>
      <c r="AF2" s="618" t="s">
        <v>13</v>
      </c>
    </row>
    <row r="3" spans="1:32" s="2" customFormat="1" ht="25.4" customHeight="1">
      <c r="A3" s="690"/>
      <c r="B3" s="693"/>
      <c r="C3" s="609"/>
      <c r="D3" s="633"/>
      <c r="E3" s="610"/>
      <c r="F3" s="861"/>
      <c r="G3" s="610"/>
      <c r="H3" s="103" t="s">
        <v>525</v>
      </c>
      <c r="I3" s="861"/>
      <c r="J3" s="861"/>
      <c r="K3" s="633"/>
      <c r="L3" s="635"/>
      <c r="M3" s="103" t="s">
        <v>526</v>
      </c>
      <c r="N3" s="617"/>
      <c r="O3" s="615"/>
      <c r="P3" s="615"/>
      <c r="Q3" s="617" t="s">
        <v>14</v>
      </c>
      <c r="R3" s="612"/>
      <c r="S3" s="610"/>
      <c r="T3" s="610"/>
      <c r="U3" s="619" t="s">
        <v>15</v>
      </c>
      <c r="V3" s="619"/>
      <c r="W3" s="620" t="s">
        <v>16</v>
      </c>
      <c r="X3" s="620"/>
      <c r="Y3" s="620"/>
      <c r="Z3" s="621" t="s">
        <v>17</v>
      </c>
      <c r="AA3" s="621"/>
      <c r="AB3" s="621"/>
      <c r="AC3" s="622" t="s">
        <v>18</v>
      </c>
      <c r="AD3" s="622"/>
      <c r="AE3" s="622"/>
      <c r="AF3" s="618"/>
    </row>
    <row r="4" spans="1:32" s="2" customFormat="1" ht="25.4" customHeight="1">
      <c r="A4" s="690"/>
      <c r="B4" s="693"/>
      <c r="C4" s="609"/>
      <c r="D4" s="1030"/>
      <c r="E4" s="610"/>
      <c r="F4" s="862"/>
      <c r="G4" s="610"/>
      <c r="H4" s="103"/>
      <c r="I4" s="862"/>
      <c r="J4" s="862"/>
      <c r="K4" s="633"/>
      <c r="L4" s="636"/>
      <c r="M4" s="103"/>
      <c r="N4" s="617"/>
      <c r="O4" s="616"/>
      <c r="P4" s="616"/>
      <c r="Q4" s="617"/>
      <c r="R4" s="613"/>
      <c r="S4" s="610"/>
      <c r="T4" s="610"/>
      <c r="U4" s="3" t="s">
        <v>19</v>
      </c>
      <c r="V4" s="3" t="s">
        <v>20</v>
      </c>
      <c r="W4" s="4" t="s">
        <v>19</v>
      </c>
      <c r="X4" s="4" t="s">
        <v>20</v>
      </c>
      <c r="Y4" s="4" t="s">
        <v>21</v>
      </c>
      <c r="Z4" s="5" t="s">
        <v>19</v>
      </c>
      <c r="AA4" s="5" t="s">
        <v>20</v>
      </c>
      <c r="AB4" s="5" t="s">
        <v>21</v>
      </c>
      <c r="AC4" s="6" t="s">
        <v>19</v>
      </c>
      <c r="AD4" s="6" t="s">
        <v>20</v>
      </c>
      <c r="AE4" s="6" t="s">
        <v>21</v>
      </c>
      <c r="AF4" s="618"/>
    </row>
    <row r="5" spans="1:32" s="195" customFormat="1" ht="40.4" customHeight="1">
      <c r="A5" s="1033"/>
      <c r="B5" s="1031">
        <v>205</v>
      </c>
      <c r="C5" s="1015">
        <v>1</v>
      </c>
      <c r="D5" s="1018">
        <v>98</v>
      </c>
      <c r="E5" s="1023"/>
      <c r="F5" s="1001" t="s">
        <v>479</v>
      </c>
      <c r="G5" s="1026" t="s">
        <v>176</v>
      </c>
      <c r="H5" s="1001"/>
      <c r="I5" s="1001" t="s">
        <v>857</v>
      </c>
      <c r="J5" s="1001" t="s">
        <v>856</v>
      </c>
      <c r="K5" s="1001"/>
      <c r="L5" s="1001"/>
      <c r="M5" s="1001" t="s">
        <v>926</v>
      </c>
      <c r="N5" s="180">
        <f>IF(O5="","",O5-30)</f>
        <v>46234</v>
      </c>
      <c r="O5" s="180">
        <f>IF(P5="","",P5-30)</f>
        <v>46264</v>
      </c>
      <c r="P5" s="179">
        <v>46294</v>
      </c>
      <c r="Q5" s="174" t="str">
        <f t="shared" ref="Q5:Q45" ca="1" si="0">IF(N5="","",IF(U5&lt;&gt;"","",IF(AND(U5="",N5-TODAY()&lt;=60),N5-TODAY(),"")))</f>
        <v/>
      </c>
      <c r="R5" s="174" t="str">
        <f t="shared" ref="R5:R45" si="1">IF(AND(ISNUMBER(N5),ISNUMBER(U5)),N5-U5,"")</f>
        <v/>
      </c>
      <c r="S5" s="175"/>
      <c r="T5" s="169" t="s">
        <v>22</v>
      </c>
      <c r="U5" s="176"/>
      <c r="V5" s="177"/>
      <c r="W5" s="176"/>
      <c r="X5" s="177"/>
      <c r="Y5" s="169"/>
      <c r="Z5" s="176"/>
      <c r="AA5" s="177"/>
      <c r="AB5" s="177"/>
      <c r="AC5" s="176"/>
      <c r="AD5" s="169"/>
      <c r="AE5" s="169"/>
      <c r="AF5" s="178"/>
    </row>
    <row r="6" spans="1:32" s="195" customFormat="1" ht="39.65" customHeight="1">
      <c r="A6" s="1033"/>
      <c r="B6" s="1031"/>
      <c r="C6" s="1016"/>
      <c r="D6" s="1019"/>
      <c r="E6" s="1024"/>
      <c r="F6" s="1002"/>
      <c r="G6" s="1027"/>
      <c r="H6" s="1002"/>
      <c r="I6" s="1002"/>
      <c r="J6" s="1002"/>
      <c r="K6" s="1002"/>
      <c r="L6" s="1002"/>
      <c r="M6" s="1002"/>
      <c r="N6" s="179"/>
      <c r="O6" s="179"/>
      <c r="P6" s="179"/>
      <c r="Q6" s="174" t="str">
        <f t="shared" ca="1" si="0"/>
        <v/>
      </c>
      <c r="R6" s="174" t="str">
        <f t="shared" si="1"/>
        <v/>
      </c>
      <c r="S6" s="175"/>
      <c r="T6" s="169" t="s">
        <v>27</v>
      </c>
      <c r="U6" s="176"/>
      <c r="V6" s="176"/>
      <c r="W6" s="176"/>
      <c r="X6" s="177"/>
      <c r="Y6" s="169"/>
      <c r="Z6" s="176"/>
      <c r="AA6" s="177"/>
      <c r="AB6" s="169" t="str">
        <f>IF(Z6="","",IF(Y6="檢退","檢退",IF(Y6="審查同意","審定","檢退")))</f>
        <v/>
      </c>
      <c r="AC6" s="176"/>
      <c r="AD6" s="169"/>
      <c r="AE6" s="169"/>
      <c r="AF6" s="178"/>
    </row>
    <row r="7" spans="1:32" s="195" customFormat="1" ht="40.4" customHeight="1">
      <c r="A7" s="1033"/>
      <c r="B7" s="1031"/>
      <c r="C7" s="1017"/>
      <c r="D7" s="1020"/>
      <c r="E7" s="1025"/>
      <c r="F7" s="1003"/>
      <c r="G7" s="1028"/>
      <c r="H7" s="1003"/>
      <c r="I7" s="1003"/>
      <c r="J7" s="1003"/>
      <c r="K7" s="1003"/>
      <c r="L7" s="1003"/>
      <c r="M7" s="1003"/>
      <c r="N7" s="179"/>
      <c r="O7" s="179"/>
      <c r="P7" s="179"/>
      <c r="Q7" s="174" t="str">
        <f t="shared" ca="1" si="0"/>
        <v/>
      </c>
      <c r="R7" s="174" t="str">
        <f t="shared" si="1"/>
        <v/>
      </c>
      <c r="S7" s="175"/>
      <c r="T7" s="169" t="s">
        <v>36</v>
      </c>
      <c r="U7" s="176"/>
      <c r="V7" s="177"/>
      <c r="W7" s="176"/>
      <c r="X7" s="177"/>
      <c r="Y7" s="169"/>
      <c r="Z7" s="176"/>
      <c r="AA7" s="177"/>
      <c r="AB7" s="169" t="str">
        <f>IF(Z7="","",IF(Y7="檢退","檢退",IF(Y7="審查同意","審定","檢退")))</f>
        <v/>
      </c>
      <c r="AC7" s="176"/>
      <c r="AD7" s="169"/>
      <c r="AE7" s="169"/>
      <c r="AF7" s="178"/>
    </row>
    <row r="8" spans="1:32" s="195" customFormat="1" ht="40.4" customHeight="1">
      <c r="A8" s="1033"/>
      <c r="B8" s="1031">
        <v>118</v>
      </c>
      <c r="C8" s="1015">
        <f>C5+1</f>
        <v>2</v>
      </c>
      <c r="D8" s="1018">
        <v>99</v>
      </c>
      <c r="E8" s="1023"/>
      <c r="F8" s="1001" t="s">
        <v>478</v>
      </c>
      <c r="G8" s="1026" t="s">
        <v>326</v>
      </c>
      <c r="H8" s="1001"/>
      <c r="I8" s="1001" t="s">
        <v>857</v>
      </c>
      <c r="J8" s="1001" t="s">
        <v>856</v>
      </c>
      <c r="K8" s="1001"/>
      <c r="L8" s="1001"/>
      <c r="M8" s="1001" t="s">
        <v>926</v>
      </c>
      <c r="N8" s="180">
        <f>IF(O8="","",O8-30)</f>
        <v>46234</v>
      </c>
      <c r="O8" s="180">
        <f>IF(P8="","",P8-30)</f>
        <v>46264</v>
      </c>
      <c r="P8" s="179">
        <v>46294</v>
      </c>
      <c r="Q8" s="174" t="str">
        <f t="shared" ca="1" si="0"/>
        <v/>
      </c>
      <c r="R8" s="174" t="str">
        <f t="shared" si="1"/>
        <v/>
      </c>
      <c r="S8" s="175"/>
      <c r="T8" s="169" t="s">
        <v>22</v>
      </c>
      <c r="U8" s="176"/>
      <c r="V8" s="177"/>
      <c r="W8" s="176"/>
      <c r="X8" s="169"/>
      <c r="Y8" s="169"/>
      <c r="Z8" s="176"/>
      <c r="AA8" s="177"/>
      <c r="AB8" s="169"/>
      <c r="AC8" s="176"/>
      <c r="AD8" s="169"/>
      <c r="AE8" s="169"/>
      <c r="AF8" s="178"/>
    </row>
    <row r="9" spans="1:32" s="195" customFormat="1" ht="39.65" customHeight="1">
      <c r="A9" s="1033"/>
      <c r="B9" s="1031"/>
      <c r="C9" s="1016"/>
      <c r="D9" s="1019"/>
      <c r="E9" s="1024"/>
      <c r="F9" s="1002"/>
      <c r="G9" s="1027"/>
      <c r="H9" s="1002"/>
      <c r="I9" s="1002"/>
      <c r="J9" s="1002"/>
      <c r="K9" s="1002"/>
      <c r="L9" s="1002"/>
      <c r="M9" s="1002"/>
      <c r="N9" s="179"/>
      <c r="O9" s="179"/>
      <c r="P9" s="179"/>
      <c r="Q9" s="174" t="str">
        <f t="shared" ca="1" si="0"/>
        <v/>
      </c>
      <c r="R9" s="174" t="str">
        <f t="shared" si="1"/>
        <v/>
      </c>
      <c r="S9" s="175"/>
      <c r="T9" s="169" t="s">
        <v>22</v>
      </c>
      <c r="U9" s="176"/>
      <c r="V9" s="176"/>
      <c r="W9" s="176"/>
      <c r="X9" s="177"/>
      <c r="Y9" s="169"/>
      <c r="Z9" s="176"/>
      <c r="AA9" s="177"/>
      <c r="AB9" s="169"/>
      <c r="AC9" s="176"/>
      <c r="AD9" s="169"/>
      <c r="AE9" s="169"/>
      <c r="AF9" s="178"/>
    </row>
    <row r="10" spans="1:32" s="195" customFormat="1" ht="39.65" customHeight="1">
      <c r="A10" s="1033"/>
      <c r="B10" s="1031"/>
      <c r="C10" s="1017"/>
      <c r="D10" s="1020"/>
      <c r="E10" s="1025"/>
      <c r="F10" s="1003"/>
      <c r="G10" s="1028"/>
      <c r="H10" s="1003"/>
      <c r="I10" s="1003"/>
      <c r="J10" s="1003"/>
      <c r="K10" s="1003"/>
      <c r="L10" s="1003"/>
      <c r="M10" s="1003"/>
      <c r="N10" s="179"/>
      <c r="O10" s="179"/>
      <c r="P10" s="179"/>
      <c r="Q10" s="174" t="str">
        <f t="shared" ca="1" si="0"/>
        <v/>
      </c>
      <c r="R10" s="174" t="str">
        <f t="shared" si="1"/>
        <v/>
      </c>
      <c r="S10" s="175"/>
      <c r="T10" s="169" t="s">
        <v>27</v>
      </c>
      <c r="U10" s="176"/>
      <c r="V10" s="177"/>
      <c r="W10" s="176"/>
      <c r="X10" s="177"/>
      <c r="Y10" s="169"/>
      <c r="Z10" s="176"/>
      <c r="AA10" s="177"/>
      <c r="AB10" s="169"/>
      <c r="AC10" s="176"/>
      <c r="AD10" s="169"/>
      <c r="AE10" s="169"/>
      <c r="AF10" s="178"/>
    </row>
    <row r="11" spans="1:32" s="195" customFormat="1" ht="40.4" customHeight="1">
      <c r="A11" s="1033"/>
      <c r="B11" s="1031">
        <v>206</v>
      </c>
      <c r="C11" s="1015">
        <f>C8+1</f>
        <v>3</v>
      </c>
      <c r="D11" s="1018">
        <v>100</v>
      </c>
      <c r="E11" s="1023"/>
      <c r="F11" s="1001" t="s">
        <v>480</v>
      </c>
      <c r="G11" s="1026" t="s">
        <v>327</v>
      </c>
      <c r="H11" s="1001" t="s">
        <v>956</v>
      </c>
      <c r="I11" s="1001" t="s">
        <v>857</v>
      </c>
      <c r="J11" s="1001" t="s">
        <v>856</v>
      </c>
      <c r="K11" s="1001"/>
      <c r="L11" s="1001"/>
      <c r="M11" s="1001" t="s">
        <v>926</v>
      </c>
      <c r="N11" s="180">
        <f>IF(O11="","",O11-30)</f>
        <v>46204</v>
      </c>
      <c r="O11" s="180">
        <f>IF(P11="","",P11-30)</f>
        <v>46234</v>
      </c>
      <c r="P11" s="179">
        <v>46264</v>
      </c>
      <c r="Q11" s="174">
        <f t="shared" ca="1" si="0"/>
        <v>35</v>
      </c>
      <c r="R11" s="174" t="str">
        <f t="shared" si="1"/>
        <v/>
      </c>
      <c r="S11" s="175"/>
      <c r="T11" s="169" t="s">
        <v>22</v>
      </c>
      <c r="U11" s="176"/>
      <c r="V11" s="177"/>
      <c r="W11" s="176"/>
      <c r="X11" s="177"/>
      <c r="Y11" s="169"/>
      <c r="Z11" s="176"/>
      <c r="AA11" s="177"/>
      <c r="AB11" s="177"/>
      <c r="AC11" s="176"/>
      <c r="AD11" s="169"/>
      <c r="AE11" s="169"/>
      <c r="AF11" s="178"/>
    </row>
    <row r="12" spans="1:32" s="195" customFormat="1" ht="39.65" customHeight="1">
      <c r="A12" s="1033"/>
      <c r="B12" s="1031"/>
      <c r="C12" s="1016"/>
      <c r="D12" s="1019"/>
      <c r="E12" s="1024"/>
      <c r="F12" s="1002"/>
      <c r="G12" s="1027"/>
      <c r="H12" s="1002"/>
      <c r="I12" s="1002"/>
      <c r="J12" s="1002"/>
      <c r="K12" s="1002"/>
      <c r="L12" s="1002"/>
      <c r="M12" s="1002"/>
      <c r="N12" s="179"/>
      <c r="O12" s="179"/>
      <c r="P12" s="179"/>
      <c r="Q12" s="174" t="str">
        <f t="shared" ca="1" si="0"/>
        <v/>
      </c>
      <c r="R12" s="174" t="str">
        <f t="shared" si="1"/>
        <v/>
      </c>
      <c r="S12" s="175"/>
      <c r="T12" s="169" t="s">
        <v>27</v>
      </c>
      <c r="U12" s="176"/>
      <c r="V12" s="176"/>
      <c r="W12" s="176"/>
      <c r="X12" s="177"/>
      <c r="Y12" s="169"/>
      <c r="Z12" s="176"/>
      <c r="AA12" s="177"/>
      <c r="AB12" s="169" t="str">
        <f>IF(Z12="","",IF(Y12="檢退","檢退",IF(Y12="審查同意","審定","檢退")))</f>
        <v/>
      </c>
      <c r="AC12" s="176"/>
      <c r="AD12" s="169"/>
      <c r="AE12" s="169"/>
      <c r="AF12" s="178"/>
    </row>
    <row r="13" spans="1:32" s="195" customFormat="1" ht="40.4" customHeight="1">
      <c r="A13" s="1033"/>
      <c r="B13" s="1031"/>
      <c r="C13" s="1017"/>
      <c r="D13" s="1020"/>
      <c r="E13" s="1025"/>
      <c r="F13" s="1003"/>
      <c r="G13" s="1028"/>
      <c r="H13" s="1003"/>
      <c r="I13" s="1003"/>
      <c r="J13" s="1003"/>
      <c r="K13" s="1003"/>
      <c r="L13" s="1003"/>
      <c r="M13" s="1003"/>
      <c r="N13" s="179"/>
      <c r="O13" s="179"/>
      <c r="P13" s="179"/>
      <c r="Q13" s="174" t="str">
        <f t="shared" ca="1" si="0"/>
        <v/>
      </c>
      <c r="R13" s="174" t="str">
        <f t="shared" si="1"/>
        <v/>
      </c>
      <c r="S13" s="175"/>
      <c r="T13" s="169" t="s">
        <v>36</v>
      </c>
      <c r="U13" s="176"/>
      <c r="V13" s="177"/>
      <c r="W13" s="176"/>
      <c r="X13" s="177"/>
      <c r="Y13" s="169"/>
      <c r="Z13" s="176"/>
      <c r="AA13" s="177"/>
      <c r="AB13" s="169" t="str">
        <f>IF(Z13="","",IF(Y13="檢退","檢退",IF(Y13="審查同意","審定","檢退")))</f>
        <v/>
      </c>
      <c r="AC13" s="176"/>
      <c r="AD13" s="169"/>
      <c r="AE13" s="169"/>
      <c r="AF13" s="178"/>
    </row>
    <row r="14" spans="1:32" s="195" customFormat="1" ht="40.4" customHeight="1">
      <c r="A14" s="1033"/>
      <c r="B14" s="1031">
        <v>243</v>
      </c>
      <c r="C14" s="1015">
        <f>C11+1</f>
        <v>4</v>
      </c>
      <c r="D14" s="1018">
        <v>101</v>
      </c>
      <c r="E14" s="1023"/>
      <c r="F14" s="1001" t="s">
        <v>480</v>
      </c>
      <c r="G14" s="1026" t="s">
        <v>328</v>
      </c>
      <c r="H14" s="1001" t="s">
        <v>956</v>
      </c>
      <c r="I14" s="1001" t="s">
        <v>857</v>
      </c>
      <c r="J14" s="1001" t="s">
        <v>856</v>
      </c>
      <c r="K14" s="1001"/>
      <c r="L14" s="1001"/>
      <c r="M14" s="1001"/>
      <c r="N14" s="180">
        <f>IF(O14="","",O14-30)</f>
        <v>46234</v>
      </c>
      <c r="O14" s="180">
        <f>IF(P14="","",P14-30)</f>
        <v>46264</v>
      </c>
      <c r="P14" s="179">
        <v>46294</v>
      </c>
      <c r="Q14" s="174" t="str">
        <f t="shared" ca="1" si="0"/>
        <v/>
      </c>
      <c r="R14" s="174" t="str">
        <f t="shared" si="1"/>
        <v/>
      </c>
      <c r="S14" s="175"/>
      <c r="T14" s="169" t="s">
        <v>22</v>
      </c>
      <c r="U14" s="176"/>
      <c r="V14" s="177"/>
      <c r="W14" s="176"/>
      <c r="X14" s="177"/>
      <c r="Y14" s="169"/>
      <c r="Z14" s="176"/>
      <c r="AA14" s="177"/>
      <c r="AB14" s="177"/>
      <c r="AC14" s="176"/>
      <c r="AD14" s="169"/>
      <c r="AE14" s="169"/>
      <c r="AF14" s="178"/>
    </row>
    <row r="15" spans="1:32" s="195" customFormat="1" ht="39.65" customHeight="1">
      <c r="A15" s="1033"/>
      <c r="B15" s="1031"/>
      <c r="C15" s="1016"/>
      <c r="D15" s="1019"/>
      <c r="E15" s="1024"/>
      <c r="F15" s="1002"/>
      <c r="G15" s="1027"/>
      <c r="H15" s="1002"/>
      <c r="I15" s="1002"/>
      <c r="J15" s="1002"/>
      <c r="K15" s="1002"/>
      <c r="L15" s="1002"/>
      <c r="M15" s="1002"/>
      <c r="N15" s="179"/>
      <c r="O15" s="179"/>
      <c r="P15" s="179"/>
      <c r="Q15" s="174" t="str">
        <f t="shared" ca="1" si="0"/>
        <v/>
      </c>
      <c r="R15" s="174" t="str">
        <f t="shared" si="1"/>
        <v/>
      </c>
      <c r="S15" s="175"/>
      <c r="T15" s="169" t="s">
        <v>27</v>
      </c>
      <c r="U15" s="176"/>
      <c r="V15" s="176"/>
      <c r="W15" s="176"/>
      <c r="X15" s="177"/>
      <c r="Y15" s="169"/>
      <c r="Z15" s="176"/>
      <c r="AA15" s="177"/>
      <c r="AB15" s="169" t="str">
        <f>IF(Z15="","",IF(Y15="檢退","檢退",IF(Y15="審查同意","審定","檢退")))</f>
        <v/>
      </c>
      <c r="AC15" s="176"/>
      <c r="AD15" s="169"/>
      <c r="AE15" s="169"/>
      <c r="AF15" s="178"/>
    </row>
    <row r="16" spans="1:32" s="195" customFormat="1" ht="40.4" customHeight="1">
      <c r="A16" s="1033"/>
      <c r="B16" s="1031"/>
      <c r="C16" s="1017"/>
      <c r="D16" s="1020"/>
      <c r="E16" s="1025"/>
      <c r="F16" s="1003"/>
      <c r="G16" s="1028"/>
      <c r="H16" s="1003"/>
      <c r="I16" s="1003"/>
      <c r="J16" s="1003"/>
      <c r="K16" s="1003"/>
      <c r="L16" s="1003"/>
      <c r="M16" s="1003"/>
      <c r="N16" s="179"/>
      <c r="O16" s="179"/>
      <c r="P16" s="179"/>
      <c r="Q16" s="174" t="str">
        <f t="shared" ca="1" si="0"/>
        <v/>
      </c>
      <c r="R16" s="174" t="str">
        <f t="shared" si="1"/>
        <v/>
      </c>
      <c r="S16" s="175"/>
      <c r="T16" s="169" t="s">
        <v>36</v>
      </c>
      <c r="U16" s="176"/>
      <c r="V16" s="177"/>
      <c r="W16" s="176"/>
      <c r="X16" s="177"/>
      <c r="Y16" s="169"/>
      <c r="Z16" s="176"/>
      <c r="AA16" s="177"/>
      <c r="AB16" s="169" t="str">
        <f>IF(Z16="","",IF(Y16="檢退","檢退",IF(Y16="審查同意","審定","檢退")))</f>
        <v/>
      </c>
      <c r="AC16" s="176"/>
      <c r="AD16" s="169"/>
      <c r="AE16" s="169"/>
      <c r="AF16" s="178"/>
    </row>
    <row r="17" spans="1:32" s="195" customFormat="1" ht="40.4" customHeight="1">
      <c r="A17" s="1033"/>
      <c r="B17" s="1031">
        <v>157</v>
      </c>
      <c r="C17" s="1015">
        <f>C14+1</f>
        <v>5</v>
      </c>
      <c r="D17" s="1018">
        <v>106</v>
      </c>
      <c r="E17" s="1023"/>
      <c r="F17" s="1001" t="s">
        <v>481</v>
      </c>
      <c r="G17" s="1026" t="s">
        <v>329</v>
      </c>
      <c r="H17" s="1001"/>
      <c r="I17" s="1001" t="s">
        <v>857</v>
      </c>
      <c r="J17" s="1001" t="s">
        <v>856</v>
      </c>
      <c r="K17" s="1001"/>
      <c r="L17" s="1001"/>
      <c r="M17" s="1001"/>
      <c r="N17" s="193">
        <f>IF(O17="","",O17-30)</f>
        <v>46234</v>
      </c>
      <c r="O17" s="193">
        <f>IF(P17="","",P17-30)</f>
        <v>46264</v>
      </c>
      <c r="P17" s="179">
        <v>46294</v>
      </c>
      <c r="Q17" s="174" t="str">
        <f t="shared" ca="1" si="0"/>
        <v/>
      </c>
      <c r="R17" s="174" t="str">
        <f t="shared" si="1"/>
        <v/>
      </c>
      <c r="S17" s="175"/>
      <c r="T17" s="169" t="s">
        <v>22</v>
      </c>
      <c r="U17" s="176"/>
      <c r="V17" s="177"/>
      <c r="W17" s="176"/>
      <c r="X17" s="177"/>
      <c r="Y17" s="169"/>
      <c r="Z17" s="176"/>
      <c r="AA17" s="177"/>
      <c r="AB17" s="177"/>
      <c r="AC17" s="176"/>
      <c r="AD17" s="169"/>
      <c r="AE17" s="169"/>
      <c r="AF17" s="178"/>
    </row>
    <row r="18" spans="1:32" s="195" customFormat="1" ht="39.65" customHeight="1">
      <c r="A18" s="1033"/>
      <c r="B18" s="1031"/>
      <c r="C18" s="1016"/>
      <c r="D18" s="1019"/>
      <c r="E18" s="1024"/>
      <c r="F18" s="1002"/>
      <c r="G18" s="1027"/>
      <c r="H18" s="1002"/>
      <c r="I18" s="1002"/>
      <c r="J18" s="1002"/>
      <c r="K18" s="1002"/>
      <c r="L18" s="1002"/>
      <c r="M18" s="1002"/>
      <c r="N18" s="179"/>
      <c r="O18" s="179"/>
      <c r="P18" s="179"/>
      <c r="Q18" s="174" t="str">
        <f t="shared" ca="1" si="0"/>
        <v/>
      </c>
      <c r="R18" s="174" t="str">
        <f t="shared" si="1"/>
        <v/>
      </c>
      <c r="S18" s="175"/>
      <c r="T18" s="169" t="s">
        <v>27</v>
      </c>
      <c r="U18" s="176"/>
      <c r="V18" s="176"/>
      <c r="W18" s="176"/>
      <c r="X18" s="177"/>
      <c r="Y18" s="169"/>
      <c r="Z18" s="176"/>
      <c r="AA18" s="177"/>
      <c r="AB18" s="169" t="str">
        <f>IF(Z18="","",IF(Y18="檢退","檢退",IF(Y18="審查同意","審定","檢退")))</f>
        <v/>
      </c>
      <c r="AC18" s="176"/>
      <c r="AD18" s="169"/>
      <c r="AE18" s="169"/>
      <c r="AF18" s="178"/>
    </row>
    <row r="19" spans="1:32" s="195" customFormat="1" ht="40.4" customHeight="1">
      <c r="A19" s="1033"/>
      <c r="B19" s="1031"/>
      <c r="C19" s="1017"/>
      <c r="D19" s="1020"/>
      <c r="E19" s="1025"/>
      <c r="F19" s="1003"/>
      <c r="G19" s="1028"/>
      <c r="H19" s="1003"/>
      <c r="I19" s="1003"/>
      <c r="J19" s="1003"/>
      <c r="K19" s="1003"/>
      <c r="L19" s="1003"/>
      <c r="M19" s="1003"/>
      <c r="N19" s="179"/>
      <c r="O19" s="179"/>
      <c r="P19" s="179"/>
      <c r="Q19" s="174" t="str">
        <f t="shared" ca="1" si="0"/>
        <v/>
      </c>
      <c r="R19" s="174" t="str">
        <f t="shared" si="1"/>
        <v/>
      </c>
      <c r="S19" s="175"/>
      <c r="T19" s="169" t="s">
        <v>36</v>
      </c>
      <c r="U19" s="176"/>
      <c r="V19" s="177"/>
      <c r="W19" s="176"/>
      <c r="X19" s="177"/>
      <c r="Y19" s="169"/>
      <c r="Z19" s="176"/>
      <c r="AA19" s="177"/>
      <c r="AB19" s="169" t="str">
        <f>IF(Z19="","",IF(Y19="檢退","檢退",IF(Y19="審查同意","審定","檢退")))</f>
        <v/>
      </c>
      <c r="AC19" s="176"/>
      <c r="AD19" s="169"/>
      <c r="AE19" s="169"/>
      <c r="AF19" s="178"/>
    </row>
    <row r="20" spans="1:32" s="195" customFormat="1" ht="40.4" customHeight="1">
      <c r="A20" s="1033"/>
      <c r="B20" s="1031">
        <v>158</v>
      </c>
      <c r="C20" s="1015">
        <f>C17+1</f>
        <v>6</v>
      </c>
      <c r="D20" s="1018">
        <v>107</v>
      </c>
      <c r="E20" s="1023"/>
      <c r="F20" s="1001" t="s">
        <v>484</v>
      </c>
      <c r="G20" s="1026" t="s">
        <v>330</v>
      </c>
      <c r="H20" s="1001"/>
      <c r="I20" s="1001" t="s">
        <v>857</v>
      </c>
      <c r="J20" s="1001" t="s">
        <v>856</v>
      </c>
      <c r="K20" s="1001"/>
      <c r="L20" s="1001"/>
      <c r="M20" s="1001"/>
      <c r="N20" s="193">
        <f>IF(O20="","",O20-30)</f>
        <v>46234</v>
      </c>
      <c r="O20" s="193">
        <f>IF(P20="","",P20-30)</f>
        <v>46264</v>
      </c>
      <c r="P20" s="179">
        <v>46294</v>
      </c>
      <c r="Q20" s="174" t="str">
        <f t="shared" ca="1" si="0"/>
        <v/>
      </c>
      <c r="R20" s="174" t="str">
        <f t="shared" si="1"/>
        <v/>
      </c>
      <c r="S20" s="175"/>
      <c r="T20" s="169" t="s">
        <v>22</v>
      </c>
      <c r="U20" s="176"/>
      <c r="V20" s="177"/>
      <c r="W20" s="176"/>
      <c r="X20" s="177"/>
      <c r="Y20" s="169"/>
      <c r="Z20" s="176"/>
      <c r="AA20" s="177"/>
      <c r="AB20" s="177"/>
      <c r="AC20" s="176"/>
      <c r="AD20" s="169"/>
      <c r="AE20" s="169"/>
      <c r="AF20" s="178"/>
    </row>
    <row r="21" spans="1:32" s="195" customFormat="1" ht="39.65" customHeight="1">
      <c r="A21" s="1033"/>
      <c r="B21" s="1031"/>
      <c r="C21" s="1016"/>
      <c r="D21" s="1019"/>
      <c r="E21" s="1024"/>
      <c r="F21" s="1002"/>
      <c r="G21" s="1027"/>
      <c r="H21" s="1002"/>
      <c r="I21" s="1002"/>
      <c r="J21" s="1002"/>
      <c r="K21" s="1002"/>
      <c r="L21" s="1002"/>
      <c r="M21" s="1002"/>
      <c r="N21" s="179"/>
      <c r="O21" s="179"/>
      <c r="P21" s="179"/>
      <c r="Q21" s="174" t="str">
        <f t="shared" ca="1" si="0"/>
        <v/>
      </c>
      <c r="R21" s="174" t="str">
        <f t="shared" si="1"/>
        <v/>
      </c>
      <c r="S21" s="175"/>
      <c r="T21" s="169" t="s">
        <v>27</v>
      </c>
      <c r="U21" s="176"/>
      <c r="V21" s="176"/>
      <c r="W21" s="176"/>
      <c r="X21" s="177"/>
      <c r="Y21" s="169"/>
      <c r="Z21" s="176"/>
      <c r="AA21" s="177"/>
      <c r="AB21" s="169" t="str">
        <f>IF(Z21="","",IF(Y21="檢退","檢退",IF(Y21="審查同意","審定","檢退")))</f>
        <v/>
      </c>
      <c r="AC21" s="176"/>
      <c r="AD21" s="169"/>
      <c r="AE21" s="169"/>
      <c r="AF21" s="178"/>
    </row>
    <row r="22" spans="1:32" s="195" customFormat="1" ht="40.4" customHeight="1">
      <c r="A22" s="1033"/>
      <c r="B22" s="1031"/>
      <c r="C22" s="1017"/>
      <c r="D22" s="1020"/>
      <c r="E22" s="1025"/>
      <c r="F22" s="1003"/>
      <c r="G22" s="1028"/>
      <c r="H22" s="1003"/>
      <c r="I22" s="1003"/>
      <c r="J22" s="1003"/>
      <c r="K22" s="1003"/>
      <c r="L22" s="1003"/>
      <c r="M22" s="1003"/>
      <c r="N22" s="179"/>
      <c r="O22" s="179"/>
      <c r="P22" s="179"/>
      <c r="Q22" s="174" t="str">
        <f t="shared" ca="1" si="0"/>
        <v/>
      </c>
      <c r="R22" s="174" t="str">
        <f t="shared" si="1"/>
        <v/>
      </c>
      <c r="S22" s="175"/>
      <c r="T22" s="169" t="s">
        <v>36</v>
      </c>
      <c r="U22" s="176"/>
      <c r="V22" s="177"/>
      <c r="W22" s="176"/>
      <c r="X22" s="177"/>
      <c r="Y22" s="169"/>
      <c r="Z22" s="176"/>
      <c r="AA22" s="177"/>
      <c r="AB22" s="169" t="str">
        <f>IF(Z22="","",IF(Y22="檢退","檢退",IF(Y22="審查同意","審定","檢退")))</f>
        <v/>
      </c>
      <c r="AC22" s="176"/>
      <c r="AD22" s="169"/>
      <c r="AE22" s="169"/>
      <c r="AF22" s="178"/>
    </row>
    <row r="23" spans="1:32" s="195" customFormat="1" ht="40.4" customHeight="1">
      <c r="A23" s="1033"/>
      <c r="B23" s="1031">
        <v>159</v>
      </c>
      <c r="C23" s="1015">
        <f>C20+1</f>
        <v>7</v>
      </c>
      <c r="D23" s="1018">
        <v>108</v>
      </c>
      <c r="E23" s="1023"/>
      <c r="F23" s="1001" t="s">
        <v>485</v>
      </c>
      <c r="G23" s="1026" t="s">
        <v>331</v>
      </c>
      <c r="H23" s="1001"/>
      <c r="I23" s="1001" t="s">
        <v>857</v>
      </c>
      <c r="J23" s="1001" t="s">
        <v>856</v>
      </c>
      <c r="K23" s="1001"/>
      <c r="L23" s="1001"/>
      <c r="M23" s="1001"/>
      <c r="N23" s="193">
        <f>IF(O23="","",O23-30)</f>
        <v>46234</v>
      </c>
      <c r="O23" s="193">
        <f>IF(P23="","",P23-30)</f>
        <v>46264</v>
      </c>
      <c r="P23" s="179">
        <v>46294</v>
      </c>
      <c r="Q23" s="174" t="str">
        <f t="shared" ca="1" si="0"/>
        <v/>
      </c>
      <c r="R23" s="174" t="str">
        <f t="shared" si="1"/>
        <v/>
      </c>
      <c r="S23" s="175"/>
      <c r="T23" s="169" t="s">
        <v>22</v>
      </c>
      <c r="U23" s="176"/>
      <c r="V23" s="177"/>
      <c r="W23" s="176"/>
      <c r="X23" s="177"/>
      <c r="Y23" s="169"/>
      <c r="Z23" s="176"/>
      <c r="AA23" s="177"/>
      <c r="AB23" s="177"/>
      <c r="AC23" s="176"/>
      <c r="AD23" s="169"/>
      <c r="AE23" s="169"/>
      <c r="AF23" s="178"/>
    </row>
    <row r="24" spans="1:32" s="195" customFormat="1" ht="39.65" customHeight="1">
      <c r="A24" s="1033"/>
      <c r="B24" s="1031"/>
      <c r="C24" s="1016"/>
      <c r="D24" s="1019"/>
      <c r="E24" s="1024"/>
      <c r="F24" s="1002"/>
      <c r="G24" s="1027"/>
      <c r="H24" s="1002"/>
      <c r="I24" s="1002"/>
      <c r="J24" s="1002"/>
      <c r="K24" s="1002"/>
      <c r="L24" s="1002"/>
      <c r="M24" s="1002"/>
      <c r="N24" s="179"/>
      <c r="O24" s="179"/>
      <c r="P24" s="179"/>
      <c r="Q24" s="174" t="str">
        <f t="shared" ca="1" si="0"/>
        <v/>
      </c>
      <c r="R24" s="174" t="str">
        <f t="shared" si="1"/>
        <v/>
      </c>
      <c r="S24" s="175"/>
      <c r="T24" s="169" t="s">
        <v>27</v>
      </c>
      <c r="U24" s="176"/>
      <c r="V24" s="176"/>
      <c r="W24" s="176"/>
      <c r="X24" s="177"/>
      <c r="Y24" s="169"/>
      <c r="Z24" s="176"/>
      <c r="AA24" s="177"/>
      <c r="AB24" s="169" t="str">
        <f>IF(Z24="","",IF(Y24="檢退","檢退",IF(Y24="審查同意","審定","檢退")))</f>
        <v/>
      </c>
      <c r="AC24" s="176"/>
      <c r="AD24" s="169"/>
      <c r="AE24" s="169"/>
      <c r="AF24" s="178"/>
    </row>
    <row r="25" spans="1:32" s="195" customFormat="1" ht="40.4" customHeight="1">
      <c r="A25" s="1033"/>
      <c r="B25" s="1031"/>
      <c r="C25" s="1017"/>
      <c r="D25" s="1020"/>
      <c r="E25" s="1025"/>
      <c r="F25" s="1003"/>
      <c r="G25" s="1028"/>
      <c r="H25" s="1003"/>
      <c r="I25" s="1003"/>
      <c r="J25" s="1003"/>
      <c r="K25" s="1003"/>
      <c r="L25" s="1003"/>
      <c r="M25" s="1003"/>
      <c r="N25" s="179"/>
      <c r="O25" s="179"/>
      <c r="P25" s="179"/>
      <c r="Q25" s="174" t="str">
        <f t="shared" ca="1" si="0"/>
        <v/>
      </c>
      <c r="R25" s="174" t="str">
        <f t="shared" si="1"/>
        <v/>
      </c>
      <c r="S25" s="175"/>
      <c r="T25" s="169" t="s">
        <v>36</v>
      </c>
      <c r="U25" s="176"/>
      <c r="V25" s="177"/>
      <c r="W25" s="176"/>
      <c r="X25" s="177"/>
      <c r="Y25" s="169"/>
      <c r="Z25" s="176"/>
      <c r="AA25" s="177"/>
      <c r="AB25" s="169" t="str">
        <f>IF(Z25="","",IF(Y25="檢退","檢退",IF(Y25="審查同意","審定","檢退")))</f>
        <v/>
      </c>
      <c r="AC25" s="176"/>
      <c r="AD25" s="169"/>
      <c r="AE25" s="169"/>
      <c r="AF25" s="178"/>
    </row>
    <row r="26" spans="1:32" s="195" customFormat="1" ht="40.4" customHeight="1">
      <c r="A26" s="1033"/>
      <c r="B26" s="1031">
        <v>160</v>
      </c>
      <c r="C26" s="1015">
        <f>C23+1</f>
        <v>8</v>
      </c>
      <c r="D26" s="1018">
        <v>109</v>
      </c>
      <c r="E26" s="1023"/>
      <c r="F26" s="1001" t="s">
        <v>486</v>
      </c>
      <c r="G26" s="1026" t="s">
        <v>332</v>
      </c>
      <c r="H26" s="1001"/>
      <c r="I26" s="1001" t="s">
        <v>857</v>
      </c>
      <c r="J26" s="1001" t="s">
        <v>856</v>
      </c>
      <c r="K26" s="1001"/>
      <c r="L26" s="1001"/>
      <c r="M26" s="1001"/>
      <c r="N26" s="193">
        <f>IF(O26="","",O26-30)</f>
        <v>46234</v>
      </c>
      <c r="O26" s="193">
        <f>IF(P26="","",P26-30)</f>
        <v>46264</v>
      </c>
      <c r="P26" s="179">
        <v>46294</v>
      </c>
      <c r="Q26" s="174" t="str">
        <f t="shared" ca="1" si="0"/>
        <v/>
      </c>
      <c r="R26" s="174" t="str">
        <f t="shared" si="1"/>
        <v/>
      </c>
      <c r="S26" s="175"/>
      <c r="T26" s="169" t="s">
        <v>22</v>
      </c>
      <c r="U26" s="176"/>
      <c r="V26" s="177"/>
      <c r="W26" s="176"/>
      <c r="X26" s="177"/>
      <c r="Y26" s="169"/>
      <c r="Z26" s="176"/>
      <c r="AA26" s="177"/>
      <c r="AB26" s="177"/>
      <c r="AC26" s="176"/>
      <c r="AD26" s="169"/>
      <c r="AE26" s="169"/>
      <c r="AF26" s="178"/>
    </row>
    <row r="27" spans="1:32" s="195" customFormat="1" ht="39.65" customHeight="1">
      <c r="A27" s="1033"/>
      <c r="B27" s="1031"/>
      <c r="C27" s="1016"/>
      <c r="D27" s="1019"/>
      <c r="E27" s="1024"/>
      <c r="F27" s="1002"/>
      <c r="G27" s="1027"/>
      <c r="H27" s="1002"/>
      <c r="I27" s="1002"/>
      <c r="J27" s="1002"/>
      <c r="K27" s="1002"/>
      <c r="L27" s="1002"/>
      <c r="M27" s="1002"/>
      <c r="N27" s="179"/>
      <c r="O27" s="179"/>
      <c r="P27" s="179"/>
      <c r="Q27" s="174" t="str">
        <f t="shared" ca="1" si="0"/>
        <v/>
      </c>
      <c r="R27" s="174" t="str">
        <f t="shared" si="1"/>
        <v/>
      </c>
      <c r="S27" s="175"/>
      <c r="T27" s="169" t="s">
        <v>27</v>
      </c>
      <c r="U27" s="176"/>
      <c r="V27" s="176"/>
      <c r="W27" s="176"/>
      <c r="X27" s="177"/>
      <c r="Y27" s="169"/>
      <c r="Z27" s="176"/>
      <c r="AA27" s="177"/>
      <c r="AB27" s="169" t="str">
        <f>IF(Z27="","",IF(Y27="檢退","檢退",IF(Y27="審查同意","審定","檢退")))</f>
        <v/>
      </c>
      <c r="AC27" s="176"/>
      <c r="AD27" s="169"/>
      <c r="AE27" s="169"/>
      <c r="AF27" s="178"/>
    </row>
    <row r="28" spans="1:32" s="195" customFormat="1" ht="40.4" customHeight="1">
      <c r="A28" s="1033"/>
      <c r="B28" s="1031"/>
      <c r="C28" s="1017"/>
      <c r="D28" s="1020"/>
      <c r="E28" s="1025"/>
      <c r="F28" s="1003"/>
      <c r="G28" s="1028"/>
      <c r="H28" s="1003"/>
      <c r="I28" s="1003"/>
      <c r="J28" s="1003"/>
      <c r="K28" s="1003"/>
      <c r="L28" s="1003"/>
      <c r="M28" s="1003"/>
      <c r="N28" s="179"/>
      <c r="O28" s="179"/>
      <c r="P28" s="179"/>
      <c r="Q28" s="174" t="str">
        <f t="shared" ca="1" si="0"/>
        <v/>
      </c>
      <c r="R28" s="174" t="str">
        <f t="shared" si="1"/>
        <v/>
      </c>
      <c r="S28" s="175"/>
      <c r="T28" s="169" t="s">
        <v>36</v>
      </c>
      <c r="U28" s="176"/>
      <c r="V28" s="177"/>
      <c r="W28" s="176"/>
      <c r="X28" s="177"/>
      <c r="Y28" s="169"/>
      <c r="Z28" s="176"/>
      <c r="AA28" s="177"/>
      <c r="AB28" s="169" t="str">
        <f>IF(Z28="","",IF(Y28="檢退","檢退",IF(Y28="審查同意","審定","檢退")))</f>
        <v/>
      </c>
      <c r="AC28" s="176"/>
      <c r="AD28" s="169"/>
      <c r="AE28" s="169"/>
      <c r="AF28" s="178"/>
    </row>
    <row r="29" spans="1:32" s="173" customFormat="1" ht="40.4" customHeight="1">
      <c r="A29" s="1033"/>
      <c r="B29" s="1031">
        <v>147</v>
      </c>
      <c r="C29" s="1015">
        <f>C26+1</f>
        <v>9</v>
      </c>
      <c r="D29" s="1018">
        <v>114</v>
      </c>
      <c r="E29" s="1023"/>
      <c r="F29" s="1001" t="s">
        <v>482</v>
      </c>
      <c r="G29" s="1026" t="s">
        <v>333</v>
      </c>
      <c r="H29" s="1001"/>
      <c r="I29" s="1001" t="s">
        <v>857</v>
      </c>
      <c r="J29" s="1001" t="s">
        <v>856</v>
      </c>
      <c r="K29" s="1008"/>
      <c r="L29" s="1008"/>
      <c r="M29" s="1008"/>
      <c r="N29" s="193">
        <f>IF(O29="","",O29-30)</f>
        <v>46234</v>
      </c>
      <c r="O29" s="193">
        <f>IF(P29="","",P29-30)</f>
        <v>46264</v>
      </c>
      <c r="P29" s="179">
        <v>46294</v>
      </c>
      <c r="Q29" s="194" t="str">
        <f t="shared" ca="1" si="0"/>
        <v/>
      </c>
      <c r="R29" s="194" t="str">
        <f t="shared" si="1"/>
        <v/>
      </c>
      <c r="S29" s="181"/>
      <c r="T29" s="167" t="s">
        <v>22</v>
      </c>
      <c r="U29" s="182"/>
      <c r="V29" s="183"/>
      <c r="W29" s="182"/>
      <c r="X29" s="183"/>
      <c r="Y29" s="184"/>
      <c r="Z29" s="182"/>
      <c r="AA29" s="183"/>
      <c r="AB29" s="183"/>
      <c r="AC29" s="176"/>
      <c r="AD29" s="167"/>
      <c r="AE29" s="167"/>
      <c r="AF29" s="178"/>
    </row>
    <row r="30" spans="1:32" s="173" customFormat="1" ht="39.65" customHeight="1">
      <c r="A30" s="1033"/>
      <c r="B30" s="1031"/>
      <c r="C30" s="1016"/>
      <c r="D30" s="1019"/>
      <c r="E30" s="1024"/>
      <c r="F30" s="1002"/>
      <c r="G30" s="1027"/>
      <c r="H30" s="1002"/>
      <c r="I30" s="1002"/>
      <c r="J30" s="1002"/>
      <c r="K30" s="1009"/>
      <c r="L30" s="1009"/>
      <c r="M30" s="1009"/>
      <c r="N30" s="168"/>
      <c r="O30" s="168"/>
      <c r="P30" s="168"/>
      <c r="Q30" s="194" t="str">
        <f t="shared" ca="1" si="0"/>
        <v/>
      </c>
      <c r="R30" s="194" t="str">
        <f t="shared" si="1"/>
        <v/>
      </c>
      <c r="S30" s="181"/>
      <c r="T30" s="167" t="s">
        <v>27</v>
      </c>
      <c r="U30" s="166"/>
      <c r="V30" s="166"/>
      <c r="W30" s="166"/>
      <c r="X30" s="185"/>
      <c r="Y30" s="167"/>
      <c r="Z30" s="176"/>
      <c r="AA30" s="177"/>
      <c r="AB30" s="167" t="str">
        <f>IF(Z30="","",IF(Y30="檢退","檢退",IF(Y30="審查同意","審定","檢退")))</f>
        <v/>
      </c>
      <c r="AC30" s="176"/>
      <c r="AD30" s="167"/>
      <c r="AE30" s="167"/>
      <c r="AF30" s="178"/>
    </row>
    <row r="31" spans="1:32" s="173" customFormat="1" ht="40.4" customHeight="1">
      <c r="A31" s="1033"/>
      <c r="B31" s="1031"/>
      <c r="C31" s="1017"/>
      <c r="D31" s="1020"/>
      <c r="E31" s="1025"/>
      <c r="F31" s="1003"/>
      <c r="G31" s="1028"/>
      <c r="H31" s="1003"/>
      <c r="I31" s="1003"/>
      <c r="J31" s="1003"/>
      <c r="K31" s="1010"/>
      <c r="L31" s="1010"/>
      <c r="M31" s="1010"/>
      <c r="N31" s="168"/>
      <c r="O31" s="168"/>
      <c r="P31" s="168"/>
      <c r="Q31" s="194" t="str">
        <f t="shared" ca="1" si="0"/>
        <v/>
      </c>
      <c r="R31" s="194" t="str">
        <f t="shared" si="1"/>
        <v/>
      </c>
      <c r="S31" s="181"/>
      <c r="T31" s="167" t="s">
        <v>36</v>
      </c>
      <c r="U31" s="182"/>
      <c r="V31" s="183"/>
      <c r="W31" s="182"/>
      <c r="X31" s="183"/>
      <c r="Y31" s="184"/>
      <c r="Z31" s="176"/>
      <c r="AA31" s="177"/>
      <c r="AB31" s="167" t="str">
        <f>IF(Z31="","",IF(Y31="檢退","檢退",IF(Y31="審查同意","審定","檢退")))</f>
        <v/>
      </c>
      <c r="AC31" s="176"/>
      <c r="AD31" s="167"/>
      <c r="AE31" s="167"/>
      <c r="AF31" s="178"/>
    </row>
    <row r="32" spans="1:32" s="173" customFormat="1" ht="40.4" customHeight="1">
      <c r="A32" s="1033"/>
      <c r="B32" s="1031">
        <v>149</v>
      </c>
      <c r="C32" s="1015">
        <f>C29+1</f>
        <v>10</v>
      </c>
      <c r="D32" s="1018">
        <v>122</v>
      </c>
      <c r="E32" s="1023"/>
      <c r="F32" s="1001" t="s">
        <v>483</v>
      </c>
      <c r="G32" s="1026" t="s">
        <v>334</v>
      </c>
      <c r="H32" s="1001"/>
      <c r="I32" s="1001" t="s">
        <v>857</v>
      </c>
      <c r="J32" s="1001" t="s">
        <v>856</v>
      </c>
      <c r="K32" s="1008"/>
      <c r="L32" s="1008"/>
      <c r="M32" s="1008"/>
      <c r="N32" s="193">
        <f>IF(O32="","",O32-30)</f>
        <v>46234</v>
      </c>
      <c r="O32" s="193">
        <f>IF(P32="","",P32-30)</f>
        <v>46264</v>
      </c>
      <c r="P32" s="179">
        <v>46294</v>
      </c>
      <c r="Q32" s="194" t="str">
        <f t="shared" ca="1" si="0"/>
        <v/>
      </c>
      <c r="R32" s="194" t="str">
        <f t="shared" si="1"/>
        <v/>
      </c>
      <c r="S32" s="181"/>
      <c r="T32" s="167" t="s">
        <v>22</v>
      </c>
      <c r="U32" s="182"/>
      <c r="V32" s="183"/>
      <c r="W32" s="182"/>
      <c r="X32" s="183"/>
      <c r="Y32" s="184"/>
      <c r="Z32" s="182"/>
      <c r="AA32" s="183"/>
      <c r="AB32" s="183"/>
      <c r="AC32" s="176"/>
      <c r="AD32" s="167"/>
      <c r="AE32" s="167"/>
      <c r="AF32" s="178"/>
    </row>
    <row r="33" spans="1:32" s="173" customFormat="1" ht="39.65" customHeight="1">
      <c r="A33" s="1033"/>
      <c r="B33" s="1031"/>
      <c r="C33" s="1016"/>
      <c r="D33" s="1019"/>
      <c r="E33" s="1024"/>
      <c r="F33" s="1002"/>
      <c r="G33" s="1027"/>
      <c r="H33" s="1002"/>
      <c r="I33" s="1002"/>
      <c r="J33" s="1002"/>
      <c r="K33" s="1009"/>
      <c r="L33" s="1009"/>
      <c r="M33" s="1009"/>
      <c r="N33" s="168"/>
      <c r="O33" s="168"/>
      <c r="P33" s="168"/>
      <c r="Q33" s="194" t="str">
        <f t="shared" ca="1" si="0"/>
        <v/>
      </c>
      <c r="R33" s="194" t="str">
        <f t="shared" si="1"/>
        <v/>
      </c>
      <c r="S33" s="181"/>
      <c r="T33" s="167" t="s">
        <v>27</v>
      </c>
      <c r="U33" s="166"/>
      <c r="V33" s="166"/>
      <c r="W33" s="166"/>
      <c r="X33" s="185"/>
      <c r="Y33" s="167"/>
      <c r="Z33" s="176"/>
      <c r="AA33" s="177"/>
      <c r="AB33" s="167" t="str">
        <f>IF(Z33="","",IF(Y33="檢退","檢退",IF(Y33="審查同意","審定","檢退")))</f>
        <v/>
      </c>
      <c r="AC33" s="176"/>
      <c r="AD33" s="167"/>
      <c r="AE33" s="167"/>
      <c r="AF33" s="178"/>
    </row>
    <row r="34" spans="1:32" s="173" customFormat="1" ht="40.4" customHeight="1">
      <c r="A34" s="1033"/>
      <c r="B34" s="1031"/>
      <c r="C34" s="1017"/>
      <c r="D34" s="1020"/>
      <c r="E34" s="1025"/>
      <c r="F34" s="1003"/>
      <c r="G34" s="1028"/>
      <c r="H34" s="1003"/>
      <c r="I34" s="1003"/>
      <c r="J34" s="1003"/>
      <c r="K34" s="1010"/>
      <c r="L34" s="1010"/>
      <c r="M34" s="1010"/>
      <c r="N34" s="168"/>
      <c r="O34" s="168"/>
      <c r="P34" s="168"/>
      <c r="Q34" s="194" t="str">
        <f t="shared" ca="1" si="0"/>
        <v/>
      </c>
      <c r="R34" s="194" t="str">
        <f t="shared" si="1"/>
        <v/>
      </c>
      <c r="S34" s="181"/>
      <c r="T34" s="167" t="s">
        <v>36</v>
      </c>
      <c r="U34" s="182"/>
      <c r="V34" s="183"/>
      <c r="W34" s="182"/>
      <c r="X34" s="183"/>
      <c r="Y34" s="184"/>
      <c r="Z34" s="176"/>
      <c r="AA34" s="177"/>
      <c r="AB34" s="167" t="str">
        <f>IF(Z34="","",IF(Y34="檢退","檢退",IF(Y34="審查同意","審定","檢退")))</f>
        <v/>
      </c>
      <c r="AC34" s="176"/>
      <c r="AD34" s="167"/>
      <c r="AE34" s="167"/>
      <c r="AF34" s="178"/>
    </row>
    <row r="35" spans="1:32" s="195" customFormat="1" ht="40.4" customHeight="1">
      <c r="A35" s="1033"/>
      <c r="B35" s="1031">
        <v>209</v>
      </c>
      <c r="C35" s="1015">
        <f>C32+1</f>
        <v>11</v>
      </c>
      <c r="D35" s="1018">
        <v>123</v>
      </c>
      <c r="E35" s="1023"/>
      <c r="F35" s="1001" t="s">
        <v>489</v>
      </c>
      <c r="G35" s="1026" t="s">
        <v>335</v>
      </c>
      <c r="H35" s="1001"/>
      <c r="I35" s="1001" t="s">
        <v>857</v>
      </c>
      <c r="J35" s="1001" t="s">
        <v>856</v>
      </c>
      <c r="K35" s="1001"/>
      <c r="L35" s="1001"/>
      <c r="M35" s="1001" t="s">
        <v>928</v>
      </c>
      <c r="N35" s="193">
        <f>IF(O35="","",O35-30)</f>
        <v>46234</v>
      </c>
      <c r="O35" s="193">
        <f>IF(P35="","",P35-30)</f>
        <v>46264</v>
      </c>
      <c r="P35" s="179">
        <v>46294</v>
      </c>
      <c r="Q35" s="174" t="str">
        <f t="shared" ca="1" si="0"/>
        <v/>
      </c>
      <c r="R35" s="174" t="str">
        <f t="shared" si="1"/>
        <v/>
      </c>
      <c r="S35" s="175"/>
      <c r="T35" s="169" t="s">
        <v>22</v>
      </c>
      <c r="U35" s="176"/>
      <c r="V35" s="177"/>
      <c r="W35" s="176"/>
      <c r="X35" s="177"/>
      <c r="Y35" s="169"/>
      <c r="Z35" s="176"/>
      <c r="AA35" s="177"/>
      <c r="AB35" s="177"/>
      <c r="AC35" s="176"/>
      <c r="AD35" s="169"/>
      <c r="AE35" s="169"/>
      <c r="AF35" s="178"/>
    </row>
    <row r="36" spans="1:32" s="195" customFormat="1" ht="39.65" customHeight="1">
      <c r="A36" s="1033"/>
      <c r="B36" s="1031"/>
      <c r="C36" s="1016"/>
      <c r="D36" s="1019"/>
      <c r="E36" s="1024"/>
      <c r="F36" s="1002"/>
      <c r="G36" s="1027"/>
      <c r="H36" s="1002"/>
      <c r="I36" s="1002"/>
      <c r="J36" s="1002"/>
      <c r="K36" s="1002"/>
      <c r="L36" s="1002"/>
      <c r="M36" s="1002"/>
      <c r="N36" s="179"/>
      <c r="O36" s="179"/>
      <c r="P36" s="179"/>
      <c r="Q36" s="174" t="str">
        <f t="shared" ca="1" si="0"/>
        <v/>
      </c>
      <c r="R36" s="174" t="str">
        <f t="shared" si="1"/>
        <v/>
      </c>
      <c r="S36" s="175"/>
      <c r="T36" s="169" t="s">
        <v>27</v>
      </c>
      <c r="U36" s="176"/>
      <c r="V36" s="176"/>
      <c r="W36" s="176"/>
      <c r="X36" s="177"/>
      <c r="Y36" s="169"/>
      <c r="Z36" s="176"/>
      <c r="AA36" s="177"/>
      <c r="AB36" s="169" t="str">
        <f>IF(Z36="","",IF(Y36="檢退","檢退",IF(Y36="審查同意","審定","檢退")))</f>
        <v/>
      </c>
      <c r="AC36" s="176"/>
      <c r="AD36" s="169"/>
      <c r="AE36" s="169"/>
      <c r="AF36" s="178"/>
    </row>
    <row r="37" spans="1:32" s="195" customFormat="1" ht="40.4" customHeight="1">
      <c r="A37" s="1033"/>
      <c r="B37" s="1031"/>
      <c r="C37" s="1017"/>
      <c r="D37" s="1020"/>
      <c r="E37" s="1025"/>
      <c r="F37" s="1003"/>
      <c r="G37" s="1028"/>
      <c r="H37" s="1003"/>
      <c r="I37" s="1003"/>
      <c r="J37" s="1003"/>
      <c r="K37" s="1003"/>
      <c r="L37" s="1003"/>
      <c r="M37" s="1003"/>
      <c r="N37" s="179"/>
      <c r="O37" s="179"/>
      <c r="P37" s="179"/>
      <c r="Q37" s="174" t="str">
        <f t="shared" ca="1" si="0"/>
        <v/>
      </c>
      <c r="R37" s="174" t="str">
        <f t="shared" si="1"/>
        <v/>
      </c>
      <c r="S37" s="175"/>
      <c r="T37" s="169" t="s">
        <v>36</v>
      </c>
      <c r="U37" s="176"/>
      <c r="V37" s="177"/>
      <c r="W37" s="176"/>
      <c r="X37" s="177"/>
      <c r="Y37" s="169"/>
      <c r="Z37" s="176"/>
      <c r="AA37" s="177"/>
      <c r="AB37" s="169" t="str">
        <f>IF(Z37="","",IF(Y37="檢退","檢退",IF(Y37="審查同意","審定","檢退")))</f>
        <v/>
      </c>
      <c r="AC37" s="176"/>
      <c r="AD37" s="169"/>
      <c r="AE37" s="169"/>
      <c r="AF37" s="178"/>
    </row>
    <row r="38" spans="1:32" s="195" customFormat="1" ht="40.4" customHeight="1">
      <c r="A38" s="1033"/>
      <c r="B38" s="1031">
        <v>204</v>
      </c>
      <c r="C38" s="1015">
        <f>C35+1</f>
        <v>12</v>
      </c>
      <c r="D38" s="1018">
        <v>125</v>
      </c>
      <c r="E38" s="1023"/>
      <c r="F38" s="1001" t="s">
        <v>487</v>
      </c>
      <c r="G38" s="1026" t="s">
        <v>336</v>
      </c>
      <c r="H38" s="1001"/>
      <c r="I38" s="1001" t="s">
        <v>857</v>
      </c>
      <c r="J38" s="1001" t="s">
        <v>856</v>
      </c>
      <c r="K38" s="1001"/>
      <c r="L38" s="1001"/>
      <c r="M38" s="1004" t="s">
        <v>927</v>
      </c>
      <c r="N38" s="193">
        <f>IF(O38="","",O38-30)</f>
        <v>46234</v>
      </c>
      <c r="O38" s="193">
        <f>IF(P38="","",P38-30)</f>
        <v>46264</v>
      </c>
      <c r="P38" s="179">
        <v>46294</v>
      </c>
      <c r="Q38" s="174" t="str">
        <f t="shared" ca="1" si="0"/>
        <v/>
      </c>
      <c r="R38" s="174" t="str">
        <f t="shared" si="1"/>
        <v/>
      </c>
      <c r="S38" s="175"/>
      <c r="T38" s="169" t="s">
        <v>22</v>
      </c>
      <c r="U38" s="176"/>
      <c r="V38" s="177"/>
      <c r="W38" s="176"/>
      <c r="X38" s="177"/>
      <c r="Y38" s="169"/>
      <c r="Z38" s="176"/>
      <c r="AA38" s="177"/>
      <c r="AB38" s="177"/>
      <c r="AC38" s="176"/>
      <c r="AD38" s="169"/>
      <c r="AE38" s="169"/>
      <c r="AF38" s="178"/>
    </row>
    <row r="39" spans="1:32" s="195" customFormat="1" ht="39.65" customHeight="1">
      <c r="A39" s="1033"/>
      <c r="B39" s="1031"/>
      <c r="C39" s="1016"/>
      <c r="D39" s="1019"/>
      <c r="E39" s="1024"/>
      <c r="F39" s="1002"/>
      <c r="G39" s="1027"/>
      <c r="H39" s="1002"/>
      <c r="I39" s="1002"/>
      <c r="J39" s="1002"/>
      <c r="K39" s="1002"/>
      <c r="L39" s="1002"/>
      <c r="M39" s="1005"/>
      <c r="N39" s="179"/>
      <c r="O39" s="179"/>
      <c r="P39" s="179"/>
      <c r="Q39" s="174" t="str">
        <f t="shared" ca="1" si="0"/>
        <v/>
      </c>
      <c r="R39" s="174" t="str">
        <f t="shared" si="1"/>
        <v/>
      </c>
      <c r="S39" s="175"/>
      <c r="T39" s="169" t="s">
        <v>27</v>
      </c>
      <c r="U39" s="176"/>
      <c r="V39" s="176"/>
      <c r="W39" s="176"/>
      <c r="X39" s="177"/>
      <c r="Y39" s="169"/>
      <c r="Z39" s="176"/>
      <c r="AA39" s="177"/>
      <c r="AB39" s="169" t="str">
        <f>IF(Z39="","",IF(Y39="檢退","檢退",IF(Y39="審查同意","審定","檢退")))</f>
        <v/>
      </c>
      <c r="AC39" s="176"/>
      <c r="AD39" s="169"/>
      <c r="AE39" s="169"/>
      <c r="AF39" s="178"/>
    </row>
    <row r="40" spans="1:32" s="195" customFormat="1" ht="40.4" customHeight="1">
      <c r="A40" s="1033"/>
      <c r="B40" s="1031"/>
      <c r="C40" s="1017"/>
      <c r="D40" s="1020"/>
      <c r="E40" s="1025"/>
      <c r="F40" s="1003"/>
      <c r="G40" s="1028"/>
      <c r="H40" s="1003"/>
      <c r="I40" s="1003"/>
      <c r="J40" s="1003"/>
      <c r="K40" s="1003"/>
      <c r="L40" s="1003"/>
      <c r="M40" s="1006"/>
      <c r="N40" s="179"/>
      <c r="O40" s="179"/>
      <c r="P40" s="179"/>
      <c r="Q40" s="174" t="str">
        <f t="shared" ca="1" si="0"/>
        <v/>
      </c>
      <c r="R40" s="174" t="str">
        <f t="shared" si="1"/>
        <v/>
      </c>
      <c r="S40" s="175"/>
      <c r="T40" s="169" t="s">
        <v>36</v>
      </c>
      <c r="U40" s="176"/>
      <c r="V40" s="177"/>
      <c r="W40" s="176"/>
      <c r="X40" s="177"/>
      <c r="Y40" s="169"/>
      <c r="Z40" s="176"/>
      <c r="AA40" s="177"/>
      <c r="AB40" s="169" t="str">
        <f>IF(Z40="","",IF(Y40="檢退","檢退",IF(Y40="審查同意","審定","檢退")))</f>
        <v/>
      </c>
      <c r="AC40" s="176"/>
      <c r="AD40" s="169"/>
      <c r="AE40" s="169"/>
      <c r="AF40" s="178"/>
    </row>
    <row r="41" spans="1:32" s="195" customFormat="1" ht="40.4" customHeight="1">
      <c r="A41" s="1033"/>
      <c r="B41" s="1031">
        <v>105</v>
      </c>
      <c r="C41" s="1015">
        <f>C38+1</f>
        <v>13</v>
      </c>
      <c r="D41" s="1018">
        <v>127</v>
      </c>
      <c r="E41" s="1023"/>
      <c r="F41" s="1001" t="s">
        <v>487</v>
      </c>
      <c r="G41" s="1026" t="s">
        <v>337</v>
      </c>
      <c r="H41" s="1001" t="s">
        <v>540</v>
      </c>
      <c r="I41" s="1001" t="s">
        <v>857</v>
      </c>
      <c r="J41" s="1001" t="s">
        <v>856</v>
      </c>
      <c r="K41" s="1001"/>
      <c r="L41" s="1001"/>
      <c r="M41" s="1001" t="s">
        <v>541</v>
      </c>
      <c r="N41" s="193">
        <f>IF(O41="","",O41-30)</f>
        <v>46234</v>
      </c>
      <c r="O41" s="193">
        <f>IF(P41="","",P41-30)</f>
        <v>46264</v>
      </c>
      <c r="P41" s="179">
        <v>46294</v>
      </c>
      <c r="Q41" s="174" t="str">
        <f t="shared" ca="1" si="0"/>
        <v/>
      </c>
      <c r="R41" s="174" t="str">
        <f t="shared" si="1"/>
        <v/>
      </c>
      <c r="S41" s="175"/>
      <c r="T41" s="169" t="s">
        <v>22</v>
      </c>
      <c r="U41" s="176"/>
      <c r="V41" s="177"/>
      <c r="W41" s="176"/>
      <c r="X41" s="177"/>
      <c r="Y41" s="169"/>
      <c r="Z41" s="176"/>
      <c r="AA41" s="177"/>
      <c r="AB41" s="177"/>
      <c r="AC41" s="176"/>
      <c r="AD41" s="169"/>
      <c r="AE41" s="169"/>
      <c r="AF41" s="178"/>
    </row>
    <row r="42" spans="1:32" s="195" customFormat="1" ht="39.65" customHeight="1">
      <c r="A42" s="1033"/>
      <c r="B42" s="1031"/>
      <c r="C42" s="1016"/>
      <c r="D42" s="1019"/>
      <c r="E42" s="1024"/>
      <c r="F42" s="1002"/>
      <c r="G42" s="1027"/>
      <c r="H42" s="1002"/>
      <c r="I42" s="1002"/>
      <c r="J42" s="1002"/>
      <c r="K42" s="1002"/>
      <c r="L42" s="1002"/>
      <c r="M42" s="1002"/>
      <c r="N42" s="179"/>
      <c r="O42" s="179"/>
      <c r="P42" s="179"/>
      <c r="Q42" s="174" t="str">
        <f t="shared" ca="1" si="0"/>
        <v/>
      </c>
      <c r="R42" s="174" t="str">
        <f t="shared" si="1"/>
        <v/>
      </c>
      <c r="S42" s="175"/>
      <c r="T42" s="169" t="s">
        <v>27</v>
      </c>
      <c r="U42" s="176"/>
      <c r="V42" s="176"/>
      <c r="W42" s="176"/>
      <c r="X42" s="177"/>
      <c r="Y42" s="169"/>
      <c r="Z42" s="176"/>
      <c r="AA42" s="177"/>
      <c r="AB42" s="169" t="str">
        <f>IF(Z42="","",IF(Y42="檢退","檢退",IF(Y42="審查同意","審定","檢退")))</f>
        <v/>
      </c>
      <c r="AC42" s="176"/>
      <c r="AD42" s="169"/>
      <c r="AE42" s="169"/>
      <c r="AF42" s="178"/>
    </row>
    <row r="43" spans="1:32" s="195" customFormat="1" ht="40.4" customHeight="1">
      <c r="A43" s="1033"/>
      <c r="B43" s="1031"/>
      <c r="C43" s="1017"/>
      <c r="D43" s="1020"/>
      <c r="E43" s="1025"/>
      <c r="F43" s="1003"/>
      <c r="G43" s="1028"/>
      <c r="H43" s="1003"/>
      <c r="I43" s="1003"/>
      <c r="J43" s="1003"/>
      <c r="K43" s="1003"/>
      <c r="L43" s="1003"/>
      <c r="M43" s="1003"/>
      <c r="N43" s="179"/>
      <c r="O43" s="179"/>
      <c r="P43" s="179"/>
      <c r="Q43" s="174" t="str">
        <f t="shared" ca="1" si="0"/>
        <v/>
      </c>
      <c r="R43" s="174" t="str">
        <f t="shared" si="1"/>
        <v/>
      </c>
      <c r="S43" s="175"/>
      <c r="T43" s="169" t="s">
        <v>36</v>
      </c>
      <c r="U43" s="176"/>
      <c r="V43" s="177"/>
      <c r="W43" s="176"/>
      <c r="X43" s="177"/>
      <c r="Y43" s="169"/>
      <c r="Z43" s="176"/>
      <c r="AA43" s="177"/>
      <c r="AB43" s="169" t="str">
        <f>IF(Z43="","",IF(Y43="檢退","檢退",IF(Y43="審查同意","審定","檢退")))</f>
        <v/>
      </c>
      <c r="AC43" s="176"/>
      <c r="AD43" s="169"/>
      <c r="AE43" s="169"/>
      <c r="AF43" s="178"/>
    </row>
    <row r="44" spans="1:32" s="195" customFormat="1" ht="40.4" customHeight="1">
      <c r="A44" s="1033"/>
      <c r="B44" s="1031">
        <v>153</v>
      </c>
      <c r="C44" s="1015">
        <f>C53+1</f>
        <v>15</v>
      </c>
      <c r="D44" s="1029">
        <v>129</v>
      </c>
      <c r="E44" s="1021"/>
      <c r="F44" s="1001" t="s">
        <v>490</v>
      </c>
      <c r="G44" s="1022" t="s">
        <v>339</v>
      </c>
      <c r="H44" s="1001"/>
      <c r="I44" s="1001" t="s">
        <v>857</v>
      </c>
      <c r="J44" s="1001" t="s">
        <v>856</v>
      </c>
      <c r="K44" s="1001"/>
      <c r="L44" s="1001"/>
      <c r="M44" s="1001"/>
      <c r="N44" s="193">
        <f>IF(O44="","",O44-30)</f>
        <v>46234</v>
      </c>
      <c r="O44" s="193">
        <f>IF(P44="","",P44-30)</f>
        <v>46264</v>
      </c>
      <c r="P44" s="179">
        <v>46294</v>
      </c>
      <c r="Q44" s="200" t="str">
        <f t="shared" ca="1" si="0"/>
        <v/>
      </c>
      <c r="R44" s="200" t="str">
        <f t="shared" si="1"/>
        <v/>
      </c>
      <c r="S44" s="175"/>
      <c r="T44" s="169" t="s">
        <v>22</v>
      </c>
      <c r="U44" s="176"/>
      <c r="V44" s="177"/>
      <c r="W44" s="176"/>
      <c r="X44" s="177"/>
      <c r="Y44" s="169"/>
      <c r="Z44" s="176"/>
      <c r="AA44" s="177"/>
      <c r="AB44" s="177"/>
      <c r="AC44" s="176"/>
      <c r="AD44" s="169"/>
      <c r="AE44" s="169"/>
      <c r="AF44" s="178"/>
    </row>
    <row r="45" spans="1:32" s="195" customFormat="1" ht="40.4" customHeight="1">
      <c r="A45" s="1033"/>
      <c r="B45" s="1031"/>
      <c r="C45" s="1016"/>
      <c r="D45" s="1029"/>
      <c r="E45" s="1021"/>
      <c r="F45" s="1002"/>
      <c r="G45" s="1022"/>
      <c r="H45" s="1002"/>
      <c r="I45" s="1002"/>
      <c r="J45" s="1002"/>
      <c r="K45" s="1002"/>
      <c r="L45" s="1002"/>
      <c r="M45" s="1002"/>
      <c r="N45" s="179"/>
      <c r="O45" s="179"/>
      <c r="P45" s="179"/>
      <c r="Q45" s="200" t="str">
        <f t="shared" ca="1" si="0"/>
        <v/>
      </c>
      <c r="R45" s="200" t="str">
        <f t="shared" si="1"/>
        <v/>
      </c>
      <c r="S45" s="175"/>
      <c r="T45" s="169" t="s">
        <v>27</v>
      </c>
      <c r="U45" s="176"/>
      <c r="V45" s="176"/>
      <c r="W45" s="176"/>
      <c r="X45" s="177"/>
      <c r="Y45" s="169"/>
      <c r="Z45" s="176"/>
      <c r="AA45" s="177"/>
      <c r="AB45" s="169" t="str">
        <f t="shared" ref="AB45:AB46" si="2">IF(Z45="","",IF(Y45="檢退","檢退",IF(Y45="審查同意","審定","檢退")))</f>
        <v/>
      </c>
      <c r="AC45" s="176"/>
      <c r="AD45" s="169"/>
      <c r="AE45" s="169"/>
      <c r="AF45" s="178"/>
    </row>
    <row r="46" spans="1:32" s="195" customFormat="1" ht="40.4" customHeight="1">
      <c r="A46" s="1033"/>
      <c r="B46" s="1031"/>
      <c r="C46" s="1017"/>
      <c r="D46" s="1029"/>
      <c r="E46" s="1021"/>
      <c r="F46" s="1003"/>
      <c r="G46" s="1022"/>
      <c r="H46" s="1003"/>
      <c r="I46" s="1003"/>
      <c r="J46" s="1003"/>
      <c r="K46" s="1003"/>
      <c r="L46" s="1003"/>
      <c r="M46" s="1003"/>
      <c r="N46" s="179"/>
      <c r="O46" s="179"/>
      <c r="P46" s="179"/>
      <c r="Q46" s="200" t="str">
        <f t="shared" ref="Q46" ca="1" si="3">IF(N46="","",IF(U46&lt;&gt;"","",IF(AND(U46="",N46-TODAY()&lt;=60),N46-TODAY(),"")))</f>
        <v/>
      </c>
      <c r="R46" s="200" t="str">
        <f t="shared" ref="R46" si="4">IF(AND(ISNUMBER(N46),ISNUMBER(U46)),N46-U46,"")</f>
        <v/>
      </c>
      <c r="S46" s="175"/>
      <c r="T46" s="169" t="s">
        <v>36</v>
      </c>
      <c r="U46" s="176"/>
      <c r="V46" s="177"/>
      <c r="W46" s="176"/>
      <c r="X46" s="177"/>
      <c r="Y46" s="169"/>
      <c r="Z46" s="176"/>
      <c r="AA46" s="177"/>
      <c r="AB46" s="169" t="str">
        <f t="shared" si="2"/>
        <v/>
      </c>
      <c r="AC46" s="176"/>
      <c r="AD46" s="169"/>
      <c r="AE46" s="169"/>
      <c r="AF46" s="178"/>
    </row>
    <row r="47" spans="1:32" s="195" customFormat="1" ht="40.4" customHeight="1">
      <c r="A47" s="1033"/>
      <c r="B47" s="1031">
        <v>106</v>
      </c>
      <c r="C47" s="1015">
        <f>C44+1</f>
        <v>16</v>
      </c>
      <c r="D47" s="1018"/>
      <c r="E47" s="1021"/>
      <c r="F47" s="1021" t="s">
        <v>939</v>
      </c>
      <c r="G47" s="1022" t="s">
        <v>937</v>
      </c>
      <c r="H47" s="1001"/>
      <c r="I47" s="1001" t="s">
        <v>857</v>
      </c>
      <c r="J47" s="1001" t="s">
        <v>856</v>
      </c>
      <c r="K47" s="1001"/>
      <c r="L47" s="1001"/>
      <c r="M47" s="1001"/>
      <c r="N47" s="193">
        <f>IF(O47="","",O47-30)</f>
        <v>46234</v>
      </c>
      <c r="O47" s="193">
        <f>IF(P47="","",P47-30)</f>
        <v>46264</v>
      </c>
      <c r="P47" s="179">
        <v>46294</v>
      </c>
      <c r="Q47" s="202" t="str">
        <f t="shared" ref="Q47:Q52" ca="1" si="5">IF(N47="","",IF(U47&lt;&gt;"","",IF(AND(U47="",N47-TODAY()&lt;=60),N47-TODAY(),"")))</f>
        <v/>
      </c>
      <c r="R47" s="200" t="str">
        <f t="shared" ref="R47:R52" si="6">IF(AND(ISNUMBER(N47),ISNUMBER(U47)),N47-U47,"")</f>
        <v/>
      </c>
      <c r="S47" s="175"/>
      <c r="T47" s="169" t="s">
        <v>22</v>
      </c>
      <c r="U47" s="176"/>
      <c r="V47" s="177"/>
      <c r="W47" s="176"/>
      <c r="X47" s="177"/>
      <c r="Y47" s="169"/>
      <c r="Z47" s="176"/>
      <c r="AA47" s="177"/>
      <c r="AB47" s="177"/>
      <c r="AC47" s="176"/>
      <c r="AD47" s="169"/>
      <c r="AE47" s="169"/>
      <c r="AF47" s="178"/>
    </row>
    <row r="48" spans="1:32" s="195" customFormat="1" ht="40.4" customHeight="1">
      <c r="A48" s="1033"/>
      <c r="B48" s="1031"/>
      <c r="C48" s="1016"/>
      <c r="D48" s="1019"/>
      <c r="E48" s="1021"/>
      <c r="F48" s="1021"/>
      <c r="G48" s="1022"/>
      <c r="H48" s="1002"/>
      <c r="I48" s="1002"/>
      <c r="J48" s="1002"/>
      <c r="K48" s="1002"/>
      <c r="L48" s="1002"/>
      <c r="M48" s="1002"/>
      <c r="N48" s="201"/>
      <c r="O48" s="201"/>
      <c r="P48" s="201"/>
      <c r="Q48" s="202" t="str">
        <f t="shared" ca="1" si="5"/>
        <v/>
      </c>
      <c r="R48" s="200" t="str">
        <f t="shared" si="6"/>
        <v/>
      </c>
      <c r="S48" s="175"/>
      <c r="T48" s="169" t="s">
        <v>27</v>
      </c>
      <c r="U48" s="176"/>
      <c r="V48" s="176"/>
      <c r="W48" s="176"/>
      <c r="X48" s="177"/>
      <c r="Y48" s="169"/>
      <c r="Z48" s="176"/>
      <c r="AA48" s="177"/>
      <c r="AB48" s="169" t="str">
        <f>IF(Z48="","",IF(Y48="檢退","檢退",IF(Y48="審查同意","審定","檢退")))</f>
        <v/>
      </c>
      <c r="AC48" s="176"/>
      <c r="AD48" s="169"/>
      <c r="AE48" s="169"/>
      <c r="AF48" s="178"/>
    </row>
    <row r="49" spans="1:32" s="195" customFormat="1" ht="40.4" customHeight="1">
      <c r="A49" s="1033"/>
      <c r="B49" s="1031"/>
      <c r="C49" s="1017"/>
      <c r="D49" s="1020"/>
      <c r="E49" s="1021"/>
      <c r="F49" s="1021"/>
      <c r="G49" s="1022"/>
      <c r="H49" s="1003"/>
      <c r="I49" s="1003"/>
      <c r="J49" s="1003"/>
      <c r="K49" s="1003"/>
      <c r="L49" s="1003"/>
      <c r="M49" s="1003"/>
      <c r="N49" s="201"/>
      <c r="O49" s="201"/>
      <c r="P49" s="201"/>
      <c r="Q49" s="202" t="str">
        <f t="shared" ca="1" si="5"/>
        <v/>
      </c>
      <c r="R49" s="200" t="str">
        <f t="shared" si="6"/>
        <v/>
      </c>
      <c r="S49" s="175"/>
      <c r="T49" s="169" t="s">
        <v>36</v>
      </c>
      <c r="U49" s="176"/>
      <c r="V49" s="177"/>
      <c r="W49" s="176"/>
      <c r="X49" s="177"/>
      <c r="Y49" s="169"/>
      <c r="Z49" s="176"/>
      <c r="AA49" s="177"/>
      <c r="AB49" s="169" t="str">
        <f>IF(Z49="","",IF(Y49="檢退","檢退",IF(Y49="審查同意","審定","檢退")))</f>
        <v/>
      </c>
      <c r="AC49" s="176"/>
      <c r="AD49" s="169"/>
      <c r="AE49" s="169"/>
      <c r="AF49" s="178"/>
    </row>
    <row r="50" spans="1:32" s="195" customFormat="1" ht="40.4" customHeight="1">
      <c r="A50" s="1033"/>
      <c r="B50" s="1031">
        <v>107</v>
      </c>
      <c r="C50" s="1015">
        <f>C47+1</f>
        <v>17</v>
      </c>
      <c r="D50" s="1018"/>
      <c r="E50" s="1021"/>
      <c r="F50" s="1021" t="s">
        <v>940</v>
      </c>
      <c r="G50" s="1022" t="s">
        <v>938</v>
      </c>
      <c r="H50" s="1001"/>
      <c r="I50" s="1001" t="s">
        <v>857</v>
      </c>
      <c r="J50" s="1001" t="s">
        <v>856</v>
      </c>
      <c r="K50" s="1001"/>
      <c r="L50" s="1001"/>
      <c r="M50" s="1001"/>
      <c r="N50" s="193">
        <f>IF(O50="","",O50-30)</f>
        <v>46234</v>
      </c>
      <c r="O50" s="193">
        <f>IF(P50="","",P50-30)</f>
        <v>46264</v>
      </c>
      <c r="P50" s="179">
        <v>46294</v>
      </c>
      <c r="Q50" s="202" t="str">
        <f t="shared" ca="1" si="5"/>
        <v/>
      </c>
      <c r="R50" s="200" t="str">
        <f t="shared" si="6"/>
        <v/>
      </c>
      <c r="S50" s="175"/>
      <c r="T50" s="169" t="s">
        <v>22</v>
      </c>
      <c r="U50" s="176"/>
      <c r="V50" s="177"/>
      <c r="W50" s="176"/>
      <c r="X50" s="177"/>
      <c r="Y50" s="169"/>
      <c r="Z50" s="176"/>
      <c r="AA50" s="177"/>
      <c r="AB50" s="177"/>
      <c r="AC50" s="176"/>
      <c r="AD50" s="169"/>
      <c r="AE50" s="169"/>
      <c r="AF50" s="178"/>
    </row>
    <row r="51" spans="1:32" s="195" customFormat="1" ht="40.4" customHeight="1">
      <c r="A51" s="1033"/>
      <c r="B51" s="1031"/>
      <c r="C51" s="1016"/>
      <c r="D51" s="1019"/>
      <c r="E51" s="1021"/>
      <c r="F51" s="1021"/>
      <c r="G51" s="1022"/>
      <c r="H51" s="1002"/>
      <c r="I51" s="1002"/>
      <c r="J51" s="1002"/>
      <c r="K51" s="1002"/>
      <c r="L51" s="1002"/>
      <c r="M51" s="1002"/>
      <c r="N51" s="179"/>
      <c r="O51" s="179"/>
      <c r="P51" s="179"/>
      <c r="Q51" s="200" t="str">
        <f t="shared" ca="1" si="5"/>
        <v/>
      </c>
      <c r="R51" s="200" t="str">
        <f t="shared" si="6"/>
        <v/>
      </c>
      <c r="S51" s="175"/>
      <c r="T51" s="169" t="s">
        <v>27</v>
      </c>
      <c r="U51" s="176"/>
      <c r="V51" s="176"/>
      <c r="W51" s="176"/>
      <c r="X51" s="177"/>
      <c r="Y51" s="169"/>
      <c r="Z51" s="176"/>
      <c r="AA51" s="177"/>
      <c r="AB51" s="169" t="str">
        <f>IF(Z51="","",IF(Y51="檢退","檢退",IF(Y51="審查同意","審定","檢退")))</f>
        <v/>
      </c>
      <c r="AC51" s="176"/>
      <c r="AD51" s="169"/>
      <c r="AE51" s="169"/>
      <c r="AF51" s="178"/>
    </row>
    <row r="52" spans="1:32" s="195" customFormat="1" ht="40.4" customHeight="1">
      <c r="A52" s="1033"/>
      <c r="B52" s="1031"/>
      <c r="C52" s="1017"/>
      <c r="D52" s="1020"/>
      <c r="E52" s="1021"/>
      <c r="F52" s="1021"/>
      <c r="G52" s="1022"/>
      <c r="H52" s="1003"/>
      <c r="I52" s="1003"/>
      <c r="J52" s="1003"/>
      <c r="K52" s="1003"/>
      <c r="L52" s="1003"/>
      <c r="M52" s="1003"/>
      <c r="N52" s="179"/>
      <c r="O52" s="179"/>
      <c r="P52" s="179"/>
      <c r="Q52" s="200" t="str">
        <f t="shared" ca="1" si="5"/>
        <v/>
      </c>
      <c r="R52" s="200" t="str">
        <f t="shared" si="6"/>
        <v/>
      </c>
      <c r="S52" s="175"/>
      <c r="T52" s="169" t="s">
        <v>36</v>
      </c>
      <c r="U52" s="176"/>
      <c r="V52" s="177"/>
      <c r="W52" s="176"/>
      <c r="X52" s="177"/>
      <c r="Y52" s="169"/>
      <c r="Z52" s="176"/>
      <c r="AA52" s="177"/>
      <c r="AB52" s="169" t="str">
        <f>IF(Z52="","",IF(Y52="檢退","檢退",IF(Y52="審查同意","審定","檢退")))</f>
        <v/>
      </c>
      <c r="AC52" s="176"/>
      <c r="AD52" s="169"/>
      <c r="AE52" s="169"/>
      <c r="AF52" s="178"/>
    </row>
    <row r="53" spans="1:32" s="203" customFormat="1" ht="40.4" customHeight="1">
      <c r="A53" s="1032"/>
      <c r="B53" s="1011">
        <v>244</v>
      </c>
      <c r="C53" s="909">
        <f>C41+1</f>
        <v>14</v>
      </c>
      <c r="D53" s="1012">
        <v>128</v>
      </c>
      <c r="E53" s="901"/>
      <c r="F53" s="890" t="s">
        <v>488</v>
      </c>
      <c r="G53" s="887" t="s">
        <v>338</v>
      </c>
      <c r="H53" s="890"/>
      <c r="I53" s="890" t="s">
        <v>891</v>
      </c>
      <c r="J53" s="1007" t="s">
        <v>892</v>
      </c>
      <c r="K53" s="890"/>
      <c r="L53" s="890"/>
      <c r="M53" s="890"/>
      <c r="N53" s="224">
        <f>IF(O53="","",O53-30)</f>
        <v>46234</v>
      </c>
      <c r="O53" s="224">
        <f>IF(P53="","",P53-30)</f>
        <v>46264</v>
      </c>
      <c r="P53" s="225">
        <v>46294</v>
      </c>
      <c r="Q53" s="226" t="str">
        <f ca="1">IF(N53="","",IF(U53&lt;&gt;"","",IF(AND(U53="",N53-TODAY()&lt;=60),N53-TODAY(),"")))</f>
        <v/>
      </c>
      <c r="R53" s="226" t="str">
        <f>IF(AND(ISNUMBER(N53),ISNUMBER(U53)),N53-U53,"")</f>
        <v/>
      </c>
      <c r="S53" s="205"/>
      <c r="T53" s="209" t="s">
        <v>22</v>
      </c>
      <c r="U53" s="210"/>
      <c r="V53" s="211"/>
      <c r="W53" s="210"/>
      <c r="X53" s="211"/>
      <c r="Y53" s="209"/>
      <c r="Z53" s="210"/>
      <c r="AA53" s="211"/>
      <c r="AB53" s="211"/>
      <c r="AC53" s="210"/>
      <c r="AD53" s="209"/>
      <c r="AE53" s="209"/>
      <c r="AF53" s="212"/>
    </row>
    <row r="54" spans="1:32" s="203" customFormat="1" ht="39.65" customHeight="1">
      <c r="A54" s="1032"/>
      <c r="B54" s="1011"/>
      <c r="C54" s="910"/>
      <c r="D54" s="1013"/>
      <c r="E54" s="902"/>
      <c r="F54" s="891"/>
      <c r="G54" s="888"/>
      <c r="H54" s="891"/>
      <c r="I54" s="891"/>
      <c r="J54" s="1007"/>
      <c r="K54" s="891"/>
      <c r="L54" s="891"/>
      <c r="M54" s="891"/>
      <c r="N54" s="207"/>
      <c r="O54" s="207"/>
      <c r="P54" s="207"/>
      <c r="Q54" s="226" t="str">
        <f ca="1">IF(N54="","",IF(U54&lt;&gt;"","",IF(AND(U54="",N54-TODAY()&lt;=60),N54-TODAY(),"")))</f>
        <v/>
      </c>
      <c r="R54" s="226" t="str">
        <f>IF(AND(ISNUMBER(N54),ISNUMBER(U54)),N54-U54,"")</f>
        <v/>
      </c>
      <c r="S54" s="205"/>
      <c r="T54" s="209" t="s">
        <v>27</v>
      </c>
      <c r="U54" s="210"/>
      <c r="V54" s="210"/>
      <c r="W54" s="210"/>
      <c r="X54" s="211"/>
      <c r="Y54" s="209"/>
      <c r="Z54" s="210"/>
      <c r="AA54" s="211"/>
      <c r="AB54" s="209" t="str">
        <f>IF(Z54="","",IF(Y54="檢退","檢退",IF(Y54="審查同意","審定","檢退")))</f>
        <v/>
      </c>
      <c r="AC54" s="210"/>
      <c r="AD54" s="209"/>
      <c r="AE54" s="209"/>
      <c r="AF54" s="212"/>
    </row>
    <row r="55" spans="1:32" s="203" customFormat="1" ht="40.4" customHeight="1">
      <c r="A55" s="1032"/>
      <c r="B55" s="1011"/>
      <c r="C55" s="911"/>
      <c r="D55" s="1014"/>
      <c r="E55" s="903"/>
      <c r="F55" s="892"/>
      <c r="G55" s="889"/>
      <c r="H55" s="892"/>
      <c r="I55" s="892"/>
      <c r="J55" s="1007"/>
      <c r="K55" s="892"/>
      <c r="L55" s="892"/>
      <c r="M55" s="892"/>
      <c r="N55" s="207"/>
      <c r="O55" s="207"/>
      <c r="P55" s="207"/>
      <c r="Q55" s="226" t="str">
        <f ca="1">IF(N55="","",IF(U55&lt;&gt;"","",IF(AND(U55="",N55-TODAY()&lt;=60),N55-TODAY(),"")))</f>
        <v/>
      </c>
      <c r="R55" s="226" t="str">
        <f>IF(AND(ISNUMBER(N55),ISNUMBER(U55)),N55-U55,"")</f>
        <v/>
      </c>
      <c r="S55" s="205"/>
      <c r="T55" s="209" t="s">
        <v>36</v>
      </c>
      <c r="U55" s="210"/>
      <c r="V55" s="211"/>
      <c r="W55" s="210"/>
      <c r="X55" s="211"/>
      <c r="Y55" s="209"/>
      <c r="Z55" s="210"/>
      <c r="AA55" s="211"/>
      <c r="AB55" s="209" t="str">
        <f>IF(Z55="","",IF(Y55="檢退","檢退",IF(Y55="審查同意","審定","檢退")))</f>
        <v/>
      </c>
      <c r="AC55" s="210"/>
      <c r="AD55" s="209"/>
      <c r="AE55" s="209"/>
      <c r="AF55" s="212"/>
    </row>
    <row r="56" spans="1:32" s="203" customFormat="1" ht="40.4" customHeight="1">
      <c r="A56" s="1032"/>
      <c r="B56" s="1011">
        <v>272</v>
      </c>
      <c r="C56" s="909">
        <f>C50+1</f>
        <v>18</v>
      </c>
      <c r="D56" s="1012"/>
      <c r="E56" s="899"/>
      <c r="F56" s="899" t="s">
        <v>542</v>
      </c>
      <c r="G56" s="899" t="s">
        <v>544</v>
      </c>
      <c r="H56" s="890" t="s">
        <v>557</v>
      </c>
      <c r="I56" s="890" t="s">
        <v>929</v>
      </c>
      <c r="J56" s="890" t="s">
        <v>930</v>
      </c>
      <c r="K56" s="890" t="s">
        <v>558</v>
      </c>
      <c r="L56" s="890"/>
      <c r="M56" s="890"/>
      <c r="N56" s="224">
        <f>IF(O56="","",O56-30)</f>
        <v>46234</v>
      </c>
      <c r="O56" s="224">
        <f>IF(P56="","",P56-30)</f>
        <v>46264</v>
      </c>
      <c r="P56" s="225">
        <v>46294</v>
      </c>
      <c r="Q56" s="208" t="str">
        <f t="shared" ref="Q56:Q58" ca="1" si="7">IF(N56="","",IF(U56&lt;&gt;"","",IF(AND(U56="",N56-TODAY()&lt;=60),N56-TODAY(),"")))</f>
        <v/>
      </c>
      <c r="R56" s="208" t="str">
        <f t="shared" ref="R56:R58" si="8">IF(AND(ISNUMBER(N56),ISNUMBER(U56)),N56-U56,"")</f>
        <v/>
      </c>
      <c r="S56" s="205"/>
      <c r="T56" s="209" t="s">
        <v>22</v>
      </c>
      <c r="U56" s="210"/>
      <c r="V56" s="211"/>
      <c r="W56" s="210"/>
      <c r="X56" s="211"/>
      <c r="Y56" s="209"/>
      <c r="Z56" s="210"/>
      <c r="AA56" s="211"/>
      <c r="AB56" s="211"/>
      <c r="AC56" s="210"/>
      <c r="AD56" s="209"/>
      <c r="AE56" s="209"/>
      <c r="AF56" s="212"/>
    </row>
    <row r="57" spans="1:32" s="203" customFormat="1" ht="40.4" customHeight="1">
      <c r="A57" s="1032"/>
      <c r="B57" s="1011"/>
      <c r="C57" s="910"/>
      <c r="D57" s="1013"/>
      <c r="E57" s="899"/>
      <c r="F57" s="899"/>
      <c r="G57" s="899"/>
      <c r="H57" s="891"/>
      <c r="I57" s="891"/>
      <c r="J57" s="891"/>
      <c r="K57" s="891"/>
      <c r="L57" s="891"/>
      <c r="M57" s="891"/>
      <c r="N57" s="207"/>
      <c r="O57" s="207"/>
      <c r="P57" s="207"/>
      <c r="Q57" s="208" t="str">
        <f t="shared" ca="1" si="7"/>
        <v/>
      </c>
      <c r="R57" s="208" t="str">
        <f t="shared" si="8"/>
        <v/>
      </c>
      <c r="S57" s="205"/>
      <c r="T57" s="209" t="s">
        <v>27</v>
      </c>
      <c r="U57" s="210"/>
      <c r="V57" s="210"/>
      <c r="W57" s="210"/>
      <c r="X57" s="211"/>
      <c r="Y57" s="209"/>
      <c r="Z57" s="210"/>
      <c r="AA57" s="211"/>
      <c r="AB57" s="209" t="str">
        <f>IF(Z57="","",IF(Y57="檢退","檢退",IF(Y57="審查同意","審定","檢退")))</f>
        <v/>
      </c>
      <c r="AC57" s="210"/>
      <c r="AD57" s="209"/>
      <c r="AE57" s="209"/>
      <c r="AF57" s="212"/>
    </row>
    <row r="58" spans="1:32" s="203" customFormat="1" ht="40.4" customHeight="1">
      <c r="A58" s="1032"/>
      <c r="B58" s="1011"/>
      <c r="C58" s="911"/>
      <c r="D58" s="1014"/>
      <c r="E58" s="899"/>
      <c r="F58" s="899"/>
      <c r="G58" s="899"/>
      <c r="H58" s="892"/>
      <c r="I58" s="892"/>
      <c r="J58" s="892"/>
      <c r="K58" s="892"/>
      <c r="L58" s="892"/>
      <c r="M58" s="892"/>
      <c r="N58" s="207"/>
      <c r="O58" s="207"/>
      <c r="P58" s="207"/>
      <c r="Q58" s="208" t="str">
        <f t="shared" ca="1" si="7"/>
        <v/>
      </c>
      <c r="R58" s="208" t="str">
        <f t="shared" si="8"/>
        <v/>
      </c>
      <c r="S58" s="205"/>
      <c r="T58" s="209" t="s">
        <v>36</v>
      </c>
      <c r="U58" s="210"/>
      <c r="V58" s="211"/>
      <c r="W58" s="210"/>
      <c r="X58" s="211"/>
      <c r="Y58" s="209"/>
      <c r="Z58" s="210"/>
      <c r="AA58" s="211"/>
      <c r="AB58" s="209" t="str">
        <f>IF(Z58="","",IF(Y58="檢退","檢退",IF(Y58="審查同意","審定","檢退")))</f>
        <v/>
      </c>
      <c r="AC58" s="210"/>
      <c r="AD58" s="209"/>
      <c r="AE58" s="209"/>
      <c r="AF58" s="212"/>
    </row>
    <row r="59" spans="1:32" s="203" customFormat="1" ht="40.4" customHeight="1">
      <c r="A59" s="1032"/>
      <c r="B59" s="1011">
        <v>273</v>
      </c>
      <c r="C59" s="909">
        <f>C56+1</f>
        <v>19</v>
      </c>
      <c r="D59" s="1012"/>
      <c r="E59" s="899"/>
      <c r="F59" s="899" t="s">
        <v>543</v>
      </c>
      <c r="G59" s="899" t="s">
        <v>545</v>
      </c>
      <c r="H59" s="890" t="s">
        <v>557</v>
      </c>
      <c r="I59" s="890" t="s">
        <v>929</v>
      </c>
      <c r="J59" s="890" t="s">
        <v>930</v>
      </c>
      <c r="K59" s="890" t="s">
        <v>558</v>
      </c>
      <c r="L59" s="890"/>
      <c r="M59" s="890"/>
      <c r="N59" s="224">
        <f>IF(O59="","",O59-30)</f>
        <v>46234</v>
      </c>
      <c r="O59" s="224">
        <f>IF(P59="","",P59-30)</f>
        <v>46264</v>
      </c>
      <c r="P59" s="225">
        <v>46294</v>
      </c>
      <c r="Q59" s="208" t="str">
        <f t="shared" ref="Q59:Q61" ca="1" si="9">IF(N59="","",IF(U59&lt;&gt;"","",IF(AND(U59="",N59-TODAY()&lt;=60),N59-TODAY(),"")))</f>
        <v/>
      </c>
      <c r="R59" s="208" t="str">
        <f t="shared" ref="R59:R61" si="10">IF(AND(ISNUMBER(N59),ISNUMBER(U59)),N59-U59,"")</f>
        <v/>
      </c>
      <c r="S59" s="205"/>
      <c r="T59" s="209" t="s">
        <v>22</v>
      </c>
      <c r="U59" s="222" t="s">
        <v>931</v>
      </c>
      <c r="V59" s="223" t="s">
        <v>932</v>
      </c>
      <c r="W59" s="222" t="s">
        <v>933</v>
      </c>
      <c r="X59" s="223" t="s">
        <v>934</v>
      </c>
      <c r="Y59" s="223" t="s">
        <v>935</v>
      </c>
      <c r="Z59" s="440"/>
      <c r="AA59" s="440"/>
      <c r="AB59" s="211"/>
      <c r="AC59" s="210"/>
      <c r="AD59" s="209"/>
      <c r="AE59" s="209"/>
      <c r="AF59" s="212"/>
    </row>
    <row r="60" spans="1:32" s="203" customFormat="1" ht="40.4" customHeight="1">
      <c r="A60" s="1032"/>
      <c r="B60" s="1011"/>
      <c r="C60" s="910"/>
      <c r="D60" s="1013"/>
      <c r="E60" s="899"/>
      <c r="F60" s="899"/>
      <c r="G60" s="899"/>
      <c r="H60" s="891"/>
      <c r="I60" s="891"/>
      <c r="J60" s="891"/>
      <c r="K60" s="891"/>
      <c r="L60" s="891"/>
      <c r="M60" s="891"/>
      <c r="N60" s="207"/>
      <c r="O60" s="207"/>
      <c r="P60" s="207"/>
      <c r="Q60" s="208" t="str">
        <f ca="1">IF(N60="","",IF(#REF!&lt;&gt;"","",IF(AND(#REF!="",N60-TODAY()&lt;=60),N60-TODAY(),"")))</f>
        <v/>
      </c>
      <c r="R60" s="208" t="str">
        <f>IF(AND(ISNUMBER(N60),ISNUMBER(#REF!)),N60-#REF!,"")</f>
        <v/>
      </c>
      <c r="S60" s="205" t="s">
        <v>1532</v>
      </c>
      <c r="T60" s="209" t="s">
        <v>27</v>
      </c>
      <c r="U60" s="223" t="s">
        <v>936</v>
      </c>
      <c r="V60" s="223" t="s">
        <v>1645</v>
      </c>
      <c r="W60" s="210"/>
      <c r="X60" s="211"/>
      <c r="Y60" s="209"/>
      <c r="Z60" s="210"/>
      <c r="AA60" s="211"/>
      <c r="AB60" s="209" t="str">
        <f>IF(Z60="","",IF(Y60="檢退","檢退",IF(Y60="審查同意","審定","檢退")))</f>
        <v/>
      </c>
      <c r="AC60" s="210"/>
      <c r="AD60" s="209"/>
      <c r="AE60" s="209"/>
      <c r="AF60" s="212"/>
    </row>
    <row r="61" spans="1:32" s="203" customFormat="1" ht="40.4" customHeight="1">
      <c r="A61" s="1032"/>
      <c r="B61" s="1011"/>
      <c r="C61" s="911"/>
      <c r="D61" s="1014"/>
      <c r="E61" s="899"/>
      <c r="F61" s="899"/>
      <c r="G61" s="899"/>
      <c r="H61" s="892"/>
      <c r="I61" s="892"/>
      <c r="J61" s="892"/>
      <c r="K61" s="892"/>
      <c r="L61" s="892"/>
      <c r="M61" s="892"/>
      <c r="N61" s="207"/>
      <c r="O61" s="207"/>
      <c r="P61" s="207"/>
      <c r="Q61" s="208" t="str">
        <f t="shared" ca="1" si="9"/>
        <v/>
      </c>
      <c r="R61" s="208" t="str">
        <f t="shared" si="10"/>
        <v/>
      </c>
      <c r="S61" s="205"/>
      <c r="T61" s="209" t="s">
        <v>36</v>
      </c>
      <c r="U61" s="210"/>
      <c r="V61" s="211"/>
      <c r="W61" s="210"/>
      <c r="X61" s="211"/>
      <c r="Y61" s="209"/>
      <c r="Z61" s="210"/>
      <c r="AA61" s="211"/>
      <c r="AB61" s="209" t="str">
        <f>IF(Z61="","",IF(Y61="檢退","檢退",IF(Y61="審查同意","審定","檢退")))</f>
        <v/>
      </c>
      <c r="AC61" s="210"/>
      <c r="AD61" s="209"/>
      <c r="AE61" s="209"/>
      <c r="AF61" s="212"/>
    </row>
    <row r="62" spans="1:32" s="25" customFormat="1" ht="40.4" customHeight="1">
      <c r="C62" s="76"/>
      <c r="D62" s="92"/>
      <c r="E62" s="93"/>
      <c r="F62" s="93"/>
      <c r="G62" s="94"/>
      <c r="H62" s="161"/>
      <c r="I62" s="161"/>
      <c r="J62" s="161"/>
      <c r="K62" s="43"/>
      <c r="L62" s="43"/>
      <c r="M62" s="43"/>
      <c r="N62" s="39"/>
      <c r="O62" s="39"/>
      <c r="P62" s="39"/>
      <c r="Q62" s="42"/>
      <c r="R62" s="42"/>
      <c r="S62" s="43"/>
      <c r="T62" s="44"/>
      <c r="U62" s="79"/>
      <c r="V62" s="80"/>
      <c r="W62" s="79"/>
      <c r="X62" s="80"/>
      <c r="Y62" s="78"/>
      <c r="Z62" s="45"/>
      <c r="AA62" s="46"/>
      <c r="AB62" s="44"/>
      <c r="AC62" s="45"/>
      <c r="AD62" s="44"/>
      <c r="AE62" s="44"/>
      <c r="AF62" s="47"/>
    </row>
    <row r="63" spans="1:32" s="2" customFormat="1" ht="40.4" customHeight="1">
      <c r="C63" s="36"/>
      <c r="D63" s="36"/>
      <c r="E63" s="95" t="s">
        <v>374</v>
      </c>
      <c r="F63" s="95"/>
      <c r="G63" s="38"/>
      <c r="H63" s="160"/>
      <c r="I63" s="160"/>
      <c r="J63" s="160"/>
      <c r="K63" s="38"/>
      <c r="L63" s="38"/>
      <c r="M63" s="38"/>
      <c r="N63" s="39"/>
      <c r="O63" s="40"/>
      <c r="P63" s="41"/>
      <c r="Q63" s="42"/>
      <c r="R63" s="42"/>
      <c r="S63" s="43"/>
      <c r="T63" s="44"/>
      <c r="U63" s="45"/>
      <c r="V63" s="46"/>
      <c r="W63" s="45"/>
      <c r="X63" s="46"/>
      <c r="Y63" s="44"/>
      <c r="Z63" s="45"/>
      <c r="AA63" s="46"/>
      <c r="AB63" s="44"/>
      <c r="AC63" s="45"/>
      <c r="AD63" s="44"/>
      <c r="AE63" s="44"/>
      <c r="AF63" s="47"/>
    </row>
    <row r="64" spans="1:32" ht="40.4" customHeight="1">
      <c r="E64" s="49" t="s">
        <v>193</v>
      </c>
      <c r="F64" s="64">
        <f>COUNTA(G5:G61)</f>
        <v>19</v>
      </c>
      <c r="H64" s="196"/>
      <c r="I64" s="196"/>
      <c r="J64" s="196"/>
      <c r="K64" s="87"/>
      <c r="L64" s="87"/>
      <c r="M64" s="87"/>
      <c r="N64" s="50"/>
      <c r="O64" s="51"/>
      <c r="S64" s="2"/>
      <c r="AE64" s="52"/>
      <c r="AF64" s="1"/>
    </row>
    <row r="65" spans="3:32" ht="40.4" customHeight="1">
      <c r="E65" s="61" t="s">
        <v>240</v>
      </c>
      <c r="F65" s="67">
        <f>F64-F66-F67-F68</f>
        <v>18</v>
      </c>
      <c r="H65" s="197"/>
      <c r="I65" s="197"/>
      <c r="J65" s="197"/>
      <c r="K65" s="88"/>
      <c r="L65" s="88"/>
      <c r="M65" s="88"/>
      <c r="N65" s="56"/>
      <c r="O65" s="57"/>
      <c r="S65" s="2"/>
      <c r="AE65" s="52"/>
      <c r="AF65" s="1"/>
    </row>
    <row r="66" spans="3:32" ht="45.65" customHeight="1">
      <c r="E66" s="55" t="s">
        <v>194</v>
      </c>
      <c r="F66" s="65">
        <f>COUNTIF(S5:S61,"核定")</f>
        <v>0</v>
      </c>
      <c r="H66" s="197"/>
      <c r="I66" s="197"/>
      <c r="J66" s="197"/>
      <c r="K66" s="89"/>
      <c r="L66" s="89"/>
      <c r="M66" s="89"/>
      <c r="N66" s="59"/>
      <c r="O66" s="60"/>
      <c r="S66" s="2"/>
      <c r="AE66" s="52"/>
      <c r="AF66" s="1"/>
    </row>
    <row r="67" spans="3:32" ht="40.4" customHeight="1">
      <c r="E67" s="72" t="s">
        <v>177</v>
      </c>
      <c r="F67" s="73">
        <f>COUNTIF(S5:S61,"審查")</f>
        <v>1</v>
      </c>
      <c r="H67" s="198"/>
      <c r="I67" s="198"/>
      <c r="J67" s="198"/>
      <c r="K67" s="90"/>
      <c r="L67" s="90"/>
      <c r="M67" s="90"/>
      <c r="N67" s="62"/>
      <c r="O67" s="63"/>
      <c r="S67" s="2"/>
      <c r="AE67" s="52"/>
      <c r="AF67" s="1"/>
    </row>
    <row r="68" spans="3:32" s="52" customFormat="1" ht="40.4" customHeight="1">
      <c r="C68" s="48"/>
      <c r="D68" s="48"/>
      <c r="E68" s="58" t="s">
        <v>239</v>
      </c>
      <c r="F68" s="66">
        <f>COUNTIF(S5:S61,"修正")</f>
        <v>0</v>
      </c>
      <c r="H68" s="199"/>
      <c r="I68" s="199"/>
      <c r="J68" s="199"/>
      <c r="K68" s="91"/>
      <c r="L68" s="91"/>
      <c r="M68" s="91"/>
      <c r="N68" s="53"/>
      <c r="Q68" s="53"/>
      <c r="R68" s="54"/>
      <c r="S68" s="54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</sheetData>
  <autoFilter ref="C4:AF68" xr:uid="{00000000-0009-0000-0000-000007000000}"/>
  <mergeCells count="272"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I56:I58"/>
    <mergeCell ref="I59:I61"/>
    <mergeCell ref="I47:I49"/>
    <mergeCell ref="I50:I52"/>
    <mergeCell ref="I14:I16"/>
    <mergeCell ref="A59:A61"/>
    <mergeCell ref="A56:A58"/>
    <mergeCell ref="A53:A55"/>
    <mergeCell ref="A50:A52"/>
    <mergeCell ref="A32:A34"/>
    <mergeCell ref="A35:A37"/>
    <mergeCell ref="A38:A40"/>
    <mergeCell ref="A41:A43"/>
    <mergeCell ref="A44:A46"/>
    <mergeCell ref="A47:A49"/>
    <mergeCell ref="B53:B55"/>
    <mergeCell ref="C14:C16"/>
    <mergeCell ref="D14:D16"/>
    <mergeCell ref="E14:E16"/>
    <mergeCell ref="G14:G16"/>
    <mergeCell ref="F14:F16"/>
    <mergeCell ref="C17:C19"/>
    <mergeCell ref="D17:D19"/>
    <mergeCell ref="E17:E19"/>
    <mergeCell ref="A2:A4"/>
    <mergeCell ref="B47:B49"/>
    <mergeCell ref="B50:B52"/>
    <mergeCell ref="F41:F43"/>
    <mergeCell ref="F38:F40"/>
    <mergeCell ref="F35:F37"/>
    <mergeCell ref="F44:F46"/>
    <mergeCell ref="F2:F4"/>
    <mergeCell ref="B17:B19"/>
    <mergeCell ref="B14:B16"/>
    <mergeCell ref="B11:B13"/>
    <mergeCell ref="B8:B10"/>
    <mergeCell ref="B5:B7"/>
    <mergeCell ref="B26:B28"/>
    <mergeCell ref="B23:B25"/>
    <mergeCell ref="B20:B22"/>
    <mergeCell ref="B35:B37"/>
    <mergeCell ref="B32:B34"/>
    <mergeCell ref="B29:B31"/>
    <mergeCell ref="B38:B40"/>
    <mergeCell ref="B41:B43"/>
    <mergeCell ref="B44:B46"/>
    <mergeCell ref="C5:C7"/>
    <mergeCell ref="C8:C10"/>
    <mergeCell ref="C1:AF1"/>
    <mergeCell ref="C2:C4"/>
    <mergeCell ref="D2:D4"/>
    <mergeCell ref="E2:E4"/>
    <mergeCell ref="G2:G4"/>
    <mergeCell ref="N2:N4"/>
    <mergeCell ref="O2:O4"/>
    <mergeCell ref="P2:P4"/>
    <mergeCell ref="Q2:Q4"/>
    <mergeCell ref="R2:R4"/>
    <mergeCell ref="S2:S4"/>
    <mergeCell ref="T2:T4"/>
    <mergeCell ref="U2:AE2"/>
    <mergeCell ref="AF2:AF4"/>
    <mergeCell ref="U3:V3"/>
    <mergeCell ref="W3:Y3"/>
    <mergeCell ref="Z3:AB3"/>
    <mergeCell ref="AC3:AE3"/>
    <mergeCell ref="J2:J4"/>
    <mergeCell ref="L2:L4"/>
    <mergeCell ref="K2:K4"/>
    <mergeCell ref="I2:I4"/>
    <mergeCell ref="D8:D10"/>
    <mergeCell ref="E8:E10"/>
    <mergeCell ref="G8:G10"/>
    <mergeCell ref="F8:F10"/>
    <mergeCell ref="F5:F7"/>
    <mergeCell ref="C11:C13"/>
    <mergeCell ref="D11:D13"/>
    <mergeCell ref="E11:E13"/>
    <mergeCell ref="G11:G13"/>
    <mergeCell ref="D5:D7"/>
    <mergeCell ref="E5:E7"/>
    <mergeCell ref="G5:G7"/>
    <mergeCell ref="F11:F13"/>
    <mergeCell ref="G17:G19"/>
    <mergeCell ref="C20:C22"/>
    <mergeCell ref="D20:D22"/>
    <mergeCell ref="E20:E22"/>
    <mergeCell ref="G20:G22"/>
    <mergeCell ref="F17:F19"/>
    <mergeCell ref="F20:F22"/>
    <mergeCell ref="C23:C25"/>
    <mergeCell ref="D23:D25"/>
    <mergeCell ref="E23:E25"/>
    <mergeCell ref="G23:G25"/>
    <mergeCell ref="C26:C28"/>
    <mergeCell ref="D26:D28"/>
    <mergeCell ref="E26:E28"/>
    <mergeCell ref="G26:G28"/>
    <mergeCell ref="F26:F28"/>
    <mergeCell ref="F23:F25"/>
    <mergeCell ref="C29:C31"/>
    <mergeCell ref="D29:D31"/>
    <mergeCell ref="E29:E31"/>
    <mergeCell ref="G29:G31"/>
    <mergeCell ref="C44:C46"/>
    <mergeCell ref="D44:D46"/>
    <mergeCell ref="E44:E46"/>
    <mergeCell ref="G44:G46"/>
    <mergeCell ref="C41:C43"/>
    <mergeCell ref="D41:D43"/>
    <mergeCell ref="E41:E43"/>
    <mergeCell ref="G41:G43"/>
    <mergeCell ref="C53:C55"/>
    <mergeCell ref="D53:D55"/>
    <mergeCell ref="E53:E55"/>
    <mergeCell ref="G53:G55"/>
    <mergeCell ref="F53:F55"/>
    <mergeCell ref="F47:F49"/>
    <mergeCell ref="B2:B4"/>
    <mergeCell ref="C47:C49"/>
    <mergeCell ref="D47:D49"/>
    <mergeCell ref="E47:E49"/>
    <mergeCell ref="G47:G49"/>
    <mergeCell ref="C50:C52"/>
    <mergeCell ref="D50:D52"/>
    <mergeCell ref="E50:E52"/>
    <mergeCell ref="G50:G52"/>
    <mergeCell ref="C38:C40"/>
    <mergeCell ref="D38:D40"/>
    <mergeCell ref="E38:E40"/>
    <mergeCell ref="G38:G40"/>
    <mergeCell ref="C35:C37"/>
    <mergeCell ref="D35:D37"/>
    <mergeCell ref="E35:E37"/>
    <mergeCell ref="G35:G37"/>
    <mergeCell ref="C32:C34"/>
    <mergeCell ref="D32:D34"/>
    <mergeCell ref="E32:E34"/>
    <mergeCell ref="G32:G34"/>
    <mergeCell ref="F32:F34"/>
    <mergeCell ref="F29:F31"/>
    <mergeCell ref="F50:F52"/>
    <mergeCell ref="F56:F58"/>
    <mergeCell ref="F59:F61"/>
    <mergeCell ref="H56:H58"/>
    <mergeCell ref="H59:H61"/>
    <mergeCell ref="B56:B58"/>
    <mergeCell ref="C56:C58"/>
    <mergeCell ref="D56:D58"/>
    <mergeCell ref="E56:E58"/>
    <mergeCell ref="G56:G58"/>
    <mergeCell ref="B59:B61"/>
    <mergeCell ref="C59:C61"/>
    <mergeCell ref="D59:D61"/>
    <mergeCell ref="E59:E61"/>
    <mergeCell ref="G59:G61"/>
    <mergeCell ref="H14:H16"/>
    <mergeCell ref="J14:J16"/>
    <mergeCell ref="L14:L16"/>
    <mergeCell ref="M14:M16"/>
    <mergeCell ref="H17:H19"/>
    <mergeCell ref="J17:J19"/>
    <mergeCell ref="L17:L19"/>
    <mergeCell ref="M17:M19"/>
    <mergeCell ref="H20:H22"/>
    <mergeCell ref="J20:J22"/>
    <mergeCell ref="L20:L22"/>
    <mergeCell ref="K14:K16"/>
    <mergeCell ref="K17:K19"/>
    <mergeCell ref="K20:K22"/>
    <mergeCell ref="I17:I19"/>
    <mergeCell ref="I20:I22"/>
    <mergeCell ref="M20:M22"/>
    <mergeCell ref="H5:H7"/>
    <mergeCell ref="J5:J7"/>
    <mergeCell ref="L5:L7"/>
    <mergeCell ref="M5:M7"/>
    <mergeCell ref="H8:H10"/>
    <mergeCell ref="J8:J10"/>
    <mergeCell ref="L8:L10"/>
    <mergeCell ref="M8:M10"/>
    <mergeCell ref="H11:H13"/>
    <mergeCell ref="J11:J13"/>
    <mergeCell ref="L11:L13"/>
    <mergeCell ref="M11:M13"/>
    <mergeCell ref="K5:K7"/>
    <mergeCell ref="K8:K10"/>
    <mergeCell ref="K11:K13"/>
    <mergeCell ref="I5:I7"/>
    <mergeCell ref="I8:I10"/>
    <mergeCell ref="I11:I13"/>
    <mergeCell ref="H23:H25"/>
    <mergeCell ref="J23:J25"/>
    <mergeCell ref="L23:L25"/>
    <mergeCell ref="M23:M25"/>
    <mergeCell ref="H26:H28"/>
    <mergeCell ref="J26:J28"/>
    <mergeCell ref="L26:L28"/>
    <mergeCell ref="M26:M28"/>
    <mergeCell ref="K23:K25"/>
    <mergeCell ref="K26:K28"/>
    <mergeCell ref="I23:I25"/>
    <mergeCell ref="I26:I28"/>
    <mergeCell ref="H29:H31"/>
    <mergeCell ref="J29:J31"/>
    <mergeCell ref="L29:L31"/>
    <mergeCell ref="M29:M31"/>
    <mergeCell ref="H32:H34"/>
    <mergeCell ref="J32:J34"/>
    <mergeCell ref="L32:L34"/>
    <mergeCell ref="M32:M34"/>
    <mergeCell ref="H35:H37"/>
    <mergeCell ref="J35:J37"/>
    <mergeCell ref="L35:L37"/>
    <mergeCell ref="M35:M37"/>
    <mergeCell ref="K32:K34"/>
    <mergeCell ref="K35:K37"/>
    <mergeCell ref="K29:K31"/>
    <mergeCell ref="I29:I31"/>
    <mergeCell ref="I32:I34"/>
    <mergeCell ref="I35:I37"/>
    <mergeCell ref="H38:H40"/>
    <mergeCell ref="J38:J40"/>
    <mergeCell ref="L38:L40"/>
    <mergeCell ref="M38:M40"/>
    <mergeCell ref="H41:H43"/>
    <mergeCell ref="J41:J43"/>
    <mergeCell ref="L41:L43"/>
    <mergeCell ref="M41:M43"/>
    <mergeCell ref="H53:H55"/>
    <mergeCell ref="J53:J55"/>
    <mergeCell ref="L53:L55"/>
    <mergeCell ref="M53:M55"/>
    <mergeCell ref="K38:K40"/>
    <mergeCell ref="K41:K43"/>
    <mergeCell ref="K53:K55"/>
    <mergeCell ref="I41:I43"/>
    <mergeCell ref="I38:I40"/>
    <mergeCell ref="I53:I55"/>
    <mergeCell ref="J56:J58"/>
    <mergeCell ref="L56:L58"/>
    <mergeCell ref="M56:M58"/>
    <mergeCell ref="J59:J61"/>
    <mergeCell ref="L59:L61"/>
    <mergeCell ref="M59:M61"/>
    <mergeCell ref="H44:H46"/>
    <mergeCell ref="J44:J46"/>
    <mergeCell ref="L44:L46"/>
    <mergeCell ref="M44:M46"/>
    <mergeCell ref="H47:H49"/>
    <mergeCell ref="J47:J49"/>
    <mergeCell ref="L47:L49"/>
    <mergeCell ref="M47:M49"/>
    <mergeCell ref="H50:H52"/>
    <mergeCell ref="J50:J52"/>
    <mergeCell ref="L50:L52"/>
    <mergeCell ref="M50:M52"/>
    <mergeCell ref="K59:K61"/>
    <mergeCell ref="K44:K46"/>
    <mergeCell ref="K47:K49"/>
    <mergeCell ref="K50:K52"/>
    <mergeCell ref="K56:K58"/>
    <mergeCell ref="I44:I46"/>
  </mergeCells>
  <phoneticPr fontId="3" type="noConversion"/>
  <pageMargins left="0.31496062992125984" right="0.31496062992125984" top="0.74803149606299213" bottom="0.74803149606299213" header="0.3543307086614173" footer="0.3543307086614173"/>
  <pageSetup paperSize="8" scale="49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C5CF-7C79-452C-BD2C-6F7E140BB182}">
  <sheetPr>
    <tabColor theme="9" tint="0.79998168889431442"/>
    <pageSetUpPr autoPageBreaks="0" fitToPage="1"/>
  </sheetPr>
  <dimension ref="A1:AF39"/>
  <sheetViews>
    <sheetView zoomScale="55" zoomScaleNormal="55" zoomScaleSheetLayoutView="55" zoomScalePageLayoutView="40" workbookViewId="0">
      <pane xSplit="6" ySplit="4" topLeftCell="G20" activePane="bottomRight" state="frozen"/>
      <selection activeCell="J17" sqref="J17"/>
      <selection pane="topRight" activeCell="J17" sqref="J17"/>
      <selection pane="bottomLeft" activeCell="J17" sqref="J17"/>
      <selection pane="bottomRight" activeCell="I38" sqref="I38"/>
    </sheetView>
  </sheetViews>
  <sheetFormatPr defaultColWidth="8" defaultRowHeight="16"/>
  <cols>
    <col min="1" max="1" width="12.453125" style="1" customWidth="1"/>
    <col min="2" max="2" width="11.453125" style="1" customWidth="1"/>
    <col min="3" max="3" width="10.90625" style="48" customWidth="1"/>
    <col min="4" max="4" width="17.36328125" style="2" customWidth="1"/>
    <col min="5" max="5" width="30.08984375" style="2" customWidth="1"/>
    <col min="6" max="6" width="20.36328125" style="52" customWidth="1"/>
    <col min="7" max="7" width="13.36328125" style="52" customWidth="1"/>
    <col min="8" max="8" width="18.453125" style="52" customWidth="1"/>
    <col min="9" max="9" width="19.08984375" style="52" customWidth="1"/>
    <col min="10" max="12" width="29.453125" style="52" customWidth="1"/>
    <col min="13" max="13" width="30.6328125" style="53" bestFit="1" customWidth="1"/>
    <col min="14" max="14" width="17.453125" style="52" customWidth="1"/>
    <col min="15" max="15" width="16.453125" style="52" bestFit="1" customWidth="1"/>
    <col min="16" max="16" width="20.08984375" style="53" customWidth="1"/>
    <col min="17" max="17" width="14.08984375" style="54" customWidth="1"/>
    <col min="18" max="18" width="11.453125" style="54" customWidth="1"/>
    <col min="19" max="19" width="14.08984375" style="2" customWidth="1"/>
    <col min="20" max="20" width="16.453125" style="2" customWidth="1"/>
    <col min="21" max="21" width="24.453125" style="2" customWidth="1"/>
    <col min="22" max="22" width="16.08984375" style="2" bestFit="1" customWidth="1"/>
    <col min="23" max="23" width="24.453125" style="2" customWidth="1"/>
    <col min="24" max="24" width="24.90625" style="2" customWidth="1"/>
    <col min="25" max="25" width="16.08984375" style="2" bestFit="1" customWidth="1"/>
    <col min="26" max="26" width="20.453125" style="2" bestFit="1" customWidth="1"/>
    <col min="27" max="27" width="14.08984375" style="2" bestFit="1" customWidth="1"/>
    <col min="28" max="28" width="16.08984375" style="2" bestFit="1" customWidth="1"/>
    <col min="29" max="29" width="23" style="2" bestFit="1" customWidth="1"/>
    <col min="30" max="30" width="14.08984375" style="2" bestFit="1" customWidth="1"/>
    <col min="31" max="31" width="23.08984375" style="52" customWidth="1"/>
    <col min="32" max="16384" width="8" style="1"/>
  </cols>
  <sheetData>
    <row r="1" spans="1:31" ht="40.4" customHeight="1">
      <c r="C1" s="608" t="s">
        <v>365</v>
      </c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  <c r="AE1" s="608"/>
    </row>
    <row r="2" spans="1:31" s="2" customFormat="1" ht="25.4" customHeight="1">
      <c r="A2" s="690" t="s">
        <v>522</v>
      </c>
      <c r="B2" s="693" t="s">
        <v>521</v>
      </c>
      <c r="C2" s="609" t="s">
        <v>1</v>
      </c>
      <c r="D2" s="610" t="s">
        <v>3</v>
      </c>
      <c r="E2" s="610" t="s">
        <v>550</v>
      </c>
      <c r="F2" s="610" t="s">
        <v>4</v>
      </c>
      <c r="G2" s="610" t="s">
        <v>548</v>
      </c>
      <c r="H2" s="860" t="s">
        <v>491</v>
      </c>
      <c r="I2" s="860" t="s">
        <v>230</v>
      </c>
      <c r="J2" s="632" t="s">
        <v>255</v>
      </c>
      <c r="K2" s="634" t="s">
        <v>562</v>
      </c>
      <c r="L2" s="610" t="s">
        <v>549</v>
      </c>
      <c r="M2" s="617" t="s">
        <v>5</v>
      </c>
      <c r="N2" s="614" t="s">
        <v>6</v>
      </c>
      <c r="O2" s="614" t="s">
        <v>7</v>
      </c>
      <c r="P2" s="617" t="s">
        <v>8</v>
      </c>
      <c r="Q2" s="611" t="s">
        <v>9</v>
      </c>
      <c r="R2" s="610" t="s">
        <v>10</v>
      </c>
      <c r="S2" s="610" t="s">
        <v>11</v>
      </c>
      <c r="T2" s="618" t="s">
        <v>12</v>
      </c>
      <c r="U2" s="618"/>
      <c r="V2" s="618"/>
      <c r="W2" s="618"/>
      <c r="X2" s="618"/>
      <c r="Y2" s="618"/>
      <c r="Z2" s="618"/>
      <c r="AA2" s="618"/>
      <c r="AB2" s="618"/>
      <c r="AC2" s="618"/>
      <c r="AD2" s="618"/>
      <c r="AE2" s="618" t="s">
        <v>13</v>
      </c>
    </row>
    <row r="3" spans="1:31" s="2" customFormat="1" ht="25.4" customHeight="1">
      <c r="A3" s="690"/>
      <c r="B3" s="693"/>
      <c r="C3" s="609"/>
      <c r="D3" s="610"/>
      <c r="E3" s="610"/>
      <c r="F3" s="610"/>
      <c r="G3" s="610"/>
      <c r="H3" s="861"/>
      <c r="I3" s="861"/>
      <c r="J3" s="633"/>
      <c r="K3" s="635"/>
      <c r="L3" s="610"/>
      <c r="M3" s="617"/>
      <c r="N3" s="615"/>
      <c r="O3" s="615"/>
      <c r="P3" s="617" t="s">
        <v>14</v>
      </c>
      <c r="Q3" s="612"/>
      <c r="R3" s="610"/>
      <c r="S3" s="610"/>
      <c r="T3" s="619" t="s">
        <v>15</v>
      </c>
      <c r="U3" s="619"/>
      <c r="V3" s="620" t="s">
        <v>16</v>
      </c>
      <c r="W3" s="620"/>
      <c r="X3" s="620"/>
      <c r="Y3" s="621" t="s">
        <v>17</v>
      </c>
      <c r="Z3" s="621"/>
      <c r="AA3" s="621"/>
      <c r="AB3" s="622" t="s">
        <v>18</v>
      </c>
      <c r="AC3" s="622"/>
      <c r="AD3" s="622"/>
      <c r="AE3" s="618"/>
    </row>
    <row r="4" spans="1:31" s="2" customFormat="1" ht="25.4" customHeight="1">
      <c r="A4" s="690"/>
      <c r="B4" s="693"/>
      <c r="C4" s="609"/>
      <c r="D4" s="610"/>
      <c r="E4" s="610"/>
      <c r="F4" s="610"/>
      <c r="G4" s="610"/>
      <c r="H4" s="862"/>
      <c r="I4" s="862"/>
      <c r="J4" s="633"/>
      <c r="K4" s="636"/>
      <c r="L4" s="610"/>
      <c r="M4" s="617"/>
      <c r="N4" s="616"/>
      <c r="O4" s="616"/>
      <c r="P4" s="617"/>
      <c r="Q4" s="613"/>
      <c r="R4" s="610"/>
      <c r="S4" s="610"/>
      <c r="T4" s="3" t="s">
        <v>19</v>
      </c>
      <c r="U4" s="3" t="s">
        <v>20</v>
      </c>
      <c r="V4" s="4" t="s">
        <v>19</v>
      </c>
      <c r="W4" s="4" t="s">
        <v>20</v>
      </c>
      <c r="X4" s="4" t="s">
        <v>21</v>
      </c>
      <c r="Y4" s="5" t="s">
        <v>19</v>
      </c>
      <c r="Z4" s="5" t="s">
        <v>20</v>
      </c>
      <c r="AA4" s="5" t="s">
        <v>21</v>
      </c>
      <c r="AB4" s="6" t="s">
        <v>19</v>
      </c>
      <c r="AC4" s="6" t="s">
        <v>20</v>
      </c>
      <c r="AD4" s="6" t="s">
        <v>21</v>
      </c>
      <c r="AE4" s="618"/>
    </row>
    <row r="5" spans="1:31" s="203" customFormat="1" ht="40.4" customHeight="1">
      <c r="B5" s="1011">
        <v>95</v>
      </c>
      <c r="C5" s="909">
        <v>1</v>
      </c>
      <c r="D5" s="899"/>
      <c r="E5" s="1054" t="s">
        <v>493</v>
      </c>
      <c r="F5" s="1034" t="s">
        <v>492</v>
      </c>
      <c r="G5" s="1034" t="s">
        <v>554</v>
      </c>
      <c r="H5" s="1051" t="s">
        <v>893</v>
      </c>
      <c r="I5" s="1051" t="s">
        <v>886</v>
      </c>
      <c r="J5" s="1034"/>
      <c r="K5" s="1034"/>
      <c r="L5" s="1034"/>
      <c r="M5" s="206">
        <v>46325</v>
      </c>
      <c r="N5" s="206">
        <v>46355</v>
      </c>
      <c r="O5" s="207">
        <v>46385</v>
      </c>
      <c r="P5" s="208" t="str">
        <f ca="1">IF(M5="","",IF(T5&lt;&gt;"","",IF(AND(T5="",M5-TODAY()&lt;=60),M5-TODAY(),"")))</f>
        <v/>
      </c>
      <c r="Q5" s="208" t="str">
        <f>IF(AND(ISNUMBER(M5),ISNUMBER(T5)),M5-T5,"")</f>
        <v/>
      </c>
      <c r="R5" s="205"/>
      <c r="S5" s="209" t="s">
        <v>22</v>
      </c>
      <c r="T5" s="210"/>
      <c r="U5" s="211"/>
      <c r="V5" s="210"/>
      <c r="W5" s="211"/>
      <c r="X5" s="209"/>
      <c r="Y5" s="210"/>
      <c r="Z5" s="211"/>
      <c r="AA5" s="211"/>
      <c r="AB5" s="210"/>
      <c r="AC5" s="209"/>
      <c r="AD5" s="209"/>
      <c r="AE5" s="212"/>
    </row>
    <row r="6" spans="1:31" s="203" customFormat="1" ht="40.4" customHeight="1">
      <c r="B6" s="1011"/>
      <c r="C6" s="910"/>
      <c r="D6" s="899"/>
      <c r="E6" s="1055"/>
      <c r="F6" s="1034"/>
      <c r="G6" s="1034"/>
      <c r="H6" s="1052"/>
      <c r="I6" s="1052"/>
      <c r="J6" s="1034"/>
      <c r="K6" s="1034"/>
      <c r="L6" s="1034"/>
      <c r="M6" s="207"/>
      <c r="N6" s="207"/>
      <c r="O6" s="207"/>
      <c r="P6" s="208" t="str">
        <f ca="1">IF(M6="","",IF(T6&lt;&gt;"","",IF(AND(T6="",M6-TODAY()&lt;=60),M6-TODAY(),"")))</f>
        <v/>
      </c>
      <c r="Q6" s="208" t="str">
        <f>IF(AND(ISNUMBER(M6),ISNUMBER(T6)),M6-T6,"")</f>
        <v/>
      </c>
      <c r="R6" s="205"/>
      <c r="S6" s="209" t="s">
        <v>27</v>
      </c>
      <c r="T6" s="210"/>
      <c r="U6" s="210"/>
      <c r="V6" s="210"/>
      <c r="W6" s="211"/>
      <c r="X6" s="209"/>
      <c r="Y6" s="210"/>
      <c r="Z6" s="211"/>
      <c r="AA6" s="209" t="str">
        <f t="shared" ref="AA6:AA7" si="0">IF(Y6="","",IF(X6="檢退","檢退",IF(X6="審查同意","審定","檢退")))</f>
        <v/>
      </c>
      <c r="AB6" s="210"/>
      <c r="AC6" s="209"/>
      <c r="AD6" s="209"/>
      <c r="AE6" s="212"/>
    </row>
    <row r="7" spans="1:31" s="203" customFormat="1" ht="40.4" customHeight="1">
      <c r="B7" s="1011"/>
      <c r="C7" s="911"/>
      <c r="D7" s="899"/>
      <c r="E7" s="1056"/>
      <c r="F7" s="1034"/>
      <c r="G7" s="1034"/>
      <c r="H7" s="1053"/>
      <c r="I7" s="1053"/>
      <c r="J7" s="1034"/>
      <c r="K7" s="1034"/>
      <c r="L7" s="1034"/>
      <c r="M7" s="207"/>
      <c r="N7" s="207"/>
      <c r="O7" s="207"/>
      <c r="P7" s="208" t="str">
        <f t="shared" ref="P7" ca="1" si="1">IF(M7="","",IF(T7&lt;&gt;"","",IF(AND(T7="",M7-TODAY()&lt;=60),M7-TODAY(),"")))</f>
        <v/>
      </c>
      <c r="Q7" s="208" t="str">
        <f t="shared" ref="Q7" si="2">IF(AND(ISNUMBER(M7),ISNUMBER(T7)),M7-T7,"")</f>
        <v/>
      </c>
      <c r="R7" s="205"/>
      <c r="S7" s="209" t="s">
        <v>36</v>
      </c>
      <c r="T7" s="210"/>
      <c r="U7" s="211"/>
      <c r="V7" s="210"/>
      <c r="W7" s="211"/>
      <c r="X7" s="209"/>
      <c r="Y7" s="210"/>
      <c r="Z7" s="211"/>
      <c r="AA7" s="209" t="str">
        <f t="shared" si="0"/>
        <v/>
      </c>
      <c r="AB7" s="210"/>
      <c r="AC7" s="209"/>
      <c r="AD7" s="209"/>
      <c r="AE7" s="212"/>
    </row>
    <row r="8" spans="1:31" s="203" customFormat="1" ht="40.4" customHeight="1">
      <c r="B8" s="1011">
        <v>96</v>
      </c>
      <c r="C8" s="909">
        <f>C5+1</f>
        <v>2</v>
      </c>
      <c r="D8" s="899"/>
      <c r="E8" s="1054" t="s">
        <v>494</v>
      </c>
      <c r="F8" s="1034" t="s">
        <v>143</v>
      </c>
      <c r="G8" s="1034" t="s">
        <v>554</v>
      </c>
      <c r="H8" s="1051" t="s">
        <v>893</v>
      </c>
      <c r="I8" s="1051" t="s">
        <v>886</v>
      </c>
      <c r="J8" s="1034"/>
      <c r="K8" s="1034"/>
      <c r="L8" s="1034"/>
      <c r="M8" s="206">
        <v>46325</v>
      </c>
      <c r="N8" s="206">
        <v>46355</v>
      </c>
      <c r="O8" s="207">
        <v>46385</v>
      </c>
      <c r="P8" s="208" t="str">
        <f ca="1">IF(M8="","",IF(T8&lt;&gt;"","",IF(AND(T8="",M8-TODAY()&lt;=60),M8-TODAY(),"")))</f>
        <v/>
      </c>
      <c r="Q8" s="208" t="str">
        <f>IF(AND(ISNUMBER(M8),ISNUMBER(T8)),M8-T8,"")</f>
        <v/>
      </c>
      <c r="R8" s="205"/>
      <c r="S8" s="209" t="s">
        <v>22</v>
      </c>
      <c r="T8" s="210"/>
      <c r="U8" s="211"/>
      <c r="V8" s="210"/>
      <c r="W8" s="211"/>
      <c r="X8" s="209"/>
      <c r="Y8" s="210"/>
      <c r="Z8" s="211"/>
      <c r="AA8" s="211"/>
      <c r="AB8" s="210"/>
      <c r="AC8" s="209"/>
      <c r="AD8" s="209"/>
      <c r="AE8" s="212"/>
    </row>
    <row r="9" spans="1:31" s="203" customFormat="1" ht="40.4" customHeight="1">
      <c r="B9" s="1011"/>
      <c r="C9" s="910"/>
      <c r="D9" s="899"/>
      <c r="E9" s="1055"/>
      <c r="F9" s="1034"/>
      <c r="G9" s="1034"/>
      <c r="H9" s="1052"/>
      <c r="I9" s="1052"/>
      <c r="J9" s="1034"/>
      <c r="K9" s="1034"/>
      <c r="L9" s="1034"/>
      <c r="M9" s="207"/>
      <c r="N9" s="207"/>
      <c r="O9" s="207"/>
      <c r="P9" s="208" t="str">
        <f ca="1">IF(M9="","",IF(T9&lt;&gt;"","",IF(AND(T9="",M9-TODAY()&lt;=60),M9-TODAY(),"")))</f>
        <v/>
      </c>
      <c r="Q9" s="208" t="str">
        <f>IF(AND(ISNUMBER(M9),ISNUMBER(T9)),M9-T9,"")</f>
        <v/>
      </c>
      <c r="R9" s="205"/>
      <c r="S9" s="209" t="s">
        <v>27</v>
      </c>
      <c r="T9" s="210"/>
      <c r="U9" s="210"/>
      <c r="V9" s="210"/>
      <c r="W9" s="211"/>
      <c r="X9" s="209"/>
      <c r="Y9" s="210"/>
      <c r="Z9" s="211"/>
      <c r="AA9" s="209" t="str">
        <f t="shared" ref="AA9:AA10" si="3">IF(Y9="","",IF(X9="檢退","檢退",IF(X9="審查同意","審定","檢退")))</f>
        <v/>
      </c>
      <c r="AB9" s="210"/>
      <c r="AC9" s="209"/>
      <c r="AD9" s="209"/>
      <c r="AE9" s="212"/>
    </row>
    <row r="10" spans="1:31" s="203" customFormat="1" ht="40.4" customHeight="1">
      <c r="B10" s="1011"/>
      <c r="C10" s="911"/>
      <c r="D10" s="899"/>
      <c r="E10" s="1056"/>
      <c r="F10" s="1034"/>
      <c r="G10" s="1034"/>
      <c r="H10" s="1053"/>
      <c r="I10" s="1053"/>
      <c r="J10" s="1034"/>
      <c r="K10" s="1034"/>
      <c r="L10" s="1034"/>
      <c r="M10" s="207"/>
      <c r="N10" s="207"/>
      <c r="O10" s="207"/>
      <c r="P10" s="208" t="str">
        <f t="shared" ref="P10" ca="1" si="4">IF(M10="","",IF(T10&lt;&gt;"","",IF(AND(T10="",M10-TODAY()&lt;=60),M10-TODAY(),"")))</f>
        <v/>
      </c>
      <c r="Q10" s="208" t="str">
        <f t="shared" ref="Q10" si="5">IF(AND(ISNUMBER(M10),ISNUMBER(T10)),M10-T10,"")</f>
        <v/>
      </c>
      <c r="R10" s="205"/>
      <c r="S10" s="209" t="s">
        <v>36</v>
      </c>
      <c r="T10" s="210"/>
      <c r="U10" s="211"/>
      <c r="V10" s="210"/>
      <c r="W10" s="211"/>
      <c r="X10" s="209"/>
      <c r="Y10" s="210"/>
      <c r="Z10" s="211"/>
      <c r="AA10" s="209" t="str">
        <f t="shared" si="3"/>
        <v/>
      </c>
      <c r="AB10" s="210"/>
      <c r="AC10" s="209"/>
      <c r="AD10" s="209"/>
      <c r="AE10" s="212"/>
    </row>
    <row r="11" spans="1:31" s="213" customFormat="1" ht="40.4" customHeight="1">
      <c r="B11" s="1042">
        <v>270</v>
      </c>
      <c r="C11" s="1043">
        <f>C8+1</f>
        <v>3</v>
      </c>
      <c r="D11" s="1046"/>
      <c r="E11" s="1047" t="s">
        <v>551</v>
      </c>
      <c r="F11" s="1050" t="s">
        <v>552</v>
      </c>
      <c r="G11" s="1050" t="s">
        <v>952</v>
      </c>
      <c r="H11" s="1050"/>
      <c r="I11" s="1050"/>
      <c r="J11" s="1050"/>
      <c r="K11" s="1050"/>
      <c r="L11" s="1050"/>
      <c r="M11" s="206">
        <v>46325</v>
      </c>
      <c r="N11" s="206">
        <v>46355</v>
      </c>
      <c r="O11" s="207">
        <v>46385</v>
      </c>
      <c r="P11" s="215" t="str">
        <f ca="1">IF(M11="","",IF(T11&lt;&gt;"","",IF(AND(T11="",M11-TODAY()&lt;=60),M11-TODAY(),"")))</f>
        <v/>
      </c>
      <c r="Q11" s="215" t="str">
        <f>IF(AND(ISNUMBER(M11),ISNUMBER(T11)),M11-T11,"")</f>
        <v/>
      </c>
      <c r="R11" s="216"/>
      <c r="S11" s="217" t="s">
        <v>22</v>
      </c>
      <c r="T11" s="218"/>
      <c r="U11" s="219"/>
      <c r="V11" s="218"/>
      <c r="W11" s="219"/>
      <c r="X11" s="217"/>
      <c r="Y11" s="218"/>
      <c r="Z11" s="219"/>
      <c r="AA11" s="219"/>
      <c r="AB11" s="218"/>
      <c r="AC11" s="217"/>
      <c r="AD11" s="217"/>
      <c r="AE11" s="220"/>
    </row>
    <row r="12" spans="1:31" s="213" customFormat="1" ht="40.4" customHeight="1">
      <c r="B12" s="1042"/>
      <c r="C12" s="1044"/>
      <c r="D12" s="1046"/>
      <c r="E12" s="1048"/>
      <c r="F12" s="1050"/>
      <c r="G12" s="1050"/>
      <c r="H12" s="1050"/>
      <c r="I12" s="1050"/>
      <c r="J12" s="1050"/>
      <c r="K12" s="1050"/>
      <c r="L12" s="1050"/>
      <c r="M12" s="214"/>
      <c r="N12" s="214"/>
      <c r="O12" s="214"/>
      <c r="P12" s="215" t="str">
        <f ca="1">IF(M12="","",IF(T12&lt;&gt;"","",IF(AND(T12="",M12-TODAY()&lt;=60),M12-TODAY(),"")))</f>
        <v/>
      </c>
      <c r="Q12" s="215" t="str">
        <f>IF(AND(ISNUMBER(M12),ISNUMBER(T12)),M12-T12,"")</f>
        <v/>
      </c>
      <c r="R12" s="216"/>
      <c r="S12" s="217" t="s">
        <v>27</v>
      </c>
      <c r="T12" s="218"/>
      <c r="U12" s="218"/>
      <c r="V12" s="218"/>
      <c r="W12" s="219"/>
      <c r="X12" s="217"/>
      <c r="Y12" s="218"/>
      <c r="Z12" s="219"/>
      <c r="AA12" s="217" t="str">
        <f t="shared" ref="AA12:AA13" si="6">IF(Y12="","",IF(X12="檢退","檢退",IF(X12="審查同意","審定","檢退")))</f>
        <v/>
      </c>
      <c r="AB12" s="218"/>
      <c r="AC12" s="217"/>
      <c r="AD12" s="217"/>
      <c r="AE12" s="220"/>
    </row>
    <row r="13" spans="1:31" s="213" customFormat="1" ht="40.4" customHeight="1">
      <c r="B13" s="1042"/>
      <c r="C13" s="1045"/>
      <c r="D13" s="1046"/>
      <c r="E13" s="1049"/>
      <c r="F13" s="1050"/>
      <c r="G13" s="1050"/>
      <c r="H13" s="1050"/>
      <c r="I13" s="1050"/>
      <c r="J13" s="1050"/>
      <c r="K13" s="1050"/>
      <c r="L13" s="1050"/>
      <c r="M13" s="214"/>
      <c r="N13" s="214"/>
      <c r="O13" s="214"/>
      <c r="P13" s="215" t="str">
        <f t="shared" ref="P13" ca="1" si="7">IF(M13="","",IF(T13&lt;&gt;"","",IF(AND(T13="",M13-TODAY()&lt;=60),M13-TODAY(),"")))</f>
        <v/>
      </c>
      <c r="Q13" s="215" t="str">
        <f t="shared" ref="Q13" si="8">IF(AND(ISNUMBER(M13),ISNUMBER(T13)),M13-T13,"")</f>
        <v/>
      </c>
      <c r="R13" s="216"/>
      <c r="S13" s="217" t="s">
        <v>36</v>
      </c>
      <c r="T13" s="218"/>
      <c r="U13" s="219"/>
      <c r="V13" s="218"/>
      <c r="W13" s="219"/>
      <c r="X13" s="217"/>
      <c r="Y13" s="218"/>
      <c r="Z13" s="219"/>
      <c r="AA13" s="217" t="str">
        <f t="shared" si="6"/>
        <v/>
      </c>
      <c r="AB13" s="218"/>
      <c r="AC13" s="217"/>
      <c r="AD13" s="217"/>
      <c r="AE13" s="220"/>
    </row>
    <row r="14" spans="1:31" s="203" customFormat="1" ht="40.4" customHeight="1">
      <c r="B14" s="1011">
        <v>270</v>
      </c>
      <c r="C14" s="1035">
        <v>3</v>
      </c>
      <c r="D14" s="1054"/>
      <c r="E14" s="890" t="s">
        <v>941</v>
      </c>
      <c r="F14" s="1060" t="s">
        <v>942</v>
      </c>
      <c r="G14" s="890" t="s">
        <v>952</v>
      </c>
      <c r="H14" s="890" t="s">
        <v>894</v>
      </c>
      <c r="I14" s="1039" t="s">
        <v>930</v>
      </c>
      <c r="J14" s="890"/>
      <c r="K14" s="890"/>
      <c r="L14" s="1057" t="s">
        <v>949</v>
      </c>
      <c r="M14" s="206">
        <v>46325</v>
      </c>
      <c r="N14" s="206">
        <v>46355</v>
      </c>
      <c r="O14" s="207">
        <v>46385</v>
      </c>
      <c r="P14" s="208"/>
      <c r="Q14" s="208"/>
      <c r="R14" s="205"/>
      <c r="S14" s="221" t="s">
        <v>22</v>
      </c>
      <c r="T14" s="210"/>
      <c r="U14" s="211"/>
      <c r="V14" s="210"/>
      <c r="W14" s="211"/>
      <c r="X14" s="209"/>
      <c r="Y14" s="210"/>
      <c r="Z14" s="211"/>
      <c r="AA14" s="209"/>
      <c r="AB14" s="210"/>
      <c r="AC14" s="209"/>
      <c r="AD14" s="209"/>
      <c r="AE14" s="212"/>
    </row>
    <row r="15" spans="1:31" s="203" customFormat="1" ht="40.4" customHeight="1">
      <c r="B15" s="1011"/>
      <c r="C15" s="1036"/>
      <c r="D15" s="1055"/>
      <c r="E15" s="891"/>
      <c r="F15" s="1061"/>
      <c r="G15" s="891"/>
      <c r="H15" s="891"/>
      <c r="I15" s="1040"/>
      <c r="J15" s="891"/>
      <c r="K15" s="891"/>
      <c r="L15" s="1058"/>
      <c r="M15" s="207"/>
      <c r="N15" s="207"/>
      <c r="O15" s="207"/>
      <c r="P15" s="208"/>
      <c r="Q15" s="208"/>
      <c r="R15" s="205"/>
      <c r="S15" s="221" t="s">
        <v>27</v>
      </c>
      <c r="T15" s="210"/>
      <c r="U15" s="211"/>
      <c r="V15" s="210"/>
      <c r="W15" s="211"/>
      <c r="X15" s="209"/>
      <c r="Y15" s="210"/>
      <c r="Z15" s="211"/>
      <c r="AA15" s="209"/>
      <c r="AB15" s="210"/>
      <c r="AC15" s="209"/>
      <c r="AD15" s="209"/>
      <c r="AE15" s="212"/>
    </row>
    <row r="16" spans="1:31" s="203" customFormat="1" ht="40.4" customHeight="1">
      <c r="B16" s="1011"/>
      <c r="C16" s="1037"/>
      <c r="D16" s="1056"/>
      <c r="E16" s="892"/>
      <c r="F16" s="1062"/>
      <c r="G16" s="892"/>
      <c r="H16" s="892"/>
      <c r="I16" s="1041"/>
      <c r="J16" s="892"/>
      <c r="K16" s="892"/>
      <c r="L16" s="1059"/>
      <c r="M16" s="207"/>
      <c r="N16" s="207"/>
      <c r="O16" s="207"/>
      <c r="P16" s="208"/>
      <c r="Q16" s="208"/>
      <c r="R16" s="205"/>
      <c r="S16" s="221" t="s">
        <v>36</v>
      </c>
      <c r="T16" s="210"/>
      <c r="U16" s="211"/>
      <c r="V16" s="210"/>
      <c r="W16" s="211"/>
      <c r="X16" s="209"/>
      <c r="Y16" s="210"/>
      <c r="Z16" s="211"/>
      <c r="AA16" s="209"/>
      <c r="AB16" s="210"/>
      <c r="AC16" s="209"/>
      <c r="AD16" s="209"/>
      <c r="AE16" s="212"/>
    </row>
    <row r="17" spans="2:32" s="203" customFormat="1" ht="40.4" customHeight="1">
      <c r="B17" s="1011"/>
      <c r="C17" s="1035">
        <f t="shared" ref="C17" si="9">C14+1</f>
        <v>4</v>
      </c>
      <c r="D17" s="1054"/>
      <c r="E17" s="1060" t="s">
        <v>943</v>
      </c>
      <c r="F17" s="1060" t="s">
        <v>944</v>
      </c>
      <c r="G17" s="890" t="s">
        <v>952</v>
      </c>
      <c r="H17" s="890" t="s">
        <v>894</v>
      </c>
      <c r="I17" s="1039" t="s">
        <v>930</v>
      </c>
      <c r="J17" s="890"/>
      <c r="K17" s="890"/>
      <c r="L17" s="1057" t="s">
        <v>950</v>
      </c>
      <c r="M17" s="206">
        <v>46325</v>
      </c>
      <c r="N17" s="206">
        <v>46355</v>
      </c>
      <c r="O17" s="207">
        <v>46385</v>
      </c>
      <c r="P17" s="208"/>
      <c r="Q17" s="208"/>
      <c r="R17" s="205"/>
      <c r="S17" s="221" t="s">
        <v>22</v>
      </c>
      <c r="T17" s="210"/>
      <c r="U17" s="211"/>
      <c r="V17" s="210"/>
      <c r="W17" s="211"/>
      <c r="X17" s="209"/>
      <c r="Y17" s="210"/>
      <c r="Z17" s="211"/>
      <c r="AA17" s="209"/>
      <c r="AB17" s="210"/>
      <c r="AC17" s="209"/>
      <c r="AD17" s="209"/>
      <c r="AE17" s="212"/>
    </row>
    <row r="18" spans="2:32" s="203" customFormat="1" ht="40.4" customHeight="1">
      <c r="B18" s="1011"/>
      <c r="C18" s="1036"/>
      <c r="D18" s="1055"/>
      <c r="E18" s="1061"/>
      <c r="F18" s="1061"/>
      <c r="G18" s="891"/>
      <c r="H18" s="891"/>
      <c r="I18" s="1040"/>
      <c r="J18" s="891"/>
      <c r="K18" s="891"/>
      <c r="L18" s="1058"/>
      <c r="M18" s="207"/>
      <c r="N18" s="207"/>
      <c r="O18" s="207"/>
      <c r="P18" s="208"/>
      <c r="Q18" s="208"/>
      <c r="R18" s="205"/>
      <c r="S18" s="221" t="s">
        <v>27</v>
      </c>
      <c r="T18" s="210"/>
      <c r="U18" s="211"/>
      <c r="V18" s="210"/>
      <c r="W18" s="211"/>
      <c r="X18" s="209"/>
      <c r="Y18" s="210"/>
      <c r="Z18" s="211"/>
      <c r="AA18" s="209"/>
      <c r="AB18" s="210"/>
      <c r="AC18" s="209"/>
      <c r="AD18" s="209"/>
      <c r="AE18" s="212"/>
    </row>
    <row r="19" spans="2:32" s="203" customFormat="1" ht="40.4" customHeight="1">
      <c r="B19" s="1011"/>
      <c r="C19" s="1037"/>
      <c r="D19" s="1056"/>
      <c r="E19" s="1062"/>
      <c r="F19" s="1062"/>
      <c r="G19" s="892"/>
      <c r="H19" s="892"/>
      <c r="I19" s="1041"/>
      <c r="J19" s="892"/>
      <c r="K19" s="892"/>
      <c r="L19" s="1059"/>
      <c r="M19" s="207"/>
      <c r="N19" s="207"/>
      <c r="O19" s="207"/>
      <c r="P19" s="208"/>
      <c r="Q19" s="208"/>
      <c r="R19" s="205"/>
      <c r="S19" s="221" t="s">
        <v>36</v>
      </c>
      <c r="T19" s="210"/>
      <c r="U19" s="211"/>
      <c r="V19" s="210"/>
      <c r="W19" s="211"/>
      <c r="X19" s="209"/>
      <c r="Y19" s="210"/>
      <c r="Z19" s="211"/>
      <c r="AA19" s="209"/>
      <c r="AB19" s="210"/>
      <c r="AC19" s="209"/>
      <c r="AD19" s="209"/>
      <c r="AE19" s="212"/>
    </row>
    <row r="20" spans="2:32" s="203" customFormat="1" ht="40.4" customHeight="1">
      <c r="B20" s="1011"/>
      <c r="C20" s="1035">
        <f t="shared" ref="C20" si="10">C17+1</f>
        <v>5</v>
      </c>
      <c r="D20" s="1054"/>
      <c r="E20" s="1060" t="s">
        <v>945</v>
      </c>
      <c r="F20" s="1060" t="s">
        <v>946</v>
      </c>
      <c r="G20" s="890" t="s">
        <v>952</v>
      </c>
      <c r="H20" s="890" t="s">
        <v>894</v>
      </c>
      <c r="I20" s="1039" t="s">
        <v>930</v>
      </c>
      <c r="J20" s="890"/>
      <c r="K20" s="890"/>
      <c r="L20" s="1057" t="s">
        <v>951</v>
      </c>
      <c r="M20" s="206">
        <v>46325</v>
      </c>
      <c r="N20" s="206">
        <v>46355</v>
      </c>
      <c r="O20" s="207">
        <v>46385</v>
      </c>
      <c r="P20" s="208"/>
      <c r="Q20" s="208"/>
      <c r="R20" s="205"/>
      <c r="S20" s="221" t="s">
        <v>22</v>
      </c>
      <c r="T20" s="210"/>
      <c r="U20" s="211"/>
      <c r="V20" s="210"/>
      <c r="W20" s="211"/>
      <c r="X20" s="209"/>
      <c r="Y20" s="210"/>
      <c r="Z20" s="211"/>
      <c r="AA20" s="209"/>
      <c r="AB20" s="210"/>
      <c r="AC20" s="209"/>
      <c r="AD20" s="209"/>
      <c r="AE20" s="212"/>
    </row>
    <row r="21" spans="2:32" s="203" customFormat="1" ht="40.4" customHeight="1">
      <c r="B21" s="1011"/>
      <c r="C21" s="1036"/>
      <c r="D21" s="1055"/>
      <c r="E21" s="1061"/>
      <c r="F21" s="1061"/>
      <c r="G21" s="891"/>
      <c r="H21" s="891"/>
      <c r="I21" s="1040"/>
      <c r="J21" s="891"/>
      <c r="K21" s="891"/>
      <c r="L21" s="1058"/>
      <c r="M21" s="207"/>
      <c r="N21" s="207"/>
      <c r="O21" s="207"/>
      <c r="P21" s="208"/>
      <c r="Q21" s="208"/>
      <c r="R21" s="205"/>
      <c r="S21" s="221" t="s">
        <v>27</v>
      </c>
      <c r="T21" s="210"/>
      <c r="U21" s="211"/>
      <c r="V21" s="210"/>
      <c r="W21" s="211"/>
      <c r="X21" s="209"/>
      <c r="Y21" s="210"/>
      <c r="Z21" s="211"/>
      <c r="AA21" s="209"/>
      <c r="AB21" s="210"/>
      <c r="AC21" s="209"/>
      <c r="AD21" s="209"/>
      <c r="AE21" s="212"/>
    </row>
    <row r="22" spans="2:32" s="203" customFormat="1" ht="40.4" customHeight="1">
      <c r="B22" s="1011"/>
      <c r="C22" s="1037"/>
      <c r="D22" s="1056"/>
      <c r="E22" s="1062"/>
      <c r="F22" s="1062"/>
      <c r="G22" s="892"/>
      <c r="H22" s="892"/>
      <c r="I22" s="1041"/>
      <c r="J22" s="892"/>
      <c r="K22" s="892"/>
      <c r="L22" s="1059"/>
      <c r="M22" s="207"/>
      <c r="N22" s="207"/>
      <c r="O22" s="207"/>
      <c r="P22" s="208"/>
      <c r="Q22" s="208"/>
      <c r="R22" s="205"/>
      <c r="S22" s="221" t="s">
        <v>36</v>
      </c>
      <c r="T22" s="210"/>
      <c r="U22" s="211"/>
      <c r="V22" s="210"/>
      <c r="W22" s="211"/>
      <c r="X22" s="209"/>
      <c r="Y22" s="210"/>
      <c r="Z22" s="211"/>
      <c r="AA22" s="209"/>
      <c r="AB22" s="210"/>
      <c r="AC22" s="209"/>
      <c r="AD22" s="209"/>
      <c r="AE22" s="212"/>
    </row>
    <row r="23" spans="2:32" s="203" customFormat="1" ht="40.4" customHeight="1">
      <c r="B23" s="1011"/>
      <c r="C23" s="1035">
        <f t="shared" ref="C23" si="11">C20+1</f>
        <v>6</v>
      </c>
      <c r="D23" s="1054"/>
      <c r="E23" s="1060" t="s">
        <v>947</v>
      </c>
      <c r="F23" s="1060" t="s">
        <v>948</v>
      </c>
      <c r="G23" s="890" t="s">
        <v>952</v>
      </c>
      <c r="H23" s="890" t="s">
        <v>894</v>
      </c>
      <c r="I23" s="1039" t="s">
        <v>930</v>
      </c>
      <c r="J23" s="890"/>
      <c r="K23" s="890"/>
      <c r="L23" s="1057" t="s">
        <v>951</v>
      </c>
      <c r="M23" s="206">
        <v>46325</v>
      </c>
      <c r="N23" s="206">
        <v>46355</v>
      </c>
      <c r="O23" s="207">
        <v>46385</v>
      </c>
      <c r="P23" s="208"/>
      <c r="Q23" s="208"/>
      <c r="R23" s="205"/>
      <c r="S23" s="221" t="s">
        <v>22</v>
      </c>
      <c r="T23" s="210"/>
      <c r="U23" s="211"/>
      <c r="V23" s="210"/>
      <c r="W23" s="211"/>
      <c r="X23" s="209"/>
      <c r="Y23" s="210"/>
      <c r="Z23" s="211"/>
      <c r="AA23" s="209"/>
      <c r="AB23" s="210"/>
      <c r="AC23" s="209"/>
      <c r="AD23" s="209"/>
      <c r="AE23" s="212"/>
    </row>
    <row r="24" spans="2:32" s="203" customFormat="1" ht="40.4" customHeight="1">
      <c r="B24" s="204"/>
      <c r="C24" s="1036"/>
      <c r="D24" s="1055"/>
      <c r="E24" s="1061"/>
      <c r="F24" s="1061"/>
      <c r="G24" s="891"/>
      <c r="H24" s="891"/>
      <c r="I24" s="1040"/>
      <c r="J24" s="891"/>
      <c r="K24" s="891"/>
      <c r="L24" s="1058"/>
      <c r="M24" s="207"/>
      <c r="N24" s="207"/>
      <c r="O24" s="207"/>
      <c r="P24" s="208"/>
      <c r="Q24" s="208"/>
      <c r="R24" s="205"/>
      <c r="S24" s="221" t="s">
        <v>27</v>
      </c>
      <c r="T24" s="210"/>
      <c r="U24" s="211"/>
      <c r="V24" s="210"/>
      <c r="W24" s="211"/>
      <c r="X24" s="209"/>
      <c r="Y24" s="210"/>
      <c r="Z24" s="211"/>
      <c r="AA24" s="209"/>
      <c r="AB24" s="210"/>
      <c r="AC24" s="209"/>
      <c r="AD24" s="209"/>
      <c r="AE24" s="212"/>
    </row>
    <row r="25" spans="2:32" s="203" customFormat="1" ht="40.4" customHeight="1">
      <c r="B25" s="204"/>
      <c r="C25" s="1037"/>
      <c r="D25" s="1056"/>
      <c r="E25" s="1062"/>
      <c r="F25" s="1062"/>
      <c r="G25" s="892"/>
      <c r="H25" s="892"/>
      <c r="I25" s="1041"/>
      <c r="J25" s="892"/>
      <c r="K25" s="892"/>
      <c r="L25" s="1059"/>
      <c r="M25" s="207"/>
      <c r="N25" s="207"/>
      <c r="O25" s="207"/>
      <c r="P25" s="208"/>
      <c r="Q25" s="208"/>
      <c r="R25" s="205"/>
      <c r="S25" s="221" t="s">
        <v>36</v>
      </c>
      <c r="T25" s="210"/>
      <c r="U25" s="211"/>
      <c r="V25" s="210"/>
      <c r="W25" s="211"/>
      <c r="X25" s="209"/>
      <c r="Y25" s="210"/>
      <c r="Z25" s="211"/>
      <c r="AA25" s="209"/>
      <c r="AB25" s="210"/>
      <c r="AC25" s="209"/>
      <c r="AD25" s="209"/>
      <c r="AE25" s="212"/>
    </row>
    <row r="26" spans="2:32" s="203" customFormat="1" ht="40.4" customHeight="1">
      <c r="B26" s="1011">
        <v>282</v>
      </c>
      <c r="C26" s="1035">
        <f t="shared" ref="C26" si="12">C23+1</f>
        <v>7</v>
      </c>
      <c r="D26" s="899"/>
      <c r="E26" s="901" t="s">
        <v>553</v>
      </c>
      <c r="F26" s="1038" t="s">
        <v>955</v>
      </c>
      <c r="G26" s="1007" t="s">
        <v>556</v>
      </c>
      <c r="H26" s="890" t="s">
        <v>894</v>
      </c>
      <c r="I26" s="1039" t="s">
        <v>930</v>
      </c>
      <c r="J26" s="1034"/>
      <c r="K26" s="1034"/>
      <c r="L26" s="1034"/>
      <c r="M26" s="206">
        <v>46325</v>
      </c>
      <c r="N26" s="206">
        <v>46355</v>
      </c>
      <c r="O26" s="207">
        <v>46385</v>
      </c>
      <c r="P26" s="208" t="str">
        <f ca="1">IF(M26="","",IF(T26&lt;&gt;"","",IF(AND(T26="",M26-TODAY()&lt;=60),M26-TODAY(),"")))</f>
        <v/>
      </c>
      <c r="Q26" s="208" t="str">
        <f>IF(AND(ISNUMBER(M26),ISNUMBER(T26)),M26-T26,"")</f>
        <v/>
      </c>
      <c r="R26" s="205"/>
      <c r="S26" s="209" t="s">
        <v>22</v>
      </c>
      <c r="T26" s="210"/>
      <c r="U26" s="211"/>
      <c r="V26" s="210"/>
      <c r="W26" s="211"/>
      <c r="X26" s="209"/>
      <c r="Y26" s="210"/>
      <c r="Z26" s="211"/>
      <c r="AA26" s="211"/>
      <c r="AB26" s="210"/>
      <c r="AC26" s="209"/>
      <c r="AD26" s="209"/>
      <c r="AE26" s="212"/>
    </row>
    <row r="27" spans="2:32" s="203" customFormat="1" ht="40.4" customHeight="1">
      <c r="B27" s="1011"/>
      <c r="C27" s="1036"/>
      <c r="D27" s="899"/>
      <c r="E27" s="902"/>
      <c r="F27" s="1038"/>
      <c r="G27" s="1007"/>
      <c r="H27" s="891"/>
      <c r="I27" s="1040"/>
      <c r="J27" s="1034"/>
      <c r="K27" s="1034"/>
      <c r="L27" s="1034"/>
      <c r="M27" s="207"/>
      <c r="N27" s="207"/>
      <c r="O27" s="207"/>
      <c r="P27" s="208" t="str">
        <f ca="1">IF(M27="","",IF(T27&lt;&gt;"","",IF(AND(T27="",M27-TODAY()&lt;=60),M27-TODAY(),"")))</f>
        <v/>
      </c>
      <c r="Q27" s="208" t="str">
        <f>IF(AND(ISNUMBER(M27),ISNUMBER(T27)),M27-T27,"")</f>
        <v/>
      </c>
      <c r="R27" s="205"/>
      <c r="S27" s="209" t="s">
        <v>27</v>
      </c>
      <c r="T27" s="210"/>
      <c r="U27" s="210"/>
      <c r="V27" s="210"/>
      <c r="W27" s="211"/>
      <c r="X27" s="209"/>
      <c r="Y27" s="210"/>
      <c r="Z27" s="211"/>
      <c r="AA27" s="209" t="str">
        <f t="shared" ref="AA27:AA28" si="13">IF(Y27="","",IF(X27="檢退","檢退",IF(X27="審查同意","審定","檢退")))</f>
        <v/>
      </c>
      <c r="AB27" s="210"/>
      <c r="AC27" s="209"/>
      <c r="AD27" s="209"/>
      <c r="AE27" s="212"/>
    </row>
    <row r="28" spans="2:32" s="203" customFormat="1" ht="40.4" customHeight="1">
      <c r="B28" s="1011"/>
      <c r="C28" s="1037"/>
      <c r="D28" s="899"/>
      <c r="E28" s="903"/>
      <c r="F28" s="1038"/>
      <c r="G28" s="1007"/>
      <c r="H28" s="892"/>
      <c r="I28" s="1041"/>
      <c r="J28" s="1034"/>
      <c r="K28" s="1034"/>
      <c r="L28" s="1034"/>
      <c r="M28" s="207"/>
      <c r="N28" s="207"/>
      <c r="O28" s="207"/>
      <c r="P28" s="208" t="str">
        <f t="shared" ref="P28" ca="1" si="14">IF(M28="","",IF(T28&lt;&gt;"","",IF(AND(T28="",M28-TODAY()&lt;=60),M28-TODAY(),"")))</f>
        <v/>
      </c>
      <c r="Q28" s="208" t="str">
        <f t="shared" ref="Q28" si="15">IF(AND(ISNUMBER(M28),ISNUMBER(T28)),M28-T28,"")</f>
        <v/>
      </c>
      <c r="R28" s="205"/>
      <c r="S28" s="209" t="s">
        <v>36</v>
      </c>
      <c r="T28" s="210"/>
      <c r="U28" s="211"/>
      <c r="V28" s="210"/>
      <c r="W28" s="211"/>
      <c r="X28" s="209"/>
      <c r="Y28" s="210"/>
      <c r="Z28" s="211"/>
      <c r="AA28" s="209" t="str">
        <f t="shared" si="13"/>
        <v/>
      </c>
      <c r="AB28" s="210"/>
      <c r="AC28" s="209"/>
      <c r="AD28" s="209"/>
      <c r="AE28" s="212"/>
    </row>
    <row r="29" spans="2:32" s="203" customFormat="1" ht="40.4" customHeight="1">
      <c r="B29" s="1011">
        <v>94</v>
      </c>
      <c r="C29" s="1035">
        <f t="shared" ref="C29" si="16">C26+1</f>
        <v>8</v>
      </c>
      <c r="D29" s="899"/>
      <c r="E29" s="890" t="s">
        <v>953</v>
      </c>
      <c r="F29" s="761" t="s">
        <v>954</v>
      </c>
      <c r="G29" s="1007" t="s">
        <v>556</v>
      </c>
      <c r="H29" s="1051" t="s">
        <v>893</v>
      </c>
      <c r="I29" s="1051" t="s">
        <v>886</v>
      </c>
      <c r="J29" s="1034"/>
      <c r="K29" s="1034"/>
      <c r="L29" s="1034"/>
      <c r="M29" s="206">
        <v>46325</v>
      </c>
      <c r="N29" s="206">
        <v>46355</v>
      </c>
      <c r="O29" s="207">
        <v>46385</v>
      </c>
      <c r="P29" s="208" t="str">
        <f ca="1">IF(M29="","",IF(T29&lt;&gt;"","",IF(AND(T29="",M29-TODAY()&lt;=60),M29-TODAY(),"")))</f>
        <v/>
      </c>
      <c r="Q29" s="208" t="str">
        <f>IF(AND(ISNUMBER(M29),ISNUMBER(T29)),M29-T29,"")</f>
        <v/>
      </c>
      <c r="R29" s="205"/>
      <c r="S29" s="209" t="s">
        <v>22</v>
      </c>
      <c r="T29" s="210"/>
      <c r="U29" s="211"/>
      <c r="V29" s="210"/>
      <c r="W29" s="211"/>
      <c r="X29" s="209"/>
      <c r="Y29" s="210"/>
      <c r="Z29" s="211"/>
      <c r="AA29" s="211"/>
      <c r="AB29" s="210"/>
      <c r="AC29" s="209"/>
      <c r="AD29" s="209"/>
      <c r="AE29" s="212"/>
    </row>
    <row r="30" spans="2:32" s="203" customFormat="1" ht="40.4" customHeight="1">
      <c r="B30" s="1011"/>
      <c r="C30" s="1036"/>
      <c r="D30" s="899"/>
      <c r="E30" s="1066"/>
      <c r="F30" s="761"/>
      <c r="G30" s="1007"/>
      <c r="H30" s="1052"/>
      <c r="I30" s="1052"/>
      <c r="J30" s="1034"/>
      <c r="K30" s="1034"/>
      <c r="L30" s="1034"/>
      <c r="M30" s="207"/>
      <c r="N30" s="207"/>
      <c r="O30" s="207"/>
      <c r="P30" s="208" t="str">
        <f ca="1">IF(M30="","",IF(T30&lt;&gt;"","",IF(AND(T30="",M30-TODAY()&lt;=60),M30-TODAY(),"")))</f>
        <v/>
      </c>
      <c r="Q30" s="208" t="str">
        <f>IF(AND(ISNUMBER(M30),ISNUMBER(T30)),M30-T30,"")</f>
        <v/>
      </c>
      <c r="R30" s="205"/>
      <c r="S30" s="209" t="s">
        <v>27</v>
      </c>
      <c r="T30" s="210"/>
      <c r="U30" s="210"/>
      <c r="V30" s="210"/>
      <c r="W30" s="211"/>
      <c r="X30" s="209"/>
      <c r="Y30" s="210"/>
      <c r="Z30" s="211"/>
      <c r="AA30" s="209" t="str">
        <f t="shared" ref="AA30:AA31" si="17">IF(Y30="","",IF(X30="檢退","檢退",IF(X30="審查同意","審定","檢退")))</f>
        <v/>
      </c>
      <c r="AB30" s="210"/>
      <c r="AC30" s="209"/>
      <c r="AD30" s="209"/>
      <c r="AE30" s="212"/>
    </row>
    <row r="31" spans="2:32" s="203" customFormat="1" ht="40.4" customHeight="1">
      <c r="B31" s="1011"/>
      <c r="C31" s="1037"/>
      <c r="D31" s="899"/>
      <c r="E31" s="1067"/>
      <c r="F31" s="761"/>
      <c r="G31" s="1007"/>
      <c r="H31" s="1053"/>
      <c r="I31" s="1053"/>
      <c r="J31" s="1034"/>
      <c r="K31" s="1034"/>
      <c r="L31" s="1034"/>
      <c r="M31" s="207"/>
      <c r="N31" s="207"/>
      <c r="O31" s="207"/>
      <c r="P31" s="208" t="str">
        <f t="shared" ref="P31" ca="1" si="18">IF(M31="","",IF(T31&lt;&gt;"","",IF(AND(T31="",M31-TODAY()&lt;=60),M31-TODAY(),"")))</f>
        <v/>
      </c>
      <c r="Q31" s="208" t="str">
        <f t="shared" ref="Q31" si="19">IF(AND(ISNUMBER(M31),ISNUMBER(T31)),M31-T31,"")</f>
        <v/>
      </c>
      <c r="R31" s="205"/>
      <c r="S31" s="209" t="s">
        <v>36</v>
      </c>
      <c r="T31" s="210"/>
      <c r="U31" s="211"/>
      <c r="V31" s="210"/>
      <c r="W31" s="211"/>
      <c r="X31" s="209"/>
      <c r="Y31" s="210"/>
      <c r="Z31" s="211"/>
      <c r="AA31" s="209" t="str">
        <f t="shared" si="17"/>
        <v/>
      </c>
      <c r="AB31" s="210"/>
      <c r="AC31" s="209"/>
      <c r="AD31" s="209"/>
      <c r="AE31" s="212"/>
    </row>
    <row r="32" spans="2:32" s="257" customFormat="1" ht="40.4" customHeight="1">
      <c r="C32" s="1068">
        <f>C29+1</f>
        <v>9</v>
      </c>
      <c r="D32" s="1071"/>
      <c r="E32" s="1074"/>
      <c r="F32" s="595" t="s">
        <v>959</v>
      </c>
      <c r="G32" s="1077" t="s">
        <v>556</v>
      </c>
      <c r="H32" s="258"/>
      <c r="I32" s="259"/>
      <c r="J32" s="1063" t="s">
        <v>295</v>
      </c>
      <c r="K32" s="1063" t="s">
        <v>295</v>
      </c>
      <c r="L32" s="258"/>
      <c r="M32" s="417">
        <v>46325</v>
      </c>
      <c r="N32" s="260">
        <v>46355</v>
      </c>
      <c r="O32" s="260">
        <v>46385</v>
      </c>
      <c r="P32" s="261"/>
      <c r="Q32" s="262" t="str">
        <f t="shared" ref="Q32:Q34" ca="1" si="20">IF(N32="","",IF(U32&lt;&gt;"","",IF(AND(U32="",N32-TODAY()&lt;=60),N32-TODAY(),"")))</f>
        <v/>
      </c>
      <c r="R32" s="263" t="str">
        <f t="shared" ref="R32:R34" si="21">IF(COUNT(N32, U32)=2, N32-U32, "")</f>
        <v/>
      </c>
      <c r="S32" s="264"/>
      <c r="T32" s="265" t="s">
        <v>22</v>
      </c>
      <c r="U32" s="266"/>
      <c r="V32" s="267"/>
      <c r="W32" s="266"/>
      <c r="X32" s="267"/>
      <c r="Y32" s="268"/>
      <c r="Z32" s="266"/>
      <c r="AA32" s="267"/>
      <c r="AB32" s="267"/>
      <c r="AC32" s="170"/>
      <c r="AD32" s="265"/>
      <c r="AE32" s="265"/>
      <c r="AF32" s="172"/>
    </row>
    <row r="33" spans="3:32" s="257" customFormat="1" ht="39.65" customHeight="1">
      <c r="C33" s="1069"/>
      <c r="D33" s="1072"/>
      <c r="E33" s="1075"/>
      <c r="F33" s="596"/>
      <c r="G33" s="1078"/>
      <c r="H33" s="269"/>
      <c r="I33" s="270"/>
      <c r="J33" s="1064"/>
      <c r="K33" s="1064"/>
      <c r="L33" s="269"/>
      <c r="M33" s="416"/>
      <c r="N33" s="261"/>
      <c r="O33" s="261"/>
      <c r="P33" s="261"/>
      <c r="Q33" s="262" t="str">
        <f t="shared" ca="1" si="20"/>
        <v/>
      </c>
      <c r="R33" s="263" t="str">
        <f t="shared" si="21"/>
        <v/>
      </c>
      <c r="S33" s="264"/>
      <c r="T33" s="265" t="s">
        <v>27</v>
      </c>
      <c r="U33" s="271"/>
      <c r="V33" s="271"/>
      <c r="W33" s="271"/>
      <c r="X33" s="272"/>
      <c r="Y33" s="265"/>
      <c r="Z33" s="170"/>
      <c r="AA33" s="171"/>
      <c r="AB33" s="265" t="str">
        <f>IF(Z33="","",IF(Y33="檢退","檢退",IF(Y33="審查同意","審定","檢退")))</f>
        <v/>
      </c>
      <c r="AC33" s="170"/>
      <c r="AD33" s="265"/>
      <c r="AE33" s="265"/>
      <c r="AF33" s="172"/>
    </row>
    <row r="34" spans="3:32" s="257" customFormat="1" ht="40.4" customHeight="1">
      <c r="C34" s="1070"/>
      <c r="D34" s="1073"/>
      <c r="E34" s="1076"/>
      <c r="F34" s="597"/>
      <c r="G34" s="1079"/>
      <c r="H34" s="273"/>
      <c r="I34" s="274"/>
      <c r="J34" s="1065"/>
      <c r="K34" s="1065"/>
      <c r="L34" s="273"/>
      <c r="M34" s="416"/>
      <c r="N34" s="261"/>
      <c r="O34" s="261"/>
      <c r="P34" s="261"/>
      <c r="Q34" s="262" t="str">
        <f t="shared" ca="1" si="20"/>
        <v/>
      </c>
      <c r="R34" s="263" t="str">
        <f t="shared" si="21"/>
        <v/>
      </c>
      <c r="S34" s="264"/>
      <c r="T34" s="265" t="s">
        <v>36</v>
      </c>
      <c r="U34" s="266"/>
      <c r="V34" s="267"/>
      <c r="W34" s="266"/>
      <c r="X34" s="267"/>
      <c r="Y34" s="268"/>
      <c r="Z34" s="170"/>
      <c r="AA34" s="171"/>
      <c r="AB34" s="265" t="str">
        <f>IF(Z34="","",IF(Y34="檢退","檢退",IF(Y34="審查同意","審定","檢退")))</f>
        <v/>
      </c>
      <c r="AC34" s="170"/>
      <c r="AD34" s="265"/>
      <c r="AE34" s="265"/>
      <c r="AF34" s="172"/>
    </row>
    <row r="35" spans="3:32" ht="40.4" customHeight="1">
      <c r="M35" s="56"/>
      <c r="N35" s="57"/>
      <c r="R35" s="2"/>
      <c r="AD35" s="52"/>
      <c r="AE35" s="1"/>
    </row>
    <row r="36" spans="3:32" ht="45.65" customHeight="1">
      <c r="D36" s="61" t="s">
        <v>240</v>
      </c>
      <c r="E36" s="64">
        <f>COUNTA(F5:F34)</f>
        <v>10</v>
      </c>
      <c r="M36" s="59"/>
      <c r="N36" s="60"/>
      <c r="R36" s="2"/>
      <c r="AD36" s="52"/>
      <c r="AE36" s="1"/>
    </row>
    <row r="37" spans="3:32" ht="40.4" customHeight="1">
      <c r="D37" s="55" t="s">
        <v>194</v>
      </c>
      <c r="E37" s="65">
        <f>COUNTIF(R5:R34,"核定")</f>
        <v>0</v>
      </c>
      <c r="M37" s="62"/>
      <c r="N37" s="63"/>
      <c r="R37" s="2"/>
      <c r="AD37" s="52"/>
      <c r="AE37" s="1"/>
    </row>
    <row r="38" spans="3:32" s="52" customFormat="1" ht="40.4" customHeight="1">
      <c r="C38" s="48"/>
      <c r="D38" s="72" t="s">
        <v>177</v>
      </c>
      <c r="E38" s="73">
        <f>COUNTIF(R5:R34,"審查")</f>
        <v>0</v>
      </c>
      <c r="M38" s="53"/>
      <c r="P38" s="53"/>
      <c r="Q38" s="54"/>
      <c r="R38" s="54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3:32" ht="43.4" customHeight="1">
      <c r="D39" s="58" t="s">
        <v>239</v>
      </c>
      <c r="E39" s="66">
        <f>COUNTIF(R5:R34,"修正")</f>
        <v>0</v>
      </c>
    </row>
  </sheetData>
  <autoFilter ref="C4:AE38" xr:uid="{00000000-0009-0000-0000-000007000000}"/>
  <mergeCells count="129">
    <mergeCell ref="J32:J34"/>
    <mergeCell ref="F32:F34"/>
    <mergeCell ref="C32:C34"/>
    <mergeCell ref="D32:D34"/>
    <mergeCell ref="E32:E34"/>
    <mergeCell ref="G32:G34"/>
    <mergeCell ref="L29:L31"/>
    <mergeCell ref="G29:G31"/>
    <mergeCell ref="H29:H31"/>
    <mergeCell ref="I29:I31"/>
    <mergeCell ref="J29:J31"/>
    <mergeCell ref="K29:K31"/>
    <mergeCell ref="J20:J22"/>
    <mergeCell ref="K20:K22"/>
    <mergeCell ref="G26:G28"/>
    <mergeCell ref="K32:K34"/>
    <mergeCell ref="B29:B31"/>
    <mergeCell ref="C29:C31"/>
    <mergeCell ref="D29:D31"/>
    <mergeCell ref="E29:E31"/>
    <mergeCell ref="F29:F31"/>
    <mergeCell ref="J23:J25"/>
    <mergeCell ref="K23:K25"/>
    <mergeCell ref="B14:B23"/>
    <mergeCell ref="J14:J16"/>
    <mergeCell ref="K14:K16"/>
    <mergeCell ref="D17:D19"/>
    <mergeCell ref="E17:E19"/>
    <mergeCell ref="F17:F19"/>
    <mergeCell ref="H17:H19"/>
    <mergeCell ref="I17:I19"/>
    <mergeCell ref="J17:J19"/>
    <mergeCell ref="C17:C19"/>
    <mergeCell ref="C20:C22"/>
    <mergeCell ref="C23:C25"/>
    <mergeCell ref="C14:C16"/>
    <mergeCell ref="L23:L25"/>
    <mergeCell ref="G14:G16"/>
    <mergeCell ref="G17:G19"/>
    <mergeCell ref="G20:G22"/>
    <mergeCell ref="G23:G25"/>
    <mergeCell ref="D23:D25"/>
    <mergeCell ref="E23:E25"/>
    <mergeCell ref="F23:F25"/>
    <mergeCell ref="H23:H25"/>
    <mergeCell ref="I23:I25"/>
    <mergeCell ref="K17:K19"/>
    <mergeCell ref="L17:L19"/>
    <mergeCell ref="D20:D22"/>
    <mergeCell ref="E20:E22"/>
    <mergeCell ref="F20:F22"/>
    <mergeCell ref="H20:H22"/>
    <mergeCell ref="I20:I22"/>
    <mergeCell ref="L20:L22"/>
    <mergeCell ref="L14:L16"/>
    <mergeCell ref="F14:F16"/>
    <mergeCell ref="D14:D16"/>
    <mergeCell ref="E14:E16"/>
    <mergeCell ref="H14:H16"/>
    <mergeCell ref="I14:I16"/>
    <mergeCell ref="A2:A4"/>
    <mergeCell ref="B8:B10"/>
    <mergeCell ref="B5:B7"/>
    <mergeCell ref="AB3:AD3"/>
    <mergeCell ref="C8:C10"/>
    <mergeCell ref="D8:D10"/>
    <mergeCell ref="F8:F10"/>
    <mergeCell ref="C5:C7"/>
    <mergeCell ref="D5:D7"/>
    <mergeCell ref="F5:F7"/>
    <mergeCell ref="E5:E7"/>
    <mergeCell ref="E8:E10"/>
    <mergeCell ref="B2:B4"/>
    <mergeCell ref="G2:G4"/>
    <mergeCell ref="L2:L4"/>
    <mergeCell ref="G5:G7"/>
    <mergeCell ref="L5:L7"/>
    <mergeCell ref="G8:G10"/>
    <mergeCell ref="L8:L10"/>
    <mergeCell ref="C1:AE1"/>
    <mergeCell ref="C2:C4"/>
    <mergeCell ref="D2:D4"/>
    <mergeCell ref="F2:F4"/>
    <mergeCell ref="M2:M4"/>
    <mergeCell ref="N2:N4"/>
    <mergeCell ref="O2:O4"/>
    <mergeCell ref="P2:P4"/>
    <mergeCell ref="Q2:Q4"/>
    <mergeCell ref="R2:R4"/>
    <mergeCell ref="S2:S4"/>
    <mergeCell ref="T2:AD2"/>
    <mergeCell ref="AE2:AE4"/>
    <mergeCell ref="T3:U3"/>
    <mergeCell ref="V3:X3"/>
    <mergeCell ref="Y3:AA3"/>
    <mergeCell ref="E2:E4"/>
    <mergeCell ref="H2:H4"/>
    <mergeCell ref="B11:B13"/>
    <mergeCell ref="C11:C13"/>
    <mergeCell ref="D11:D13"/>
    <mergeCell ref="E11:E13"/>
    <mergeCell ref="F11:F13"/>
    <mergeCell ref="G11:G13"/>
    <mergeCell ref="L11:L13"/>
    <mergeCell ref="I2:I4"/>
    <mergeCell ref="J2:J4"/>
    <mergeCell ref="K2:K4"/>
    <mergeCell ref="I5:I7"/>
    <mergeCell ref="J5:J7"/>
    <mergeCell ref="K5:K7"/>
    <mergeCell ref="I8:I10"/>
    <mergeCell ref="J8:J10"/>
    <mergeCell ref="K8:K10"/>
    <mergeCell ref="I11:I13"/>
    <mergeCell ref="J11:J13"/>
    <mergeCell ref="K11:K13"/>
    <mergeCell ref="H5:H7"/>
    <mergeCell ref="H8:H10"/>
    <mergeCell ref="H11:H13"/>
    <mergeCell ref="L26:L28"/>
    <mergeCell ref="B26:B28"/>
    <mergeCell ref="C26:C28"/>
    <mergeCell ref="D26:D28"/>
    <mergeCell ref="E26:E28"/>
    <mergeCell ref="F26:F28"/>
    <mergeCell ref="I26:I28"/>
    <mergeCell ref="J26:J28"/>
    <mergeCell ref="K26:K28"/>
    <mergeCell ref="H26:H28"/>
  </mergeCells>
  <phoneticPr fontId="3" type="noConversion"/>
  <conditionalFormatting sqref="R32:R34">
    <cfRule type="cellIs" dxfId="1" priority="1" stopIfTrue="1" operator="lessThanOrEqual">
      <formula>0</formula>
    </cfRule>
    <cfRule type="cellIs" dxfId="0" priority="2" stopIfTrue="1" operator="greaterThan">
      <formula>0</formula>
    </cfRule>
  </conditionalFormatting>
  <pageMargins left="0.31496062992125984" right="0.31496062992125984" top="0.74803149606299213" bottom="0.74803149606299213" header="0.3543307086614173" footer="0.3543307086614173"/>
  <pageSetup paperSize="8" scale="49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26372-6653-46B5-AFFE-764C5793FFB1}">
  <sheetPr>
    <tabColor theme="9" tint="0.79998168889431442"/>
    <pageSetUpPr autoPageBreaks="0" fitToPage="1"/>
  </sheetPr>
  <dimension ref="A1:AD41"/>
  <sheetViews>
    <sheetView zoomScale="55" zoomScaleNormal="55" zoomScaleSheetLayoutView="55" zoomScalePageLayoutView="40" workbookViewId="0">
      <pane xSplit="6" ySplit="4" topLeftCell="G5" activePane="bottomRight" state="frozen"/>
      <selection activeCell="J17" sqref="J17"/>
      <selection pane="topRight" activeCell="J17" sqref="J17"/>
      <selection pane="bottomLeft" activeCell="J17" sqref="J17"/>
      <selection pane="bottomRight" activeCell="F8" sqref="F8:F10"/>
    </sheetView>
  </sheetViews>
  <sheetFormatPr defaultColWidth="8" defaultRowHeight="16"/>
  <cols>
    <col min="1" max="1" width="13.08984375" style="1" customWidth="1"/>
    <col min="2" max="2" width="11.453125" style="1" customWidth="1"/>
    <col min="3" max="3" width="10.90625" style="48" customWidth="1"/>
    <col min="4" max="4" width="29.08984375" style="2" bestFit="1" customWidth="1"/>
    <col min="5" max="5" width="29.08984375" style="2" customWidth="1"/>
    <col min="6" max="6" width="29.453125" style="52" customWidth="1"/>
    <col min="7" max="7" width="18.08984375" style="52" customWidth="1"/>
    <col min="8" max="11" width="19.08984375" style="52" customWidth="1"/>
    <col min="12" max="12" width="17.453125" style="54" bestFit="1" customWidth="1"/>
    <col min="13" max="13" width="17.453125" style="52" customWidth="1"/>
    <col min="14" max="14" width="16.453125" style="52" bestFit="1" customWidth="1"/>
    <col min="15" max="15" width="20.08984375" style="53" customWidth="1"/>
    <col min="16" max="16" width="14.08984375" style="54" customWidth="1"/>
    <col min="17" max="17" width="11.453125" style="54" customWidth="1"/>
    <col min="18" max="18" width="14.08984375" style="2" customWidth="1"/>
    <col min="19" max="19" width="16.453125" style="2" customWidth="1"/>
    <col min="20" max="20" width="24.453125" style="2" customWidth="1"/>
    <col min="21" max="21" width="16.08984375" style="2" bestFit="1" customWidth="1"/>
    <col min="22" max="22" width="24.453125" style="2" customWidth="1"/>
    <col min="23" max="23" width="24.90625" style="2" customWidth="1"/>
    <col min="24" max="24" width="16.08984375" style="2" bestFit="1" customWidth="1"/>
    <col min="25" max="25" width="20.453125" style="2" bestFit="1" customWidth="1"/>
    <col min="26" max="26" width="14.08984375" style="2" bestFit="1" customWidth="1"/>
    <col min="27" max="27" width="16.08984375" style="2" bestFit="1" customWidth="1"/>
    <col min="28" max="28" width="23" style="2" bestFit="1" customWidth="1"/>
    <col min="29" max="29" width="14.08984375" style="2" bestFit="1" customWidth="1"/>
    <col min="30" max="30" width="23.08984375" style="52" customWidth="1"/>
    <col min="31" max="16384" width="8" style="1"/>
  </cols>
  <sheetData>
    <row r="1" spans="1:30" ht="40.4" customHeight="1">
      <c r="C1" s="608" t="s">
        <v>383</v>
      </c>
      <c r="D1" s="608"/>
      <c r="E1" s="608"/>
      <c r="F1" s="608"/>
      <c r="G1" s="608"/>
      <c r="H1" s="608"/>
      <c r="I1" s="608"/>
      <c r="J1" s="608"/>
      <c r="K1" s="608"/>
      <c r="L1" s="608"/>
      <c r="M1" s="608"/>
      <c r="N1" s="608"/>
      <c r="O1" s="608"/>
      <c r="P1" s="608"/>
      <c r="Q1" s="608"/>
      <c r="R1" s="608"/>
      <c r="S1" s="608"/>
      <c r="T1" s="608"/>
      <c r="U1" s="608"/>
      <c r="V1" s="608"/>
      <c r="W1" s="608"/>
      <c r="X1" s="608"/>
      <c r="Y1" s="608"/>
      <c r="Z1" s="608"/>
      <c r="AA1" s="608"/>
      <c r="AB1" s="608"/>
      <c r="AC1" s="608"/>
      <c r="AD1" s="608"/>
    </row>
    <row r="2" spans="1:30" s="2" customFormat="1" ht="25.4" customHeight="1">
      <c r="A2" s="690" t="s">
        <v>522</v>
      </c>
      <c r="B2" s="693" t="s">
        <v>521</v>
      </c>
      <c r="C2" s="609" t="s">
        <v>1</v>
      </c>
      <c r="D2" s="610" t="s">
        <v>3</v>
      </c>
      <c r="E2" s="860" t="s">
        <v>491</v>
      </c>
      <c r="F2" s="610" t="s">
        <v>4</v>
      </c>
      <c r="G2" s="860" t="s">
        <v>491</v>
      </c>
      <c r="H2" s="629" t="s">
        <v>230</v>
      </c>
      <c r="I2" s="632" t="s">
        <v>255</v>
      </c>
      <c r="J2" s="634" t="s">
        <v>562</v>
      </c>
      <c r="K2" s="610" t="s">
        <v>526</v>
      </c>
      <c r="L2" s="617" t="s">
        <v>5</v>
      </c>
      <c r="M2" s="614" t="s">
        <v>6</v>
      </c>
      <c r="N2" s="614" t="s">
        <v>7</v>
      </c>
      <c r="O2" s="617" t="s">
        <v>8</v>
      </c>
      <c r="P2" s="611" t="s">
        <v>9</v>
      </c>
      <c r="Q2" s="610" t="s">
        <v>10</v>
      </c>
      <c r="R2" s="610" t="s">
        <v>11</v>
      </c>
      <c r="S2" s="618" t="s">
        <v>12</v>
      </c>
      <c r="T2" s="618"/>
      <c r="U2" s="618"/>
      <c r="V2" s="618"/>
      <c r="W2" s="618"/>
      <c r="X2" s="618"/>
      <c r="Y2" s="618"/>
      <c r="Z2" s="618"/>
      <c r="AA2" s="618"/>
      <c r="AB2" s="618"/>
      <c r="AC2" s="618"/>
      <c r="AD2" s="618" t="s">
        <v>13</v>
      </c>
    </row>
    <row r="3" spans="1:30" s="2" customFormat="1" ht="25.4" customHeight="1">
      <c r="A3" s="690"/>
      <c r="B3" s="693"/>
      <c r="C3" s="609"/>
      <c r="D3" s="610"/>
      <c r="E3" s="861"/>
      <c r="F3" s="610"/>
      <c r="G3" s="861"/>
      <c r="H3" s="630"/>
      <c r="I3" s="633"/>
      <c r="J3" s="635"/>
      <c r="K3" s="610"/>
      <c r="L3" s="617"/>
      <c r="M3" s="615"/>
      <c r="N3" s="615"/>
      <c r="O3" s="617" t="s">
        <v>14</v>
      </c>
      <c r="P3" s="612"/>
      <c r="Q3" s="610"/>
      <c r="R3" s="610"/>
      <c r="S3" s="619" t="s">
        <v>15</v>
      </c>
      <c r="T3" s="619"/>
      <c r="U3" s="620" t="s">
        <v>16</v>
      </c>
      <c r="V3" s="620"/>
      <c r="W3" s="620"/>
      <c r="X3" s="621" t="s">
        <v>17</v>
      </c>
      <c r="Y3" s="621"/>
      <c r="Z3" s="621"/>
      <c r="AA3" s="622" t="s">
        <v>18</v>
      </c>
      <c r="AB3" s="622"/>
      <c r="AC3" s="622"/>
      <c r="AD3" s="618"/>
    </row>
    <row r="4" spans="1:30" s="2" customFormat="1" ht="25.4" customHeight="1">
      <c r="A4" s="690"/>
      <c r="B4" s="693"/>
      <c r="C4" s="609"/>
      <c r="D4" s="610"/>
      <c r="E4" s="862"/>
      <c r="F4" s="610"/>
      <c r="G4" s="862"/>
      <c r="H4" s="631"/>
      <c r="I4" s="633"/>
      <c r="J4" s="636"/>
      <c r="K4" s="610"/>
      <c r="L4" s="617"/>
      <c r="M4" s="616"/>
      <c r="N4" s="616"/>
      <c r="O4" s="617"/>
      <c r="P4" s="613"/>
      <c r="Q4" s="610"/>
      <c r="R4" s="610"/>
      <c r="S4" s="3" t="s">
        <v>19</v>
      </c>
      <c r="T4" s="3" t="s">
        <v>20</v>
      </c>
      <c r="U4" s="4" t="s">
        <v>19</v>
      </c>
      <c r="V4" s="4" t="s">
        <v>20</v>
      </c>
      <c r="W4" s="4" t="s">
        <v>21</v>
      </c>
      <c r="X4" s="5" t="s">
        <v>19</v>
      </c>
      <c r="Y4" s="5" t="s">
        <v>20</v>
      </c>
      <c r="Z4" s="5" t="s">
        <v>21</v>
      </c>
      <c r="AA4" s="6" t="s">
        <v>19</v>
      </c>
      <c r="AB4" s="6" t="s">
        <v>20</v>
      </c>
      <c r="AC4" s="6" t="s">
        <v>21</v>
      </c>
      <c r="AD4" s="618"/>
    </row>
    <row r="5" spans="1:30" s="25" customFormat="1" ht="40.4" customHeight="1">
      <c r="A5" s="173"/>
      <c r="B5" s="1080">
        <v>99</v>
      </c>
      <c r="C5" s="1084">
        <v>1</v>
      </c>
      <c r="D5" s="1087"/>
      <c r="E5" s="1089" t="s">
        <v>495</v>
      </c>
      <c r="F5" s="1088" t="s">
        <v>152</v>
      </c>
      <c r="G5" s="1008" t="s">
        <v>890</v>
      </c>
      <c r="H5" s="1008" t="s">
        <v>855</v>
      </c>
      <c r="I5" s="106"/>
      <c r="J5" s="106"/>
      <c r="K5" s="106"/>
      <c r="L5" s="410" t="s">
        <v>1522</v>
      </c>
      <c r="M5" s="31" t="str">
        <f>IF(N5="","",N5-30)</f>
        <v/>
      </c>
      <c r="N5" s="17"/>
      <c r="O5" s="18" t="e">
        <f ca="1">IF(L5="","",IF(S5&lt;&gt;"","",IF(AND(S5="",L5-TODAY()&lt;=60),L5-TODAY(),"")))</f>
        <v>#VALUE!</v>
      </c>
      <c r="P5" s="18" t="str">
        <f>IF(AND(ISNUMBER(L5),ISNUMBER(S5)),L5-S5,"")</f>
        <v/>
      </c>
      <c r="Q5" s="19"/>
      <c r="R5" s="22" t="s">
        <v>22</v>
      </c>
      <c r="S5" s="27"/>
      <c r="T5" s="28"/>
      <c r="U5" s="27"/>
      <c r="V5" s="28"/>
      <c r="W5" s="26"/>
      <c r="X5" s="27"/>
      <c r="Y5" s="28"/>
      <c r="Z5" s="28"/>
      <c r="AA5" s="23"/>
      <c r="AB5" s="22"/>
      <c r="AC5" s="22"/>
      <c r="AD5" s="16"/>
    </row>
    <row r="6" spans="1:30" s="25" customFormat="1" ht="40.4" customHeight="1">
      <c r="A6" s="173"/>
      <c r="B6" s="1080"/>
      <c r="C6" s="1085"/>
      <c r="D6" s="1087"/>
      <c r="E6" s="1090"/>
      <c r="F6" s="1088"/>
      <c r="G6" s="1009"/>
      <c r="H6" s="1009"/>
      <c r="I6" s="106"/>
      <c r="J6" s="106"/>
      <c r="K6" s="106"/>
      <c r="L6" s="411"/>
      <c r="M6" s="17"/>
      <c r="N6" s="17"/>
      <c r="O6" s="18" t="str">
        <f ca="1">IF(L6="","",IF(S6&lt;&gt;"","",IF(AND(S6="",L6-TODAY()&lt;=60),L6-TODAY(),"")))</f>
        <v/>
      </c>
      <c r="P6" s="18" t="str">
        <f>IF(AND(ISNUMBER(L6),ISNUMBER(S6)),L6-S6,"")</f>
        <v/>
      </c>
      <c r="Q6" s="19"/>
      <c r="R6" s="22" t="s">
        <v>27</v>
      </c>
      <c r="S6" s="20"/>
      <c r="T6" s="20"/>
      <c r="U6" s="20"/>
      <c r="V6" s="21"/>
      <c r="W6" s="22"/>
      <c r="X6" s="23"/>
      <c r="Y6" s="24"/>
      <c r="Z6" s="22" t="str">
        <f t="shared" ref="Z6:Z7" si="0">IF(X6="","",IF(W6="檢退","檢退",IF(W6="審查同意","審定","檢退")))</f>
        <v/>
      </c>
      <c r="AA6" s="23"/>
      <c r="AB6" s="22"/>
      <c r="AC6" s="22"/>
      <c r="AD6" s="16"/>
    </row>
    <row r="7" spans="1:30" s="25" customFormat="1" ht="40.4" customHeight="1">
      <c r="A7" s="173"/>
      <c r="B7" s="1080"/>
      <c r="C7" s="1086"/>
      <c r="D7" s="1087"/>
      <c r="E7" s="1091"/>
      <c r="F7" s="1088"/>
      <c r="G7" s="1010"/>
      <c r="H7" s="1010"/>
      <c r="I7" s="106"/>
      <c r="J7" s="106"/>
      <c r="K7" s="106"/>
      <c r="L7" s="411"/>
      <c r="M7" s="17"/>
      <c r="N7" s="17"/>
      <c r="O7" s="18" t="str">
        <f t="shared" ref="O7" ca="1" si="1">IF(L7="","",IF(S7&lt;&gt;"","",IF(AND(S7="",L7-TODAY()&lt;=60),L7-TODAY(),"")))</f>
        <v/>
      </c>
      <c r="P7" s="18" t="str">
        <f t="shared" ref="P7" si="2">IF(AND(ISNUMBER(L7),ISNUMBER(S7)),L7-S7,"")</f>
        <v/>
      </c>
      <c r="Q7" s="19"/>
      <c r="R7" s="22" t="s">
        <v>36</v>
      </c>
      <c r="S7" s="27"/>
      <c r="T7" s="28"/>
      <c r="U7" s="27"/>
      <c r="V7" s="28"/>
      <c r="W7" s="26"/>
      <c r="X7" s="23"/>
      <c r="Y7" s="24"/>
      <c r="Z7" s="22" t="str">
        <f t="shared" si="0"/>
        <v/>
      </c>
      <c r="AA7" s="23"/>
      <c r="AB7" s="22"/>
      <c r="AC7" s="22"/>
      <c r="AD7" s="16"/>
    </row>
    <row r="8" spans="1:30" s="25" customFormat="1" ht="40.4" customHeight="1">
      <c r="C8" s="969">
        <f>C5+1</f>
        <v>2</v>
      </c>
      <c r="D8" s="728"/>
      <c r="E8" s="1081"/>
      <c r="F8" s="729" t="s">
        <v>379</v>
      </c>
      <c r="G8" s="149"/>
      <c r="H8" s="1081"/>
      <c r="I8" s="105"/>
      <c r="J8" s="105"/>
      <c r="K8" s="105"/>
      <c r="L8" s="410" t="s">
        <v>1522</v>
      </c>
      <c r="M8" s="31" t="str">
        <f>IF(N8="","",N8-30)</f>
        <v/>
      </c>
      <c r="N8" s="17"/>
      <c r="O8" s="18" t="e">
        <f ca="1">IF(L8="","",IF(S8&lt;&gt;"","",IF(AND(S8="",L8-TODAY()&lt;=60),L8-TODAY(),"")))</f>
        <v>#VALUE!</v>
      </c>
      <c r="P8" s="18" t="str">
        <f>IF(AND(ISNUMBER(L8),ISNUMBER(S8)),L8-S8,"")</f>
        <v/>
      </c>
      <c r="Q8" s="19"/>
      <c r="R8" s="22" t="s">
        <v>22</v>
      </c>
      <c r="S8" s="27"/>
      <c r="T8" s="28"/>
      <c r="U8" s="27"/>
      <c r="V8" s="28"/>
      <c r="W8" s="26"/>
      <c r="X8" s="27"/>
      <c r="Y8" s="28"/>
      <c r="Z8" s="28"/>
      <c r="AA8" s="23"/>
      <c r="AB8" s="22"/>
      <c r="AC8" s="22"/>
      <c r="AD8" s="16"/>
    </row>
    <row r="9" spans="1:30" s="25" customFormat="1" ht="40.4" customHeight="1">
      <c r="C9" s="970"/>
      <c r="D9" s="728"/>
      <c r="E9" s="1082"/>
      <c r="F9" s="729"/>
      <c r="G9" s="150"/>
      <c r="H9" s="1082"/>
      <c r="I9" s="105"/>
      <c r="J9" s="105"/>
      <c r="K9" s="105"/>
      <c r="L9" s="411"/>
      <c r="M9" s="17"/>
      <c r="N9" s="17"/>
      <c r="O9" s="18" t="str">
        <f ca="1">IF(L9="","",IF(S9&lt;&gt;"","",IF(AND(S9="",L9-TODAY()&lt;=60),L9-TODAY(),"")))</f>
        <v/>
      </c>
      <c r="P9" s="18" t="str">
        <f>IF(AND(ISNUMBER(L9),ISNUMBER(S9)),L9-S9,"")</f>
        <v/>
      </c>
      <c r="Q9" s="19"/>
      <c r="R9" s="22" t="s">
        <v>27</v>
      </c>
      <c r="S9" s="20"/>
      <c r="T9" s="20"/>
      <c r="U9" s="20"/>
      <c r="V9" s="21"/>
      <c r="W9" s="22"/>
      <c r="X9" s="23"/>
      <c r="Y9" s="24"/>
      <c r="Z9" s="22" t="str">
        <f t="shared" ref="Z9:Z10" si="3">IF(X9="","",IF(W9="檢退","檢退",IF(W9="審查同意","審定","檢退")))</f>
        <v/>
      </c>
      <c r="AA9" s="23"/>
      <c r="AB9" s="22"/>
      <c r="AC9" s="22"/>
      <c r="AD9" s="16"/>
    </row>
    <row r="10" spans="1:30" s="25" customFormat="1" ht="40.4" customHeight="1">
      <c r="C10" s="971"/>
      <c r="D10" s="728"/>
      <c r="E10" s="1083"/>
      <c r="F10" s="729"/>
      <c r="G10" s="151"/>
      <c r="H10" s="1083"/>
      <c r="I10" s="105"/>
      <c r="J10" s="105"/>
      <c r="K10" s="105"/>
      <c r="L10" s="411"/>
      <c r="M10" s="17"/>
      <c r="N10" s="17"/>
      <c r="O10" s="18" t="str">
        <f t="shared" ref="O10" ca="1" si="4">IF(L10="","",IF(S10&lt;&gt;"","",IF(AND(S10="",L10-TODAY()&lt;=60),L10-TODAY(),"")))</f>
        <v/>
      </c>
      <c r="P10" s="18" t="str">
        <f t="shared" ref="P10" si="5">IF(AND(ISNUMBER(L10),ISNUMBER(S10)),L10-S10,"")</f>
        <v/>
      </c>
      <c r="Q10" s="19"/>
      <c r="R10" s="22" t="s">
        <v>36</v>
      </c>
      <c r="S10" s="27"/>
      <c r="T10" s="28"/>
      <c r="U10" s="27"/>
      <c r="V10" s="28"/>
      <c r="W10" s="26"/>
      <c r="X10" s="23"/>
      <c r="Y10" s="24"/>
      <c r="Z10" s="22" t="str">
        <f t="shared" si="3"/>
        <v/>
      </c>
      <c r="AA10" s="23"/>
      <c r="AB10" s="22"/>
      <c r="AC10" s="22"/>
      <c r="AD10" s="16"/>
    </row>
    <row r="11" spans="1:30" s="25" customFormat="1" ht="40.4" customHeight="1">
      <c r="C11" s="969">
        <f>C8+1</f>
        <v>3</v>
      </c>
      <c r="D11" s="728"/>
      <c r="E11" s="1081"/>
      <c r="F11" s="729" t="s">
        <v>380</v>
      </c>
      <c r="G11" s="149"/>
      <c r="H11" s="1081"/>
      <c r="I11" s="105"/>
      <c r="J11" s="105"/>
      <c r="K11" s="105"/>
      <c r="L11" s="410" t="s">
        <v>1522</v>
      </c>
      <c r="M11" s="31" t="str">
        <f>IF(N11="","",N11-30)</f>
        <v/>
      </c>
      <c r="N11" s="17"/>
      <c r="O11" s="18" t="e">
        <f ca="1">IF(L11="","",IF(S11&lt;&gt;"","",IF(AND(S11="",L11-TODAY()&lt;=60),L11-TODAY(),"")))</f>
        <v>#VALUE!</v>
      </c>
      <c r="P11" s="18" t="str">
        <f>IF(AND(ISNUMBER(L11),ISNUMBER(S11)),L11-S11,"")</f>
        <v/>
      </c>
      <c r="Q11" s="19"/>
      <c r="R11" s="22" t="s">
        <v>22</v>
      </c>
      <c r="S11" s="27"/>
      <c r="T11" s="28"/>
      <c r="U11" s="27"/>
      <c r="V11" s="28"/>
      <c r="W11" s="26"/>
      <c r="X11" s="27"/>
      <c r="Y11" s="28"/>
      <c r="Z11" s="28"/>
      <c r="AA11" s="23"/>
      <c r="AB11" s="22"/>
      <c r="AC11" s="22"/>
      <c r="AD11" s="16"/>
    </row>
    <row r="12" spans="1:30" s="25" customFormat="1" ht="40.4" customHeight="1">
      <c r="C12" s="970"/>
      <c r="D12" s="728"/>
      <c r="E12" s="1082"/>
      <c r="F12" s="729"/>
      <c r="G12" s="150"/>
      <c r="H12" s="1082"/>
      <c r="I12" s="105"/>
      <c r="J12" s="105"/>
      <c r="K12" s="105"/>
      <c r="L12" s="411"/>
      <c r="M12" s="17"/>
      <c r="N12" s="17"/>
      <c r="O12" s="18" t="str">
        <f ca="1">IF(L12="","",IF(S12&lt;&gt;"","",IF(AND(S12="",L12-TODAY()&lt;=60),L12-TODAY(),"")))</f>
        <v/>
      </c>
      <c r="P12" s="18" t="str">
        <f>IF(AND(ISNUMBER(L12),ISNUMBER(S12)),L12-S12,"")</f>
        <v/>
      </c>
      <c r="Q12" s="19"/>
      <c r="R12" s="22" t="s">
        <v>27</v>
      </c>
      <c r="S12" s="20"/>
      <c r="T12" s="20"/>
      <c r="U12" s="20"/>
      <c r="V12" s="21"/>
      <c r="W12" s="22"/>
      <c r="X12" s="23"/>
      <c r="Y12" s="24"/>
      <c r="Z12" s="22" t="str">
        <f t="shared" ref="Z12:Z13" si="6">IF(X12="","",IF(W12="檢退","檢退",IF(W12="審查同意","審定","檢退")))</f>
        <v/>
      </c>
      <c r="AA12" s="23"/>
      <c r="AB12" s="22"/>
      <c r="AC12" s="22"/>
      <c r="AD12" s="16"/>
    </row>
    <row r="13" spans="1:30" s="25" customFormat="1" ht="40.4" customHeight="1">
      <c r="C13" s="971"/>
      <c r="D13" s="728"/>
      <c r="E13" s="1083"/>
      <c r="F13" s="729"/>
      <c r="G13" s="151"/>
      <c r="H13" s="1083"/>
      <c r="I13" s="105"/>
      <c r="J13" s="105"/>
      <c r="K13" s="105"/>
      <c r="L13" s="411"/>
      <c r="M13" s="17"/>
      <c r="N13" s="17"/>
      <c r="O13" s="18" t="str">
        <f t="shared" ref="O13" ca="1" si="7">IF(L13="","",IF(S13&lt;&gt;"","",IF(AND(S13="",L13-TODAY()&lt;=60),L13-TODAY(),"")))</f>
        <v/>
      </c>
      <c r="P13" s="18" t="str">
        <f t="shared" ref="P13" si="8">IF(AND(ISNUMBER(L13),ISNUMBER(S13)),L13-S13,"")</f>
        <v/>
      </c>
      <c r="Q13" s="19"/>
      <c r="R13" s="22" t="s">
        <v>36</v>
      </c>
      <c r="S13" s="27"/>
      <c r="T13" s="28"/>
      <c r="U13" s="27"/>
      <c r="V13" s="28"/>
      <c r="W13" s="26"/>
      <c r="X13" s="23"/>
      <c r="Y13" s="24"/>
      <c r="Z13" s="22" t="str">
        <f t="shared" si="6"/>
        <v/>
      </c>
      <c r="AA13" s="23"/>
      <c r="AB13" s="22"/>
      <c r="AC13" s="22"/>
      <c r="AD13" s="16"/>
    </row>
    <row r="14" spans="1:30" s="25" customFormat="1" ht="40.4" customHeight="1">
      <c r="C14" s="969">
        <f>C11+1</f>
        <v>4</v>
      </c>
      <c r="D14" s="728"/>
      <c r="E14" s="1081"/>
      <c r="F14" s="729" t="s">
        <v>381</v>
      </c>
      <c r="G14" s="149"/>
      <c r="H14" s="1081"/>
      <c r="I14" s="105"/>
      <c r="J14" s="105"/>
      <c r="K14" s="105"/>
      <c r="L14" s="410" t="s">
        <v>1522</v>
      </c>
      <c r="M14" s="31" t="str">
        <f>IF(N14="","",N14-30)</f>
        <v/>
      </c>
      <c r="N14" s="17"/>
      <c r="O14" s="18" t="e">
        <f ca="1">IF(L14="","",IF(S14&lt;&gt;"","",IF(AND(S14="",L14-TODAY()&lt;=60),L14-TODAY(),"")))</f>
        <v>#VALUE!</v>
      </c>
      <c r="P14" s="18" t="str">
        <f>IF(AND(ISNUMBER(L14),ISNUMBER(S14)),L14-S14,"")</f>
        <v/>
      </c>
      <c r="Q14" s="19"/>
      <c r="R14" s="22" t="s">
        <v>22</v>
      </c>
      <c r="S14" s="27"/>
      <c r="T14" s="28"/>
      <c r="U14" s="27"/>
      <c r="V14" s="28"/>
      <c r="W14" s="26"/>
      <c r="X14" s="27"/>
      <c r="Y14" s="28"/>
      <c r="Z14" s="28"/>
      <c r="AA14" s="23"/>
      <c r="AB14" s="22"/>
      <c r="AC14" s="22"/>
      <c r="AD14" s="16"/>
    </row>
    <row r="15" spans="1:30" s="25" customFormat="1" ht="40.4" customHeight="1">
      <c r="C15" s="970"/>
      <c r="D15" s="728"/>
      <c r="E15" s="1082"/>
      <c r="F15" s="729"/>
      <c r="G15" s="150"/>
      <c r="H15" s="1082"/>
      <c r="I15" s="105"/>
      <c r="J15" s="105"/>
      <c r="K15" s="105"/>
      <c r="L15" s="411"/>
      <c r="M15" s="17"/>
      <c r="N15" s="17"/>
      <c r="O15" s="18" t="str">
        <f ca="1">IF(L15="","",IF(S15&lt;&gt;"","",IF(AND(S15="",L15-TODAY()&lt;=60),L15-TODAY(),"")))</f>
        <v/>
      </c>
      <c r="P15" s="18" t="str">
        <f>IF(AND(ISNUMBER(L15),ISNUMBER(S15)),L15-S15,"")</f>
        <v/>
      </c>
      <c r="Q15" s="19"/>
      <c r="R15" s="22" t="s">
        <v>27</v>
      </c>
      <c r="S15" s="20"/>
      <c r="T15" s="20"/>
      <c r="U15" s="20"/>
      <c r="V15" s="21"/>
      <c r="W15" s="22"/>
      <c r="X15" s="23"/>
      <c r="Y15" s="24"/>
      <c r="Z15" s="22" t="str">
        <f t="shared" ref="Z15:Z16" si="9">IF(X15="","",IF(W15="檢退","檢退",IF(W15="審查同意","審定","檢退")))</f>
        <v/>
      </c>
      <c r="AA15" s="23"/>
      <c r="AB15" s="22"/>
      <c r="AC15" s="22"/>
      <c r="AD15" s="16"/>
    </row>
    <row r="16" spans="1:30" s="25" customFormat="1" ht="40.4" customHeight="1">
      <c r="C16" s="971"/>
      <c r="D16" s="728"/>
      <c r="E16" s="1083"/>
      <c r="F16" s="729"/>
      <c r="G16" s="151"/>
      <c r="H16" s="1083"/>
      <c r="I16" s="105"/>
      <c r="J16" s="105"/>
      <c r="K16" s="105"/>
      <c r="L16" s="411"/>
      <c r="M16" s="17"/>
      <c r="N16" s="17"/>
      <c r="O16" s="18" t="str">
        <f t="shared" ref="O16" ca="1" si="10">IF(L16="","",IF(S16&lt;&gt;"","",IF(AND(S16="",L16-TODAY()&lt;=60),L16-TODAY(),"")))</f>
        <v/>
      </c>
      <c r="P16" s="18" t="str">
        <f t="shared" ref="P16" si="11">IF(AND(ISNUMBER(L16),ISNUMBER(S16)),L16-S16,"")</f>
        <v/>
      </c>
      <c r="Q16" s="19"/>
      <c r="R16" s="22" t="s">
        <v>36</v>
      </c>
      <c r="S16" s="27"/>
      <c r="T16" s="28"/>
      <c r="U16" s="27"/>
      <c r="V16" s="28"/>
      <c r="W16" s="26"/>
      <c r="X16" s="23"/>
      <c r="Y16" s="24"/>
      <c r="Z16" s="22" t="str">
        <f t="shared" si="9"/>
        <v/>
      </c>
      <c r="AA16" s="23"/>
      <c r="AB16" s="22"/>
      <c r="AC16" s="22"/>
      <c r="AD16" s="16"/>
    </row>
    <row r="17" spans="3:30" s="25" customFormat="1" ht="40.4" customHeight="1">
      <c r="C17" s="969">
        <f>C14+1</f>
        <v>5</v>
      </c>
      <c r="D17" s="728"/>
      <c r="E17" s="1081"/>
      <c r="F17" s="729" t="s">
        <v>382</v>
      </c>
      <c r="G17" s="149"/>
      <c r="H17" s="1081"/>
      <c r="I17" s="105"/>
      <c r="J17" s="105"/>
      <c r="K17" s="105"/>
      <c r="L17" s="410" t="s">
        <v>1522</v>
      </c>
      <c r="M17" s="31" t="str">
        <f>IF(N17="","",N17-30)</f>
        <v/>
      </c>
      <c r="N17" s="17"/>
      <c r="O17" s="18" t="e">
        <f ca="1">IF(L17="","",IF(S17&lt;&gt;"","",IF(AND(S17="",L17-TODAY()&lt;=60),L17-TODAY(),"")))</f>
        <v>#VALUE!</v>
      </c>
      <c r="P17" s="18" t="str">
        <f>IF(AND(ISNUMBER(L17),ISNUMBER(S17)),L17-S17,"")</f>
        <v/>
      </c>
      <c r="Q17" s="19"/>
      <c r="R17" s="22" t="s">
        <v>22</v>
      </c>
      <c r="S17" s="27"/>
      <c r="T17" s="28"/>
      <c r="U17" s="27"/>
      <c r="V17" s="28"/>
      <c r="W17" s="26"/>
      <c r="X17" s="27"/>
      <c r="Y17" s="28"/>
      <c r="Z17" s="28"/>
      <c r="AA17" s="23"/>
      <c r="AB17" s="22"/>
      <c r="AC17" s="22"/>
      <c r="AD17" s="16"/>
    </row>
    <row r="18" spans="3:30" s="25" customFormat="1" ht="40.4" customHeight="1">
      <c r="C18" s="970"/>
      <c r="D18" s="728"/>
      <c r="E18" s="1082"/>
      <c r="F18" s="729"/>
      <c r="G18" s="150"/>
      <c r="H18" s="1082"/>
      <c r="I18" s="105"/>
      <c r="J18" s="105"/>
      <c r="K18" s="105"/>
      <c r="L18" s="411"/>
      <c r="M18" s="17"/>
      <c r="N18" s="17"/>
      <c r="O18" s="18" t="str">
        <f ca="1">IF(L18="","",IF(S18&lt;&gt;"","",IF(AND(S18="",L18-TODAY()&lt;=60),L18-TODAY(),"")))</f>
        <v/>
      </c>
      <c r="P18" s="18" t="str">
        <f>IF(AND(ISNUMBER(L18),ISNUMBER(S18)),L18-S18,"")</f>
        <v/>
      </c>
      <c r="Q18" s="19"/>
      <c r="R18" s="22" t="s">
        <v>27</v>
      </c>
      <c r="S18" s="20"/>
      <c r="T18" s="20"/>
      <c r="U18" s="20"/>
      <c r="V18" s="21"/>
      <c r="W18" s="22"/>
      <c r="X18" s="23"/>
      <c r="Y18" s="24"/>
      <c r="Z18" s="22" t="str">
        <f t="shared" ref="Z18:Z19" si="12">IF(X18="","",IF(W18="檢退","檢退",IF(W18="審查同意","審定","檢退")))</f>
        <v/>
      </c>
      <c r="AA18" s="23"/>
      <c r="AB18" s="22"/>
      <c r="AC18" s="22"/>
      <c r="AD18" s="16"/>
    </row>
    <row r="19" spans="3:30" s="25" customFormat="1" ht="40.4" customHeight="1">
      <c r="C19" s="971"/>
      <c r="D19" s="728"/>
      <c r="E19" s="1083"/>
      <c r="F19" s="729"/>
      <c r="G19" s="151"/>
      <c r="H19" s="1083"/>
      <c r="I19" s="105"/>
      <c r="J19" s="105"/>
      <c r="K19" s="105"/>
      <c r="L19" s="411"/>
      <c r="M19" s="17"/>
      <c r="N19" s="17"/>
      <c r="O19" s="18" t="str">
        <f t="shared" ref="O19" ca="1" si="13">IF(L19="","",IF(S19&lt;&gt;"","",IF(AND(S19="",L19-TODAY()&lt;=60),L19-TODAY(),"")))</f>
        <v/>
      </c>
      <c r="P19" s="18" t="str">
        <f t="shared" ref="P19" si="14">IF(AND(ISNUMBER(L19),ISNUMBER(S19)),L19-S19,"")</f>
        <v/>
      </c>
      <c r="Q19" s="19"/>
      <c r="R19" s="22" t="s">
        <v>36</v>
      </c>
      <c r="S19" s="27"/>
      <c r="T19" s="28"/>
      <c r="U19" s="27"/>
      <c r="V19" s="28"/>
      <c r="W19" s="26"/>
      <c r="X19" s="23"/>
      <c r="Y19" s="24"/>
      <c r="Z19" s="22" t="str">
        <f t="shared" si="12"/>
        <v/>
      </c>
      <c r="AA19" s="23"/>
      <c r="AB19" s="22"/>
      <c r="AC19" s="22"/>
      <c r="AD19" s="16"/>
    </row>
    <row r="20" spans="3:30" s="25" customFormat="1" ht="40.4" customHeight="1">
      <c r="C20" s="583">
        <f>C17+1</f>
        <v>6</v>
      </c>
      <c r="D20" s="1092"/>
      <c r="E20" s="595"/>
      <c r="F20" s="1093" t="s">
        <v>1534</v>
      </c>
      <c r="G20" s="424"/>
      <c r="H20" s="595"/>
      <c r="I20" s="423"/>
      <c r="J20" s="423"/>
      <c r="K20" s="423"/>
      <c r="L20" s="425" t="s">
        <v>1522</v>
      </c>
      <c r="M20" s="426" t="str">
        <f>IF(N20="","",N20-30)</f>
        <v/>
      </c>
      <c r="N20" s="427"/>
      <c r="O20" s="428" t="e">
        <f ca="1">IF(L20="","",IF(S20&lt;&gt;"","",IF(AND(S20="",L20-TODAY()&lt;=60),L20-TODAY(),"")))</f>
        <v>#VALUE!</v>
      </c>
      <c r="P20" s="428" t="str">
        <f>IF(AND(ISNUMBER(L20),ISNUMBER(S20)),L20-S20,"")</f>
        <v/>
      </c>
      <c r="Q20" s="419"/>
      <c r="R20" s="429" t="s">
        <v>22</v>
      </c>
      <c r="S20" s="430"/>
      <c r="T20" s="431"/>
      <c r="U20" s="430"/>
      <c r="V20" s="431"/>
      <c r="W20" s="432"/>
      <c r="X20" s="430"/>
      <c r="Y20" s="431"/>
      <c r="Z20" s="431"/>
      <c r="AA20" s="433"/>
      <c r="AB20" s="429"/>
      <c r="AC20" s="429"/>
      <c r="AD20" s="577" t="s">
        <v>1535</v>
      </c>
    </row>
    <row r="21" spans="3:30" s="25" customFormat="1" ht="40.4" customHeight="1">
      <c r="C21" s="584"/>
      <c r="D21" s="1092"/>
      <c r="E21" s="596"/>
      <c r="F21" s="1093"/>
      <c r="G21" s="434"/>
      <c r="H21" s="596"/>
      <c r="I21" s="423"/>
      <c r="J21" s="423"/>
      <c r="K21" s="423"/>
      <c r="L21" s="435"/>
      <c r="M21" s="427"/>
      <c r="N21" s="427"/>
      <c r="O21" s="428" t="str">
        <f ca="1">IF(L21="","",IF(S21&lt;&gt;"","",IF(AND(S21="",L21-TODAY()&lt;=60),L21-TODAY(),"")))</f>
        <v/>
      </c>
      <c r="P21" s="428" t="str">
        <f>IF(AND(ISNUMBER(L21),ISNUMBER(S21)),L21-S21,"")</f>
        <v/>
      </c>
      <c r="Q21" s="419"/>
      <c r="R21" s="429" t="s">
        <v>27</v>
      </c>
      <c r="S21" s="436"/>
      <c r="T21" s="436"/>
      <c r="U21" s="436"/>
      <c r="V21" s="437"/>
      <c r="W21" s="429"/>
      <c r="X21" s="433"/>
      <c r="Y21" s="438"/>
      <c r="Z21" s="429" t="str">
        <f t="shared" ref="Z21:Z22" si="15">IF(X21="","",IF(W21="檢退","檢退",IF(W21="審查同意","審定","檢退")))</f>
        <v/>
      </c>
      <c r="AA21" s="433"/>
      <c r="AB21" s="429"/>
      <c r="AC21" s="429"/>
      <c r="AD21" s="578"/>
    </row>
    <row r="22" spans="3:30" s="25" customFormat="1" ht="40.4" customHeight="1">
      <c r="C22" s="585"/>
      <c r="D22" s="1092"/>
      <c r="E22" s="597"/>
      <c r="F22" s="1093"/>
      <c r="G22" s="439"/>
      <c r="H22" s="597"/>
      <c r="I22" s="423"/>
      <c r="J22" s="423"/>
      <c r="K22" s="423"/>
      <c r="L22" s="435"/>
      <c r="M22" s="427"/>
      <c r="N22" s="427"/>
      <c r="O22" s="428" t="str">
        <f t="shared" ref="O22" ca="1" si="16">IF(L22="","",IF(S22&lt;&gt;"","",IF(AND(S22="",L22-TODAY()&lt;=60),L22-TODAY(),"")))</f>
        <v/>
      </c>
      <c r="P22" s="428" t="str">
        <f t="shared" ref="P22" si="17">IF(AND(ISNUMBER(L22),ISNUMBER(S22)),L22-S22,"")</f>
        <v/>
      </c>
      <c r="Q22" s="419"/>
      <c r="R22" s="429" t="s">
        <v>36</v>
      </c>
      <c r="S22" s="430"/>
      <c r="T22" s="431"/>
      <c r="U22" s="430"/>
      <c r="V22" s="431"/>
      <c r="W22" s="432"/>
      <c r="X22" s="433"/>
      <c r="Y22" s="438"/>
      <c r="Z22" s="429" t="str">
        <f t="shared" si="15"/>
        <v/>
      </c>
      <c r="AA22" s="433"/>
      <c r="AB22" s="429"/>
      <c r="AC22" s="429"/>
      <c r="AD22" s="579"/>
    </row>
    <row r="23" spans="3:30" s="25" customFormat="1" ht="40.4" customHeight="1">
      <c r="C23" s="583">
        <f>C20+1</f>
        <v>7</v>
      </c>
      <c r="D23" s="1092"/>
      <c r="E23" s="595"/>
      <c r="F23" s="1093" t="s">
        <v>1536</v>
      </c>
      <c r="G23" s="424"/>
      <c r="H23" s="595"/>
      <c r="I23" s="423"/>
      <c r="J23" s="423"/>
      <c r="K23" s="423"/>
      <c r="L23" s="425" t="s">
        <v>1522</v>
      </c>
      <c r="M23" s="426" t="str">
        <f>IF(N23="","",N23-30)</f>
        <v/>
      </c>
      <c r="N23" s="427"/>
      <c r="O23" s="428" t="e">
        <f ca="1">IF(L23="","",IF(S23&lt;&gt;"","",IF(AND(S23="",L23-TODAY()&lt;=60),L23-TODAY(),"")))</f>
        <v>#VALUE!</v>
      </c>
      <c r="P23" s="428" t="str">
        <f>IF(AND(ISNUMBER(L23),ISNUMBER(S23)),L23-S23,"")</f>
        <v/>
      </c>
      <c r="Q23" s="419"/>
      <c r="R23" s="429" t="s">
        <v>22</v>
      </c>
      <c r="S23" s="430"/>
      <c r="T23" s="431"/>
      <c r="U23" s="430"/>
      <c r="V23" s="431"/>
      <c r="W23" s="432"/>
      <c r="X23" s="430"/>
      <c r="Y23" s="431"/>
      <c r="Z23" s="431"/>
      <c r="AA23" s="433"/>
      <c r="AB23" s="429"/>
      <c r="AC23" s="429"/>
      <c r="AD23" s="577" t="s">
        <v>1535</v>
      </c>
    </row>
    <row r="24" spans="3:30" s="25" customFormat="1" ht="40.4" customHeight="1">
      <c r="C24" s="584"/>
      <c r="D24" s="1092"/>
      <c r="E24" s="596"/>
      <c r="F24" s="1093"/>
      <c r="G24" s="434"/>
      <c r="H24" s="596"/>
      <c r="I24" s="423"/>
      <c r="J24" s="423"/>
      <c r="K24" s="423"/>
      <c r="L24" s="435"/>
      <c r="M24" s="427"/>
      <c r="N24" s="427"/>
      <c r="O24" s="428" t="str">
        <f ca="1">IF(L24="","",IF(S24&lt;&gt;"","",IF(AND(S24="",L24-TODAY()&lt;=60),L24-TODAY(),"")))</f>
        <v/>
      </c>
      <c r="P24" s="428" t="str">
        <f>IF(AND(ISNUMBER(L24),ISNUMBER(S24)),L24-S24,"")</f>
        <v/>
      </c>
      <c r="Q24" s="419"/>
      <c r="R24" s="429" t="s">
        <v>27</v>
      </c>
      <c r="S24" s="436"/>
      <c r="T24" s="436"/>
      <c r="U24" s="436"/>
      <c r="V24" s="437"/>
      <c r="W24" s="429"/>
      <c r="X24" s="433"/>
      <c r="Y24" s="438"/>
      <c r="Z24" s="429" t="str">
        <f t="shared" ref="Z24:Z25" si="18">IF(X24="","",IF(W24="檢退","檢退",IF(W24="審查同意","審定","檢退")))</f>
        <v/>
      </c>
      <c r="AA24" s="433"/>
      <c r="AB24" s="429"/>
      <c r="AC24" s="429"/>
      <c r="AD24" s="578"/>
    </row>
    <row r="25" spans="3:30" s="25" customFormat="1" ht="40.4" customHeight="1">
      <c r="C25" s="585"/>
      <c r="D25" s="1092"/>
      <c r="E25" s="597"/>
      <c r="F25" s="1093"/>
      <c r="G25" s="439"/>
      <c r="H25" s="597"/>
      <c r="I25" s="423"/>
      <c r="J25" s="423"/>
      <c r="K25" s="423"/>
      <c r="L25" s="435"/>
      <c r="M25" s="427"/>
      <c r="N25" s="427"/>
      <c r="O25" s="428" t="str">
        <f t="shared" ref="O25" ca="1" si="19">IF(L25="","",IF(S25&lt;&gt;"","",IF(AND(S25="",L25-TODAY()&lt;=60),L25-TODAY(),"")))</f>
        <v/>
      </c>
      <c r="P25" s="428" t="str">
        <f t="shared" ref="P25" si="20">IF(AND(ISNUMBER(L25),ISNUMBER(S25)),L25-S25,"")</f>
        <v/>
      </c>
      <c r="Q25" s="419"/>
      <c r="R25" s="429" t="s">
        <v>36</v>
      </c>
      <c r="S25" s="430"/>
      <c r="T25" s="431"/>
      <c r="U25" s="430"/>
      <c r="V25" s="431"/>
      <c r="W25" s="432"/>
      <c r="X25" s="433"/>
      <c r="Y25" s="438"/>
      <c r="Z25" s="429" t="str">
        <f t="shared" si="18"/>
        <v/>
      </c>
      <c r="AA25" s="433"/>
      <c r="AB25" s="429"/>
      <c r="AC25" s="429"/>
      <c r="AD25" s="579"/>
    </row>
    <row r="26" spans="3:30" s="25" customFormat="1" ht="40.4" customHeight="1">
      <c r="C26" s="583">
        <f>C23+1</f>
        <v>8</v>
      </c>
      <c r="D26" s="1092"/>
      <c r="E26" s="595"/>
      <c r="F26" s="1093" t="s">
        <v>1568</v>
      </c>
      <c r="G26" s="424"/>
      <c r="H26" s="595"/>
      <c r="I26" s="423"/>
      <c r="J26" s="423"/>
      <c r="K26" s="423"/>
      <c r="L26" s="425" t="s">
        <v>1522</v>
      </c>
      <c r="M26" s="426" t="str">
        <f>IF(N26="","",N26-30)</f>
        <v/>
      </c>
      <c r="N26" s="427"/>
      <c r="O26" s="428" t="e">
        <f ca="1">IF(L26="","",IF(S26&lt;&gt;"","",IF(AND(S26="",L26-TODAY()&lt;=60),L26-TODAY(),"")))</f>
        <v>#VALUE!</v>
      </c>
      <c r="P26" s="428" t="str">
        <f>IF(AND(ISNUMBER(L26),ISNUMBER(S26)),L26-S26,"")</f>
        <v/>
      </c>
      <c r="Q26" s="419"/>
      <c r="R26" s="429" t="s">
        <v>22</v>
      </c>
      <c r="S26" s="430"/>
      <c r="T26" s="431"/>
      <c r="U26" s="430"/>
      <c r="V26" s="431"/>
      <c r="W26" s="432"/>
      <c r="X26" s="430"/>
      <c r="Y26" s="431"/>
      <c r="Z26" s="431"/>
      <c r="AA26" s="433"/>
      <c r="AB26" s="429"/>
      <c r="AC26" s="429"/>
      <c r="AD26" s="577" t="s">
        <v>1535</v>
      </c>
    </row>
    <row r="27" spans="3:30" s="25" customFormat="1" ht="40.4" customHeight="1">
      <c r="C27" s="584"/>
      <c r="D27" s="1092"/>
      <c r="E27" s="596"/>
      <c r="F27" s="1093"/>
      <c r="G27" s="434"/>
      <c r="H27" s="596"/>
      <c r="I27" s="423"/>
      <c r="J27" s="423"/>
      <c r="K27" s="423"/>
      <c r="L27" s="435"/>
      <c r="M27" s="427"/>
      <c r="N27" s="427"/>
      <c r="O27" s="428" t="str">
        <f ca="1">IF(L27="","",IF(S27&lt;&gt;"","",IF(AND(S27="",L27-TODAY()&lt;=60),L27-TODAY(),"")))</f>
        <v/>
      </c>
      <c r="P27" s="428" t="str">
        <f>IF(AND(ISNUMBER(L27),ISNUMBER(S27)),L27-S27,"")</f>
        <v/>
      </c>
      <c r="Q27" s="419"/>
      <c r="R27" s="429" t="s">
        <v>27</v>
      </c>
      <c r="S27" s="436"/>
      <c r="T27" s="436"/>
      <c r="U27" s="436"/>
      <c r="V27" s="437"/>
      <c r="W27" s="429"/>
      <c r="X27" s="433"/>
      <c r="Y27" s="438"/>
      <c r="Z27" s="429" t="str">
        <f t="shared" ref="Z27:Z28" si="21">IF(X27="","",IF(W27="檢退","檢退",IF(W27="審查同意","審定","檢退")))</f>
        <v/>
      </c>
      <c r="AA27" s="433"/>
      <c r="AB27" s="429"/>
      <c r="AC27" s="429"/>
      <c r="AD27" s="578"/>
    </row>
    <row r="28" spans="3:30" s="25" customFormat="1" ht="40.4" customHeight="1">
      <c r="C28" s="585"/>
      <c r="D28" s="1092"/>
      <c r="E28" s="597"/>
      <c r="F28" s="1093"/>
      <c r="G28" s="439"/>
      <c r="H28" s="597"/>
      <c r="I28" s="423"/>
      <c r="J28" s="423"/>
      <c r="K28" s="423"/>
      <c r="L28" s="435"/>
      <c r="M28" s="427"/>
      <c r="N28" s="427"/>
      <c r="O28" s="428" t="str">
        <f t="shared" ref="O28" ca="1" si="22">IF(L28="","",IF(S28&lt;&gt;"","",IF(AND(S28="",L28-TODAY()&lt;=60),L28-TODAY(),"")))</f>
        <v/>
      </c>
      <c r="P28" s="428" t="str">
        <f t="shared" ref="P28" si="23">IF(AND(ISNUMBER(L28),ISNUMBER(S28)),L28-S28,"")</f>
        <v/>
      </c>
      <c r="Q28" s="419"/>
      <c r="R28" s="429" t="s">
        <v>36</v>
      </c>
      <c r="S28" s="430"/>
      <c r="T28" s="431"/>
      <c r="U28" s="430"/>
      <c r="V28" s="431"/>
      <c r="W28" s="432"/>
      <c r="X28" s="433"/>
      <c r="Y28" s="438"/>
      <c r="Z28" s="429" t="str">
        <f t="shared" si="21"/>
        <v/>
      </c>
      <c r="AA28" s="433"/>
      <c r="AB28" s="429"/>
      <c r="AC28" s="429"/>
      <c r="AD28" s="579"/>
    </row>
    <row r="29" spans="3:30" s="25" customFormat="1" ht="40.4" customHeight="1">
      <c r="C29" s="583">
        <f>C26+1</f>
        <v>9</v>
      </c>
      <c r="D29" s="1092"/>
      <c r="E29" s="595"/>
      <c r="F29" s="1093" t="s">
        <v>1561</v>
      </c>
      <c r="G29" s="424"/>
      <c r="H29" s="595"/>
      <c r="I29" s="423"/>
      <c r="J29" s="423"/>
      <c r="K29" s="423"/>
      <c r="L29" s="425" t="s">
        <v>1522</v>
      </c>
      <c r="M29" s="426" t="str">
        <f>IF(N29="","",N29-30)</f>
        <v/>
      </c>
      <c r="N29" s="427"/>
      <c r="O29" s="428" t="e">
        <f ca="1">IF(L29="","",IF(S29&lt;&gt;"","",IF(AND(S29="",L29-TODAY()&lt;=60),L29-TODAY(),"")))</f>
        <v>#VALUE!</v>
      </c>
      <c r="P29" s="428" t="str">
        <f>IF(AND(ISNUMBER(L29),ISNUMBER(S29)),L29-S29,"")</f>
        <v/>
      </c>
      <c r="Q29" s="419"/>
      <c r="R29" s="429" t="s">
        <v>22</v>
      </c>
      <c r="S29" s="430"/>
      <c r="T29" s="431"/>
      <c r="U29" s="430"/>
      <c r="V29" s="431"/>
      <c r="W29" s="432"/>
      <c r="X29" s="430"/>
      <c r="Y29" s="431"/>
      <c r="Z29" s="431"/>
      <c r="AA29" s="433"/>
      <c r="AB29" s="429"/>
      <c r="AC29" s="429"/>
      <c r="AD29" s="577" t="s">
        <v>1535</v>
      </c>
    </row>
    <row r="30" spans="3:30" s="25" customFormat="1" ht="40.4" customHeight="1">
      <c r="C30" s="584"/>
      <c r="D30" s="1092"/>
      <c r="E30" s="596"/>
      <c r="F30" s="1093"/>
      <c r="G30" s="434"/>
      <c r="H30" s="596"/>
      <c r="I30" s="423"/>
      <c r="J30" s="423"/>
      <c r="K30" s="423"/>
      <c r="L30" s="435"/>
      <c r="M30" s="427"/>
      <c r="N30" s="427"/>
      <c r="O30" s="428" t="str">
        <f ca="1">IF(L30="","",IF(S30&lt;&gt;"","",IF(AND(S30="",L30-TODAY()&lt;=60),L30-TODAY(),"")))</f>
        <v/>
      </c>
      <c r="P30" s="428" t="str">
        <f>IF(AND(ISNUMBER(L30),ISNUMBER(S30)),L30-S30,"")</f>
        <v/>
      </c>
      <c r="Q30" s="419"/>
      <c r="R30" s="429" t="s">
        <v>27</v>
      </c>
      <c r="S30" s="436"/>
      <c r="T30" s="436"/>
      <c r="U30" s="436"/>
      <c r="V30" s="437"/>
      <c r="W30" s="429"/>
      <c r="X30" s="433"/>
      <c r="Y30" s="438"/>
      <c r="Z30" s="429" t="str">
        <f t="shared" ref="Z30:Z31" si="24">IF(X30="","",IF(W30="檢退","檢退",IF(W30="審查同意","審定","檢退")))</f>
        <v/>
      </c>
      <c r="AA30" s="433"/>
      <c r="AB30" s="429"/>
      <c r="AC30" s="429"/>
      <c r="AD30" s="578"/>
    </row>
    <row r="31" spans="3:30" s="25" customFormat="1" ht="40.4" customHeight="1">
      <c r="C31" s="585"/>
      <c r="D31" s="1092"/>
      <c r="E31" s="597"/>
      <c r="F31" s="1093"/>
      <c r="G31" s="439"/>
      <c r="H31" s="597"/>
      <c r="I31" s="423"/>
      <c r="J31" s="423"/>
      <c r="K31" s="423"/>
      <c r="L31" s="435"/>
      <c r="M31" s="427"/>
      <c r="N31" s="427"/>
      <c r="O31" s="428" t="str">
        <f t="shared" ref="O31" ca="1" si="25">IF(L31="","",IF(S31&lt;&gt;"","",IF(AND(S31="",L31-TODAY()&lt;=60),L31-TODAY(),"")))</f>
        <v/>
      </c>
      <c r="P31" s="428" t="str">
        <f t="shared" ref="P31" si="26">IF(AND(ISNUMBER(L31),ISNUMBER(S31)),L31-S31,"")</f>
        <v/>
      </c>
      <c r="Q31" s="419"/>
      <c r="R31" s="429" t="s">
        <v>36</v>
      </c>
      <c r="S31" s="430"/>
      <c r="T31" s="431"/>
      <c r="U31" s="430"/>
      <c r="V31" s="431"/>
      <c r="W31" s="432"/>
      <c r="X31" s="433"/>
      <c r="Y31" s="438"/>
      <c r="Z31" s="429" t="str">
        <f t="shared" si="24"/>
        <v/>
      </c>
      <c r="AA31" s="433"/>
      <c r="AB31" s="429"/>
      <c r="AC31" s="429"/>
      <c r="AD31" s="579"/>
    </row>
    <row r="32" spans="3:30" s="25" customFormat="1" ht="40.4" customHeight="1">
      <c r="C32" s="583">
        <f>C29+1</f>
        <v>10</v>
      </c>
      <c r="D32" s="1092"/>
      <c r="E32" s="595"/>
      <c r="F32" s="1093" t="s">
        <v>1562</v>
      </c>
      <c r="G32" s="424"/>
      <c r="H32" s="595"/>
      <c r="I32" s="423"/>
      <c r="J32" s="423"/>
      <c r="K32" s="423"/>
      <c r="L32" s="425" t="s">
        <v>1522</v>
      </c>
      <c r="M32" s="426" t="str">
        <f>IF(N32="","",N32-30)</f>
        <v/>
      </c>
      <c r="N32" s="427"/>
      <c r="O32" s="428" t="e">
        <f ca="1">IF(L32="","",IF(S32&lt;&gt;"","",IF(AND(S32="",L32-TODAY()&lt;=60),L32-TODAY(),"")))</f>
        <v>#VALUE!</v>
      </c>
      <c r="P32" s="428" t="str">
        <f>IF(AND(ISNUMBER(L32),ISNUMBER(S32)),L32-S32,"")</f>
        <v/>
      </c>
      <c r="Q32" s="419"/>
      <c r="R32" s="429" t="s">
        <v>22</v>
      </c>
      <c r="S32" s="430"/>
      <c r="T32" s="431"/>
      <c r="U32" s="430"/>
      <c r="V32" s="431"/>
      <c r="W32" s="432"/>
      <c r="X32" s="430"/>
      <c r="Y32" s="431"/>
      <c r="Z32" s="431"/>
      <c r="AA32" s="433"/>
      <c r="AB32" s="429"/>
      <c r="AC32" s="429"/>
      <c r="AD32" s="577" t="s">
        <v>1535</v>
      </c>
    </row>
    <row r="33" spans="3:30" s="25" customFormat="1" ht="40.4" customHeight="1">
      <c r="C33" s="584"/>
      <c r="D33" s="1092"/>
      <c r="E33" s="596"/>
      <c r="F33" s="1093"/>
      <c r="G33" s="434"/>
      <c r="H33" s="596"/>
      <c r="I33" s="423"/>
      <c r="J33" s="423"/>
      <c r="K33" s="423"/>
      <c r="L33" s="435"/>
      <c r="M33" s="427"/>
      <c r="N33" s="427"/>
      <c r="O33" s="428" t="str">
        <f ca="1">IF(L33="","",IF(S33&lt;&gt;"","",IF(AND(S33="",L33-TODAY()&lt;=60),L33-TODAY(),"")))</f>
        <v/>
      </c>
      <c r="P33" s="428" t="str">
        <f>IF(AND(ISNUMBER(L33),ISNUMBER(S33)),L33-S33,"")</f>
        <v/>
      </c>
      <c r="Q33" s="419"/>
      <c r="R33" s="429" t="s">
        <v>27</v>
      </c>
      <c r="S33" s="436"/>
      <c r="T33" s="436"/>
      <c r="U33" s="436"/>
      <c r="V33" s="437"/>
      <c r="W33" s="429"/>
      <c r="X33" s="433"/>
      <c r="Y33" s="438"/>
      <c r="Z33" s="429" t="str">
        <f t="shared" ref="Z33:Z34" si="27">IF(X33="","",IF(W33="檢退","檢退",IF(W33="審查同意","審定","檢退")))</f>
        <v/>
      </c>
      <c r="AA33" s="433"/>
      <c r="AB33" s="429"/>
      <c r="AC33" s="429"/>
      <c r="AD33" s="578"/>
    </row>
    <row r="34" spans="3:30" s="25" customFormat="1" ht="40.4" customHeight="1">
      <c r="C34" s="585"/>
      <c r="D34" s="1092"/>
      <c r="E34" s="597"/>
      <c r="F34" s="1093"/>
      <c r="G34" s="439"/>
      <c r="H34" s="597"/>
      <c r="I34" s="423"/>
      <c r="J34" s="423"/>
      <c r="K34" s="423"/>
      <c r="L34" s="435"/>
      <c r="M34" s="427"/>
      <c r="N34" s="427"/>
      <c r="O34" s="428" t="str">
        <f t="shared" ref="O34" ca="1" si="28">IF(L34="","",IF(S34&lt;&gt;"","",IF(AND(S34="",L34-TODAY()&lt;=60),L34-TODAY(),"")))</f>
        <v/>
      </c>
      <c r="P34" s="428" t="str">
        <f t="shared" ref="P34" si="29">IF(AND(ISNUMBER(L34),ISNUMBER(S34)),L34-S34,"")</f>
        <v/>
      </c>
      <c r="Q34" s="419"/>
      <c r="R34" s="429" t="s">
        <v>36</v>
      </c>
      <c r="S34" s="430"/>
      <c r="T34" s="431"/>
      <c r="U34" s="430"/>
      <c r="V34" s="431"/>
      <c r="W34" s="432"/>
      <c r="X34" s="433"/>
      <c r="Y34" s="438"/>
      <c r="Z34" s="429" t="str">
        <f t="shared" si="27"/>
        <v/>
      </c>
      <c r="AA34" s="433"/>
      <c r="AB34" s="429"/>
      <c r="AC34" s="429"/>
      <c r="AD34" s="579"/>
    </row>
    <row r="35" spans="3:30" s="25" customFormat="1" ht="40.4" customHeight="1">
      <c r="C35" s="76"/>
      <c r="D35" s="93"/>
      <c r="E35" s="93"/>
      <c r="F35" s="94"/>
      <c r="G35" s="94"/>
      <c r="H35" s="94"/>
      <c r="I35" s="94"/>
      <c r="J35" s="94"/>
      <c r="K35" s="94"/>
      <c r="L35" s="412"/>
      <c r="M35" s="39"/>
      <c r="N35" s="39"/>
      <c r="O35" s="42"/>
      <c r="P35" s="42"/>
      <c r="Q35" s="43"/>
      <c r="R35" s="44"/>
      <c r="S35" s="79"/>
      <c r="T35" s="80"/>
      <c r="U35" s="79"/>
      <c r="V35" s="80"/>
      <c r="W35" s="78"/>
      <c r="X35" s="45"/>
      <c r="Y35" s="46"/>
      <c r="Z35" s="44"/>
      <c r="AA35" s="45"/>
      <c r="AB35" s="44"/>
      <c r="AC35" s="44"/>
      <c r="AD35" s="47"/>
    </row>
    <row r="36" spans="3:30" s="2" customFormat="1" ht="40.4" customHeight="1">
      <c r="C36" s="36"/>
      <c r="D36" s="37"/>
      <c r="E36" s="37"/>
      <c r="F36" s="38"/>
      <c r="G36" s="38"/>
      <c r="H36" s="38"/>
      <c r="I36" s="38"/>
      <c r="J36" s="38"/>
      <c r="K36" s="38"/>
      <c r="L36" s="412"/>
      <c r="M36" s="40"/>
      <c r="N36" s="41"/>
      <c r="O36" s="42"/>
      <c r="P36" s="42"/>
      <c r="Q36" s="43"/>
      <c r="R36" s="44"/>
      <c r="S36" s="45"/>
      <c r="T36" s="46"/>
      <c r="U36" s="45"/>
      <c r="V36" s="46"/>
      <c r="W36" s="44"/>
      <c r="X36" s="45"/>
      <c r="Y36" s="46"/>
      <c r="Z36" s="44"/>
      <c r="AA36" s="45"/>
      <c r="AB36" s="44"/>
      <c r="AC36" s="44"/>
      <c r="AD36" s="47"/>
    </row>
    <row r="37" spans="3:30" ht="40.4" customHeight="1">
      <c r="D37" s="49" t="s">
        <v>193</v>
      </c>
      <c r="E37" s="64">
        <f>COUNTA(F5:F25)</f>
        <v>7</v>
      </c>
      <c r="L37" s="51"/>
      <c r="M37" s="51"/>
      <c r="Q37" s="2"/>
      <c r="AC37" s="52"/>
      <c r="AD37" s="1"/>
    </row>
    <row r="38" spans="3:30" ht="40.4" customHeight="1">
      <c r="D38" s="61" t="s">
        <v>240</v>
      </c>
      <c r="E38" s="67">
        <f>E37-E39-E40-E41</f>
        <v>7</v>
      </c>
      <c r="L38" s="413"/>
      <c r="M38" s="57"/>
      <c r="Q38" s="2"/>
      <c r="AC38" s="52"/>
      <c r="AD38" s="1"/>
    </row>
    <row r="39" spans="3:30" ht="45.65" customHeight="1">
      <c r="D39" s="55" t="s">
        <v>194</v>
      </c>
      <c r="E39" s="65">
        <f>COUNTIF(Q5:Q25,"核定")</f>
        <v>0</v>
      </c>
      <c r="L39" s="414"/>
      <c r="M39" s="60"/>
      <c r="Q39" s="2"/>
      <c r="AC39" s="52"/>
      <c r="AD39" s="1"/>
    </row>
    <row r="40" spans="3:30" ht="40.4" customHeight="1">
      <c r="D40" s="72" t="s">
        <v>177</v>
      </c>
      <c r="E40" s="73">
        <f>COUNTIF(Q5:Q25,"審查")</f>
        <v>0</v>
      </c>
      <c r="L40" s="415"/>
      <c r="M40" s="63"/>
      <c r="Q40" s="2"/>
      <c r="AC40" s="52"/>
      <c r="AD40" s="1"/>
    </row>
    <row r="41" spans="3:30" s="52" customFormat="1" ht="40.4" customHeight="1">
      <c r="C41" s="48"/>
      <c r="D41" s="58" t="s">
        <v>239</v>
      </c>
      <c r="E41" s="66">
        <f>COUNTIF(Q5:Q25,"修正")</f>
        <v>0</v>
      </c>
      <c r="L41" s="54"/>
      <c r="O41" s="53"/>
      <c r="P41" s="54"/>
      <c r="Q41" s="54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</sheetData>
  <autoFilter ref="C4:AD41" xr:uid="{00000000-0009-0000-0000-000007000000}"/>
  <mergeCells count="82">
    <mergeCell ref="AD32:AD34"/>
    <mergeCell ref="C32:C34"/>
    <mergeCell ref="D32:D34"/>
    <mergeCell ref="E32:E34"/>
    <mergeCell ref="F32:F34"/>
    <mergeCell ref="H32:H34"/>
    <mergeCell ref="AD26:AD28"/>
    <mergeCell ref="C29:C31"/>
    <mergeCell ref="D29:D31"/>
    <mergeCell ref="E29:E31"/>
    <mergeCell ref="F29:F31"/>
    <mergeCell ref="H29:H31"/>
    <mergeCell ref="AD29:AD31"/>
    <mergeCell ref="C26:C28"/>
    <mergeCell ref="D26:D28"/>
    <mergeCell ref="E26:E28"/>
    <mergeCell ref="F26:F28"/>
    <mergeCell ref="H26:H28"/>
    <mergeCell ref="AD20:AD22"/>
    <mergeCell ref="C23:C25"/>
    <mergeCell ref="D23:D25"/>
    <mergeCell ref="E23:E25"/>
    <mergeCell ref="F23:F25"/>
    <mergeCell ref="H23:H25"/>
    <mergeCell ref="AD23:AD25"/>
    <mergeCell ref="C20:C22"/>
    <mergeCell ref="D20:D22"/>
    <mergeCell ref="E20:E22"/>
    <mergeCell ref="F20:F22"/>
    <mergeCell ref="H20:H22"/>
    <mergeCell ref="A2:A4"/>
    <mergeCell ref="C1:AD1"/>
    <mergeCell ref="C2:C4"/>
    <mergeCell ref="D2:D4"/>
    <mergeCell ref="F2:F4"/>
    <mergeCell ref="L2:L4"/>
    <mergeCell ref="M2:M4"/>
    <mergeCell ref="N2:N4"/>
    <mergeCell ref="O2:O4"/>
    <mergeCell ref="P2:P4"/>
    <mergeCell ref="Q2:Q4"/>
    <mergeCell ref="R2:R4"/>
    <mergeCell ref="S2:AC2"/>
    <mergeCell ref="AD2:AD4"/>
    <mergeCell ref="S3:T3"/>
    <mergeCell ref="U3:W3"/>
    <mergeCell ref="G5:G7"/>
    <mergeCell ref="G2:G4"/>
    <mergeCell ref="K2:K4"/>
    <mergeCell ref="AA3:AC3"/>
    <mergeCell ref="C11:C13"/>
    <mergeCell ref="D11:D13"/>
    <mergeCell ref="F11:F13"/>
    <mergeCell ref="C5:C7"/>
    <mergeCell ref="D5:D7"/>
    <mergeCell ref="F5:F7"/>
    <mergeCell ref="C8:C10"/>
    <mergeCell ref="D8:D10"/>
    <mergeCell ref="F8:F10"/>
    <mergeCell ref="E5:E7"/>
    <mergeCell ref="E2:E4"/>
    <mergeCell ref="H2:H4"/>
    <mergeCell ref="X3:Z3"/>
    <mergeCell ref="H8:H10"/>
    <mergeCell ref="H11:H13"/>
    <mergeCell ref="H14:H16"/>
    <mergeCell ref="H17:H19"/>
    <mergeCell ref="I2:I4"/>
    <mergeCell ref="J2:J4"/>
    <mergeCell ref="H5:H7"/>
    <mergeCell ref="B2:B4"/>
    <mergeCell ref="C14:C16"/>
    <mergeCell ref="D14:D16"/>
    <mergeCell ref="F14:F16"/>
    <mergeCell ref="C17:C19"/>
    <mergeCell ref="D17:D19"/>
    <mergeCell ref="F17:F19"/>
    <mergeCell ref="B5:B7"/>
    <mergeCell ref="E8:E10"/>
    <mergeCell ref="E11:E13"/>
    <mergeCell ref="E14:E16"/>
    <mergeCell ref="E17:E19"/>
  </mergeCells>
  <phoneticPr fontId="3" type="noConversion"/>
  <pageMargins left="0.31496062992125984" right="0.31496062992125984" top="0.74803149606299213" bottom="0.74803149606299213" header="0.3543307086614173" footer="0.3543307086614173"/>
  <pageSetup paperSize="8" scale="49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42D33-A6FC-4178-9408-D1BE97BC475F}">
  <dimension ref="A1"/>
  <sheetViews>
    <sheetView workbookViewId="0"/>
  </sheetViews>
  <sheetFormatPr defaultRowHeight="17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33F0881DD406604ABC40AE76B01E7C3B" ma:contentTypeVersion="4" ma:contentTypeDescription="建立新的文件。" ma:contentTypeScope="" ma:versionID="6c821638d394d88253ba4bf576348d6b">
  <xsd:schema xmlns:xsd="http://www.w3.org/2001/XMLSchema" xmlns:xs="http://www.w3.org/2001/XMLSchema" xmlns:p="http://schemas.microsoft.com/office/2006/metadata/properties" xmlns:ns3="fa0e9b43-76f5-41cd-9e50-5f8aafc9fe68" targetNamespace="http://schemas.microsoft.com/office/2006/metadata/properties" ma:root="true" ma:fieldsID="97a9ef26d11f7d87e89af62fb017ff0a" ns3:_="">
    <xsd:import namespace="fa0e9b43-76f5-41cd-9e50-5f8aafc9fe6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0e9b43-76f5-41cd-9e50-5f8aafc9fe6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B3C669E-D6C0-463F-A8AA-3675D7A2C454}">
  <ds:schemaRefs>
    <ds:schemaRef ds:uri="fa0e9b43-76f5-41cd-9e50-5f8aafc9fe68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4F6A79E-7CCD-4BBB-9107-7E24FDD335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FD2E535-AE3A-423A-9E6C-47E296EDA5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0e9b43-76f5-41cd-9e50-5f8aafc9fe6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4d09258-035b-4e4f-ae3e-d79ff3d418d8}" enabled="1" method="Standard" siteId="{f4a12867-922d-4b9d-bb85-9ee7898512a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12</vt:i4>
      </vt:variant>
      <vt:variant>
        <vt:lpstr>具名範圍</vt:lpstr>
      </vt:variant>
      <vt:variant>
        <vt:i4>21</vt:i4>
      </vt:variant>
    </vt:vector>
  </HeadingPairs>
  <TitlesOfParts>
    <vt:vector size="33" baseType="lpstr">
      <vt:lpstr>總表 </vt:lpstr>
      <vt:lpstr>10-1材料試驗單位</vt:lpstr>
      <vt:lpstr>10-2土建</vt:lpstr>
      <vt:lpstr>10-3取排水(宏華)</vt:lpstr>
      <vt:lpstr>10-4 建築裝修</vt:lpstr>
      <vt:lpstr>10-5消防空調給排水</vt:lpstr>
      <vt:lpstr>10-6機械設備</vt:lpstr>
      <vt:lpstr>10-7電力儀控</vt:lpstr>
      <vt:lpstr>10-8管線閥類</vt:lpstr>
      <vt:lpstr>10-9弱電通信</vt:lpstr>
      <vt:lpstr>10-9景觀植栽</vt:lpstr>
      <vt:lpstr>工作表1</vt:lpstr>
      <vt:lpstr>'10-1材料試驗單位'!Print_Area</vt:lpstr>
      <vt:lpstr>'10-2土建'!Print_Area</vt:lpstr>
      <vt:lpstr>'10-3取排水(宏華)'!Print_Area</vt:lpstr>
      <vt:lpstr>'10-4 建築裝修'!Print_Area</vt:lpstr>
      <vt:lpstr>'10-5消防空調給排水'!Print_Area</vt:lpstr>
      <vt:lpstr>'10-6機械設備'!Print_Area</vt:lpstr>
      <vt:lpstr>'10-7電力儀控'!Print_Area</vt:lpstr>
      <vt:lpstr>'10-8管線閥類'!Print_Area</vt:lpstr>
      <vt:lpstr>'10-9弱電通信'!Print_Area</vt:lpstr>
      <vt:lpstr>'10-9景觀植栽'!Print_Area</vt:lpstr>
      <vt:lpstr>'總表 '!Print_Area</vt:lpstr>
      <vt:lpstr>'10-1材料試驗單位'!Print_Titles</vt:lpstr>
      <vt:lpstr>'10-2土建'!Print_Titles</vt:lpstr>
      <vt:lpstr>'10-3取排水(宏華)'!Print_Titles</vt:lpstr>
      <vt:lpstr>'10-4 建築裝修'!Print_Titles</vt:lpstr>
      <vt:lpstr>'10-5消防空調給排水'!Print_Titles</vt:lpstr>
      <vt:lpstr>'10-6機械設備'!Print_Titles</vt:lpstr>
      <vt:lpstr>'10-7電力儀控'!Print_Titles</vt:lpstr>
      <vt:lpstr>'10-8管線閥類'!Print_Titles</vt:lpstr>
      <vt:lpstr>'10-9弱電通信'!Print_Titles</vt:lpstr>
      <vt:lpstr>'10-9景觀植栽'!Print_Titles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Chang, Leo (Leo)</dc:creator>
  <cp:lastModifiedBy>Ally Lee/李欣慈/CTCI-SUEZ</cp:lastModifiedBy>
  <cp:lastPrinted>2026-02-03T03:25:11Z</cp:lastPrinted>
  <dcterms:created xsi:type="dcterms:W3CDTF">2026-01-20T07:56:37Z</dcterms:created>
  <dcterms:modified xsi:type="dcterms:W3CDTF">2026-05-27T03:55:37Z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0x01010033F0881DD406604ABC40AE76B01E7C3B</vt:lpwstr>
  </property>
</Properties>
</file>